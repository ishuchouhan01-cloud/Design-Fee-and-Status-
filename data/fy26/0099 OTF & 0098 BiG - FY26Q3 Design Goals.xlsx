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3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4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5.xml" ContentType="application/vnd.ms-excel.namedsheetview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namedSheetViews/namedSheetView1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1831" documentId="120_S{F6307810-6C69-515E-BA61-843DFB608037}" xr6:coauthVersionLast="47" xr6:coauthVersionMax="47" xr10:uidLastSave="{22E48AE1-FCB2-4872-A334-2DA3AE08B067}"/>
  <bookViews>
    <workbookView xWindow="-108" yWindow="-108" windowWidth="23256" windowHeight="12456" tabRatio="749" firstSheet="9" activeTab="9" xr2:uid="{5EF5F934-3F74-4DA0-B71A-DE90FB105D78}"/>
  </bookViews>
  <sheets>
    <sheet name="Goals 2026" sheetId="7" state="hidden" r:id="rId1"/>
    <sheet name="Smry" sheetId="9" state="hidden" r:id="rId2"/>
    <sheet name="26Q1 Actuals Smry" sheetId="23" state="hidden" r:id="rId3"/>
    <sheet name="Goal Summary 25Q4" sheetId="1" state="hidden" r:id="rId4"/>
    <sheet name="Data sheet" sheetId="5" state="hidden" r:id="rId5"/>
    <sheet name="Sheet1" sheetId="3" state="hidden" r:id="rId6"/>
    <sheet name="Breakup-MP+MEP+LS" sheetId="2" state="hidden" r:id="rId7"/>
    <sheet name="Prj List" sheetId="4" state="hidden" r:id="rId8"/>
    <sheet name="Sheet2" sheetId="8" state="hidden" r:id="rId9"/>
    <sheet name="0099 OTF &amp; 0098 BiG FY 26-27Q3" sheetId="33" r:id="rId10"/>
    <sheet name="0099 OTF -Pkgs Summary (Status)" sheetId="34" r:id="rId11"/>
    <sheet name="0098 BiG -Pkgs Summary (Status)" sheetId="35" r:id="rId12"/>
    <sheet name="Goals, Actuals 2026 Q1" sheetId="26" state="hidden" r:id="rId13"/>
    <sheet name="26Q1 Cijey M" sheetId="15" state="hidden" r:id="rId14"/>
    <sheet name="26Q1 Saji A" sheetId="16" state="hidden" r:id="rId15"/>
    <sheet name="26Q1 Naveen Y" sheetId="17" state="hidden" r:id="rId16"/>
    <sheet name="26Q1 Om Prakash" sheetId="18" state="hidden" r:id="rId17"/>
    <sheet name="26Q1 Manik G" sheetId="20" state="hidden" r:id="rId18"/>
    <sheet name="26Q1 Atul L" sheetId="21" state="hidden" r:id="rId19"/>
    <sheet name="26Q1 Prakash C" sheetId="19" state="hidden" r:id="rId20"/>
    <sheet name="26Q1 Gaganjit S" sheetId="22" state="hidden" r:id="rId21"/>
    <sheet name="26Q1 Navneet K" sheetId="24" state="hidden" r:id="rId22"/>
    <sheet name="26Q1 Leaderwise" sheetId="14" state="hidden" r:id="rId23"/>
  </sheets>
  <definedNames>
    <definedName name="_" localSheetId="11" hidden="1">#REF!</definedName>
    <definedName name="_" localSheetId="10" hidden="1">#REF!</definedName>
    <definedName name="_" hidden="1">#REF!</definedName>
    <definedName name="__123Graph_A" localSheetId="11" hidden="1">#REF!</definedName>
    <definedName name="__123Graph_A" localSheetId="10" hidden="1">#REF!</definedName>
    <definedName name="__123Graph_A" hidden="1">#REF!</definedName>
    <definedName name="__123Graph_B" localSheetId="11" hidden="1">#REF!</definedName>
    <definedName name="__123Graph_B" localSheetId="10" hidden="1">#REF!</definedName>
    <definedName name="__123Graph_B" hidden="1">#REF!</definedName>
    <definedName name="__123Graph_C" localSheetId="11" hidden="1">#REF!</definedName>
    <definedName name="__123Graph_C" localSheetId="10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11" hidden="1">'0098 BiG -Pkgs Summary (Status)'!#REF!</definedName>
    <definedName name="_xlnm._FilterDatabase" localSheetId="9" hidden="1">'0099 OTF &amp; 0098 BiG FY 26-27Q3'!$B$4:$Y$87</definedName>
    <definedName name="_xlnm._FilterDatabase" localSheetId="10" hidden="1">'0099 OTF -Pkgs Summary (Status)'!#REF!</definedName>
    <definedName name="_xlnm._FilterDatabase" localSheetId="18" hidden="1">'26Q1 Atul L'!$A$5:$AB$5</definedName>
    <definedName name="_xlnm._FilterDatabase" localSheetId="13" hidden="1">'26Q1 Cijey M'!$A$5:$AB$5</definedName>
    <definedName name="_xlnm._FilterDatabase" localSheetId="20" hidden="1">'26Q1 Gaganjit S'!$A$5:$Y$171</definedName>
    <definedName name="_xlnm._FilterDatabase" localSheetId="22" hidden="1">'26Q1 Leaderwise'!$A$5:$AB$5</definedName>
    <definedName name="_xlnm._FilterDatabase" localSheetId="17" hidden="1">'26Q1 Manik G'!$A$5:$AB$5</definedName>
    <definedName name="_xlnm._FilterDatabase" localSheetId="15" hidden="1">'26Q1 Naveen Y'!#REF!</definedName>
    <definedName name="_xlnm._FilterDatabase" localSheetId="21" hidden="1">'26Q1 Navneet K'!$A$5:$AC$5</definedName>
    <definedName name="_xlnm._FilterDatabase" localSheetId="16" hidden="1">'26Q1 Om Prakash'!#REF!</definedName>
    <definedName name="_xlnm._FilterDatabase" localSheetId="19" hidden="1">'26Q1 Prakash C'!$A$5:$AC$5</definedName>
    <definedName name="_xlnm._FilterDatabase" localSheetId="14" hidden="1">'26Q1 Saji A'!$A$5:$AC$5</definedName>
    <definedName name="_xlnm._FilterDatabase" localSheetId="6" hidden="1">'Breakup-MP+MEP+LS'!$A$5:$AD$79</definedName>
    <definedName name="_xlnm._FilterDatabase" localSheetId="3" hidden="1">'Goal Summary 25Q4'!$A$4:$T$1103</definedName>
    <definedName name="_xlnm._FilterDatabase" localSheetId="0" hidden="1">'Goals 2026'!$A$5:$AK$1637</definedName>
    <definedName name="_xlnm._FilterDatabase" localSheetId="12" hidden="1">'Goals, Actuals 2026 Q1'!$A$5:$AG$611</definedName>
    <definedName name="_xlnm._FilterDatabase" localSheetId="7" hidden="1">'Prj List'!$A$2:$D$68</definedName>
    <definedName name="_xlnm._FilterDatabase" localSheetId="5" hidden="1">Sheet1!$B$3:$D$35</definedName>
    <definedName name="_xlnm._FilterDatabase" localSheetId="1" hidden="1">Smry!$B$4:$L$157</definedName>
    <definedName name="_xlnm._FilterDatabase" hidden="1">#REF!</definedName>
    <definedName name="_Goal_New" localSheetId="11" hidden="1">#REF!</definedName>
    <definedName name="_Goal_New" localSheetId="10" hidden="1">#REF!</definedName>
    <definedName name="_Goal_New" hidden="1">#REF!</definedName>
    <definedName name="_Key1" localSheetId="11" hidden="1">#REF!</definedName>
    <definedName name="_Key1" localSheetId="10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11" hidden="1">#REF!</definedName>
    <definedName name="_Parse_Out" localSheetId="10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11" hidden="1">{"BSSCHA4",#N/A,FALSE,"sch bs"}</definedName>
    <definedName name="ALupro" localSheetId="9" hidden="1">{"BSSCHA4",#N/A,FALSE,"sch bs"}</definedName>
    <definedName name="ALupro" localSheetId="10" hidden="1">{"BSSCHA4",#N/A,FALSE,"sch bs"}</definedName>
    <definedName name="ALupro" localSheetId="18" hidden="1">{"BSSCHA4",#N/A,FALSE,"sch bs"}</definedName>
    <definedName name="ALupro" localSheetId="13" hidden="1">{"BSSCHA4",#N/A,FALSE,"sch bs"}</definedName>
    <definedName name="ALupro" localSheetId="20" hidden="1">{"BSSCHA4",#N/A,FALSE,"sch bs"}</definedName>
    <definedName name="ALupro" localSheetId="22" hidden="1">{"BSSCHA4",#N/A,FALSE,"sch bs"}</definedName>
    <definedName name="ALupro" localSheetId="17" hidden="1">{"BSSCHA4",#N/A,FALSE,"sch bs"}</definedName>
    <definedName name="ALupro" localSheetId="15" hidden="1">{"BSSCHA4",#N/A,FALSE,"sch bs"}</definedName>
    <definedName name="ALupro" localSheetId="21" hidden="1">{"BSSCHA4",#N/A,FALSE,"sch bs"}</definedName>
    <definedName name="ALupro" localSheetId="16" hidden="1">{"BSSCHA4",#N/A,FALSE,"sch bs"}</definedName>
    <definedName name="ALupro" localSheetId="19" hidden="1">{"BSSCHA4",#N/A,FALSE,"sch bs"}</definedName>
    <definedName name="ALupro" localSheetId="14" hidden="1">{"BSSCHA4",#N/A,FALSE,"sch bs"}</definedName>
    <definedName name="ALupro" localSheetId="12" hidden="1">{"BSSCHA4",#N/A,FALSE,"sch bs"}</definedName>
    <definedName name="ALupro" hidden="1">{"BSSCHA4",#N/A,FALSE,"sch bs"}</definedName>
    <definedName name="ALupro0" localSheetId="11" hidden="1">{"BSSCHA4",#N/A,FALSE,"sch bs"}</definedName>
    <definedName name="ALupro0" localSheetId="9" hidden="1">{"BSSCHA4",#N/A,FALSE,"sch bs"}</definedName>
    <definedName name="ALupro0" localSheetId="10" hidden="1">{"BSSCHA4",#N/A,FALSE,"sch bs"}</definedName>
    <definedName name="ALupro0" localSheetId="18" hidden="1">{"BSSCHA4",#N/A,FALSE,"sch bs"}</definedName>
    <definedName name="ALupro0" localSheetId="13" hidden="1">{"BSSCHA4",#N/A,FALSE,"sch bs"}</definedName>
    <definedName name="ALupro0" localSheetId="20" hidden="1">{"BSSCHA4",#N/A,FALSE,"sch bs"}</definedName>
    <definedName name="ALupro0" localSheetId="22" hidden="1">{"BSSCHA4",#N/A,FALSE,"sch bs"}</definedName>
    <definedName name="ALupro0" localSheetId="17" hidden="1">{"BSSCHA4",#N/A,FALSE,"sch bs"}</definedName>
    <definedName name="ALupro0" localSheetId="15" hidden="1">{"BSSCHA4",#N/A,FALSE,"sch bs"}</definedName>
    <definedName name="ALupro0" localSheetId="21" hidden="1">{"BSSCHA4",#N/A,FALSE,"sch bs"}</definedName>
    <definedName name="ALupro0" localSheetId="16" hidden="1">{"BSSCHA4",#N/A,FALSE,"sch bs"}</definedName>
    <definedName name="ALupro0" localSheetId="19" hidden="1">{"BSSCHA4",#N/A,FALSE,"sch bs"}</definedName>
    <definedName name="ALupro0" localSheetId="14" hidden="1">{"BSSCHA4",#N/A,FALSE,"sch bs"}</definedName>
    <definedName name="ALupro0" localSheetId="12" hidden="1">{"BSSCHA4",#N/A,FALSE,"sch bs"}</definedName>
    <definedName name="ALupro0" hidden="1">{"BSSCHA4",#N/A,FALSE,"sch bs"}</definedName>
    <definedName name="annexure" localSheetId="11" hidden="1">{"BSSCHA4",#N/A,FALSE,"sch bs"}</definedName>
    <definedName name="annexure" localSheetId="9" hidden="1">{"BSSCHA4",#N/A,FALSE,"sch bs"}</definedName>
    <definedName name="annexure" localSheetId="10" hidden="1">{"BSSCHA4",#N/A,FALSE,"sch bs"}</definedName>
    <definedName name="annexure" localSheetId="18" hidden="1">{"BSSCHA4",#N/A,FALSE,"sch bs"}</definedName>
    <definedName name="annexure" localSheetId="13" hidden="1">{"BSSCHA4",#N/A,FALSE,"sch bs"}</definedName>
    <definedName name="annexure" localSheetId="20" hidden="1">{"BSSCHA4",#N/A,FALSE,"sch bs"}</definedName>
    <definedName name="annexure" localSheetId="22" hidden="1">{"BSSCHA4",#N/A,FALSE,"sch bs"}</definedName>
    <definedName name="annexure" localSheetId="17" hidden="1">{"BSSCHA4",#N/A,FALSE,"sch bs"}</definedName>
    <definedName name="annexure" localSheetId="15" hidden="1">{"BSSCHA4",#N/A,FALSE,"sch bs"}</definedName>
    <definedName name="annexure" localSheetId="21" hidden="1">{"BSSCHA4",#N/A,FALSE,"sch bs"}</definedName>
    <definedName name="annexure" localSheetId="16" hidden="1">{"BSSCHA4",#N/A,FALSE,"sch bs"}</definedName>
    <definedName name="annexure" localSheetId="19" hidden="1">{"BSSCHA4",#N/A,FALSE,"sch bs"}</definedName>
    <definedName name="annexure" localSheetId="14" hidden="1">{"BSSCHA4",#N/A,FALSE,"sch bs"}</definedName>
    <definedName name="annexure" localSheetId="12" hidden="1">{"BSSCHA4",#N/A,FALSE,"sch bs"}</definedName>
    <definedName name="annexure" hidden="1">{"BSSCHA4",#N/A,FALSE,"sch bs"}</definedName>
    <definedName name="annexure_1" localSheetId="11" hidden="1">{"BSSCHA4",#N/A,FALSE,"sch bs"}</definedName>
    <definedName name="annexure_1" localSheetId="9" hidden="1">{"BSSCHA4",#N/A,FALSE,"sch bs"}</definedName>
    <definedName name="annexure_1" localSheetId="10" hidden="1">{"BSSCHA4",#N/A,FALSE,"sch bs"}</definedName>
    <definedName name="annexure_1" localSheetId="18" hidden="1">{"BSSCHA4",#N/A,FALSE,"sch bs"}</definedName>
    <definedName name="annexure_1" localSheetId="13" hidden="1">{"BSSCHA4",#N/A,FALSE,"sch bs"}</definedName>
    <definedName name="annexure_1" localSheetId="20" hidden="1">{"BSSCHA4",#N/A,FALSE,"sch bs"}</definedName>
    <definedName name="annexure_1" localSheetId="22" hidden="1">{"BSSCHA4",#N/A,FALSE,"sch bs"}</definedName>
    <definedName name="annexure_1" localSheetId="17" hidden="1">{"BSSCHA4",#N/A,FALSE,"sch bs"}</definedName>
    <definedName name="annexure_1" localSheetId="15" hidden="1">{"BSSCHA4",#N/A,FALSE,"sch bs"}</definedName>
    <definedName name="annexure_1" localSheetId="21" hidden="1">{"BSSCHA4",#N/A,FALSE,"sch bs"}</definedName>
    <definedName name="annexure_1" localSheetId="16" hidden="1">{"BSSCHA4",#N/A,FALSE,"sch bs"}</definedName>
    <definedName name="annexure_1" localSheetId="19" hidden="1">{"BSSCHA4",#N/A,FALSE,"sch bs"}</definedName>
    <definedName name="annexure_1" localSheetId="14" hidden="1">{"BSSCHA4",#N/A,FALSE,"sch bs"}</definedName>
    <definedName name="annexure_1" localSheetId="12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11" hidden="1">{"A4BS",#N/A,FALSE,"bs"}</definedName>
    <definedName name="avneeep" localSheetId="9" hidden="1">{"A4BS",#N/A,FALSE,"bs"}</definedName>
    <definedName name="avneeep" localSheetId="10" hidden="1">{"A4BS",#N/A,FALSE,"bs"}</definedName>
    <definedName name="avneeep" localSheetId="18" hidden="1">{"A4BS",#N/A,FALSE,"bs"}</definedName>
    <definedName name="avneeep" localSheetId="13" hidden="1">{"A4BS",#N/A,FALSE,"bs"}</definedName>
    <definedName name="avneeep" localSheetId="20" hidden="1">{"A4BS",#N/A,FALSE,"bs"}</definedName>
    <definedName name="avneeep" localSheetId="22" hidden="1">{"A4BS",#N/A,FALSE,"bs"}</definedName>
    <definedName name="avneeep" localSheetId="17" hidden="1">{"A4BS",#N/A,FALSE,"bs"}</definedName>
    <definedName name="avneeep" localSheetId="15" hidden="1">{"A4BS",#N/A,FALSE,"bs"}</definedName>
    <definedName name="avneeep" localSheetId="21" hidden="1">{"A4BS",#N/A,FALSE,"bs"}</definedName>
    <definedName name="avneeep" localSheetId="16" hidden="1">{"A4BS",#N/A,FALSE,"bs"}</definedName>
    <definedName name="avneeep" localSheetId="19" hidden="1">{"A4BS",#N/A,FALSE,"bs"}</definedName>
    <definedName name="avneeep" localSheetId="14" hidden="1">{"A4BS",#N/A,FALSE,"bs"}</definedName>
    <definedName name="avneeep" localSheetId="12" hidden="1">{"A4BS",#N/A,FALSE,"bs"}</definedName>
    <definedName name="avneeep" hidden="1">{"A4BS",#N/A,FALSE,"bs"}</definedName>
    <definedName name="avneeep_1" localSheetId="11" hidden="1">{"A4BS",#N/A,FALSE,"bs"}</definedName>
    <definedName name="avneeep_1" localSheetId="9" hidden="1">{"A4BS",#N/A,FALSE,"bs"}</definedName>
    <definedName name="avneeep_1" localSheetId="10" hidden="1">{"A4BS",#N/A,FALSE,"bs"}</definedName>
    <definedName name="avneeep_1" localSheetId="18" hidden="1">{"A4BS",#N/A,FALSE,"bs"}</definedName>
    <definedName name="avneeep_1" localSheetId="13" hidden="1">{"A4BS",#N/A,FALSE,"bs"}</definedName>
    <definedName name="avneeep_1" localSheetId="20" hidden="1">{"A4BS",#N/A,FALSE,"bs"}</definedName>
    <definedName name="avneeep_1" localSheetId="22" hidden="1">{"A4BS",#N/A,FALSE,"bs"}</definedName>
    <definedName name="avneeep_1" localSheetId="17" hidden="1">{"A4BS",#N/A,FALSE,"bs"}</definedName>
    <definedName name="avneeep_1" localSheetId="15" hidden="1">{"A4BS",#N/A,FALSE,"bs"}</definedName>
    <definedName name="avneeep_1" localSheetId="21" hidden="1">{"A4BS",#N/A,FALSE,"bs"}</definedName>
    <definedName name="avneeep_1" localSheetId="16" hidden="1">{"A4BS",#N/A,FALSE,"bs"}</definedName>
    <definedName name="avneeep_1" localSheetId="19" hidden="1">{"A4BS",#N/A,FALSE,"bs"}</definedName>
    <definedName name="avneeep_1" localSheetId="14" hidden="1">{"A4BS",#N/A,FALSE,"bs"}</definedName>
    <definedName name="avneeep_1" localSheetId="12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localSheetId="11" hidden="1">#REF!</definedName>
    <definedName name="dist" localSheetId="10" hidden="1">#REF!</definedName>
    <definedName name="dist" hidden="1">#REF!</definedName>
    <definedName name="egdywmk" localSheetId="11" hidden="1">{"A4depsch",#N/A,FALSE,"fa&amp;dep"}</definedName>
    <definedName name="egdywmk" localSheetId="9" hidden="1">{"A4depsch",#N/A,FALSE,"fa&amp;dep"}</definedName>
    <definedName name="egdywmk" localSheetId="10" hidden="1">{"A4depsch",#N/A,FALSE,"fa&amp;dep"}</definedName>
    <definedName name="egdywmk" localSheetId="18" hidden="1">{"A4depsch",#N/A,FALSE,"fa&amp;dep"}</definedName>
    <definedName name="egdywmk" localSheetId="13" hidden="1">{"A4depsch",#N/A,FALSE,"fa&amp;dep"}</definedName>
    <definedName name="egdywmk" localSheetId="20" hidden="1">{"A4depsch",#N/A,FALSE,"fa&amp;dep"}</definedName>
    <definedName name="egdywmk" localSheetId="22" hidden="1">{"A4depsch",#N/A,FALSE,"fa&amp;dep"}</definedName>
    <definedName name="egdywmk" localSheetId="17" hidden="1">{"A4depsch",#N/A,FALSE,"fa&amp;dep"}</definedName>
    <definedName name="egdywmk" localSheetId="15" hidden="1">{"A4depsch",#N/A,FALSE,"fa&amp;dep"}</definedName>
    <definedName name="egdywmk" localSheetId="21" hidden="1">{"A4depsch",#N/A,FALSE,"fa&amp;dep"}</definedName>
    <definedName name="egdywmk" localSheetId="16" hidden="1">{"A4depsch",#N/A,FALSE,"fa&amp;dep"}</definedName>
    <definedName name="egdywmk" localSheetId="19" hidden="1">{"A4depsch",#N/A,FALSE,"fa&amp;dep"}</definedName>
    <definedName name="egdywmk" localSheetId="14" hidden="1">{"A4depsch",#N/A,FALSE,"fa&amp;dep"}</definedName>
    <definedName name="egdywmk" localSheetId="12" hidden="1">{"A4depsch",#N/A,FALSE,"fa&amp;dep"}</definedName>
    <definedName name="egdywmk" hidden="1">{"A4depsch",#N/A,FALSE,"fa&amp;dep"}</definedName>
    <definedName name="egdywmk_1" localSheetId="11" hidden="1">{"A4depsch",#N/A,FALSE,"fa&amp;dep"}</definedName>
    <definedName name="egdywmk_1" localSheetId="9" hidden="1">{"A4depsch",#N/A,FALSE,"fa&amp;dep"}</definedName>
    <definedName name="egdywmk_1" localSheetId="10" hidden="1">{"A4depsch",#N/A,FALSE,"fa&amp;dep"}</definedName>
    <definedName name="egdywmk_1" localSheetId="18" hidden="1">{"A4depsch",#N/A,FALSE,"fa&amp;dep"}</definedName>
    <definedName name="egdywmk_1" localSheetId="13" hidden="1">{"A4depsch",#N/A,FALSE,"fa&amp;dep"}</definedName>
    <definedName name="egdywmk_1" localSheetId="20" hidden="1">{"A4depsch",#N/A,FALSE,"fa&amp;dep"}</definedName>
    <definedName name="egdywmk_1" localSheetId="22" hidden="1">{"A4depsch",#N/A,FALSE,"fa&amp;dep"}</definedName>
    <definedName name="egdywmk_1" localSheetId="17" hidden="1">{"A4depsch",#N/A,FALSE,"fa&amp;dep"}</definedName>
    <definedName name="egdywmk_1" localSheetId="15" hidden="1">{"A4depsch",#N/A,FALSE,"fa&amp;dep"}</definedName>
    <definedName name="egdywmk_1" localSheetId="21" hidden="1">{"A4depsch",#N/A,FALSE,"fa&amp;dep"}</definedName>
    <definedName name="egdywmk_1" localSheetId="16" hidden="1">{"A4depsch",#N/A,FALSE,"fa&amp;dep"}</definedName>
    <definedName name="egdywmk_1" localSheetId="19" hidden="1">{"A4depsch",#N/A,FALSE,"fa&amp;dep"}</definedName>
    <definedName name="egdywmk_1" localSheetId="14" hidden="1">{"A4depsch",#N/A,FALSE,"fa&amp;dep"}</definedName>
    <definedName name="egdywmk_1" localSheetId="12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11" hidden="1">#REF!</definedName>
    <definedName name="fffffffffffffffffffffffffffjjjjjj" localSheetId="10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11" hidden="1">{"a4p&amp;L",#N/A,FALSE,"tr &amp; pl"}</definedName>
    <definedName name="gallup" localSheetId="9" hidden="1">{"a4p&amp;L",#N/A,FALSE,"tr &amp; pl"}</definedName>
    <definedName name="gallup" localSheetId="10" hidden="1">{"a4p&amp;L",#N/A,FALSE,"tr &amp; pl"}</definedName>
    <definedName name="gallup" localSheetId="18" hidden="1">{"a4p&amp;L",#N/A,FALSE,"tr &amp; pl"}</definedName>
    <definedName name="gallup" localSheetId="13" hidden="1">{"a4p&amp;L",#N/A,FALSE,"tr &amp; pl"}</definedName>
    <definedName name="gallup" localSheetId="20" hidden="1">{"a4p&amp;L",#N/A,FALSE,"tr &amp; pl"}</definedName>
    <definedName name="gallup" localSheetId="22" hidden="1">{"a4p&amp;L",#N/A,FALSE,"tr &amp; pl"}</definedName>
    <definedName name="gallup" localSheetId="17" hidden="1">{"a4p&amp;L",#N/A,FALSE,"tr &amp; pl"}</definedName>
    <definedName name="gallup" localSheetId="15" hidden="1">{"a4p&amp;L",#N/A,FALSE,"tr &amp; pl"}</definedName>
    <definedName name="gallup" localSheetId="21" hidden="1">{"a4p&amp;L",#N/A,FALSE,"tr &amp; pl"}</definedName>
    <definedName name="gallup" localSheetId="16" hidden="1">{"a4p&amp;L",#N/A,FALSE,"tr &amp; pl"}</definedName>
    <definedName name="gallup" localSheetId="19" hidden="1">{"a4p&amp;L",#N/A,FALSE,"tr &amp; pl"}</definedName>
    <definedName name="gallup" localSheetId="14" hidden="1">{"a4p&amp;L",#N/A,FALSE,"tr &amp; pl"}</definedName>
    <definedName name="gallup" localSheetId="12" hidden="1">{"a4p&amp;L",#N/A,FALSE,"tr &amp; pl"}</definedName>
    <definedName name="gallup" hidden="1">{"a4p&amp;L",#N/A,FALSE,"tr &amp; pl"}</definedName>
    <definedName name="gallup_1" localSheetId="11" hidden="1">{"a4p&amp;L",#N/A,FALSE,"tr &amp; pl"}</definedName>
    <definedName name="gallup_1" localSheetId="9" hidden="1">{"a4p&amp;L",#N/A,FALSE,"tr &amp; pl"}</definedName>
    <definedName name="gallup_1" localSheetId="10" hidden="1">{"a4p&amp;L",#N/A,FALSE,"tr &amp; pl"}</definedName>
    <definedName name="gallup_1" localSheetId="18" hidden="1">{"a4p&amp;L",#N/A,FALSE,"tr &amp; pl"}</definedName>
    <definedName name="gallup_1" localSheetId="13" hidden="1">{"a4p&amp;L",#N/A,FALSE,"tr &amp; pl"}</definedName>
    <definedName name="gallup_1" localSheetId="20" hidden="1">{"a4p&amp;L",#N/A,FALSE,"tr &amp; pl"}</definedName>
    <definedName name="gallup_1" localSheetId="22" hidden="1">{"a4p&amp;L",#N/A,FALSE,"tr &amp; pl"}</definedName>
    <definedName name="gallup_1" localSheetId="17" hidden="1">{"a4p&amp;L",#N/A,FALSE,"tr &amp; pl"}</definedName>
    <definedName name="gallup_1" localSheetId="15" hidden="1">{"a4p&amp;L",#N/A,FALSE,"tr &amp; pl"}</definedName>
    <definedName name="gallup_1" localSheetId="21" hidden="1">{"a4p&amp;L",#N/A,FALSE,"tr &amp; pl"}</definedName>
    <definedName name="gallup_1" localSheetId="16" hidden="1">{"a4p&amp;L",#N/A,FALSE,"tr &amp; pl"}</definedName>
    <definedName name="gallup_1" localSheetId="19" hidden="1">{"a4p&amp;L",#N/A,FALSE,"tr &amp; pl"}</definedName>
    <definedName name="gallup_1" localSheetId="14" hidden="1">{"a4p&amp;L",#N/A,FALSE,"tr &amp; pl"}</definedName>
    <definedName name="gallup_1" localSheetId="12" hidden="1">{"a4p&amp;L",#N/A,FALSE,"tr &amp; pl"}</definedName>
    <definedName name="gallup_1" hidden="1">{"a4p&amp;L",#N/A,FALSE,"tr &amp; pl"}</definedName>
    <definedName name="GDF" localSheetId="11" hidden="1">{#N/A,#N/A,FALSE,"COMP"}</definedName>
    <definedName name="GDF" localSheetId="9" hidden="1">{#N/A,#N/A,FALSE,"COMP"}</definedName>
    <definedName name="GDF" localSheetId="10" hidden="1">{#N/A,#N/A,FALSE,"COMP"}</definedName>
    <definedName name="GDF" localSheetId="18" hidden="1">{#N/A,#N/A,FALSE,"COMP"}</definedName>
    <definedName name="GDF" localSheetId="13" hidden="1">{#N/A,#N/A,FALSE,"COMP"}</definedName>
    <definedName name="GDF" localSheetId="20" hidden="1">{#N/A,#N/A,FALSE,"COMP"}</definedName>
    <definedName name="GDF" localSheetId="22" hidden="1">{#N/A,#N/A,FALSE,"COMP"}</definedName>
    <definedName name="GDF" localSheetId="17" hidden="1">{#N/A,#N/A,FALSE,"COMP"}</definedName>
    <definedName name="GDF" localSheetId="15" hidden="1">{#N/A,#N/A,FALSE,"COMP"}</definedName>
    <definedName name="GDF" localSheetId="21" hidden="1">{#N/A,#N/A,FALSE,"COMP"}</definedName>
    <definedName name="GDF" localSheetId="16" hidden="1">{#N/A,#N/A,FALSE,"COMP"}</definedName>
    <definedName name="GDF" localSheetId="19" hidden="1">{#N/A,#N/A,FALSE,"COMP"}</definedName>
    <definedName name="GDF" localSheetId="14" hidden="1">{#N/A,#N/A,FALSE,"COMP"}</definedName>
    <definedName name="GDF" localSheetId="12" hidden="1">{#N/A,#N/A,FALSE,"COMP"}</definedName>
    <definedName name="GDF" hidden="1">{#N/A,#N/A,FALSE,"COMP"}</definedName>
    <definedName name="Goal" localSheetId="11" hidden="1">#REF!</definedName>
    <definedName name="Goal" localSheetId="10" hidden="1">#REF!</definedName>
    <definedName name="Goal" hidden="1">#REF!</definedName>
    <definedName name="Goal_New" localSheetId="11" hidden="1">#REF!</definedName>
    <definedName name="Goal_New" localSheetId="10" hidden="1">#REF!</definedName>
    <definedName name="Goal_New" hidden="1">#REF!</definedName>
    <definedName name="Goal_new1" localSheetId="11" hidden="1">#REF!</definedName>
    <definedName name="Goal_new1" localSheetId="10" hidden="1">#REF!</definedName>
    <definedName name="Goal_new1" hidden="1">#REF!</definedName>
    <definedName name="Goals_new" localSheetId="11" hidden="1">#REF!</definedName>
    <definedName name="Goals_new" localSheetId="10" hidden="1">#REF!</definedName>
    <definedName name="Goals_new" hidden="1">#REF!</definedName>
    <definedName name="hgfhtr" localSheetId="11" hidden="1">{#N/A,#N/A,FALSE,"COMP"}</definedName>
    <definedName name="hgfhtr" localSheetId="9" hidden="1">{#N/A,#N/A,FALSE,"COMP"}</definedName>
    <definedName name="hgfhtr" localSheetId="10" hidden="1">{#N/A,#N/A,FALSE,"COMP"}</definedName>
    <definedName name="hgfhtr" localSheetId="18" hidden="1">{#N/A,#N/A,FALSE,"COMP"}</definedName>
    <definedName name="hgfhtr" localSheetId="13" hidden="1">{#N/A,#N/A,FALSE,"COMP"}</definedName>
    <definedName name="hgfhtr" localSheetId="20" hidden="1">{#N/A,#N/A,FALSE,"COMP"}</definedName>
    <definedName name="hgfhtr" localSheetId="22" hidden="1">{#N/A,#N/A,FALSE,"COMP"}</definedName>
    <definedName name="hgfhtr" localSheetId="17" hidden="1">{#N/A,#N/A,FALSE,"COMP"}</definedName>
    <definedName name="hgfhtr" localSheetId="15" hidden="1">{#N/A,#N/A,FALSE,"COMP"}</definedName>
    <definedName name="hgfhtr" localSheetId="21" hidden="1">{#N/A,#N/A,FALSE,"COMP"}</definedName>
    <definedName name="hgfhtr" localSheetId="16" hidden="1">{#N/A,#N/A,FALSE,"COMP"}</definedName>
    <definedName name="hgfhtr" localSheetId="19" hidden="1">{#N/A,#N/A,FALSE,"COMP"}</definedName>
    <definedName name="hgfhtr" localSheetId="14" hidden="1">{#N/A,#N/A,FALSE,"COMP"}</definedName>
    <definedName name="hgfhtr" localSheetId="12" hidden="1">{#N/A,#N/A,FALSE,"COMP"}</definedName>
    <definedName name="hgfhtr" hidden="1">{#N/A,#N/A,FALSE,"COMP"}</definedName>
    <definedName name="hgkh" localSheetId="11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localSheetId="10" hidden="1">{#N/A,#N/A,FALSE,"Aging Summary";#N/A,#N/A,FALSE,"Ratio Analysis";#N/A,#N/A,FALSE,"Test 120 Day Accts";#N/A,#N/A,FALSE,"Tickmarks"}</definedName>
    <definedName name="hgkh" localSheetId="18" hidden="1">{#N/A,#N/A,FALSE,"Aging Summary";#N/A,#N/A,FALSE,"Ratio Analysis";#N/A,#N/A,FALSE,"Test 120 Day Accts";#N/A,#N/A,FALSE,"Tickmarks"}</definedName>
    <definedName name="hgkh" localSheetId="13" hidden="1">{#N/A,#N/A,FALSE,"Aging Summary";#N/A,#N/A,FALSE,"Ratio Analysis";#N/A,#N/A,FALSE,"Test 120 Day Accts";#N/A,#N/A,FALSE,"Tickmarks"}</definedName>
    <definedName name="hgkh" localSheetId="20" hidden="1">{#N/A,#N/A,FALSE,"Aging Summary";#N/A,#N/A,FALSE,"Ratio Analysis";#N/A,#N/A,FALSE,"Test 120 Day Accts";#N/A,#N/A,FALSE,"Tickmarks"}</definedName>
    <definedName name="hgkh" localSheetId="22" hidden="1">{#N/A,#N/A,FALSE,"Aging Summary";#N/A,#N/A,FALSE,"Ratio Analysis";#N/A,#N/A,FALSE,"Test 120 Day Accts";#N/A,#N/A,FALSE,"Tickmarks"}</definedName>
    <definedName name="hgkh" localSheetId="17" hidden="1">{#N/A,#N/A,FALSE,"Aging Summary";#N/A,#N/A,FALSE,"Ratio Analysis";#N/A,#N/A,FALSE,"Test 120 Day Accts";#N/A,#N/A,FALSE,"Tickmarks"}</definedName>
    <definedName name="hgkh" localSheetId="15" hidden="1">{#N/A,#N/A,FALSE,"Aging Summary";#N/A,#N/A,FALSE,"Ratio Analysis";#N/A,#N/A,FALSE,"Test 120 Day Accts";#N/A,#N/A,FALSE,"Tickmarks"}</definedName>
    <definedName name="hgkh" localSheetId="21" hidden="1">{#N/A,#N/A,FALSE,"Aging Summary";#N/A,#N/A,FALSE,"Ratio Analysis";#N/A,#N/A,FALSE,"Test 120 Day Accts";#N/A,#N/A,FALSE,"Tickmarks"}</definedName>
    <definedName name="hgkh" localSheetId="16" hidden="1">{#N/A,#N/A,FALSE,"Aging Summary";#N/A,#N/A,FALSE,"Ratio Analysis";#N/A,#N/A,FALSE,"Test 120 Day Accts";#N/A,#N/A,FALSE,"Tickmarks"}</definedName>
    <definedName name="hgkh" localSheetId="19" hidden="1">{#N/A,#N/A,FALSE,"Aging Summary";#N/A,#N/A,FALSE,"Ratio Analysis";#N/A,#N/A,FALSE,"Test 120 Day Accts";#N/A,#N/A,FALSE,"Tickmarks"}</definedName>
    <definedName name="hgkh" localSheetId="14" hidden="1">{#N/A,#N/A,FALSE,"Aging Summary";#N/A,#N/A,FALSE,"Ratio Analysis";#N/A,#N/A,FALSE,"Test 120 Day Accts";#N/A,#N/A,FALSE,"Tickmarks"}</definedName>
    <definedName name="hgkh" localSheetId="12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11" hidden="1">{"'August 2000'!$A$1:$J$101"}</definedName>
    <definedName name="HTML_Control" localSheetId="9" hidden="1">{"'August 2000'!$A$1:$J$101"}</definedName>
    <definedName name="HTML_Control" localSheetId="10" hidden="1">{"'August 2000'!$A$1:$J$101"}</definedName>
    <definedName name="HTML_Control" localSheetId="18" hidden="1">{"'August 2000'!$A$1:$J$101"}</definedName>
    <definedName name="HTML_Control" localSheetId="13" hidden="1">{"'August 2000'!$A$1:$J$101"}</definedName>
    <definedName name="HTML_Control" localSheetId="20" hidden="1">{"'August 2000'!$A$1:$J$101"}</definedName>
    <definedName name="HTML_Control" localSheetId="22" hidden="1">{"'August 2000'!$A$1:$J$101"}</definedName>
    <definedName name="HTML_Control" localSheetId="17" hidden="1">{"'August 2000'!$A$1:$J$101"}</definedName>
    <definedName name="HTML_Control" localSheetId="15" hidden="1">{"'August 2000'!$A$1:$J$101"}</definedName>
    <definedName name="HTML_Control" localSheetId="21" hidden="1">{"'August 2000'!$A$1:$J$101"}</definedName>
    <definedName name="HTML_Control" localSheetId="16" hidden="1">{"'August 2000'!$A$1:$J$101"}</definedName>
    <definedName name="HTML_Control" localSheetId="19" hidden="1">{"'August 2000'!$A$1:$J$101"}</definedName>
    <definedName name="HTML_Control" localSheetId="14" hidden="1">{"'August 2000'!$A$1:$J$101"}</definedName>
    <definedName name="HTML_Control" localSheetId="12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11">'0098 BiG -Pkgs Summary (Status)'!#REF!</definedName>
    <definedName name="_xlnm.Print_Area" localSheetId="10">'0099 OTF -Pkgs Summary (Status)'!#REF!</definedName>
    <definedName name="_xlnm.Print_Area" localSheetId="17">'26Q1 Manik G'!$A$1:$I$62</definedName>
    <definedName name="_xlnm.Print_Titles" localSheetId="11">'0098 BiG -Pkgs Summary (Status)'!$1:$7</definedName>
    <definedName name="_xlnm.Print_Titles" localSheetId="9">'0099 OTF &amp; 0098 BiG FY 26-27Q3'!$2:$4</definedName>
    <definedName name="_xlnm.Print_Titles" localSheetId="10">'0099 OTF -Pkgs Summary (Status)'!$1:$7</definedName>
    <definedName name="_xlnm.Print_Titles" localSheetId="18">'26Q1 Atul L'!$2:$4</definedName>
    <definedName name="_xlnm.Print_Titles" localSheetId="13">'26Q1 Cijey M'!$2:$4</definedName>
    <definedName name="_xlnm.Print_Titles" localSheetId="20">'26Q1 Gaganjit S'!$2:$4</definedName>
    <definedName name="_xlnm.Print_Titles" localSheetId="22">'26Q1 Leaderwise'!$2:$4</definedName>
    <definedName name="_xlnm.Print_Titles" localSheetId="17">'26Q1 Manik G'!$2:$4</definedName>
    <definedName name="_xlnm.Print_Titles" localSheetId="15">'26Q1 Naveen Y'!$1:$3</definedName>
    <definedName name="_xlnm.Print_Titles" localSheetId="21">'26Q1 Navneet K'!$2:$4</definedName>
    <definedName name="_xlnm.Print_Titles" localSheetId="16">'26Q1 Om Prakash'!$2:$4</definedName>
    <definedName name="_xlnm.Print_Titles" localSheetId="19">'26Q1 Prakash C'!$2:$4</definedName>
    <definedName name="_xlnm.Print_Titles" localSheetId="14">'26Q1 Saji A'!$2:$4</definedName>
    <definedName name="_xlnm.Print_Titles" localSheetId="0">'Goals 2026'!$2:$4</definedName>
    <definedName name="_xlnm.Print_Titles" localSheetId="12">'Goals, Actuals 2026 Q1'!$2:$4</definedName>
    <definedName name="Prof" localSheetId="11" hidden="1">#REF!</definedName>
    <definedName name="Prof" localSheetId="10" hidden="1">#REF!</definedName>
    <definedName name="Prof" hidden="1">#REF!</definedName>
    <definedName name="q" localSheetId="11" hidden="1">#REF!</definedName>
    <definedName name="q" localSheetId="10" hidden="1">#REF!</definedName>
    <definedName name="q" hidden="1">#REF!</definedName>
    <definedName name="sales1" localSheetId="11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localSheetId="10" hidden="1">{#N/A,#N/A,FALSE,"OPSTATE";#N/A,#N/A,FALSE,"BSLIABILITY";#N/A,#N/A,FALSE,"BSASSETS";#N/A,#N/A,FALSE,"Sheet1"}</definedName>
    <definedName name="sales1" localSheetId="18" hidden="1">{#N/A,#N/A,FALSE,"OPSTATE";#N/A,#N/A,FALSE,"BSLIABILITY";#N/A,#N/A,FALSE,"BSASSETS";#N/A,#N/A,FALSE,"Sheet1"}</definedName>
    <definedName name="sales1" localSheetId="13" hidden="1">{#N/A,#N/A,FALSE,"OPSTATE";#N/A,#N/A,FALSE,"BSLIABILITY";#N/A,#N/A,FALSE,"BSASSETS";#N/A,#N/A,FALSE,"Sheet1"}</definedName>
    <definedName name="sales1" localSheetId="20" hidden="1">{#N/A,#N/A,FALSE,"OPSTATE";#N/A,#N/A,FALSE,"BSLIABILITY";#N/A,#N/A,FALSE,"BSASSETS";#N/A,#N/A,FALSE,"Sheet1"}</definedName>
    <definedName name="sales1" localSheetId="22" hidden="1">{#N/A,#N/A,FALSE,"OPSTATE";#N/A,#N/A,FALSE,"BSLIABILITY";#N/A,#N/A,FALSE,"BSASSETS";#N/A,#N/A,FALSE,"Sheet1"}</definedName>
    <definedName name="sales1" localSheetId="17" hidden="1">{#N/A,#N/A,FALSE,"OPSTATE";#N/A,#N/A,FALSE,"BSLIABILITY";#N/A,#N/A,FALSE,"BSASSETS";#N/A,#N/A,FALSE,"Sheet1"}</definedName>
    <definedName name="sales1" localSheetId="15" hidden="1">{#N/A,#N/A,FALSE,"OPSTATE";#N/A,#N/A,FALSE,"BSLIABILITY";#N/A,#N/A,FALSE,"BSASSETS";#N/A,#N/A,FALSE,"Sheet1"}</definedName>
    <definedName name="sales1" localSheetId="21" hidden="1">{#N/A,#N/A,FALSE,"OPSTATE";#N/A,#N/A,FALSE,"BSLIABILITY";#N/A,#N/A,FALSE,"BSASSETS";#N/A,#N/A,FALSE,"Sheet1"}</definedName>
    <definedName name="sales1" localSheetId="16" hidden="1">{#N/A,#N/A,FALSE,"OPSTATE";#N/A,#N/A,FALSE,"BSLIABILITY";#N/A,#N/A,FALSE,"BSASSETS";#N/A,#N/A,FALSE,"Sheet1"}</definedName>
    <definedName name="sales1" localSheetId="19" hidden="1">{#N/A,#N/A,FALSE,"OPSTATE";#N/A,#N/A,FALSE,"BSLIABILITY";#N/A,#N/A,FALSE,"BSASSETS";#N/A,#N/A,FALSE,"Sheet1"}</definedName>
    <definedName name="sales1" localSheetId="14" hidden="1">{#N/A,#N/A,FALSE,"OPSTATE";#N/A,#N/A,FALSE,"BSLIABILITY";#N/A,#N/A,FALSE,"BSASSETS";#N/A,#N/A,FALSE,"Sheet1"}</definedName>
    <definedName name="sales1" localSheetId="12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11" hidden="1">{"A4depsch",#N/A,FALSE,"fa&amp;dep"}</definedName>
    <definedName name="salws2" localSheetId="9" hidden="1">{"A4depsch",#N/A,FALSE,"fa&amp;dep"}</definedName>
    <definedName name="salws2" localSheetId="10" hidden="1">{"A4depsch",#N/A,FALSE,"fa&amp;dep"}</definedName>
    <definedName name="salws2" localSheetId="18" hidden="1">{"A4depsch",#N/A,FALSE,"fa&amp;dep"}</definedName>
    <definedName name="salws2" localSheetId="13" hidden="1">{"A4depsch",#N/A,FALSE,"fa&amp;dep"}</definedName>
    <definedName name="salws2" localSheetId="20" hidden="1">{"A4depsch",#N/A,FALSE,"fa&amp;dep"}</definedName>
    <definedName name="salws2" localSheetId="22" hidden="1">{"A4depsch",#N/A,FALSE,"fa&amp;dep"}</definedName>
    <definedName name="salws2" localSheetId="17" hidden="1">{"A4depsch",#N/A,FALSE,"fa&amp;dep"}</definedName>
    <definedName name="salws2" localSheetId="15" hidden="1">{"A4depsch",#N/A,FALSE,"fa&amp;dep"}</definedName>
    <definedName name="salws2" localSheetId="21" hidden="1">{"A4depsch",#N/A,FALSE,"fa&amp;dep"}</definedName>
    <definedName name="salws2" localSheetId="16" hidden="1">{"A4depsch",#N/A,FALSE,"fa&amp;dep"}</definedName>
    <definedName name="salws2" localSheetId="19" hidden="1">{"A4depsch",#N/A,FALSE,"fa&amp;dep"}</definedName>
    <definedName name="salws2" localSheetId="14" hidden="1">{"A4depsch",#N/A,FALSE,"fa&amp;dep"}</definedName>
    <definedName name="salws2" localSheetId="12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11" hidden="1">{#N/A,#N/A,FALSE,"COMP"}</definedName>
    <definedName name="sss" localSheetId="9" hidden="1">{#N/A,#N/A,FALSE,"COMP"}</definedName>
    <definedName name="sss" localSheetId="10" hidden="1">{#N/A,#N/A,FALSE,"COMP"}</definedName>
    <definedName name="sss" localSheetId="18" hidden="1">{#N/A,#N/A,FALSE,"COMP"}</definedName>
    <definedName name="sss" localSheetId="13" hidden="1">{#N/A,#N/A,FALSE,"COMP"}</definedName>
    <definedName name="sss" localSheetId="20" hidden="1">{#N/A,#N/A,FALSE,"COMP"}</definedName>
    <definedName name="sss" localSheetId="22" hidden="1">{#N/A,#N/A,FALSE,"COMP"}</definedName>
    <definedName name="sss" localSheetId="17" hidden="1">{#N/A,#N/A,FALSE,"COMP"}</definedName>
    <definedName name="sss" localSheetId="15" hidden="1">{#N/A,#N/A,FALSE,"COMP"}</definedName>
    <definedName name="sss" localSheetId="21" hidden="1">{#N/A,#N/A,FALSE,"COMP"}</definedName>
    <definedName name="sss" localSheetId="16" hidden="1">{#N/A,#N/A,FALSE,"COMP"}</definedName>
    <definedName name="sss" localSheetId="19" hidden="1">{#N/A,#N/A,FALSE,"COMP"}</definedName>
    <definedName name="sss" localSheetId="14" hidden="1">{#N/A,#N/A,FALSE,"COMP"}</definedName>
    <definedName name="sss" localSheetId="12" hidden="1">{#N/A,#N/A,FALSE,"COMP"}</definedName>
    <definedName name="sss" hidden="1">{#N/A,#N/A,FALSE,"COMP"}</definedName>
    <definedName name="the" localSheetId="11" hidden="1">{#N/A,#N/A,FALSE,"COMP"}</definedName>
    <definedName name="the" localSheetId="9" hidden="1">{#N/A,#N/A,FALSE,"COMP"}</definedName>
    <definedName name="the" localSheetId="10" hidden="1">{#N/A,#N/A,FALSE,"COMP"}</definedName>
    <definedName name="the" localSheetId="18" hidden="1">{#N/A,#N/A,FALSE,"COMP"}</definedName>
    <definedName name="the" localSheetId="13" hidden="1">{#N/A,#N/A,FALSE,"COMP"}</definedName>
    <definedName name="the" localSheetId="20" hidden="1">{#N/A,#N/A,FALSE,"COMP"}</definedName>
    <definedName name="the" localSheetId="22" hidden="1">{#N/A,#N/A,FALSE,"COMP"}</definedName>
    <definedName name="the" localSheetId="17" hidden="1">{#N/A,#N/A,FALSE,"COMP"}</definedName>
    <definedName name="the" localSheetId="15" hidden="1">{#N/A,#N/A,FALSE,"COMP"}</definedName>
    <definedName name="the" localSheetId="21" hidden="1">{#N/A,#N/A,FALSE,"COMP"}</definedName>
    <definedName name="the" localSheetId="16" hidden="1">{#N/A,#N/A,FALSE,"COMP"}</definedName>
    <definedName name="the" localSheetId="19" hidden="1">{#N/A,#N/A,FALSE,"COMP"}</definedName>
    <definedName name="the" localSheetId="14" hidden="1">{#N/A,#N/A,FALSE,"COMP"}</definedName>
    <definedName name="the" localSheetId="12" hidden="1">{#N/A,#N/A,FALSE,"COMP"}</definedName>
    <definedName name="the" hidden="1">{#N/A,#N/A,FALSE,"COMP"}</definedName>
    <definedName name="v" hidden="1">#REF!,#REF!</definedName>
    <definedName name="vivek1" localSheetId="11" hidden="1">#REF!</definedName>
    <definedName name="vivek1" localSheetId="10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11" hidden="1">{#N/A,#N/A,FALSE,"COMP"}</definedName>
    <definedName name="wr" localSheetId="9" hidden="1">{#N/A,#N/A,FALSE,"COMP"}</definedName>
    <definedName name="wr" localSheetId="10" hidden="1">{#N/A,#N/A,FALSE,"COMP"}</definedName>
    <definedName name="wr" localSheetId="18" hidden="1">{#N/A,#N/A,FALSE,"COMP"}</definedName>
    <definedName name="wr" localSheetId="13" hidden="1">{#N/A,#N/A,FALSE,"COMP"}</definedName>
    <definedName name="wr" localSheetId="20" hidden="1">{#N/A,#N/A,FALSE,"COMP"}</definedName>
    <definedName name="wr" localSheetId="22" hidden="1">{#N/A,#N/A,FALSE,"COMP"}</definedName>
    <definedName name="wr" localSheetId="17" hidden="1">{#N/A,#N/A,FALSE,"COMP"}</definedName>
    <definedName name="wr" localSheetId="15" hidden="1">{#N/A,#N/A,FALSE,"COMP"}</definedName>
    <definedName name="wr" localSheetId="21" hidden="1">{#N/A,#N/A,FALSE,"COMP"}</definedName>
    <definedName name="wr" localSheetId="16" hidden="1">{#N/A,#N/A,FALSE,"COMP"}</definedName>
    <definedName name="wr" localSheetId="19" hidden="1">{#N/A,#N/A,FALSE,"COMP"}</definedName>
    <definedName name="wr" localSheetId="14" hidden="1">{#N/A,#N/A,FALSE,"COMP"}</definedName>
    <definedName name="wr" localSheetId="12" hidden="1">{#N/A,#N/A,FALSE,"COMP"}</definedName>
    <definedName name="wr" hidden="1">{#N/A,#N/A,FALSE,"COMP"}</definedName>
    <definedName name="WRI" localSheetId="11" hidden="1">{#N/A,#N/A,FALSE,"COMP"}</definedName>
    <definedName name="WRI" localSheetId="9" hidden="1">{#N/A,#N/A,FALSE,"COMP"}</definedName>
    <definedName name="WRI" localSheetId="10" hidden="1">{#N/A,#N/A,FALSE,"COMP"}</definedName>
    <definedName name="WRI" localSheetId="18" hidden="1">{#N/A,#N/A,FALSE,"COMP"}</definedName>
    <definedName name="WRI" localSheetId="13" hidden="1">{#N/A,#N/A,FALSE,"COMP"}</definedName>
    <definedName name="WRI" localSheetId="20" hidden="1">{#N/A,#N/A,FALSE,"COMP"}</definedName>
    <definedName name="WRI" localSheetId="22" hidden="1">{#N/A,#N/A,FALSE,"COMP"}</definedName>
    <definedName name="WRI" localSheetId="17" hidden="1">{#N/A,#N/A,FALSE,"COMP"}</definedName>
    <definedName name="WRI" localSheetId="15" hidden="1">{#N/A,#N/A,FALSE,"COMP"}</definedName>
    <definedName name="WRI" localSheetId="21" hidden="1">{#N/A,#N/A,FALSE,"COMP"}</definedName>
    <definedName name="WRI" localSheetId="16" hidden="1">{#N/A,#N/A,FALSE,"COMP"}</definedName>
    <definedName name="WRI" localSheetId="19" hidden="1">{#N/A,#N/A,FALSE,"COMP"}</definedName>
    <definedName name="WRI" localSheetId="14" hidden="1">{#N/A,#N/A,FALSE,"COMP"}</definedName>
    <definedName name="WRI" localSheetId="12" hidden="1">{#N/A,#N/A,FALSE,"COMP"}</definedName>
    <definedName name="WRI" hidden="1">{#N/A,#N/A,FALSE,"COMP"}</definedName>
    <definedName name="wrn.A4BSSCH." localSheetId="11" hidden="1">{"BSSCHA4",#N/A,FALSE,"sch bs"}</definedName>
    <definedName name="wrn.A4BSSCH." localSheetId="9" hidden="1">{"BSSCHA4",#N/A,FALSE,"sch bs"}</definedName>
    <definedName name="wrn.A4BSSCH." localSheetId="10" hidden="1">{"BSSCHA4",#N/A,FALSE,"sch bs"}</definedName>
    <definedName name="wrn.A4BSSCH." localSheetId="18" hidden="1">{"BSSCHA4",#N/A,FALSE,"sch bs"}</definedName>
    <definedName name="wrn.A4BSSCH." localSheetId="13" hidden="1">{"BSSCHA4",#N/A,FALSE,"sch bs"}</definedName>
    <definedName name="wrn.A4BSSCH." localSheetId="20" hidden="1">{"BSSCHA4",#N/A,FALSE,"sch bs"}</definedName>
    <definedName name="wrn.A4BSSCH." localSheetId="22" hidden="1">{"BSSCHA4",#N/A,FALSE,"sch bs"}</definedName>
    <definedName name="wrn.A4BSSCH." localSheetId="17" hidden="1">{"BSSCHA4",#N/A,FALSE,"sch bs"}</definedName>
    <definedName name="wrn.A4BSSCH." localSheetId="15" hidden="1">{"BSSCHA4",#N/A,FALSE,"sch bs"}</definedName>
    <definedName name="wrn.A4BSSCH." localSheetId="21" hidden="1">{"BSSCHA4",#N/A,FALSE,"sch bs"}</definedName>
    <definedName name="wrn.A4BSSCH." localSheetId="16" hidden="1">{"BSSCHA4",#N/A,FALSE,"sch bs"}</definedName>
    <definedName name="wrn.A4BSSCH." localSheetId="19" hidden="1">{"BSSCHA4",#N/A,FALSE,"sch bs"}</definedName>
    <definedName name="wrn.A4BSSCH." localSheetId="14" hidden="1">{"BSSCHA4",#N/A,FALSE,"sch bs"}</definedName>
    <definedName name="wrn.A4BSSCH." localSheetId="12" hidden="1">{"BSSCHA4",#N/A,FALSE,"sch bs"}</definedName>
    <definedName name="wrn.A4BSSCH." hidden="1">{"BSSCHA4",#N/A,FALSE,"sch bs"}</definedName>
    <definedName name="wrn.A4BSSCH._1" localSheetId="11" hidden="1">{"BSSCHA4",#N/A,FALSE,"sch bs"}</definedName>
    <definedName name="wrn.A4BSSCH._1" localSheetId="9" hidden="1">{"BSSCHA4",#N/A,FALSE,"sch bs"}</definedName>
    <definedName name="wrn.A4BSSCH._1" localSheetId="10" hidden="1">{"BSSCHA4",#N/A,FALSE,"sch bs"}</definedName>
    <definedName name="wrn.A4BSSCH._1" localSheetId="18" hidden="1">{"BSSCHA4",#N/A,FALSE,"sch bs"}</definedName>
    <definedName name="wrn.A4BSSCH._1" localSheetId="13" hidden="1">{"BSSCHA4",#N/A,FALSE,"sch bs"}</definedName>
    <definedName name="wrn.A4BSSCH._1" localSheetId="20" hidden="1">{"BSSCHA4",#N/A,FALSE,"sch bs"}</definedName>
    <definedName name="wrn.A4BSSCH._1" localSheetId="22" hidden="1">{"BSSCHA4",#N/A,FALSE,"sch bs"}</definedName>
    <definedName name="wrn.A4BSSCH._1" localSheetId="17" hidden="1">{"BSSCHA4",#N/A,FALSE,"sch bs"}</definedName>
    <definedName name="wrn.A4BSSCH._1" localSheetId="15" hidden="1">{"BSSCHA4",#N/A,FALSE,"sch bs"}</definedName>
    <definedName name="wrn.A4BSSCH._1" localSheetId="21" hidden="1">{"BSSCHA4",#N/A,FALSE,"sch bs"}</definedName>
    <definedName name="wrn.A4BSSCH._1" localSheetId="16" hidden="1">{"BSSCHA4",#N/A,FALSE,"sch bs"}</definedName>
    <definedName name="wrn.A4BSSCH._1" localSheetId="19" hidden="1">{"BSSCHA4",#N/A,FALSE,"sch bs"}</definedName>
    <definedName name="wrn.A4BSSCH._1" localSheetId="14" hidden="1">{"BSSCHA4",#N/A,FALSE,"sch bs"}</definedName>
    <definedName name="wrn.A4BSSCH._1" localSheetId="12" hidden="1">{"BSSCHA4",#N/A,FALSE,"sch bs"}</definedName>
    <definedName name="wrn.A4BSSCH._1" hidden="1">{"BSSCHA4",#N/A,FALSE,"sch bs"}</definedName>
    <definedName name="wrn.A4PL." localSheetId="11" hidden="1">{"a4p&amp;L",#N/A,FALSE,"tr &amp; pl"}</definedName>
    <definedName name="wrn.A4PL." localSheetId="9" hidden="1">{"a4p&amp;L",#N/A,FALSE,"tr &amp; pl"}</definedName>
    <definedName name="wrn.A4PL." localSheetId="10" hidden="1">{"a4p&amp;L",#N/A,FALSE,"tr &amp; pl"}</definedName>
    <definedName name="wrn.A4PL." localSheetId="18" hidden="1">{"a4p&amp;L",#N/A,FALSE,"tr &amp; pl"}</definedName>
    <definedName name="wrn.A4PL." localSheetId="13" hidden="1">{"a4p&amp;L",#N/A,FALSE,"tr &amp; pl"}</definedName>
    <definedName name="wrn.A4PL." localSheetId="20" hidden="1">{"a4p&amp;L",#N/A,FALSE,"tr &amp; pl"}</definedName>
    <definedName name="wrn.A4PL." localSheetId="22" hidden="1">{"a4p&amp;L",#N/A,FALSE,"tr &amp; pl"}</definedName>
    <definedName name="wrn.A4PL." localSheetId="17" hidden="1">{"a4p&amp;L",#N/A,FALSE,"tr &amp; pl"}</definedName>
    <definedName name="wrn.A4PL." localSheetId="15" hidden="1">{"a4p&amp;L",#N/A,FALSE,"tr &amp; pl"}</definedName>
    <definedName name="wrn.A4PL." localSheetId="21" hidden="1">{"a4p&amp;L",#N/A,FALSE,"tr &amp; pl"}</definedName>
    <definedName name="wrn.A4PL." localSheetId="16" hidden="1">{"a4p&amp;L",#N/A,FALSE,"tr &amp; pl"}</definedName>
    <definedName name="wrn.A4PL." localSheetId="19" hidden="1">{"a4p&amp;L",#N/A,FALSE,"tr &amp; pl"}</definedName>
    <definedName name="wrn.A4PL." localSheetId="14" hidden="1">{"a4p&amp;L",#N/A,FALSE,"tr &amp; pl"}</definedName>
    <definedName name="wrn.A4PL." localSheetId="12" hidden="1">{"a4p&amp;L",#N/A,FALSE,"tr &amp; pl"}</definedName>
    <definedName name="wrn.A4PL." hidden="1">{"a4p&amp;L",#N/A,FALSE,"tr &amp; pl"}</definedName>
    <definedName name="wrn.A4PL._1" localSheetId="11" hidden="1">{"a4p&amp;L",#N/A,FALSE,"tr &amp; pl"}</definedName>
    <definedName name="wrn.A4PL._1" localSheetId="9" hidden="1">{"a4p&amp;L",#N/A,FALSE,"tr &amp; pl"}</definedName>
    <definedName name="wrn.A4PL._1" localSheetId="10" hidden="1">{"a4p&amp;L",#N/A,FALSE,"tr &amp; pl"}</definedName>
    <definedName name="wrn.A4PL._1" localSheetId="18" hidden="1">{"a4p&amp;L",#N/A,FALSE,"tr &amp; pl"}</definedName>
    <definedName name="wrn.A4PL._1" localSheetId="13" hidden="1">{"a4p&amp;L",#N/A,FALSE,"tr &amp; pl"}</definedName>
    <definedName name="wrn.A4PL._1" localSheetId="20" hidden="1">{"a4p&amp;L",#N/A,FALSE,"tr &amp; pl"}</definedName>
    <definedName name="wrn.A4PL._1" localSheetId="22" hidden="1">{"a4p&amp;L",#N/A,FALSE,"tr &amp; pl"}</definedName>
    <definedName name="wrn.A4PL._1" localSheetId="17" hidden="1">{"a4p&amp;L",#N/A,FALSE,"tr &amp; pl"}</definedName>
    <definedName name="wrn.A4PL._1" localSheetId="15" hidden="1">{"a4p&amp;L",#N/A,FALSE,"tr &amp; pl"}</definedName>
    <definedName name="wrn.A4PL._1" localSheetId="21" hidden="1">{"a4p&amp;L",#N/A,FALSE,"tr &amp; pl"}</definedName>
    <definedName name="wrn.A4PL._1" localSheetId="16" hidden="1">{"a4p&amp;L",#N/A,FALSE,"tr &amp; pl"}</definedName>
    <definedName name="wrn.A4PL._1" localSheetId="19" hidden="1">{"a4p&amp;L",#N/A,FALSE,"tr &amp; pl"}</definedName>
    <definedName name="wrn.A4PL._1" localSheetId="14" hidden="1">{"a4p&amp;L",#N/A,FALSE,"tr &amp; pl"}</definedName>
    <definedName name="wrn.A4PL._1" localSheetId="12" hidden="1">{"a4p&amp;L",#N/A,FALSE,"tr &amp; pl"}</definedName>
    <definedName name="wrn.A4PL._1" hidden="1">{"a4p&amp;L",#N/A,FALSE,"tr &amp; pl"}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localSheetId="20" hidden="1">{#N/A,#N/A,FALSE,"Aging Summary";#N/A,#N/A,FALSE,"Ratio Analysis";#N/A,#N/A,FALSE,"Test 120 Day Accts";#N/A,#N/A,FALSE,"Tickmarks"}</definedName>
    <definedName name="wrn.Aging._.and._.Trend._.Analysis." localSheetId="22" hidden="1">{#N/A,#N/A,FALSE,"Aging Summary";#N/A,#N/A,FALSE,"Ratio Analysis";#N/A,#N/A,FALSE,"Test 120 Day Accts";#N/A,#N/A,FALSE,"Tickmarks"}</definedName>
    <definedName name="wrn.Aging._.and._.Trend._.Analysis." localSheetId="17" hidden="1">{#N/A,#N/A,FALSE,"Aging Summary";#N/A,#N/A,FALSE,"Ratio Analysis";#N/A,#N/A,FALSE,"Test 120 Day Accts";#N/A,#N/A,FALSE,"Tickmarks"}</definedName>
    <definedName name="wrn.Aging._.and._.Trend._.Analysis." localSheetId="15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ging._.and._.Trend._.Analysis." localSheetId="19" hidden="1">{#N/A,#N/A,FALSE,"Aging Summary";#N/A,#N/A,FALSE,"Ratio Analysis";#N/A,#N/A,FALSE,"Test 120 Day Accts";#N/A,#N/A,FALSE,"Tickmarks"}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localSheetId="1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11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localSheetId="10" hidden="1">{#N/A,#N/A,FALSE,"OPSTATE";#N/A,#N/A,FALSE,"BSLIABILITY";#N/A,#N/A,FALSE,"BSASSETS";#N/A,#N/A,FALSE,"Sheet1"}</definedName>
    <definedName name="wrn.AkrutiCMA." localSheetId="18" hidden="1">{#N/A,#N/A,FALSE,"OPSTATE";#N/A,#N/A,FALSE,"BSLIABILITY";#N/A,#N/A,FALSE,"BSASSETS";#N/A,#N/A,FALSE,"Sheet1"}</definedName>
    <definedName name="wrn.AkrutiCMA." localSheetId="13" hidden="1">{#N/A,#N/A,FALSE,"OPSTATE";#N/A,#N/A,FALSE,"BSLIABILITY";#N/A,#N/A,FALSE,"BSASSETS";#N/A,#N/A,FALSE,"Sheet1"}</definedName>
    <definedName name="wrn.AkrutiCMA." localSheetId="20" hidden="1">{#N/A,#N/A,FALSE,"OPSTATE";#N/A,#N/A,FALSE,"BSLIABILITY";#N/A,#N/A,FALSE,"BSASSETS";#N/A,#N/A,FALSE,"Sheet1"}</definedName>
    <definedName name="wrn.AkrutiCMA." localSheetId="22" hidden="1">{#N/A,#N/A,FALSE,"OPSTATE";#N/A,#N/A,FALSE,"BSLIABILITY";#N/A,#N/A,FALSE,"BSASSETS";#N/A,#N/A,FALSE,"Sheet1"}</definedName>
    <definedName name="wrn.AkrutiCMA." localSheetId="17" hidden="1">{#N/A,#N/A,FALSE,"OPSTATE";#N/A,#N/A,FALSE,"BSLIABILITY";#N/A,#N/A,FALSE,"BSASSETS";#N/A,#N/A,FALSE,"Sheet1"}</definedName>
    <definedName name="wrn.AkrutiCMA." localSheetId="15" hidden="1">{#N/A,#N/A,FALSE,"OPSTATE";#N/A,#N/A,FALSE,"BSLIABILITY";#N/A,#N/A,FALSE,"BSASSETS";#N/A,#N/A,FALSE,"Sheet1"}</definedName>
    <definedName name="wrn.AkrutiCMA." localSheetId="21" hidden="1">{#N/A,#N/A,FALSE,"OPSTATE";#N/A,#N/A,FALSE,"BSLIABILITY";#N/A,#N/A,FALSE,"BSASSETS";#N/A,#N/A,FALSE,"Sheet1"}</definedName>
    <definedName name="wrn.AkrutiCMA." localSheetId="16" hidden="1">{#N/A,#N/A,FALSE,"OPSTATE";#N/A,#N/A,FALSE,"BSLIABILITY";#N/A,#N/A,FALSE,"BSASSETS";#N/A,#N/A,FALSE,"Sheet1"}</definedName>
    <definedName name="wrn.AkrutiCMA." localSheetId="19" hidden="1">{#N/A,#N/A,FALSE,"OPSTATE";#N/A,#N/A,FALSE,"BSLIABILITY";#N/A,#N/A,FALSE,"BSASSETS";#N/A,#N/A,FALSE,"Sheet1"}</definedName>
    <definedName name="wrn.AkrutiCMA." localSheetId="14" hidden="1">{#N/A,#N/A,FALSE,"OPSTATE";#N/A,#N/A,FALSE,"BSLIABILITY";#N/A,#N/A,FALSE,"BSASSETS";#N/A,#N/A,FALSE,"Sheet1"}</definedName>
    <definedName name="wrn.AkrutiCMA." localSheetId="12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11" hidden="1">{"A4BS",#N/A,FALSE,"bs"}</definedName>
    <definedName name="wrn.BSA4." localSheetId="9" hidden="1">{"A4BS",#N/A,FALSE,"bs"}</definedName>
    <definedName name="wrn.BSA4." localSheetId="10" hidden="1">{"A4BS",#N/A,FALSE,"bs"}</definedName>
    <definedName name="wrn.BSA4." localSheetId="18" hidden="1">{"A4BS",#N/A,FALSE,"bs"}</definedName>
    <definedName name="wrn.BSA4." localSheetId="13" hidden="1">{"A4BS",#N/A,FALSE,"bs"}</definedName>
    <definedName name="wrn.BSA4." localSheetId="20" hidden="1">{"A4BS",#N/A,FALSE,"bs"}</definedName>
    <definedName name="wrn.BSA4." localSheetId="22" hidden="1">{"A4BS",#N/A,FALSE,"bs"}</definedName>
    <definedName name="wrn.BSA4." localSheetId="17" hidden="1">{"A4BS",#N/A,FALSE,"bs"}</definedName>
    <definedName name="wrn.BSA4." localSheetId="15" hidden="1">{"A4BS",#N/A,FALSE,"bs"}</definedName>
    <definedName name="wrn.BSA4." localSheetId="21" hidden="1">{"A4BS",#N/A,FALSE,"bs"}</definedName>
    <definedName name="wrn.BSA4." localSheetId="16" hidden="1">{"A4BS",#N/A,FALSE,"bs"}</definedName>
    <definedName name="wrn.BSA4." localSheetId="19" hidden="1">{"A4BS",#N/A,FALSE,"bs"}</definedName>
    <definedName name="wrn.BSA4." localSheetId="14" hidden="1">{"A4BS",#N/A,FALSE,"bs"}</definedName>
    <definedName name="wrn.BSA4." localSheetId="12" hidden="1">{"A4BS",#N/A,FALSE,"bs"}</definedName>
    <definedName name="wrn.BSA4." hidden="1">{"A4BS",#N/A,FALSE,"bs"}</definedName>
    <definedName name="wrn.BSA4._1" localSheetId="11" hidden="1">{"A4BS",#N/A,FALSE,"bs"}</definedName>
    <definedName name="wrn.BSA4._1" localSheetId="9" hidden="1">{"A4BS",#N/A,FALSE,"bs"}</definedName>
    <definedName name="wrn.BSA4._1" localSheetId="10" hidden="1">{"A4BS",#N/A,FALSE,"bs"}</definedName>
    <definedName name="wrn.BSA4._1" localSheetId="18" hidden="1">{"A4BS",#N/A,FALSE,"bs"}</definedName>
    <definedName name="wrn.BSA4._1" localSheetId="13" hidden="1">{"A4BS",#N/A,FALSE,"bs"}</definedName>
    <definedName name="wrn.BSA4._1" localSheetId="20" hidden="1">{"A4BS",#N/A,FALSE,"bs"}</definedName>
    <definedName name="wrn.BSA4._1" localSheetId="22" hidden="1">{"A4BS",#N/A,FALSE,"bs"}</definedName>
    <definedName name="wrn.BSA4._1" localSheetId="17" hidden="1">{"A4BS",#N/A,FALSE,"bs"}</definedName>
    <definedName name="wrn.BSA4._1" localSheetId="15" hidden="1">{"A4BS",#N/A,FALSE,"bs"}</definedName>
    <definedName name="wrn.BSA4._1" localSheetId="21" hidden="1">{"A4BS",#N/A,FALSE,"bs"}</definedName>
    <definedName name="wrn.BSA4._1" localSheetId="16" hidden="1">{"A4BS",#N/A,FALSE,"bs"}</definedName>
    <definedName name="wrn.BSA4._1" localSheetId="19" hidden="1">{"A4BS",#N/A,FALSE,"bs"}</definedName>
    <definedName name="wrn.BSA4._1" localSheetId="14" hidden="1">{"A4BS",#N/A,FALSE,"bs"}</definedName>
    <definedName name="wrn.BSA4._1" localSheetId="12" hidden="1">{"A4BS",#N/A,FALSE,"bs"}</definedName>
    <definedName name="wrn.BSA4._1" hidden="1">{"A4BS",#N/A,FALSE,"bs"}</definedName>
    <definedName name="wrn.capA4." localSheetId="11" hidden="1">{"capA4",#N/A,FALSE,"capt"}</definedName>
    <definedName name="wrn.capA4." localSheetId="9" hidden="1">{"capA4",#N/A,FALSE,"capt"}</definedName>
    <definedName name="wrn.capA4." localSheetId="10" hidden="1">{"capA4",#N/A,FALSE,"capt"}</definedName>
    <definedName name="wrn.capA4." localSheetId="18" hidden="1">{"capA4",#N/A,FALSE,"capt"}</definedName>
    <definedName name="wrn.capA4." localSheetId="13" hidden="1">{"capA4",#N/A,FALSE,"capt"}</definedName>
    <definedName name="wrn.capA4." localSheetId="20" hidden="1">{"capA4",#N/A,FALSE,"capt"}</definedName>
    <definedName name="wrn.capA4." localSheetId="22" hidden="1">{"capA4",#N/A,FALSE,"capt"}</definedName>
    <definedName name="wrn.capA4." localSheetId="17" hidden="1">{"capA4",#N/A,FALSE,"capt"}</definedName>
    <definedName name="wrn.capA4." localSheetId="15" hidden="1">{"capA4",#N/A,FALSE,"capt"}</definedName>
    <definedName name="wrn.capA4." localSheetId="21" hidden="1">{"capA4",#N/A,FALSE,"capt"}</definedName>
    <definedName name="wrn.capA4." localSheetId="16" hidden="1">{"capA4",#N/A,FALSE,"capt"}</definedName>
    <definedName name="wrn.capA4." localSheetId="19" hidden="1">{"capA4",#N/A,FALSE,"capt"}</definedName>
    <definedName name="wrn.capA4." localSheetId="14" hidden="1">{"capA4",#N/A,FALSE,"capt"}</definedName>
    <definedName name="wrn.capA4." localSheetId="12" hidden="1">{"capA4",#N/A,FALSE,"capt"}</definedName>
    <definedName name="wrn.capA4." hidden="1">{"capA4",#N/A,FALSE,"capt"}</definedName>
    <definedName name="wrn.capA4._1" localSheetId="11" hidden="1">{"capA4",#N/A,FALSE,"capt"}</definedName>
    <definedName name="wrn.capA4._1" localSheetId="9" hidden="1">{"capA4",#N/A,FALSE,"capt"}</definedName>
    <definedName name="wrn.capA4._1" localSheetId="10" hidden="1">{"capA4",#N/A,FALSE,"capt"}</definedName>
    <definedName name="wrn.capA4._1" localSheetId="18" hidden="1">{"capA4",#N/A,FALSE,"capt"}</definedName>
    <definedName name="wrn.capA4._1" localSheetId="13" hidden="1">{"capA4",#N/A,FALSE,"capt"}</definedName>
    <definedName name="wrn.capA4._1" localSheetId="20" hidden="1">{"capA4",#N/A,FALSE,"capt"}</definedName>
    <definedName name="wrn.capA4._1" localSheetId="22" hidden="1">{"capA4",#N/A,FALSE,"capt"}</definedName>
    <definedName name="wrn.capA4._1" localSheetId="17" hidden="1">{"capA4",#N/A,FALSE,"capt"}</definedName>
    <definedName name="wrn.capA4._1" localSheetId="15" hidden="1">{"capA4",#N/A,FALSE,"capt"}</definedName>
    <definedName name="wrn.capA4._1" localSheetId="21" hidden="1">{"capA4",#N/A,FALSE,"capt"}</definedName>
    <definedName name="wrn.capA4._1" localSheetId="16" hidden="1">{"capA4",#N/A,FALSE,"capt"}</definedName>
    <definedName name="wrn.capA4._1" localSheetId="19" hidden="1">{"capA4",#N/A,FALSE,"capt"}</definedName>
    <definedName name="wrn.capA4._1" localSheetId="14" hidden="1">{"capA4",#N/A,FALSE,"capt"}</definedName>
    <definedName name="wrn.capA4._1" localSheetId="12" hidden="1">{"capA4",#N/A,FALSE,"capt"}</definedName>
    <definedName name="wrn.capA4._1" hidden="1">{"capA4",#N/A,FALSE,"capt"}</definedName>
    <definedName name="wrn.depschA4." localSheetId="11" hidden="1">{"A4depsch",#N/A,FALSE,"fa&amp;dep"}</definedName>
    <definedName name="wrn.depschA4." localSheetId="9" hidden="1">{"A4depsch",#N/A,FALSE,"fa&amp;dep"}</definedName>
    <definedName name="wrn.depschA4." localSheetId="10" hidden="1">{"A4depsch",#N/A,FALSE,"fa&amp;dep"}</definedName>
    <definedName name="wrn.depschA4." localSheetId="18" hidden="1">{"A4depsch",#N/A,FALSE,"fa&amp;dep"}</definedName>
    <definedName name="wrn.depschA4." localSheetId="13" hidden="1">{"A4depsch",#N/A,FALSE,"fa&amp;dep"}</definedName>
    <definedName name="wrn.depschA4." localSheetId="20" hidden="1">{"A4depsch",#N/A,FALSE,"fa&amp;dep"}</definedName>
    <definedName name="wrn.depschA4." localSheetId="22" hidden="1">{"A4depsch",#N/A,FALSE,"fa&amp;dep"}</definedName>
    <definedName name="wrn.depschA4." localSheetId="17" hidden="1">{"A4depsch",#N/A,FALSE,"fa&amp;dep"}</definedName>
    <definedName name="wrn.depschA4." localSheetId="15" hidden="1">{"A4depsch",#N/A,FALSE,"fa&amp;dep"}</definedName>
    <definedName name="wrn.depschA4." localSheetId="21" hidden="1">{"A4depsch",#N/A,FALSE,"fa&amp;dep"}</definedName>
    <definedName name="wrn.depschA4." localSheetId="16" hidden="1">{"A4depsch",#N/A,FALSE,"fa&amp;dep"}</definedName>
    <definedName name="wrn.depschA4." localSheetId="19" hidden="1">{"A4depsch",#N/A,FALSE,"fa&amp;dep"}</definedName>
    <definedName name="wrn.depschA4." localSheetId="14" hidden="1">{"A4depsch",#N/A,FALSE,"fa&amp;dep"}</definedName>
    <definedName name="wrn.depschA4." localSheetId="12" hidden="1">{"A4depsch",#N/A,FALSE,"fa&amp;dep"}</definedName>
    <definedName name="wrn.depschA4." hidden="1">{"A4depsch",#N/A,FALSE,"fa&amp;dep"}</definedName>
    <definedName name="wrn.depschA4._1" localSheetId="11" hidden="1">{"A4depsch",#N/A,FALSE,"fa&amp;dep"}</definedName>
    <definedName name="wrn.depschA4._1" localSheetId="9" hidden="1">{"A4depsch",#N/A,FALSE,"fa&amp;dep"}</definedName>
    <definedName name="wrn.depschA4._1" localSheetId="10" hidden="1">{"A4depsch",#N/A,FALSE,"fa&amp;dep"}</definedName>
    <definedName name="wrn.depschA4._1" localSheetId="18" hidden="1">{"A4depsch",#N/A,FALSE,"fa&amp;dep"}</definedName>
    <definedName name="wrn.depschA4._1" localSheetId="13" hidden="1">{"A4depsch",#N/A,FALSE,"fa&amp;dep"}</definedName>
    <definedName name="wrn.depschA4._1" localSheetId="20" hidden="1">{"A4depsch",#N/A,FALSE,"fa&amp;dep"}</definedName>
    <definedName name="wrn.depschA4._1" localSheetId="22" hidden="1">{"A4depsch",#N/A,FALSE,"fa&amp;dep"}</definedName>
    <definedName name="wrn.depschA4._1" localSheetId="17" hidden="1">{"A4depsch",#N/A,FALSE,"fa&amp;dep"}</definedName>
    <definedName name="wrn.depschA4._1" localSheetId="15" hidden="1">{"A4depsch",#N/A,FALSE,"fa&amp;dep"}</definedName>
    <definedName name="wrn.depschA4._1" localSheetId="21" hidden="1">{"A4depsch",#N/A,FALSE,"fa&amp;dep"}</definedName>
    <definedName name="wrn.depschA4._1" localSheetId="16" hidden="1">{"A4depsch",#N/A,FALSE,"fa&amp;dep"}</definedName>
    <definedName name="wrn.depschA4._1" localSheetId="19" hidden="1">{"A4depsch",#N/A,FALSE,"fa&amp;dep"}</definedName>
    <definedName name="wrn.depschA4._1" localSheetId="14" hidden="1">{"A4depsch",#N/A,FALSE,"fa&amp;dep"}</definedName>
    <definedName name="wrn.depschA4._1" localSheetId="12" hidden="1">{"A4depsch",#N/A,FALSE,"fa&amp;dep"}</definedName>
    <definedName name="wrn.depschA4._1" hidden="1">{"A4depsch",#N/A,FALSE,"fa&amp;dep"}</definedName>
    <definedName name="wrn.EVEREST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11" hidden="1">{#N/A,#N/A,FALSE,"COMP"}</definedName>
    <definedName name="wrn.FORM1." localSheetId="9" hidden="1">{#N/A,#N/A,FALSE,"COMP"}</definedName>
    <definedName name="wrn.FORM1." localSheetId="10" hidden="1">{#N/A,#N/A,FALSE,"COMP"}</definedName>
    <definedName name="wrn.FORM1." localSheetId="18" hidden="1">{#N/A,#N/A,FALSE,"COMP"}</definedName>
    <definedName name="wrn.FORM1." localSheetId="13" hidden="1">{#N/A,#N/A,FALSE,"COMP"}</definedName>
    <definedName name="wrn.FORM1." localSheetId="20" hidden="1">{#N/A,#N/A,FALSE,"COMP"}</definedName>
    <definedName name="wrn.FORM1." localSheetId="22" hidden="1">{#N/A,#N/A,FALSE,"COMP"}</definedName>
    <definedName name="wrn.FORM1." localSheetId="17" hidden="1">{#N/A,#N/A,FALSE,"COMP"}</definedName>
    <definedName name="wrn.FORM1." localSheetId="15" hidden="1">{#N/A,#N/A,FALSE,"COMP"}</definedName>
    <definedName name="wrn.FORM1." localSheetId="21" hidden="1">{#N/A,#N/A,FALSE,"COMP"}</definedName>
    <definedName name="wrn.FORM1." localSheetId="16" hidden="1">{#N/A,#N/A,FALSE,"COMP"}</definedName>
    <definedName name="wrn.FORM1." localSheetId="19" hidden="1">{#N/A,#N/A,FALSE,"COMP"}</definedName>
    <definedName name="wrn.FORM1." localSheetId="14" hidden="1">{#N/A,#N/A,FALSE,"COMP"}</definedName>
    <definedName name="wrn.FORM1." localSheetId="12" hidden="1">{#N/A,#N/A,FALSE,"COMP"}</definedName>
    <definedName name="wrn.FORM1." hidden="1">{#N/A,#N/A,FALSE,"COMP"}</definedName>
    <definedName name="wrn.Full._.Financials." localSheetId="11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localSheetId="10" hidden="1">{#N/A,#N/A,TRUE,"Financials";#N/A,#N/A,TRUE,"Operating Statistics";#N/A,#N/A,TRUE,"Capex &amp; Depreciation";#N/A,#N/A,TRUE,"Debt"}</definedName>
    <definedName name="wrn.Full._.Financials." localSheetId="18" hidden="1">{#N/A,#N/A,TRUE,"Financials";#N/A,#N/A,TRUE,"Operating Statistics";#N/A,#N/A,TRUE,"Capex &amp; Depreciation";#N/A,#N/A,TRUE,"Debt"}</definedName>
    <definedName name="wrn.Full._.Financials." localSheetId="13" hidden="1">{#N/A,#N/A,TRUE,"Financials";#N/A,#N/A,TRUE,"Operating Statistics";#N/A,#N/A,TRUE,"Capex &amp; Depreciation";#N/A,#N/A,TRUE,"Debt"}</definedName>
    <definedName name="wrn.Full._.Financials." localSheetId="20" hidden="1">{#N/A,#N/A,TRUE,"Financials";#N/A,#N/A,TRUE,"Operating Statistics";#N/A,#N/A,TRUE,"Capex &amp; Depreciation";#N/A,#N/A,TRUE,"Debt"}</definedName>
    <definedName name="wrn.Full._.Financials." localSheetId="22" hidden="1">{#N/A,#N/A,TRUE,"Financials";#N/A,#N/A,TRUE,"Operating Statistics";#N/A,#N/A,TRUE,"Capex &amp; Depreciation";#N/A,#N/A,TRUE,"Debt"}</definedName>
    <definedName name="wrn.Full._.Financials." localSheetId="17" hidden="1">{#N/A,#N/A,TRUE,"Financials";#N/A,#N/A,TRUE,"Operating Statistics";#N/A,#N/A,TRUE,"Capex &amp; Depreciation";#N/A,#N/A,TRUE,"Debt"}</definedName>
    <definedName name="wrn.Full._.Financials." localSheetId="15" hidden="1">{#N/A,#N/A,TRUE,"Financials";#N/A,#N/A,TRUE,"Operating Statistics";#N/A,#N/A,TRUE,"Capex &amp; Depreciation";#N/A,#N/A,TRUE,"Debt"}</definedName>
    <definedName name="wrn.Full._.Financials." localSheetId="21" hidden="1">{#N/A,#N/A,TRUE,"Financials";#N/A,#N/A,TRUE,"Operating Statistics";#N/A,#N/A,TRUE,"Capex &amp; Depreciation";#N/A,#N/A,TRUE,"Debt"}</definedName>
    <definedName name="wrn.Full._.Financials." localSheetId="16" hidden="1">{#N/A,#N/A,TRUE,"Financials";#N/A,#N/A,TRUE,"Operating Statistics";#N/A,#N/A,TRUE,"Capex &amp; Depreciation";#N/A,#N/A,TRUE,"Debt"}</definedName>
    <definedName name="wrn.Full._.Financials." localSheetId="19" hidden="1">{#N/A,#N/A,TRUE,"Financials";#N/A,#N/A,TRUE,"Operating Statistics";#N/A,#N/A,TRUE,"Capex &amp; Depreciation";#N/A,#N/A,TRUE,"Debt"}</definedName>
    <definedName name="wrn.Full._.Financials." localSheetId="14" hidden="1">{#N/A,#N/A,TRUE,"Financials";#N/A,#N/A,TRUE,"Operating Statistics";#N/A,#N/A,TRUE,"Capex &amp; Depreciation";#N/A,#N/A,TRUE,"Debt"}</definedName>
    <definedName name="wrn.Full._.Financials." localSheetId="12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11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localSheetId="10" hidden="1">{#N/A,#N/A,FALSE,"One Pager";#N/A,#N/A,FALSE,"Technical"}</definedName>
    <definedName name="wrn.One._.Pager._.plus._.Technicals." localSheetId="18" hidden="1">{#N/A,#N/A,FALSE,"One Pager";#N/A,#N/A,FALSE,"Technical"}</definedName>
    <definedName name="wrn.One._.Pager._.plus._.Technicals." localSheetId="13" hidden="1">{#N/A,#N/A,FALSE,"One Pager";#N/A,#N/A,FALSE,"Technical"}</definedName>
    <definedName name="wrn.One._.Pager._.plus._.Technicals." localSheetId="20" hidden="1">{#N/A,#N/A,FALSE,"One Pager";#N/A,#N/A,FALSE,"Technical"}</definedName>
    <definedName name="wrn.One._.Pager._.plus._.Technicals." localSheetId="22" hidden="1">{#N/A,#N/A,FALSE,"One Pager";#N/A,#N/A,FALSE,"Technical"}</definedName>
    <definedName name="wrn.One._.Pager._.plus._.Technicals." localSheetId="17" hidden="1">{#N/A,#N/A,FALSE,"One Pager";#N/A,#N/A,FALSE,"Technical"}</definedName>
    <definedName name="wrn.One._.Pager._.plus._.Technicals." localSheetId="15" hidden="1">{#N/A,#N/A,FALSE,"One Pager";#N/A,#N/A,FALSE,"Technical"}</definedName>
    <definedName name="wrn.One._.Pager._.plus._.Technicals." localSheetId="21" hidden="1">{#N/A,#N/A,FALSE,"One Pager";#N/A,#N/A,FALSE,"Technical"}</definedName>
    <definedName name="wrn.One._.Pager._.plus._.Technicals." localSheetId="16" hidden="1">{#N/A,#N/A,FALSE,"One Pager";#N/A,#N/A,FALSE,"Technical"}</definedName>
    <definedName name="wrn.One._.Pager._.plus._.Technicals." localSheetId="19" hidden="1">{#N/A,#N/A,FALSE,"One Pager";#N/A,#N/A,FALSE,"Technical"}</definedName>
    <definedName name="wrn.One._.Pager._.plus._.Technicals." localSheetId="14" hidden="1">{#N/A,#N/A,FALSE,"One Pager";#N/A,#N/A,FALSE,"Technical"}</definedName>
    <definedName name="wrn.One._.Pager._.plus._.Technicals." localSheetId="12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11" hidden="1">{"A4PLSCH",#N/A,FALSE,"sch pl"}</definedName>
    <definedName name="wrn.PLSCHA4." localSheetId="9" hidden="1">{"A4PLSCH",#N/A,FALSE,"sch pl"}</definedName>
    <definedName name="wrn.PLSCHA4." localSheetId="10" hidden="1">{"A4PLSCH",#N/A,FALSE,"sch pl"}</definedName>
    <definedName name="wrn.PLSCHA4." localSheetId="18" hidden="1">{"A4PLSCH",#N/A,FALSE,"sch pl"}</definedName>
    <definedName name="wrn.PLSCHA4." localSheetId="13" hidden="1">{"A4PLSCH",#N/A,FALSE,"sch pl"}</definedName>
    <definedName name="wrn.PLSCHA4." localSheetId="20" hidden="1">{"A4PLSCH",#N/A,FALSE,"sch pl"}</definedName>
    <definedName name="wrn.PLSCHA4." localSheetId="22" hidden="1">{"A4PLSCH",#N/A,FALSE,"sch pl"}</definedName>
    <definedName name="wrn.PLSCHA4." localSheetId="17" hidden="1">{"A4PLSCH",#N/A,FALSE,"sch pl"}</definedName>
    <definedName name="wrn.PLSCHA4." localSheetId="15" hidden="1">{"A4PLSCH",#N/A,FALSE,"sch pl"}</definedName>
    <definedName name="wrn.PLSCHA4." localSheetId="21" hidden="1">{"A4PLSCH",#N/A,FALSE,"sch pl"}</definedName>
    <definedName name="wrn.PLSCHA4." localSheetId="16" hidden="1">{"A4PLSCH",#N/A,FALSE,"sch pl"}</definedName>
    <definedName name="wrn.PLSCHA4." localSheetId="19" hidden="1">{"A4PLSCH",#N/A,FALSE,"sch pl"}</definedName>
    <definedName name="wrn.PLSCHA4." localSheetId="14" hidden="1">{"A4PLSCH",#N/A,FALSE,"sch pl"}</definedName>
    <definedName name="wrn.PLSCHA4." localSheetId="12" hidden="1">{"A4PLSCH",#N/A,FALSE,"sch pl"}</definedName>
    <definedName name="wrn.PLSCHA4." hidden="1">{"A4PLSCH",#N/A,FALSE,"sch pl"}</definedName>
    <definedName name="wrn.PLSCHA4._1" localSheetId="11" hidden="1">{"A4PLSCH",#N/A,FALSE,"sch pl"}</definedName>
    <definedName name="wrn.PLSCHA4._1" localSheetId="9" hidden="1">{"A4PLSCH",#N/A,FALSE,"sch pl"}</definedName>
    <definedName name="wrn.PLSCHA4._1" localSheetId="10" hidden="1">{"A4PLSCH",#N/A,FALSE,"sch pl"}</definedName>
    <definedName name="wrn.PLSCHA4._1" localSheetId="18" hidden="1">{"A4PLSCH",#N/A,FALSE,"sch pl"}</definedName>
    <definedName name="wrn.PLSCHA4._1" localSheetId="13" hidden="1">{"A4PLSCH",#N/A,FALSE,"sch pl"}</definedName>
    <definedName name="wrn.PLSCHA4._1" localSheetId="20" hidden="1">{"A4PLSCH",#N/A,FALSE,"sch pl"}</definedName>
    <definedName name="wrn.PLSCHA4._1" localSheetId="22" hidden="1">{"A4PLSCH",#N/A,FALSE,"sch pl"}</definedName>
    <definedName name="wrn.PLSCHA4._1" localSheetId="17" hidden="1">{"A4PLSCH",#N/A,FALSE,"sch pl"}</definedName>
    <definedName name="wrn.PLSCHA4._1" localSheetId="15" hidden="1">{"A4PLSCH",#N/A,FALSE,"sch pl"}</definedName>
    <definedName name="wrn.PLSCHA4._1" localSheetId="21" hidden="1">{"A4PLSCH",#N/A,FALSE,"sch pl"}</definedName>
    <definedName name="wrn.PLSCHA4._1" localSheetId="16" hidden="1">{"A4PLSCH",#N/A,FALSE,"sch pl"}</definedName>
    <definedName name="wrn.PLSCHA4._1" localSheetId="19" hidden="1">{"A4PLSCH",#N/A,FALSE,"sch pl"}</definedName>
    <definedName name="wrn.PLSCHA4._1" localSheetId="14" hidden="1">{"A4PLSCH",#N/A,FALSE,"sch pl"}</definedName>
    <definedName name="wrn.PLSCHA4._1" localSheetId="12" hidden="1">{"A4PLSCH",#N/A,FALSE,"sch pl"}</definedName>
    <definedName name="wrn.PLSCHA4._1" hidden="1">{"A4PLSCH",#N/A,FALSE,"sch pl"}</definedName>
    <definedName name="wrn.Print." localSheetId="1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1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1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1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11" hidden="1">#REF!</definedName>
    <definedName name="Z_0185ADC1_3830_11D3_88E4_00104B2D4E50_.wvu.FilterData" localSheetId="10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7" i="33" l="1"/>
  <c r="L146" i="33"/>
  <c r="L128" i="33"/>
  <c r="L115" i="33"/>
  <c r="L63" i="33"/>
  <c r="L76" i="33"/>
  <c r="L35" i="33"/>
  <c r="A112" i="35"/>
  <c r="A111" i="35"/>
  <c r="A114" i="35"/>
  <c r="A113" i="35"/>
  <c r="A101" i="35"/>
  <c r="A102" i="35"/>
  <c r="A100" i="35"/>
  <c r="A99" i="35"/>
  <c r="A98" i="35"/>
  <c r="A97" i="35"/>
  <c r="A89" i="35"/>
  <c r="A88" i="35"/>
  <c r="A87" i="35"/>
  <c r="A86" i="35"/>
  <c r="A85" i="35"/>
  <c r="A93" i="35"/>
  <c r="A92" i="35"/>
  <c r="L148" i="33"/>
  <c r="L144" i="33"/>
  <c r="M143" i="33"/>
  <c r="K143" i="33"/>
  <c r="J143" i="33"/>
  <c r="L140" i="33"/>
  <c r="L134" i="33"/>
  <c r="L133" i="33" s="1"/>
  <c r="M133" i="33"/>
  <c r="K133" i="33"/>
  <c r="J133" i="33"/>
  <c r="L130" i="33"/>
  <c r="L127" i="33" s="1"/>
  <c r="M127" i="33"/>
  <c r="K127" i="33"/>
  <c r="J127" i="33"/>
  <c r="L124" i="33"/>
  <c r="L121" i="33"/>
  <c r="L118" i="33"/>
  <c r="L112" i="33"/>
  <c r="M111" i="33"/>
  <c r="K111" i="33"/>
  <c r="J111" i="33"/>
  <c r="A108" i="35"/>
  <c r="A107" i="35"/>
  <c r="A106" i="35"/>
  <c r="A105" i="35"/>
  <c r="A104" i="35"/>
  <c r="A95" i="35"/>
  <c r="A94" i="35"/>
  <c r="A91" i="35"/>
  <c r="L4" i="35"/>
  <c r="J4" i="35"/>
  <c r="H4" i="35"/>
  <c r="F4" i="35"/>
  <c r="L3" i="35"/>
  <c r="J3" i="35"/>
  <c r="H3" i="35"/>
  <c r="F3" i="35"/>
  <c r="A37" i="34"/>
  <c r="A36" i="34"/>
  <c r="A35" i="34"/>
  <c r="A41" i="34"/>
  <c r="A40" i="34"/>
  <c r="A39" i="34"/>
  <c r="A33" i="34"/>
  <c r="A32" i="34"/>
  <c r="A47" i="34"/>
  <c r="A46" i="34"/>
  <c r="A45" i="34"/>
  <c r="A44" i="34"/>
  <c r="A43" i="34"/>
  <c r="L4" i="34"/>
  <c r="J4" i="34"/>
  <c r="H4" i="34"/>
  <c r="F4" i="34"/>
  <c r="L3" i="34"/>
  <c r="J3" i="34"/>
  <c r="H3" i="34"/>
  <c r="F3" i="34"/>
  <c r="M89" i="33"/>
  <c r="M99" i="33"/>
  <c r="M7" i="33"/>
  <c r="L8" i="33"/>
  <c r="L12" i="33"/>
  <c r="L16" i="33"/>
  <c r="L19" i="33"/>
  <c r="L28" i="33"/>
  <c r="L32" i="33"/>
  <c r="L40" i="33"/>
  <c r="M43" i="33"/>
  <c r="L44" i="33"/>
  <c r="L47" i="33"/>
  <c r="L50" i="33"/>
  <c r="M53" i="33"/>
  <c r="L54" i="33"/>
  <c r="L57" i="33"/>
  <c r="L60" i="33"/>
  <c r="L66" i="33"/>
  <c r="M69" i="33"/>
  <c r="L70" i="33"/>
  <c r="L73" i="33"/>
  <c r="L79" i="33"/>
  <c r="M82" i="33"/>
  <c r="L83" i="33"/>
  <c r="L85" i="33"/>
  <c r="L87" i="33"/>
  <c r="K82" i="33"/>
  <c r="J82" i="33"/>
  <c r="K69" i="33"/>
  <c r="J69" i="33"/>
  <c r="K53" i="33"/>
  <c r="J53" i="33"/>
  <c r="K43" i="33"/>
  <c r="J43" i="33"/>
  <c r="K7" i="33"/>
  <c r="J7" i="33"/>
  <c r="K89" i="33"/>
  <c r="M110" i="33" l="1"/>
  <c r="L111" i="33"/>
  <c r="J110" i="33"/>
  <c r="K110" i="33"/>
  <c r="L143" i="33"/>
  <c r="K6" i="33"/>
  <c r="L43" i="33"/>
  <c r="L53" i="33"/>
  <c r="L69" i="33"/>
  <c r="L82" i="33"/>
  <c r="M6" i="33"/>
  <c r="L7" i="33"/>
  <c r="J6" i="33"/>
  <c r="L110" i="33" l="1"/>
  <c r="M2" i="33"/>
  <c r="L6" i="33"/>
  <c r="L2" i="33" s="1"/>
  <c r="H220" i="26"/>
  <c r="I220" i="26"/>
  <c r="L220" i="26"/>
  <c r="N4" i="26"/>
  <c r="N2" i="26"/>
  <c r="K611" i="26" l="1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K186" i="26" l="1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K324" i="26" l="1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6" i="26"/>
  <c r="K370" i="26"/>
  <c r="L4" i="26"/>
  <c r="H4" i="26"/>
  <c r="K4" i="26" l="1"/>
  <c r="L343" i="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R97" i="9"/>
  <c r="L98" i="9"/>
  <c r="K98" i="9"/>
  <c r="J98" i="9"/>
  <c r="I98" i="9"/>
  <c r="L60" i="9"/>
  <c r="K60" i="9"/>
  <c r="J60" i="9"/>
  <c r="I60" i="9"/>
  <c r="L138" i="9"/>
  <c r="K138" i="9"/>
  <c r="J138" i="9"/>
  <c r="I138" i="9"/>
  <c r="L108" i="9"/>
  <c r="K108" i="9"/>
  <c r="J108" i="9"/>
  <c r="I108" i="9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98" i="9"/>
  <c r="H60" i="9"/>
  <c r="H138" i="9"/>
  <c r="H108" i="9"/>
  <c r="H4" i="14" l="1"/>
  <c r="H1348" i="7"/>
  <c r="I1348" i="7"/>
  <c r="J1348" i="7"/>
  <c r="K1348" i="7"/>
  <c r="L1348" i="7"/>
  <c r="R1348" i="7" s="1"/>
  <c r="H1347" i="7"/>
  <c r="I1347" i="7"/>
  <c r="J1347" i="7"/>
  <c r="K1347" i="7"/>
  <c r="L1347" i="7"/>
  <c r="R1347" i="7"/>
  <c r="H1349" i="7"/>
  <c r="I1349" i="7"/>
  <c r="J1349" i="7"/>
  <c r="K1349" i="7"/>
  <c r="L1349" i="7"/>
  <c r="R1349" i="7" s="1"/>
  <c r="H1406" i="7"/>
  <c r="I1406" i="7"/>
  <c r="J1406" i="7"/>
  <c r="K1406" i="7"/>
  <c r="H1407" i="7"/>
  <c r="I1407" i="7"/>
  <c r="J1407" i="7"/>
  <c r="K1407" i="7"/>
  <c r="H1408" i="7"/>
  <c r="I1408" i="7"/>
  <c r="J1408" i="7"/>
  <c r="K1408" i="7"/>
  <c r="H1409" i="7"/>
  <c r="I1409" i="7"/>
  <c r="J1409" i="7"/>
  <c r="K1409" i="7"/>
  <c r="H1410" i="7"/>
  <c r="I1410" i="7"/>
  <c r="J1410" i="7"/>
  <c r="K1410" i="7"/>
  <c r="H1411" i="7"/>
  <c r="I1411" i="7"/>
  <c r="J1411" i="7"/>
  <c r="K1411" i="7"/>
  <c r="H1412" i="7"/>
  <c r="I1412" i="7"/>
  <c r="J1412" i="7"/>
  <c r="K1412" i="7"/>
  <c r="H1413" i="7"/>
  <c r="I1413" i="7"/>
  <c r="J1413" i="7"/>
  <c r="K1413" i="7"/>
  <c r="H1414" i="7"/>
  <c r="I1414" i="7"/>
  <c r="J1414" i="7"/>
  <c r="K1414" i="7"/>
  <c r="I1405" i="7"/>
  <c r="J1405" i="7"/>
  <c r="K1405" i="7"/>
  <c r="H1405" i="7"/>
  <c r="H1385" i="7"/>
  <c r="I1385" i="7"/>
  <c r="J1385" i="7"/>
  <c r="K1385" i="7"/>
  <c r="H1386" i="7"/>
  <c r="I1386" i="7"/>
  <c r="J1386" i="7"/>
  <c r="K1386" i="7"/>
  <c r="H1387" i="7"/>
  <c r="I1387" i="7"/>
  <c r="J1387" i="7"/>
  <c r="K1387" i="7"/>
  <c r="H1388" i="7"/>
  <c r="I1388" i="7"/>
  <c r="J1388" i="7"/>
  <c r="K1388" i="7"/>
  <c r="H1389" i="7"/>
  <c r="I1389" i="7"/>
  <c r="J1389" i="7"/>
  <c r="K1389" i="7"/>
  <c r="H1390" i="7"/>
  <c r="I1390" i="7"/>
  <c r="J1390" i="7"/>
  <c r="K1390" i="7"/>
  <c r="H1391" i="7"/>
  <c r="I1391" i="7"/>
  <c r="J1391" i="7"/>
  <c r="K1391" i="7"/>
  <c r="H1392" i="7"/>
  <c r="I1392" i="7"/>
  <c r="J1392" i="7"/>
  <c r="K1392" i="7"/>
  <c r="H1393" i="7"/>
  <c r="I1393" i="7"/>
  <c r="J1393" i="7"/>
  <c r="K1393" i="7"/>
  <c r="H1394" i="7"/>
  <c r="I1394" i="7"/>
  <c r="J1394" i="7"/>
  <c r="K1394" i="7"/>
  <c r="H1395" i="7"/>
  <c r="I1395" i="7"/>
  <c r="J1395" i="7"/>
  <c r="K1395" i="7"/>
  <c r="H1396" i="7"/>
  <c r="I1396" i="7"/>
  <c r="J1396" i="7"/>
  <c r="K1396" i="7"/>
  <c r="H1397" i="7"/>
  <c r="I1397" i="7"/>
  <c r="J1397" i="7"/>
  <c r="K1397" i="7"/>
  <c r="H1398" i="7"/>
  <c r="I1398" i="7"/>
  <c r="J1398" i="7"/>
  <c r="K1398" i="7"/>
  <c r="H1399" i="7"/>
  <c r="I1399" i="7"/>
  <c r="J1399" i="7"/>
  <c r="K1399" i="7"/>
  <c r="H1400" i="7"/>
  <c r="I1400" i="7"/>
  <c r="J1400" i="7"/>
  <c r="K1400" i="7"/>
  <c r="H1401" i="7"/>
  <c r="I1401" i="7"/>
  <c r="J1401" i="7"/>
  <c r="K1401" i="7"/>
  <c r="H1402" i="7"/>
  <c r="I1402" i="7"/>
  <c r="J1402" i="7"/>
  <c r="K1402" i="7"/>
  <c r="H1403" i="7"/>
  <c r="I1403" i="7"/>
  <c r="J1403" i="7"/>
  <c r="K1403" i="7"/>
  <c r="I1384" i="7"/>
  <c r="J1384" i="7"/>
  <c r="K1384" i="7"/>
  <c r="H1384" i="7"/>
  <c r="H1355" i="7"/>
  <c r="I1355" i="7"/>
  <c r="J1355" i="7"/>
  <c r="K1355" i="7"/>
  <c r="H1356" i="7"/>
  <c r="I1356" i="7"/>
  <c r="J1356" i="7"/>
  <c r="K1356" i="7"/>
  <c r="H1357" i="7"/>
  <c r="I1357" i="7"/>
  <c r="J1357" i="7"/>
  <c r="K1357" i="7"/>
  <c r="H1358" i="7"/>
  <c r="I1358" i="7"/>
  <c r="J1358" i="7"/>
  <c r="K1358" i="7"/>
  <c r="H1359" i="7"/>
  <c r="I1359" i="7"/>
  <c r="J1359" i="7"/>
  <c r="K1359" i="7"/>
  <c r="H1360" i="7"/>
  <c r="I1360" i="7"/>
  <c r="J1360" i="7"/>
  <c r="K1360" i="7"/>
  <c r="H1361" i="7"/>
  <c r="I1361" i="7"/>
  <c r="J1361" i="7"/>
  <c r="K1361" i="7"/>
  <c r="H1362" i="7"/>
  <c r="I1362" i="7"/>
  <c r="J1362" i="7"/>
  <c r="K1362" i="7"/>
  <c r="H1363" i="7"/>
  <c r="I1363" i="7"/>
  <c r="J1363" i="7"/>
  <c r="K1363" i="7"/>
  <c r="H1364" i="7"/>
  <c r="I1364" i="7"/>
  <c r="J1364" i="7"/>
  <c r="K1364" i="7"/>
  <c r="H1365" i="7"/>
  <c r="I1365" i="7"/>
  <c r="J1365" i="7"/>
  <c r="K1365" i="7"/>
  <c r="H1366" i="7"/>
  <c r="I1366" i="7"/>
  <c r="J1366" i="7"/>
  <c r="K1366" i="7"/>
  <c r="H1367" i="7"/>
  <c r="I1367" i="7"/>
  <c r="J1367" i="7"/>
  <c r="K1367" i="7"/>
  <c r="H1368" i="7"/>
  <c r="I1368" i="7"/>
  <c r="J1368" i="7"/>
  <c r="K1368" i="7"/>
  <c r="H1369" i="7"/>
  <c r="I1369" i="7"/>
  <c r="J1369" i="7"/>
  <c r="K1369" i="7"/>
  <c r="H1370" i="7"/>
  <c r="I1370" i="7"/>
  <c r="J1370" i="7"/>
  <c r="K1370" i="7"/>
  <c r="H1371" i="7"/>
  <c r="I1371" i="7"/>
  <c r="J1371" i="7"/>
  <c r="K1371" i="7"/>
  <c r="H1372" i="7"/>
  <c r="I1372" i="7"/>
  <c r="J1372" i="7"/>
  <c r="K1372" i="7"/>
  <c r="H1373" i="7"/>
  <c r="I1373" i="7"/>
  <c r="J1373" i="7"/>
  <c r="K1373" i="7"/>
  <c r="H1374" i="7"/>
  <c r="I1374" i="7"/>
  <c r="J1374" i="7"/>
  <c r="K1374" i="7"/>
  <c r="H1375" i="7"/>
  <c r="I1375" i="7"/>
  <c r="J1375" i="7"/>
  <c r="K1375" i="7"/>
  <c r="H1376" i="7"/>
  <c r="I1376" i="7"/>
  <c r="J1376" i="7"/>
  <c r="K1376" i="7"/>
  <c r="H1377" i="7"/>
  <c r="I1377" i="7"/>
  <c r="J1377" i="7"/>
  <c r="K1377" i="7"/>
  <c r="H1378" i="7"/>
  <c r="I1378" i="7"/>
  <c r="J1378" i="7"/>
  <c r="K1378" i="7"/>
  <c r="H1379" i="7"/>
  <c r="I1379" i="7"/>
  <c r="J1379" i="7"/>
  <c r="K1379" i="7"/>
  <c r="H1380" i="7"/>
  <c r="I1380" i="7"/>
  <c r="J1380" i="7"/>
  <c r="K1380" i="7"/>
  <c r="H1381" i="7"/>
  <c r="I1381" i="7"/>
  <c r="J1381" i="7"/>
  <c r="K1381" i="7"/>
  <c r="H1382" i="7"/>
  <c r="I1382" i="7"/>
  <c r="J1382" i="7"/>
  <c r="K1382" i="7"/>
  <c r="I1354" i="7"/>
  <c r="J1354" i="7"/>
  <c r="K1354" i="7"/>
  <c r="H1354" i="7"/>
  <c r="H1318" i="7"/>
  <c r="I1318" i="7"/>
  <c r="J1318" i="7"/>
  <c r="K1318" i="7"/>
  <c r="H1319" i="7"/>
  <c r="I1319" i="7"/>
  <c r="J1319" i="7"/>
  <c r="K1319" i="7"/>
  <c r="H1320" i="7"/>
  <c r="I1320" i="7"/>
  <c r="J1320" i="7"/>
  <c r="K1320" i="7"/>
  <c r="H1321" i="7"/>
  <c r="I1321" i="7"/>
  <c r="J1321" i="7"/>
  <c r="K1321" i="7"/>
  <c r="H1322" i="7"/>
  <c r="I1322" i="7"/>
  <c r="J1322" i="7"/>
  <c r="K1322" i="7"/>
  <c r="H1323" i="7"/>
  <c r="I1323" i="7"/>
  <c r="J1323" i="7"/>
  <c r="K1323" i="7"/>
  <c r="H1324" i="7"/>
  <c r="I1324" i="7"/>
  <c r="J1324" i="7"/>
  <c r="K1324" i="7"/>
  <c r="H1325" i="7"/>
  <c r="I1325" i="7"/>
  <c r="J1325" i="7"/>
  <c r="K1325" i="7"/>
  <c r="H1326" i="7"/>
  <c r="I1326" i="7"/>
  <c r="J1326" i="7"/>
  <c r="K1326" i="7"/>
  <c r="H1327" i="7"/>
  <c r="I1327" i="7"/>
  <c r="J1327" i="7"/>
  <c r="K1327" i="7"/>
  <c r="H1328" i="7"/>
  <c r="I1328" i="7"/>
  <c r="J1328" i="7"/>
  <c r="K1328" i="7"/>
  <c r="H1329" i="7"/>
  <c r="I1329" i="7"/>
  <c r="J1329" i="7"/>
  <c r="K1329" i="7"/>
  <c r="H1330" i="7"/>
  <c r="I1330" i="7"/>
  <c r="J1330" i="7"/>
  <c r="K1330" i="7"/>
  <c r="H1331" i="7"/>
  <c r="I1331" i="7"/>
  <c r="J1331" i="7"/>
  <c r="K1331" i="7"/>
  <c r="H1332" i="7"/>
  <c r="I1332" i="7"/>
  <c r="J1332" i="7"/>
  <c r="K1332" i="7"/>
  <c r="H1333" i="7"/>
  <c r="I1333" i="7"/>
  <c r="J1333" i="7"/>
  <c r="K1333" i="7"/>
  <c r="H1334" i="7"/>
  <c r="I1334" i="7"/>
  <c r="J1334" i="7"/>
  <c r="K1334" i="7"/>
  <c r="H1335" i="7"/>
  <c r="I1335" i="7"/>
  <c r="J1335" i="7"/>
  <c r="K1335" i="7"/>
  <c r="H1336" i="7"/>
  <c r="I1336" i="7"/>
  <c r="J1336" i="7"/>
  <c r="K1336" i="7"/>
  <c r="H1337" i="7"/>
  <c r="I1337" i="7"/>
  <c r="J1337" i="7"/>
  <c r="K1337" i="7"/>
  <c r="H1338" i="7"/>
  <c r="I1338" i="7"/>
  <c r="J1338" i="7"/>
  <c r="K1338" i="7"/>
  <c r="H1339" i="7"/>
  <c r="I1339" i="7"/>
  <c r="J1339" i="7"/>
  <c r="K1339" i="7"/>
  <c r="H1340" i="7"/>
  <c r="I1340" i="7"/>
  <c r="J1340" i="7"/>
  <c r="K1340" i="7"/>
  <c r="H1341" i="7"/>
  <c r="I1341" i="7"/>
  <c r="J1341" i="7"/>
  <c r="K1341" i="7"/>
  <c r="H1342" i="7"/>
  <c r="I1342" i="7"/>
  <c r="J1342" i="7"/>
  <c r="K1342" i="7"/>
  <c r="H1343" i="7"/>
  <c r="I1343" i="7"/>
  <c r="J1343" i="7"/>
  <c r="K1343" i="7"/>
  <c r="H1344" i="7"/>
  <c r="I1344" i="7"/>
  <c r="J1344" i="7"/>
  <c r="K1344" i="7"/>
  <c r="H1345" i="7"/>
  <c r="I1345" i="7"/>
  <c r="J1345" i="7"/>
  <c r="K1345" i="7"/>
  <c r="H1346" i="7"/>
  <c r="I1346" i="7"/>
  <c r="J1346" i="7"/>
  <c r="K1346" i="7"/>
  <c r="H1350" i="7"/>
  <c r="I1350" i="7"/>
  <c r="J1350" i="7"/>
  <c r="K1350" i="7"/>
  <c r="H1351" i="7"/>
  <c r="I1351" i="7"/>
  <c r="J1351" i="7"/>
  <c r="K1351" i="7"/>
  <c r="H1352" i="7"/>
  <c r="I1352" i="7"/>
  <c r="J1352" i="7"/>
  <c r="K1352" i="7"/>
  <c r="I1317" i="7"/>
  <c r="J1317" i="7"/>
  <c r="K1317" i="7"/>
  <c r="H1317" i="7"/>
  <c r="N629" i="7"/>
  <c r="O629" i="7"/>
  <c r="P629" i="7"/>
  <c r="M629" i="7"/>
  <c r="P108" i="9" l="1"/>
  <c r="O108" i="9"/>
  <c r="O98" i="9"/>
  <c r="Q98" i="9"/>
  <c r="R98" i="9"/>
  <c r="R138" i="9"/>
  <c r="Q138" i="9"/>
  <c r="P98" i="9"/>
  <c r="P138" i="9"/>
  <c r="O60" i="9"/>
  <c r="O138" i="9"/>
  <c r="R108" i="9"/>
  <c r="R60" i="9"/>
  <c r="Q108" i="9"/>
  <c r="Q60" i="9"/>
  <c r="P60" i="9"/>
  <c r="L137" i="9"/>
  <c r="K137" i="9"/>
  <c r="J137" i="9"/>
  <c r="I137" i="9"/>
  <c r="N616" i="7"/>
  <c r="O616" i="7"/>
  <c r="P616" i="7"/>
  <c r="M616" i="7"/>
  <c r="G616" i="7"/>
  <c r="N603" i="7"/>
  <c r="O603" i="7"/>
  <c r="P603" i="7"/>
  <c r="M603" i="7"/>
  <c r="G603" i="7"/>
  <c r="N582" i="7"/>
  <c r="O582" i="7"/>
  <c r="P582" i="7"/>
  <c r="M582" i="7"/>
  <c r="G582" i="7"/>
  <c r="L634" i="7"/>
  <c r="R634" i="7" s="1"/>
  <c r="L635" i="7"/>
  <c r="R635" i="7" s="1"/>
  <c r="L636" i="7"/>
  <c r="R636" i="7" s="1"/>
  <c r="L637" i="7"/>
  <c r="R637" i="7" s="1"/>
  <c r="H634" i="7"/>
  <c r="I634" i="7"/>
  <c r="J634" i="7"/>
  <c r="K634" i="7"/>
  <c r="H635" i="7"/>
  <c r="I635" i="7"/>
  <c r="J635" i="7"/>
  <c r="K635" i="7"/>
  <c r="H636" i="7"/>
  <c r="I636" i="7"/>
  <c r="J636" i="7"/>
  <c r="K636" i="7"/>
  <c r="H637" i="7"/>
  <c r="I637" i="7"/>
  <c r="J637" i="7"/>
  <c r="K637" i="7"/>
  <c r="H623" i="7"/>
  <c r="I623" i="7"/>
  <c r="J623" i="7"/>
  <c r="K623" i="7"/>
  <c r="H624" i="7"/>
  <c r="I624" i="7"/>
  <c r="J624" i="7"/>
  <c r="K624" i="7"/>
  <c r="H625" i="7"/>
  <c r="I625" i="7"/>
  <c r="J625" i="7"/>
  <c r="K625" i="7"/>
  <c r="H626" i="7"/>
  <c r="I626" i="7"/>
  <c r="J626" i="7"/>
  <c r="K626" i="7"/>
  <c r="H627" i="7"/>
  <c r="I627" i="7"/>
  <c r="J627" i="7"/>
  <c r="K627" i="7"/>
  <c r="H628" i="7"/>
  <c r="I628" i="7"/>
  <c r="J628" i="7"/>
  <c r="K628" i="7"/>
  <c r="L623" i="7"/>
  <c r="R623" i="7" s="1"/>
  <c r="L624" i="7"/>
  <c r="R624" i="7" s="1"/>
  <c r="L625" i="7"/>
  <c r="R625" i="7" s="1"/>
  <c r="L626" i="7"/>
  <c r="R626" i="7" s="1"/>
  <c r="L627" i="7"/>
  <c r="R627" i="7" s="1"/>
  <c r="L628" i="7"/>
  <c r="R628" i="7" s="1"/>
  <c r="L609" i="7"/>
  <c r="R609" i="7" s="1"/>
  <c r="L610" i="7"/>
  <c r="R610" i="7" s="1"/>
  <c r="L611" i="7"/>
  <c r="R611" i="7" s="1"/>
  <c r="L612" i="7"/>
  <c r="R612" i="7" s="1"/>
  <c r="L613" i="7"/>
  <c r="R613" i="7" s="1"/>
  <c r="L614" i="7"/>
  <c r="R614" i="7" s="1"/>
  <c r="L615" i="7"/>
  <c r="R615" i="7" s="1"/>
  <c r="H609" i="7"/>
  <c r="I609" i="7"/>
  <c r="J609" i="7"/>
  <c r="K609" i="7"/>
  <c r="H610" i="7"/>
  <c r="I610" i="7"/>
  <c r="J610" i="7"/>
  <c r="K610" i="7"/>
  <c r="H611" i="7"/>
  <c r="I611" i="7"/>
  <c r="J611" i="7"/>
  <c r="K611" i="7"/>
  <c r="H612" i="7"/>
  <c r="I612" i="7"/>
  <c r="J612" i="7"/>
  <c r="K612" i="7"/>
  <c r="H613" i="7"/>
  <c r="I613" i="7"/>
  <c r="J613" i="7"/>
  <c r="K613" i="7"/>
  <c r="H614" i="7"/>
  <c r="I614" i="7"/>
  <c r="J614" i="7"/>
  <c r="K614" i="7"/>
  <c r="H615" i="7"/>
  <c r="I615" i="7"/>
  <c r="J615" i="7"/>
  <c r="K615" i="7"/>
  <c r="L591" i="7"/>
  <c r="R591" i="7" s="1"/>
  <c r="L592" i="7"/>
  <c r="R592" i="7" s="1"/>
  <c r="L593" i="7"/>
  <c r="R593" i="7" s="1"/>
  <c r="L594" i="7"/>
  <c r="R594" i="7" s="1"/>
  <c r="L598" i="7"/>
  <c r="R598" i="7" s="1"/>
  <c r="L599" i="7"/>
  <c r="R599" i="7" s="1"/>
  <c r="L600" i="7"/>
  <c r="R600" i="7" s="1"/>
  <c r="L601" i="7"/>
  <c r="R601" i="7" s="1"/>
  <c r="L602" i="7"/>
  <c r="R602" i="7" s="1"/>
  <c r="H591" i="7"/>
  <c r="I591" i="7"/>
  <c r="J591" i="7"/>
  <c r="K591" i="7"/>
  <c r="H592" i="7"/>
  <c r="I592" i="7"/>
  <c r="J592" i="7"/>
  <c r="K592" i="7"/>
  <c r="H593" i="7"/>
  <c r="I593" i="7"/>
  <c r="J593" i="7"/>
  <c r="K593" i="7"/>
  <c r="H594" i="7"/>
  <c r="I594" i="7"/>
  <c r="J594" i="7"/>
  <c r="K594" i="7"/>
  <c r="H598" i="7"/>
  <c r="I598" i="7"/>
  <c r="J598" i="7"/>
  <c r="K598" i="7"/>
  <c r="H599" i="7"/>
  <c r="I599" i="7"/>
  <c r="J599" i="7"/>
  <c r="K599" i="7"/>
  <c r="H600" i="7"/>
  <c r="I600" i="7"/>
  <c r="J600" i="7"/>
  <c r="K600" i="7"/>
  <c r="H601" i="7"/>
  <c r="I601" i="7"/>
  <c r="J601" i="7"/>
  <c r="K601" i="7"/>
  <c r="H602" i="7"/>
  <c r="I602" i="7"/>
  <c r="J602" i="7"/>
  <c r="K602" i="7"/>
  <c r="R59" i="9"/>
  <c r="N108" i="9" l="1"/>
  <c r="N98" i="9"/>
  <c r="N138" i="9"/>
  <c r="N60" i="9"/>
  <c r="H137" i="9"/>
  <c r="R58" i="9"/>
  <c r="Q58" i="9"/>
  <c r="P58" i="9"/>
  <c r="L58" i="9"/>
  <c r="K58" i="9"/>
  <c r="J58" i="9"/>
  <c r="I58" i="9"/>
  <c r="H58" i="9" l="1"/>
  <c r="G536" i="7" l="1"/>
  <c r="K536" i="7"/>
  <c r="J536" i="7"/>
  <c r="I536" i="7"/>
  <c r="H537" i="7"/>
  <c r="P536" i="7"/>
  <c r="O536" i="7"/>
  <c r="N536" i="7"/>
  <c r="M536" i="7"/>
  <c r="L537" i="7"/>
  <c r="H286" i="7"/>
  <c r="I286" i="7"/>
  <c r="J286" i="7"/>
  <c r="K286" i="7"/>
  <c r="O58" i="9" l="1"/>
  <c r="N58" i="9" s="1"/>
  <c r="H536" i="7"/>
  <c r="L536" i="7"/>
  <c r="U576" i="7" l="1"/>
  <c r="V576" i="7" s="1"/>
  <c r="H30" i="7"/>
  <c r="H31" i="7"/>
  <c r="H32" i="7"/>
  <c r="H33" i="7"/>
  <c r="L30" i="7"/>
  <c r="L31" i="7"/>
  <c r="L32" i="7"/>
  <c r="R175" i="7"/>
  <c r="I116" i="9"/>
  <c r="J116" i="9"/>
  <c r="K116" i="9"/>
  <c r="L116" i="9"/>
  <c r="I71" i="9"/>
  <c r="J71" i="9"/>
  <c r="K71" i="9"/>
  <c r="L71" i="9"/>
  <c r="O32" i="9"/>
  <c r="P32" i="9"/>
  <c r="Q32" i="9"/>
  <c r="R32" i="9"/>
  <c r="L32" i="9"/>
  <c r="K32" i="9"/>
  <c r="J32" i="9"/>
  <c r="I32" i="9"/>
  <c r="L31" i="9"/>
  <c r="K31" i="9"/>
  <c r="J31" i="9"/>
  <c r="I31" i="9"/>
  <c r="L30" i="9"/>
  <c r="K30" i="9"/>
  <c r="J30" i="9"/>
  <c r="I30" i="9"/>
  <c r="Y484" i="7"/>
  <c r="M148" i="7"/>
  <c r="M140" i="7"/>
  <c r="M116" i="7"/>
  <c r="Z569" i="7"/>
  <c r="H116" i="9" l="1"/>
  <c r="H32" i="9"/>
  <c r="H71" i="9"/>
  <c r="N32" i="9"/>
  <c r="H30" i="9"/>
  <c r="H31" i="9"/>
  <c r="R157" i="9"/>
  <c r="Q157" i="9"/>
  <c r="P157" i="9"/>
  <c r="O157" i="9"/>
  <c r="L157" i="9"/>
  <c r="K157" i="9"/>
  <c r="J157" i="9"/>
  <c r="I157" i="9"/>
  <c r="L153" i="9"/>
  <c r="K153" i="9"/>
  <c r="J153" i="9"/>
  <c r="I153" i="9"/>
  <c r="L152" i="9"/>
  <c r="K152" i="9"/>
  <c r="J152" i="9"/>
  <c r="I152" i="9"/>
  <c r="L151" i="9"/>
  <c r="K151" i="9"/>
  <c r="J151" i="9"/>
  <c r="I151" i="9"/>
  <c r="L150" i="9"/>
  <c r="K150" i="9"/>
  <c r="J150" i="9"/>
  <c r="I150" i="9"/>
  <c r="L149" i="9"/>
  <c r="K149" i="9"/>
  <c r="J149" i="9"/>
  <c r="I149" i="9"/>
  <c r="R145" i="9"/>
  <c r="L145" i="9"/>
  <c r="K145" i="9"/>
  <c r="J145" i="9"/>
  <c r="I145" i="9"/>
  <c r="L144" i="9"/>
  <c r="K144" i="9"/>
  <c r="J144" i="9"/>
  <c r="I144" i="9"/>
  <c r="L143" i="9"/>
  <c r="K143" i="9"/>
  <c r="J143" i="9"/>
  <c r="I143" i="9"/>
  <c r="L142" i="9"/>
  <c r="K142" i="9"/>
  <c r="J142" i="9"/>
  <c r="I142" i="9"/>
  <c r="L136" i="9"/>
  <c r="K136" i="9"/>
  <c r="J136" i="9"/>
  <c r="I136" i="9"/>
  <c r="L135" i="9"/>
  <c r="K135" i="9"/>
  <c r="J135" i="9"/>
  <c r="I135" i="9"/>
  <c r="L134" i="9"/>
  <c r="K134" i="9"/>
  <c r="J134" i="9"/>
  <c r="I134" i="9"/>
  <c r="L133" i="9"/>
  <c r="K133" i="9"/>
  <c r="J133" i="9"/>
  <c r="I133" i="9"/>
  <c r="L132" i="9"/>
  <c r="K132" i="9"/>
  <c r="J132" i="9"/>
  <c r="I132" i="9"/>
  <c r="L131" i="9"/>
  <c r="K131" i="9"/>
  <c r="J131" i="9"/>
  <c r="I131" i="9"/>
  <c r="L130" i="9"/>
  <c r="K130" i="9"/>
  <c r="J130" i="9"/>
  <c r="I130" i="9"/>
  <c r="L129" i="9"/>
  <c r="K129" i="9"/>
  <c r="J129" i="9"/>
  <c r="I129" i="9"/>
  <c r="L128" i="9"/>
  <c r="K128" i="9"/>
  <c r="J128" i="9"/>
  <c r="I128" i="9"/>
  <c r="L127" i="9"/>
  <c r="K127" i="9"/>
  <c r="J127" i="9"/>
  <c r="I127" i="9"/>
  <c r="L126" i="9"/>
  <c r="K126" i="9"/>
  <c r="J126" i="9"/>
  <c r="I126" i="9"/>
  <c r="L122" i="9"/>
  <c r="K122" i="9"/>
  <c r="J122" i="9"/>
  <c r="I122" i="9"/>
  <c r="L121" i="9"/>
  <c r="K121" i="9"/>
  <c r="J121" i="9"/>
  <c r="I121" i="9"/>
  <c r="L120" i="9"/>
  <c r="K120" i="9"/>
  <c r="J120" i="9"/>
  <c r="I120" i="9"/>
  <c r="L119" i="9"/>
  <c r="K119" i="9"/>
  <c r="J119" i="9"/>
  <c r="I119" i="9"/>
  <c r="L118" i="9"/>
  <c r="K118" i="9"/>
  <c r="J118" i="9"/>
  <c r="I118" i="9"/>
  <c r="L117" i="9"/>
  <c r="K117" i="9"/>
  <c r="J117" i="9"/>
  <c r="I117" i="9"/>
  <c r="L115" i="9"/>
  <c r="K115" i="9"/>
  <c r="J115" i="9"/>
  <c r="I115" i="9"/>
  <c r="L114" i="9"/>
  <c r="K114" i="9"/>
  <c r="J114" i="9"/>
  <c r="I114" i="9"/>
  <c r="L113" i="9"/>
  <c r="K113" i="9"/>
  <c r="J113" i="9"/>
  <c r="I113" i="9"/>
  <c r="L112" i="9"/>
  <c r="K112" i="9"/>
  <c r="J112" i="9"/>
  <c r="I112" i="9"/>
  <c r="L107" i="9"/>
  <c r="K107" i="9"/>
  <c r="J107" i="9"/>
  <c r="I107" i="9"/>
  <c r="L106" i="9"/>
  <c r="K106" i="9"/>
  <c r="J106" i="9"/>
  <c r="I106" i="9"/>
  <c r="L105" i="9"/>
  <c r="K105" i="9"/>
  <c r="J105" i="9"/>
  <c r="I105" i="9"/>
  <c r="L104" i="9"/>
  <c r="K104" i="9"/>
  <c r="J104" i="9"/>
  <c r="I104" i="9"/>
  <c r="L103" i="9"/>
  <c r="K103" i="9"/>
  <c r="J103" i="9"/>
  <c r="I103" i="9"/>
  <c r="L102" i="9"/>
  <c r="K102" i="9"/>
  <c r="J102" i="9"/>
  <c r="I102" i="9"/>
  <c r="J99" i="9"/>
  <c r="L97" i="9"/>
  <c r="K97" i="9"/>
  <c r="J97" i="9"/>
  <c r="I97" i="9"/>
  <c r="L96" i="9"/>
  <c r="K96" i="9"/>
  <c r="J96" i="9"/>
  <c r="I96" i="9"/>
  <c r="L95" i="9"/>
  <c r="K95" i="9"/>
  <c r="J95" i="9"/>
  <c r="I95" i="9"/>
  <c r="L94" i="9"/>
  <c r="K94" i="9"/>
  <c r="J94" i="9"/>
  <c r="I94" i="9"/>
  <c r="L93" i="9"/>
  <c r="K93" i="9"/>
  <c r="J93" i="9"/>
  <c r="I93" i="9"/>
  <c r="L92" i="9"/>
  <c r="K92" i="9"/>
  <c r="J92" i="9"/>
  <c r="I92" i="9"/>
  <c r="L91" i="9"/>
  <c r="K91" i="9"/>
  <c r="J91" i="9"/>
  <c r="I91" i="9"/>
  <c r="L90" i="9"/>
  <c r="K90" i="9"/>
  <c r="J90" i="9"/>
  <c r="I90" i="9"/>
  <c r="L89" i="9"/>
  <c r="K89" i="9"/>
  <c r="J89" i="9"/>
  <c r="I89" i="9"/>
  <c r="L88" i="9"/>
  <c r="K88" i="9"/>
  <c r="J88" i="9"/>
  <c r="I88" i="9"/>
  <c r="L87" i="9"/>
  <c r="K87" i="9"/>
  <c r="J87" i="9"/>
  <c r="I87" i="9"/>
  <c r="L86" i="9"/>
  <c r="K86" i="9"/>
  <c r="J86" i="9"/>
  <c r="I86" i="9"/>
  <c r="L85" i="9"/>
  <c r="K85" i="9"/>
  <c r="J85" i="9"/>
  <c r="I85" i="9"/>
  <c r="L84" i="9"/>
  <c r="K84" i="9"/>
  <c r="J84" i="9"/>
  <c r="I84" i="9"/>
  <c r="L83" i="9"/>
  <c r="K83" i="9"/>
  <c r="J83" i="9"/>
  <c r="I83" i="9"/>
  <c r="L82" i="9"/>
  <c r="K82" i="9"/>
  <c r="J82" i="9"/>
  <c r="I82" i="9"/>
  <c r="R81" i="9"/>
  <c r="Q81" i="9"/>
  <c r="P81" i="9"/>
  <c r="L81" i="9"/>
  <c r="K81" i="9"/>
  <c r="J81" i="9"/>
  <c r="I81" i="9"/>
  <c r="L80" i="9"/>
  <c r="K80" i="9"/>
  <c r="J80" i="9"/>
  <c r="I80" i="9"/>
  <c r="L79" i="9"/>
  <c r="K79" i="9"/>
  <c r="J79" i="9"/>
  <c r="I79" i="9"/>
  <c r="L77" i="9"/>
  <c r="K77" i="9"/>
  <c r="J77" i="9"/>
  <c r="I77" i="9"/>
  <c r="L76" i="9"/>
  <c r="K76" i="9"/>
  <c r="J76" i="9"/>
  <c r="I76" i="9"/>
  <c r="L75" i="9"/>
  <c r="K75" i="9"/>
  <c r="J75" i="9"/>
  <c r="I75" i="9"/>
  <c r="L74" i="9"/>
  <c r="K74" i="9"/>
  <c r="J74" i="9"/>
  <c r="I74" i="9"/>
  <c r="L73" i="9"/>
  <c r="K73" i="9"/>
  <c r="J73" i="9"/>
  <c r="I73" i="9"/>
  <c r="O72" i="9"/>
  <c r="L72" i="9"/>
  <c r="K72" i="9"/>
  <c r="J72" i="9"/>
  <c r="I72" i="9"/>
  <c r="L70" i="9"/>
  <c r="K70" i="9"/>
  <c r="J70" i="9"/>
  <c r="I70" i="9"/>
  <c r="L69" i="9"/>
  <c r="K69" i="9"/>
  <c r="J69" i="9"/>
  <c r="I69" i="9"/>
  <c r="L68" i="9"/>
  <c r="K68" i="9"/>
  <c r="J68" i="9"/>
  <c r="I68" i="9"/>
  <c r="L67" i="9"/>
  <c r="K67" i="9"/>
  <c r="J67" i="9"/>
  <c r="I67" i="9"/>
  <c r="L66" i="9"/>
  <c r="K66" i="9"/>
  <c r="J66" i="9"/>
  <c r="I66" i="9"/>
  <c r="L65" i="9"/>
  <c r="K65" i="9"/>
  <c r="J65" i="9"/>
  <c r="I65" i="9"/>
  <c r="L64" i="9"/>
  <c r="K64" i="9"/>
  <c r="J64" i="9"/>
  <c r="I64" i="9"/>
  <c r="L59" i="9"/>
  <c r="K59" i="9"/>
  <c r="J59" i="9"/>
  <c r="I59" i="9"/>
  <c r="L57" i="9"/>
  <c r="K57" i="9"/>
  <c r="J57" i="9"/>
  <c r="I57" i="9"/>
  <c r="L56" i="9"/>
  <c r="K56" i="9"/>
  <c r="J56" i="9"/>
  <c r="I56" i="9"/>
  <c r="L55" i="9"/>
  <c r="K55" i="9"/>
  <c r="J55" i="9"/>
  <c r="I55" i="9"/>
  <c r="L54" i="9"/>
  <c r="K54" i="9"/>
  <c r="J54" i="9"/>
  <c r="I54" i="9"/>
  <c r="L53" i="9"/>
  <c r="K53" i="9"/>
  <c r="J53" i="9"/>
  <c r="I53" i="9"/>
  <c r="L52" i="9"/>
  <c r="K52" i="9"/>
  <c r="J52" i="9"/>
  <c r="I52" i="9"/>
  <c r="L51" i="9"/>
  <c r="K51" i="9"/>
  <c r="J51" i="9"/>
  <c r="I51" i="9"/>
  <c r="L50" i="9"/>
  <c r="K50" i="9"/>
  <c r="J50" i="9"/>
  <c r="I50" i="9"/>
  <c r="L49" i="9"/>
  <c r="K49" i="9"/>
  <c r="J49" i="9"/>
  <c r="I49" i="9"/>
  <c r="L48" i="9"/>
  <c r="K48" i="9"/>
  <c r="J48" i="9"/>
  <c r="I48" i="9"/>
  <c r="L47" i="9"/>
  <c r="K47" i="9"/>
  <c r="J47" i="9"/>
  <c r="I47" i="9"/>
  <c r="L46" i="9"/>
  <c r="K46" i="9"/>
  <c r="J46" i="9"/>
  <c r="I46" i="9"/>
  <c r="L45" i="9"/>
  <c r="K45" i="9"/>
  <c r="J45" i="9"/>
  <c r="I45" i="9"/>
  <c r="L44" i="9"/>
  <c r="K44" i="9"/>
  <c r="J44" i="9"/>
  <c r="I44" i="9"/>
  <c r="L43" i="9"/>
  <c r="K43" i="9"/>
  <c r="J43" i="9"/>
  <c r="I43" i="9"/>
  <c r="L42" i="9"/>
  <c r="K42" i="9"/>
  <c r="J42" i="9"/>
  <c r="I42" i="9"/>
  <c r="L41" i="9"/>
  <c r="K41" i="9"/>
  <c r="J41" i="9"/>
  <c r="I41" i="9"/>
  <c r="L40" i="9"/>
  <c r="K40" i="9"/>
  <c r="J40" i="9"/>
  <c r="I40" i="9"/>
  <c r="L39" i="9"/>
  <c r="K39" i="9"/>
  <c r="J39" i="9"/>
  <c r="I39" i="9"/>
  <c r="L38" i="9"/>
  <c r="K38" i="9"/>
  <c r="J38" i="9"/>
  <c r="I38" i="9"/>
  <c r="L37" i="9"/>
  <c r="K37" i="9"/>
  <c r="J37" i="9"/>
  <c r="I37" i="9"/>
  <c r="L36" i="9"/>
  <c r="K36" i="9"/>
  <c r="J36" i="9"/>
  <c r="I36" i="9"/>
  <c r="L35" i="9"/>
  <c r="K35" i="9"/>
  <c r="J35" i="9"/>
  <c r="I35" i="9"/>
  <c r="L34" i="9"/>
  <c r="K34" i="9"/>
  <c r="J34" i="9"/>
  <c r="I34" i="9"/>
  <c r="L33" i="9"/>
  <c r="K33" i="9"/>
  <c r="J33" i="9"/>
  <c r="I33" i="9"/>
  <c r="L29" i="9"/>
  <c r="K29" i="9"/>
  <c r="J29" i="9"/>
  <c r="I29" i="9"/>
  <c r="L28" i="9"/>
  <c r="K28" i="9"/>
  <c r="J28" i="9"/>
  <c r="I28" i="9"/>
  <c r="L27" i="9"/>
  <c r="K27" i="9"/>
  <c r="J27" i="9"/>
  <c r="I27" i="9"/>
  <c r="L26" i="9"/>
  <c r="K26" i="9"/>
  <c r="J26" i="9"/>
  <c r="I26" i="9"/>
  <c r="L25" i="9"/>
  <c r="K25" i="9"/>
  <c r="J25" i="9"/>
  <c r="I25" i="9"/>
  <c r="L24" i="9"/>
  <c r="K24" i="9"/>
  <c r="J24" i="9"/>
  <c r="I24" i="9"/>
  <c r="L23" i="9"/>
  <c r="K23" i="9"/>
  <c r="J23" i="9"/>
  <c r="I23" i="9"/>
  <c r="L22" i="9"/>
  <c r="K22" i="9"/>
  <c r="J22" i="9"/>
  <c r="I22" i="9"/>
  <c r="L21" i="9"/>
  <c r="K21" i="9"/>
  <c r="J21" i="9"/>
  <c r="I21" i="9"/>
  <c r="L17" i="9"/>
  <c r="K17" i="9"/>
  <c r="J17" i="9"/>
  <c r="I17" i="9"/>
  <c r="L16" i="9"/>
  <c r="K16" i="9"/>
  <c r="J16" i="9"/>
  <c r="I16" i="9"/>
  <c r="L15" i="9"/>
  <c r="K15" i="9"/>
  <c r="J15" i="9"/>
  <c r="I15" i="9"/>
  <c r="L14" i="9"/>
  <c r="K14" i="9"/>
  <c r="J14" i="9"/>
  <c r="I14" i="9"/>
  <c r="L13" i="9"/>
  <c r="K13" i="9"/>
  <c r="J13" i="9"/>
  <c r="I13" i="9"/>
  <c r="L12" i="9"/>
  <c r="K12" i="9"/>
  <c r="J12" i="9"/>
  <c r="I12" i="9"/>
  <c r="H149" i="7"/>
  <c r="I149" i="7"/>
  <c r="J149" i="7"/>
  <c r="K149" i="7"/>
  <c r="L149" i="7"/>
  <c r="R149" i="7" s="1"/>
  <c r="H150" i="7"/>
  <c r="I150" i="7"/>
  <c r="J150" i="7"/>
  <c r="K150" i="7"/>
  <c r="L150" i="7"/>
  <c r="R150" i="7" s="1"/>
  <c r="H158" i="7"/>
  <c r="I158" i="7"/>
  <c r="J158" i="7"/>
  <c r="K158" i="7"/>
  <c r="L158" i="7"/>
  <c r="R158" i="7" s="1"/>
  <c r="N148" i="7"/>
  <c r="O148" i="7"/>
  <c r="P148" i="7"/>
  <c r="I19" i="9" l="1"/>
  <c r="I100" i="9"/>
  <c r="L19" i="9"/>
  <c r="K19" i="9"/>
  <c r="J19" i="9"/>
  <c r="K100" i="9"/>
  <c r="L100" i="9"/>
  <c r="I124" i="9"/>
  <c r="J124" i="9"/>
  <c r="K124" i="9"/>
  <c r="L124" i="9"/>
  <c r="J100" i="9"/>
  <c r="K93" i="7"/>
  <c r="J93" i="7"/>
  <c r="I93" i="7"/>
  <c r="H93" i="7"/>
  <c r="G575" i="7"/>
  <c r="M575" i="7" l="1"/>
  <c r="U8" i="7"/>
  <c r="G1232" i="7" l="1"/>
  <c r="G1227" i="7"/>
  <c r="G1220" i="7"/>
  <c r="K1080" i="7"/>
  <c r="K1079" i="7"/>
  <c r="K1078" i="7"/>
  <c r="J1077" i="7"/>
  <c r="G1063" i="7"/>
  <c r="G1100" i="7"/>
  <c r="G1081" i="7"/>
  <c r="G1054" i="7"/>
  <c r="G1037" i="7"/>
  <c r="G1147" i="7"/>
  <c r="G668" i="7"/>
  <c r="G116" i="7"/>
  <c r="G100" i="7"/>
  <c r="H100" i="7" s="1"/>
  <c r="L100" i="7"/>
  <c r="R100" i="7" s="1"/>
  <c r="K100" i="7"/>
  <c r="J100" i="7"/>
  <c r="I100" i="7"/>
  <c r="N433" i="7"/>
  <c r="O433" i="7"/>
  <c r="P433" i="7"/>
  <c r="M433" i="7"/>
  <c r="L434" i="7"/>
  <c r="R434" i="7" s="1"/>
  <c r="K434" i="7"/>
  <c r="J434" i="7"/>
  <c r="I434" i="7"/>
  <c r="H434" i="7"/>
  <c r="L481" i="7"/>
  <c r="R481" i="7" s="1"/>
  <c r="K481" i="7"/>
  <c r="J481" i="7"/>
  <c r="I481" i="7"/>
  <c r="H481" i="7"/>
  <c r="N459" i="7"/>
  <c r="O459" i="7"/>
  <c r="P459" i="7"/>
  <c r="N233" i="7"/>
  <c r="O233" i="7"/>
  <c r="P233" i="7"/>
  <c r="N183" i="7"/>
  <c r="O183" i="7"/>
  <c r="P183" i="7"/>
  <c r="N176" i="7"/>
  <c r="O176" i="7"/>
  <c r="P176" i="7"/>
  <c r="N174" i="7"/>
  <c r="O174" i="7"/>
  <c r="P174" i="7"/>
  <c r="N116" i="7"/>
  <c r="O116" i="7"/>
  <c r="P116" i="7"/>
  <c r="N109" i="7"/>
  <c r="O109" i="7"/>
  <c r="P109" i="7"/>
  <c r="M109" i="7"/>
  <c r="H110" i="7"/>
  <c r="I110" i="7"/>
  <c r="J110" i="7"/>
  <c r="K110" i="7"/>
  <c r="L110" i="7"/>
  <c r="R110" i="7" s="1"/>
  <c r="H111" i="7"/>
  <c r="I111" i="7"/>
  <c r="J111" i="7"/>
  <c r="K111" i="7"/>
  <c r="L111" i="7"/>
  <c r="R111" i="7" s="1"/>
  <c r="M227" i="7"/>
  <c r="N227" i="7"/>
  <c r="H187" i="7"/>
  <c r="N186" i="7"/>
  <c r="O186" i="7"/>
  <c r="P186" i="7"/>
  <c r="M186" i="7"/>
  <c r="P534" i="7"/>
  <c r="O534" i="7"/>
  <c r="N534" i="7"/>
  <c r="M534" i="7"/>
  <c r="K534" i="7"/>
  <c r="J534" i="7"/>
  <c r="I534" i="7"/>
  <c r="G534" i="7"/>
  <c r="G186" i="7"/>
  <c r="I187" i="7"/>
  <c r="J187" i="7"/>
  <c r="K187" i="7"/>
  <c r="L187" i="7"/>
  <c r="R187" i="7" s="1"/>
  <c r="G1036" i="7" l="1"/>
  <c r="H533" i="7"/>
  <c r="G529" i="7"/>
  <c r="L531" i="7"/>
  <c r="L532" i="7"/>
  <c r="L533" i="7"/>
  <c r="M529" i="7"/>
  <c r="M528" i="7" s="1"/>
  <c r="G304" i="7" l="1"/>
  <c r="G300" i="7"/>
  <c r="G279" i="7"/>
  <c r="G294" i="7"/>
  <c r="U1251" i="7" l="1"/>
  <c r="I1261" i="7"/>
  <c r="I1254" i="7"/>
  <c r="H1254" i="7"/>
  <c r="J1271" i="7"/>
  <c r="I1270" i="7"/>
  <c r="I1269" i="7"/>
  <c r="H1268" i="7"/>
  <c r="H1267" i="7"/>
  <c r="H50" i="7"/>
  <c r="H51" i="7"/>
  <c r="H52" i="7"/>
  <c r="H53" i="7"/>
  <c r="H10" i="7"/>
  <c r="L165" i="7"/>
  <c r="R165" i="7" s="1"/>
  <c r="H165" i="7"/>
  <c r="I165" i="7"/>
  <c r="J165" i="7"/>
  <c r="K165" i="7"/>
  <c r="I154" i="7"/>
  <c r="G262" i="7"/>
  <c r="M262" i="7"/>
  <c r="N262" i="7"/>
  <c r="O262" i="7"/>
  <c r="P262" i="7"/>
  <c r="I263" i="7"/>
  <c r="J263" i="7"/>
  <c r="K263" i="7"/>
  <c r="L263" i="7"/>
  <c r="R263" i="7" s="1"/>
  <c r="H264" i="7"/>
  <c r="I264" i="7"/>
  <c r="J264" i="7"/>
  <c r="K264" i="7"/>
  <c r="L264" i="7"/>
  <c r="R264" i="7" s="1"/>
  <c r="H265" i="7"/>
  <c r="I265" i="7"/>
  <c r="J265" i="7"/>
  <c r="K265" i="7"/>
  <c r="L265" i="7"/>
  <c r="R265" i="7" s="1"/>
  <c r="H266" i="7"/>
  <c r="I266" i="7"/>
  <c r="J266" i="7"/>
  <c r="K266" i="7"/>
  <c r="L266" i="7"/>
  <c r="R266" i="7" s="1"/>
  <c r="H267" i="7"/>
  <c r="I267" i="7"/>
  <c r="J267" i="7"/>
  <c r="K267" i="7"/>
  <c r="L267" i="7"/>
  <c r="R267" i="7" s="1"/>
  <c r="G268" i="7"/>
  <c r="M268" i="7"/>
  <c r="N268" i="7"/>
  <c r="O268" i="7"/>
  <c r="P268" i="7"/>
  <c r="H269" i="7"/>
  <c r="I269" i="7"/>
  <c r="J269" i="7"/>
  <c r="K269" i="7"/>
  <c r="L269" i="7"/>
  <c r="R269" i="7" s="1"/>
  <c r="I270" i="7"/>
  <c r="J270" i="7"/>
  <c r="K270" i="7"/>
  <c r="L270" i="7"/>
  <c r="R270" i="7" s="1"/>
  <c r="H271" i="7"/>
  <c r="I271" i="7"/>
  <c r="J271" i="7"/>
  <c r="K271" i="7"/>
  <c r="L271" i="7"/>
  <c r="R271" i="7" s="1"/>
  <c r="H272" i="7"/>
  <c r="I272" i="7"/>
  <c r="J272" i="7"/>
  <c r="K272" i="7"/>
  <c r="L272" i="7"/>
  <c r="R272" i="7" s="1"/>
  <c r="H273" i="7"/>
  <c r="I273" i="7"/>
  <c r="J273" i="7"/>
  <c r="K273" i="7"/>
  <c r="L273" i="7"/>
  <c r="R273" i="7" s="1"/>
  <c r="G274" i="7"/>
  <c r="M274" i="7"/>
  <c r="N274" i="7"/>
  <c r="O274" i="7"/>
  <c r="P274" i="7"/>
  <c r="H274" i="7"/>
  <c r="I275" i="7"/>
  <c r="P72" i="9" s="1"/>
  <c r="J275" i="7"/>
  <c r="Q72" i="9" s="1"/>
  <c r="K275" i="7"/>
  <c r="R72" i="9" s="1"/>
  <c r="L275" i="7"/>
  <c r="R275" i="7" s="1"/>
  <c r="L276" i="7"/>
  <c r="R276" i="7" s="1"/>
  <c r="G278" i="7"/>
  <c r="M278" i="7"/>
  <c r="N278" i="7"/>
  <c r="O278" i="7"/>
  <c r="P278" i="7"/>
  <c r="H279" i="7"/>
  <c r="I279" i="7"/>
  <c r="J279" i="7"/>
  <c r="K279" i="7"/>
  <c r="L279" i="7"/>
  <c r="R279" i="7" s="1"/>
  <c r="G280" i="7"/>
  <c r="M280" i="7"/>
  <c r="N280" i="7"/>
  <c r="O280" i="7"/>
  <c r="P280" i="7"/>
  <c r="H281" i="7"/>
  <c r="I281" i="7"/>
  <c r="J281" i="7"/>
  <c r="K281" i="7"/>
  <c r="L281" i="7"/>
  <c r="R281" i="7" s="1"/>
  <c r="H282" i="7"/>
  <c r="I282" i="7"/>
  <c r="J282" i="7"/>
  <c r="K282" i="7"/>
  <c r="L282" i="7"/>
  <c r="R282" i="7" s="1"/>
  <c r="H283" i="7"/>
  <c r="I283" i="7"/>
  <c r="J283" i="7"/>
  <c r="K283" i="7"/>
  <c r="L283" i="7"/>
  <c r="R283" i="7" s="1"/>
  <c r="H284" i="7"/>
  <c r="I284" i="7"/>
  <c r="J284" i="7"/>
  <c r="K284" i="7"/>
  <c r="L284" i="7"/>
  <c r="R284" i="7" s="1"/>
  <c r="H285" i="7"/>
  <c r="I285" i="7"/>
  <c r="J285" i="7"/>
  <c r="K285" i="7"/>
  <c r="L285" i="7"/>
  <c r="R285" i="7" s="1"/>
  <c r="L286" i="7"/>
  <c r="R286" i="7" s="1"/>
  <c r="G287" i="7"/>
  <c r="M287" i="7"/>
  <c r="N287" i="7"/>
  <c r="O287" i="7"/>
  <c r="P287" i="7"/>
  <c r="H288" i="7"/>
  <c r="I288" i="7"/>
  <c r="J288" i="7"/>
  <c r="K288" i="7"/>
  <c r="L288" i="7"/>
  <c r="R288" i="7" s="1"/>
  <c r="H289" i="7"/>
  <c r="I289" i="7"/>
  <c r="J289" i="7"/>
  <c r="K289" i="7"/>
  <c r="L289" i="7"/>
  <c r="R289" i="7" s="1"/>
  <c r="H290" i="7"/>
  <c r="I290" i="7"/>
  <c r="J290" i="7"/>
  <c r="K290" i="7"/>
  <c r="L290" i="7"/>
  <c r="R290" i="7" s="1"/>
  <c r="H291" i="7"/>
  <c r="I291" i="7"/>
  <c r="J291" i="7"/>
  <c r="K291" i="7"/>
  <c r="L291" i="7"/>
  <c r="R291" i="7" s="1"/>
  <c r="H292" i="7"/>
  <c r="I292" i="7"/>
  <c r="J292" i="7"/>
  <c r="K292" i="7"/>
  <c r="L292" i="7"/>
  <c r="R292" i="7" s="1"/>
  <c r="H293" i="7"/>
  <c r="I293" i="7"/>
  <c r="J293" i="7"/>
  <c r="K293" i="7"/>
  <c r="L293" i="7"/>
  <c r="R293" i="7" s="1"/>
  <c r="H294" i="7"/>
  <c r="I294" i="7"/>
  <c r="J294" i="7"/>
  <c r="K294" i="7"/>
  <c r="L294" i="7"/>
  <c r="R294" i="7" s="1"/>
  <c r="G295" i="7"/>
  <c r="M295" i="7"/>
  <c r="N295" i="7"/>
  <c r="O295" i="7"/>
  <c r="P295" i="7"/>
  <c r="H296" i="7"/>
  <c r="I296" i="7"/>
  <c r="J296" i="7"/>
  <c r="K296" i="7"/>
  <c r="L296" i="7"/>
  <c r="R296" i="7" s="1"/>
  <c r="H297" i="7"/>
  <c r="I297" i="7"/>
  <c r="J297" i="7"/>
  <c r="K297" i="7"/>
  <c r="L297" i="7"/>
  <c r="R297" i="7" s="1"/>
  <c r="H298" i="7"/>
  <c r="I298" i="7"/>
  <c r="J298" i="7"/>
  <c r="K298" i="7"/>
  <c r="L298" i="7"/>
  <c r="R298" i="7" s="1"/>
  <c r="H299" i="7"/>
  <c r="I299" i="7"/>
  <c r="J299" i="7"/>
  <c r="K299" i="7"/>
  <c r="L299" i="7"/>
  <c r="R299" i="7" s="1"/>
  <c r="L300" i="7"/>
  <c r="R300" i="7" s="1"/>
  <c r="G301" i="7"/>
  <c r="M301" i="7"/>
  <c r="N301" i="7"/>
  <c r="O301" i="7"/>
  <c r="P301" i="7"/>
  <c r="H302" i="7"/>
  <c r="I302" i="7"/>
  <c r="J302" i="7"/>
  <c r="K302" i="7"/>
  <c r="L302" i="7"/>
  <c r="R302" i="7" s="1"/>
  <c r="H303" i="7"/>
  <c r="I303" i="7"/>
  <c r="J303" i="7"/>
  <c r="K303" i="7"/>
  <c r="L303" i="7"/>
  <c r="R303" i="7" s="1"/>
  <c r="H304" i="7"/>
  <c r="I304" i="7"/>
  <c r="J304" i="7"/>
  <c r="K304" i="7"/>
  <c r="L304" i="7"/>
  <c r="R304" i="7" s="1"/>
  <c r="G306" i="7"/>
  <c r="G305" i="7" s="1"/>
  <c r="M306" i="7"/>
  <c r="M305" i="7" s="1"/>
  <c r="N306" i="7"/>
  <c r="O306" i="7"/>
  <c r="O305" i="7" s="1"/>
  <c r="P306" i="7"/>
  <c r="P305" i="7" s="1"/>
  <c r="H307" i="7"/>
  <c r="I307" i="7"/>
  <c r="J307" i="7"/>
  <c r="K307" i="7"/>
  <c r="L307" i="7"/>
  <c r="R307" i="7" s="1"/>
  <c r="M309" i="7"/>
  <c r="N309" i="7"/>
  <c r="O309" i="7"/>
  <c r="P309" i="7"/>
  <c r="I310" i="7"/>
  <c r="J310" i="7"/>
  <c r="K310" i="7"/>
  <c r="L310" i="7"/>
  <c r="R310" i="7" s="1"/>
  <c r="I311" i="7"/>
  <c r="J311" i="7"/>
  <c r="K311" i="7"/>
  <c r="L311" i="7"/>
  <c r="R311" i="7" s="1"/>
  <c r="I312" i="7"/>
  <c r="J312" i="7"/>
  <c r="K312" i="7"/>
  <c r="L312" i="7"/>
  <c r="R312" i="7" s="1"/>
  <c r="H313" i="7"/>
  <c r="I313" i="7"/>
  <c r="K313" i="7"/>
  <c r="L313" i="7"/>
  <c r="R313" i="7" s="1"/>
  <c r="H314" i="7"/>
  <c r="I314" i="7"/>
  <c r="K314" i="7"/>
  <c r="L314" i="7"/>
  <c r="R314" i="7" s="1"/>
  <c r="H315" i="7"/>
  <c r="I315" i="7"/>
  <c r="K315" i="7"/>
  <c r="L315" i="7"/>
  <c r="R315" i="7" s="1"/>
  <c r="I316" i="7"/>
  <c r="J316" i="7"/>
  <c r="K316" i="7"/>
  <c r="L316" i="7"/>
  <c r="R316" i="7" s="1"/>
  <c r="I317" i="7"/>
  <c r="J317" i="7"/>
  <c r="K317" i="7"/>
  <c r="L317" i="7"/>
  <c r="R317" i="7" s="1"/>
  <c r="L757" i="7"/>
  <c r="R757" i="7" s="1"/>
  <c r="K757" i="7"/>
  <c r="J757" i="7"/>
  <c r="I757" i="7"/>
  <c r="H757" i="7"/>
  <c r="L756" i="7"/>
  <c r="R756" i="7" s="1"/>
  <c r="K756" i="7"/>
  <c r="J756" i="7"/>
  <c r="I756" i="7"/>
  <c r="H756" i="7"/>
  <c r="P755" i="7"/>
  <c r="O755" i="7"/>
  <c r="N755" i="7"/>
  <c r="M755" i="7"/>
  <c r="G755" i="7"/>
  <c r="L754" i="7"/>
  <c r="R754" i="7" s="1"/>
  <c r="K754" i="7"/>
  <c r="J754" i="7"/>
  <c r="I754" i="7"/>
  <c r="H754" i="7"/>
  <c r="L753" i="7"/>
  <c r="R753" i="7" s="1"/>
  <c r="K753" i="7"/>
  <c r="J753" i="7"/>
  <c r="I753" i="7"/>
  <c r="H753" i="7"/>
  <c r="L752" i="7"/>
  <c r="R752" i="7" s="1"/>
  <c r="K752" i="7"/>
  <c r="J752" i="7"/>
  <c r="I752" i="7"/>
  <c r="H752" i="7"/>
  <c r="L751" i="7"/>
  <c r="R751" i="7" s="1"/>
  <c r="K751" i="7"/>
  <c r="J751" i="7"/>
  <c r="I751" i="7"/>
  <c r="H751" i="7"/>
  <c r="L750" i="7"/>
  <c r="R750" i="7" s="1"/>
  <c r="K750" i="7"/>
  <c r="J750" i="7"/>
  <c r="I750" i="7"/>
  <c r="H750" i="7"/>
  <c r="L749" i="7"/>
  <c r="R749" i="7" s="1"/>
  <c r="K749" i="7"/>
  <c r="J749" i="7"/>
  <c r="I749" i="7"/>
  <c r="H749" i="7"/>
  <c r="L748" i="7"/>
  <c r="R748" i="7" s="1"/>
  <c r="K748" i="7"/>
  <c r="J748" i="7"/>
  <c r="I748" i="7"/>
  <c r="H748" i="7"/>
  <c r="L747" i="7"/>
  <c r="R747" i="7" s="1"/>
  <c r="K747" i="7"/>
  <c r="J747" i="7"/>
  <c r="I747" i="7"/>
  <c r="H747" i="7"/>
  <c r="L746" i="7"/>
  <c r="R746" i="7" s="1"/>
  <c r="K746" i="7"/>
  <c r="J746" i="7"/>
  <c r="I746" i="7"/>
  <c r="H746" i="7"/>
  <c r="L745" i="7"/>
  <c r="R745" i="7" s="1"/>
  <c r="K745" i="7"/>
  <c r="J745" i="7"/>
  <c r="I745" i="7"/>
  <c r="H745" i="7"/>
  <c r="L744" i="7"/>
  <c r="R744" i="7" s="1"/>
  <c r="K744" i="7"/>
  <c r="J744" i="7"/>
  <c r="I744" i="7"/>
  <c r="H744" i="7"/>
  <c r="L743" i="7"/>
  <c r="R743" i="7" s="1"/>
  <c r="K743" i="7"/>
  <c r="J743" i="7"/>
  <c r="I743" i="7"/>
  <c r="H743" i="7"/>
  <c r="L742" i="7"/>
  <c r="R742" i="7" s="1"/>
  <c r="K742" i="7"/>
  <c r="J742" i="7"/>
  <c r="I742" i="7"/>
  <c r="H742" i="7"/>
  <c r="L741" i="7"/>
  <c r="R741" i="7" s="1"/>
  <c r="K741" i="7"/>
  <c r="J741" i="7"/>
  <c r="I741" i="7"/>
  <c r="H741" i="7"/>
  <c r="L740" i="7"/>
  <c r="R740" i="7" s="1"/>
  <c r="K740" i="7"/>
  <c r="J740" i="7"/>
  <c r="I740" i="7"/>
  <c r="H740" i="7"/>
  <c r="L739" i="7"/>
  <c r="R739" i="7" s="1"/>
  <c r="K739" i="7"/>
  <c r="J739" i="7"/>
  <c r="I739" i="7"/>
  <c r="H739" i="7"/>
  <c r="L738" i="7"/>
  <c r="R738" i="7" s="1"/>
  <c r="K738" i="7"/>
  <c r="J738" i="7"/>
  <c r="I738" i="7"/>
  <c r="H738" i="7"/>
  <c r="L737" i="7"/>
  <c r="R737" i="7" s="1"/>
  <c r="K737" i="7"/>
  <c r="J737" i="7"/>
  <c r="I737" i="7"/>
  <c r="H737" i="7"/>
  <c r="L736" i="7"/>
  <c r="R736" i="7" s="1"/>
  <c r="K736" i="7"/>
  <c r="J736" i="7"/>
  <c r="I736" i="7"/>
  <c r="H736" i="7"/>
  <c r="L735" i="7"/>
  <c r="R735" i="7" s="1"/>
  <c r="K735" i="7"/>
  <c r="J735" i="7"/>
  <c r="I735" i="7"/>
  <c r="H735" i="7"/>
  <c r="L734" i="7"/>
  <c r="R734" i="7" s="1"/>
  <c r="K734" i="7"/>
  <c r="J734" i="7"/>
  <c r="I734" i="7"/>
  <c r="H734" i="7"/>
  <c r="P733" i="7"/>
  <c r="O733" i="7"/>
  <c r="N733" i="7"/>
  <c r="M733" i="7"/>
  <c r="G733" i="7"/>
  <c r="L732" i="7"/>
  <c r="R732" i="7" s="1"/>
  <c r="K732" i="7"/>
  <c r="J732" i="7"/>
  <c r="I732" i="7"/>
  <c r="H732" i="7"/>
  <c r="L731" i="7"/>
  <c r="R731" i="7" s="1"/>
  <c r="K731" i="7"/>
  <c r="J731" i="7"/>
  <c r="I731" i="7"/>
  <c r="H731" i="7"/>
  <c r="L730" i="7"/>
  <c r="R730" i="7" s="1"/>
  <c r="K730" i="7"/>
  <c r="J730" i="7"/>
  <c r="I730" i="7"/>
  <c r="H730" i="7"/>
  <c r="L729" i="7"/>
  <c r="R729" i="7" s="1"/>
  <c r="K729" i="7"/>
  <c r="J729" i="7"/>
  <c r="I729" i="7"/>
  <c r="H729" i="7"/>
  <c r="L728" i="7"/>
  <c r="R728" i="7" s="1"/>
  <c r="K728" i="7"/>
  <c r="J728" i="7"/>
  <c r="I728" i="7"/>
  <c r="H728" i="7"/>
  <c r="L727" i="7"/>
  <c r="R727" i="7" s="1"/>
  <c r="K727" i="7"/>
  <c r="J727" i="7"/>
  <c r="I727" i="7"/>
  <c r="H727" i="7"/>
  <c r="L726" i="7"/>
  <c r="R726" i="7" s="1"/>
  <c r="K726" i="7"/>
  <c r="J726" i="7"/>
  <c r="I726" i="7"/>
  <c r="H726" i="7"/>
  <c r="L725" i="7"/>
  <c r="R725" i="7" s="1"/>
  <c r="K725" i="7"/>
  <c r="J725" i="7"/>
  <c r="I725" i="7"/>
  <c r="H725" i="7"/>
  <c r="L724" i="7"/>
  <c r="R724" i="7" s="1"/>
  <c r="K724" i="7"/>
  <c r="J724" i="7"/>
  <c r="I724" i="7"/>
  <c r="H724" i="7"/>
  <c r="L723" i="7"/>
  <c r="R723" i="7" s="1"/>
  <c r="K723" i="7"/>
  <c r="J723" i="7"/>
  <c r="I723" i="7"/>
  <c r="H723" i="7"/>
  <c r="L722" i="7"/>
  <c r="R722" i="7" s="1"/>
  <c r="K722" i="7"/>
  <c r="J722" i="7"/>
  <c r="I722" i="7"/>
  <c r="H722" i="7"/>
  <c r="L721" i="7"/>
  <c r="R721" i="7" s="1"/>
  <c r="K721" i="7"/>
  <c r="J721" i="7"/>
  <c r="I721" i="7"/>
  <c r="H721" i="7"/>
  <c r="L720" i="7"/>
  <c r="R720" i="7" s="1"/>
  <c r="K720" i="7"/>
  <c r="J720" i="7"/>
  <c r="I720" i="7"/>
  <c r="H720" i="7"/>
  <c r="L719" i="7"/>
  <c r="R719" i="7" s="1"/>
  <c r="K719" i="7"/>
  <c r="J719" i="7"/>
  <c r="I719" i="7"/>
  <c r="H719" i="7"/>
  <c r="L718" i="7"/>
  <c r="R718" i="7" s="1"/>
  <c r="K718" i="7"/>
  <c r="J718" i="7"/>
  <c r="I718" i="7"/>
  <c r="H718" i="7"/>
  <c r="L717" i="7"/>
  <c r="R717" i="7" s="1"/>
  <c r="K717" i="7"/>
  <c r="J717" i="7"/>
  <c r="I717" i="7"/>
  <c r="H717" i="7"/>
  <c r="L716" i="7"/>
  <c r="R716" i="7" s="1"/>
  <c r="K716" i="7"/>
  <c r="J716" i="7"/>
  <c r="I716" i="7"/>
  <c r="H716" i="7"/>
  <c r="L715" i="7"/>
  <c r="R715" i="7" s="1"/>
  <c r="K715" i="7"/>
  <c r="J715" i="7"/>
  <c r="I715" i="7"/>
  <c r="H715" i="7"/>
  <c r="L714" i="7"/>
  <c r="R714" i="7" s="1"/>
  <c r="K714" i="7"/>
  <c r="J714" i="7"/>
  <c r="I714" i="7"/>
  <c r="H714" i="7"/>
  <c r="L713" i="7"/>
  <c r="R713" i="7" s="1"/>
  <c r="K713" i="7"/>
  <c r="J713" i="7"/>
  <c r="I713" i="7"/>
  <c r="H713" i="7"/>
  <c r="L712" i="7"/>
  <c r="R712" i="7" s="1"/>
  <c r="K712" i="7"/>
  <c r="J712" i="7"/>
  <c r="I712" i="7"/>
  <c r="H712" i="7"/>
  <c r="L711" i="7"/>
  <c r="R711" i="7" s="1"/>
  <c r="K711" i="7"/>
  <c r="J711" i="7"/>
  <c r="I711" i="7"/>
  <c r="H711" i="7"/>
  <c r="L710" i="7"/>
  <c r="R710" i="7" s="1"/>
  <c r="K710" i="7"/>
  <c r="J710" i="7"/>
  <c r="I710" i="7"/>
  <c r="H710" i="7"/>
  <c r="L709" i="7"/>
  <c r="R709" i="7" s="1"/>
  <c r="K709" i="7"/>
  <c r="J709" i="7"/>
  <c r="I709" i="7"/>
  <c r="H709" i="7"/>
  <c r="L708" i="7"/>
  <c r="R708" i="7" s="1"/>
  <c r="K708" i="7"/>
  <c r="J708" i="7"/>
  <c r="I708" i="7"/>
  <c r="H708" i="7"/>
  <c r="L707" i="7"/>
  <c r="R707" i="7" s="1"/>
  <c r="K707" i="7"/>
  <c r="J707" i="7"/>
  <c r="I707" i="7"/>
  <c r="H707" i="7"/>
  <c r="P706" i="7"/>
  <c r="O706" i="7"/>
  <c r="N706" i="7"/>
  <c r="M706" i="7"/>
  <c r="G706" i="7"/>
  <c r="L705" i="7"/>
  <c r="R705" i="7" s="1"/>
  <c r="K705" i="7"/>
  <c r="J705" i="7"/>
  <c r="I705" i="7"/>
  <c r="H705" i="7"/>
  <c r="L704" i="7"/>
  <c r="R704" i="7" s="1"/>
  <c r="K704" i="7"/>
  <c r="J704" i="7"/>
  <c r="I704" i="7"/>
  <c r="H704" i="7"/>
  <c r="L703" i="7"/>
  <c r="R703" i="7" s="1"/>
  <c r="K703" i="7"/>
  <c r="J703" i="7"/>
  <c r="I703" i="7"/>
  <c r="H703" i="7"/>
  <c r="L702" i="7"/>
  <c r="R702" i="7" s="1"/>
  <c r="K702" i="7"/>
  <c r="J702" i="7"/>
  <c r="I702" i="7"/>
  <c r="H702" i="7"/>
  <c r="L701" i="7"/>
  <c r="R701" i="7" s="1"/>
  <c r="K701" i="7"/>
  <c r="J701" i="7"/>
  <c r="I701" i="7"/>
  <c r="H701" i="7"/>
  <c r="L700" i="7"/>
  <c r="R700" i="7" s="1"/>
  <c r="K700" i="7"/>
  <c r="J700" i="7"/>
  <c r="I700" i="7"/>
  <c r="H700" i="7"/>
  <c r="L699" i="7"/>
  <c r="R699" i="7" s="1"/>
  <c r="K699" i="7"/>
  <c r="J699" i="7"/>
  <c r="I699" i="7"/>
  <c r="H699" i="7"/>
  <c r="L698" i="7"/>
  <c r="R698" i="7" s="1"/>
  <c r="K698" i="7"/>
  <c r="J698" i="7"/>
  <c r="I698" i="7"/>
  <c r="H698" i="7"/>
  <c r="L697" i="7"/>
  <c r="R697" i="7" s="1"/>
  <c r="K697" i="7"/>
  <c r="J697" i="7"/>
  <c r="I697" i="7"/>
  <c r="H697" i="7"/>
  <c r="L696" i="7"/>
  <c r="R696" i="7" s="1"/>
  <c r="K696" i="7"/>
  <c r="J696" i="7"/>
  <c r="I696" i="7"/>
  <c r="H696" i="7"/>
  <c r="L695" i="7"/>
  <c r="R695" i="7" s="1"/>
  <c r="K695" i="7"/>
  <c r="J695" i="7"/>
  <c r="I695" i="7"/>
  <c r="H695" i="7"/>
  <c r="L694" i="7"/>
  <c r="R694" i="7" s="1"/>
  <c r="K694" i="7"/>
  <c r="J694" i="7"/>
  <c r="I694" i="7"/>
  <c r="H694" i="7"/>
  <c r="L693" i="7"/>
  <c r="R693" i="7" s="1"/>
  <c r="K693" i="7"/>
  <c r="J693" i="7"/>
  <c r="I693" i="7"/>
  <c r="H693" i="7"/>
  <c r="L692" i="7"/>
  <c r="R692" i="7" s="1"/>
  <c r="K692" i="7"/>
  <c r="J692" i="7"/>
  <c r="I692" i="7"/>
  <c r="H692" i="7"/>
  <c r="L691" i="7"/>
  <c r="R691" i="7" s="1"/>
  <c r="K691" i="7"/>
  <c r="J691" i="7"/>
  <c r="I691" i="7"/>
  <c r="H691" i="7"/>
  <c r="L690" i="7"/>
  <c r="R690" i="7" s="1"/>
  <c r="K690" i="7"/>
  <c r="J690" i="7"/>
  <c r="I690" i="7"/>
  <c r="H690" i="7"/>
  <c r="L689" i="7"/>
  <c r="R689" i="7" s="1"/>
  <c r="K689" i="7"/>
  <c r="J689" i="7"/>
  <c r="I689" i="7"/>
  <c r="H689" i="7"/>
  <c r="L688" i="7"/>
  <c r="R688" i="7" s="1"/>
  <c r="K688" i="7"/>
  <c r="J688" i="7"/>
  <c r="I688" i="7"/>
  <c r="H688" i="7"/>
  <c r="L687" i="7"/>
  <c r="R687" i="7" s="1"/>
  <c r="K687" i="7"/>
  <c r="J687" i="7"/>
  <c r="I687" i="7"/>
  <c r="H687" i="7"/>
  <c r="L686" i="7"/>
  <c r="R686" i="7" s="1"/>
  <c r="K686" i="7"/>
  <c r="J686" i="7"/>
  <c r="I686" i="7"/>
  <c r="H686" i="7"/>
  <c r="L685" i="7"/>
  <c r="R685" i="7" s="1"/>
  <c r="K685" i="7"/>
  <c r="J685" i="7"/>
  <c r="I685" i="7"/>
  <c r="H685" i="7"/>
  <c r="L684" i="7"/>
  <c r="R684" i="7" s="1"/>
  <c r="K684" i="7"/>
  <c r="J684" i="7"/>
  <c r="I684" i="7"/>
  <c r="H684" i="7"/>
  <c r="L683" i="7"/>
  <c r="R683" i="7" s="1"/>
  <c r="K683" i="7"/>
  <c r="J683" i="7"/>
  <c r="I683" i="7"/>
  <c r="H683" i="7"/>
  <c r="L682" i="7"/>
  <c r="R682" i="7" s="1"/>
  <c r="K682" i="7"/>
  <c r="J682" i="7"/>
  <c r="I682" i="7"/>
  <c r="H682" i="7"/>
  <c r="L681" i="7"/>
  <c r="R681" i="7" s="1"/>
  <c r="K681" i="7"/>
  <c r="J681" i="7"/>
  <c r="I681" i="7"/>
  <c r="H681" i="7"/>
  <c r="L680" i="7"/>
  <c r="R680" i="7" s="1"/>
  <c r="K680" i="7"/>
  <c r="J680" i="7"/>
  <c r="I680" i="7"/>
  <c r="H680" i="7"/>
  <c r="L679" i="7"/>
  <c r="R679" i="7" s="1"/>
  <c r="K679" i="7"/>
  <c r="J679" i="7"/>
  <c r="I679" i="7"/>
  <c r="H679" i="7"/>
  <c r="L678" i="7"/>
  <c r="R678" i="7" s="1"/>
  <c r="K678" i="7"/>
  <c r="J678" i="7"/>
  <c r="I678" i="7"/>
  <c r="H678" i="7"/>
  <c r="L677" i="7"/>
  <c r="R677" i="7" s="1"/>
  <c r="K677" i="7"/>
  <c r="J677" i="7"/>
  <c r="I677" i="7"/>
  <c r="H677" i="7"/>
  <c r="L676" i="7"/>
  <c r="R676" i="7" s="1"/>
  <c r="K676" i="7"/>
  <c r="J676" i="7"/>
  <c r="I676" i="7"/>
  <c r="H676" i="7"/>
  <c r="P675" i="7"/>
  <c r="O675" i="7"/>
  <c r="N675" i="7"/>
  <c r="M675" i="7"/>
  <c r="G675" i="7"/>
  <c r="G639" i="7"/>
  <c r="M639" i="7"/>
  <c r="N639" i="7"/>
  <c r="O639" i="7"/>
  <c r="P639" i="7"/>
  <c r="H640" i="7"/>
  <c r="I640" i="7"/>
  <c r="J640" i="7"/>
  <c r="K640" i="7"/>
  <c r="L640" i="7"/>
  <c r="R640" i="7" s="1"/>
  <c r="H641" i="7"/>
  <c r="I641" i="7"/>
  <c r="J641" i="7"/>
  <c r="K641" i="7"/>
  <c r="L641" i="7"/>
  <c r="R641" i="7" s="1"/>
  <c r="H642" i="7"/>
  <c r="I642" i="7"/>
  <c r="J642" i="7"/>
  <c r="K642" i="7"/>
  <c r="L642" i="7"/>
  <c r="R642" i="7" s="1"/>
  <c r="H643" i="7"/>
  <c r="I643" i="7"/>
  <c r="J643" i="7"/>
  <c r="K643" i="7"/>
  <c r="L643" i="7"/>
  <c r="R643" i="7" s="1"/>
  <c r="H644" i="7"/>
  <c r="I644" i="7"/>
  <c r="J644" i="7"/>
  <c r="K644" i="7"/>
  <c r="L644" i="7"/>
  <c r="R644" i="7" s="1"/>
  <c r="H645" i="7"/>
  <c r="I645" i="7"/>
  <c r="J645" i="7"/>
  <c r="K645" i="7"/>
  <c r="L645" i="7"/>
  <c r="R645" i="7" s="1"/>
  <c r="H646" i="7"/>
  <c r="I646" i="7"/>
  <c r="J646" i="7"/>
  <c r="K646" i="7"/>
  <c r="L646" i="7"/>
  <c r="R646" i="7" s="1"/>
  <c r="H647" i="7"/>
  <c r="I647" i="7"/>
  <c r="J647" i="7"/>
  <c r="K647" i="7"/>
  <c r="L647" i="7"/>
  <c r="R647" i="7" s="1"/>
  <c r="H648" i="7"/>
  <c r="I648" i="7"/>
  <c r="J648" i="7"/>
  <c r="K648" i="7"/>
  <c r="L648" i="7"/>
  <c r="R648" i="7" s="1"/>
  <c r="H649" i="7"/>
  <c r="I649" i="7"/>
  <c r="J649" i="7"/>
  <c r="K649" i="7"/>
  <c r="L649" i="7"/>
  <c r="R649" i="7" s="1"/>
  <c r="H650" i="7"/>
  <c r="I650" i="7"/>
  <c r="J650" i="7"/>
  <c r="K650" i="7"/>
  <c r="L650" i="7"/>
  <c r="R650" i="7" s="1"/>
  <c r="H651" i="7"/>
  <c r="I651" i="7"/>
  <c r="J651" i="7"/>
  <c r="K651" i="7"/>
  <c r="L651" i="7"/>
  <c r="R651" i="7" s="1"/>
  <c r="G652" i="7"/>
  <c r="M652" i="7"/>
  <c r="N652" i="7"/>
  <c r="O652" i="7"/>
  <c r="P652" i="7"/>
  <c r="H653" i="7"/>
  <c r="I653" i="7"/>
  <c r="J653" i="7"/>
  <c r="K653" i="7"/>
  <c r="L653" i="7"/>
  <c r="R653" i="7" s="1"/>
  <c r="H654" i="7"/>
  <c r="I654" i="7"/>
  <c r="J654" i="7"/>
  <c r="K654" i="7"/>
  <c r="L654" i="7"/>
  <c r="R654" i="7" s="1"/>
  <c r="H655" i="7"/>
  <c r="I655" i="7"/>
  <c r="J655" i="7"/>
  <c r="K655" i="7"/>
  <c r="L655" i="7"/>
  <c r="R655" i="7" s="1"/>
  <c r="H656" i="7"/>
  <c r="I656" i="7"/>
  <c r="J656" i="7"/>
  <c r="K656" i="7"/>
  <c r="L656" i="7"/>
  <c r="R656" i="7" s="1"/>
  <c r="H657" i="7"/>
  <c r="I657" i="7"/>
  <c r="J657" i="7"/>
  <c r="K657" i="7"/>
  <c r="L657" i="7"/>
  <c r="R657" i="7" s="1"/>
  <c r="H658" i="7"/>
  <c r="I658" i="7"/>
  <c r="J658" i="7"/>
  <c r="K658" i="7"/>
  <c r="L658" i="7"/>
  <c r="R658" i="7" s="1"/>
  <c r="H659" i="7"/>
  <c r="I659" i="7"/>
  <c r="J659" i="7"/>
  <c r="K659" i="7"/>
  <c r="L659" i="7"/>
  <c r="R659" i="7" s="1"/>
  <c r="G660" i="7"/>
  <c r="M660" i="7"/>
  <c r="N660" i="7"/>
  <c r="O660" i="7"/>
  <c r="P660" i="7"/>
  <c r="H661" i="7"/>
  <c r="I661" i="7"/>
  <c r="J661" i="7"/>
  <c r="K661" i="7"/>
  <c r="L661" i="7"/>
  <c r="R661" i="7" s="1"/>
  <c r="H662" i="7"/>
  <c r="I662" i="7"/>
  <c r="J662" i="7"/>
  <c r="K662" i="7"/>
  <c r="L662" i="7"/>
  <c r="R662" i="7" s="1"/>
  <c r="H663" i="7"/>
  <c r="I663" i="7"/>
  <c r="J663" i="7"/>
  <c r="K663" i="7"/>
  <c r="L663" i="7"/>
  <c r="R663" i="7" s="1"/>
  <c r="H664" i="7"/>
  <c r="I664" i="7"/>
  <c r="J664" i="7"/>
  <c r="K664" i="7"/>
  <c r="L664" i="7"/>
  <c r="R664" i="7" s="1"/>
  <c r="H665" i="7"/>
  <c r="I665" i="7"/>
  <c r="J665" i="7"/>
  <c r="K665" i="7"/>
  <c r="L665" i="7"/>
  <c r="R665" i="7" s="1"/>
  <c r="H666" i="7"/>
  <c r="I666" i="7"/>
  <c r="J666" i="7"/>
  <c r="K666" i="7"/>
  <c r="L666" i="7"/>
  <c r="R666" i="7" s="1"/>
  <c r="H667" i="7"/>
  <c r="I667" i="7"/>
  <c r="J667" i="7"/>
  <c r="K667" i="7"/>
  <c r="L667" i="7"/>
  <c r="R667" i="7" s="1"/>
  <c r="M668" i="7"/>
  <c r="N668" i="7"/>
  <c r="O668" i="7"/>
  <c r="P668" i="7"/>
  <c r="H669" i="7"/>
  <c r="I669" i="7"/>
  <c r="J669" i="7"/>
  <c r="K669" i="7"/>
  <c r="L669" i="7"/>
  <c r="R669" i="7" s="1"/>
  <c r="H670" i="7"/>
  <c r="I670" i="7"/>
  <c r="J670" i="7"/>
  <c r="K670" i="7"/>
  <c r="L670" i="7"/>
  <c r="R670" i="7" s="1"/>
  <c r="H671" i="7"/>
  <c r="I671" i="7"/>
  <c r="J671" i="7"/>
  <c r="K671" i="7"/>
  <c r="L671" i="7"/>
  <c r="R671" i="7" s="1"/>
  <c r="H672" i="7"/>
  <c r="I672" i="7"/>
  <c r="J672" i="7"/>
  <c r="K672" i="7"/>
  <c r="L672" i="7"/>
  <c r="R672" i="7" s="1"/>
  <c r="H673" i="7"/>
  <c r="I673" i="7"/>
  <c r="J673" i="7"/>
  <c r="K673" i="7"/>
  <c r="L673" i="7"/>
  <c r="R673" i="7" s="1"/>
  <c r="M759" i="7"/>
  <c r="N759" i="7"/>
  <c r="O759" i="7"/>
  <c r="P759" i="7"/>
  <c r="I760" i="7"/>
  <c r="J760" i="7"/>
  <c r="K760" i="7"/>
  <c r="L760" i="7"/>
  <c r="R760" i="7" s="1"/>
  <c r="H761" i="7"/>
  <c r="I761" i="7"/>
  <c r="J761" i="7"/>
  <c r="K761" i="7"/>
  <c r="L761" i="7"/>
  <c r="R761" i="7" s="1"/>
  <c r="H762" i="7"/>
  <c r="I762" i="7"/>
  <c r="J762" i="7"/>
  <c r="K762" i="7"/>
  <c r="L762" i="7"/>
  <c r="R762" i="7" s="1"/>
  <c r="H763" i="7"/>
  <c r="I763" i="7"/>
  <c r="J763" i="7"/>
  <c r="K763" i="7"/>
  <c r="L763" i="7"/>
  <c r="R763" i="7" s="1"/>
  <c r="H764" i="7"/>
  <c r="I764" i="7"/>
  <c r="J764" i="7"/>
  <c r="K764" i="7"/>
  <c r="L764" i="7"/>
  <c r="R764" i="7" s="1"/>
  <c r="H765" i="7"/>
  <c r="I765" i="7"/>
  <c r="J765" i="7"/>
  <c r="K765" i="7"/>
  <c r="L765" i="7"/>
  <c r="R765" i="7" s="1"/>
  <c r="H766" i="7"/>
  <c r="I766" i="7"/>
  <c r="J766" i="7"/>
  <c r="K766" i="7"/>
  <c r="L766" i="7"/>
  <c r="R766" i="7" s="1"/>
  <c r="H767" i="7"/>
  <c r="I767" i="7"/>
  <c r="J767" i="7"/>
  <c r="K767" i="7"/>
  <c r="L767" i="7"/>
  <c r="R767" i="7" s="1"/>
  <c r="H768" i="7"/>
  <c r="I768" i="7"/>
  <c r="J768" i="7"/>
  <c r="K768" i="7"/>
  <c r="L768" i="7"/>
  <c r="R768" i="7" s="1"/>
  <c r="H769" i="7"/>
  <c r="I769" i="7"/>
  <c r="J769" i="7"/>
  <c r="K769" i="7"/>
  <c r="L769" i="7"/>
  <c r="R769" i="7" s="1"/>
  <c r="H770" i="7"/>
  <c r="I770" i="7"/>
  <c r="J770" i="7"/>
  <c r="K770" i="7"/>
  <c r="L770" i="7"/>
  <c r="R770" i="7" s="1"/>
  <c r="H771" i="7"/>
  <c r="I771" i="7"/>
  <c r="J771" i="7"/>
  <c r="K771" i="7"/>
  <c r="L771" i="7"/>
  <c r="R771" i="7" s="1"/>
  <c r="H772" i="7"/>
  <c r="I772" i="7"/>
  <c r="J772" i="7"/>
  <c r="K772" i="7"/>
  <c r="L772" i="7"/>
  <c r="R772" i="7" s="1"/>
  <c r="H773" i="7"/>
  <c r="I773" i="7"/>
  <c r="J773" i="7"/>
  <c r="K773" i="7"/>
  <c r="L773" i="7"/>
  <c r="R773" i="7" s="1"/>
  <c r="H774" i="7"/>
  <c r="I774" i="7"/>
  <c r="J774" i="7"/>
  <c r="K774" i="7"/>
  <c r="L774" i="7"/>
  <c r="R774" i="7" s="1"/>
  <c r="H775" i="7"/>
  <c r="I775" i="7"/>
  <c r="J775" i="7"/>
  <c r="K775" i="7"/>
  <c r="L775" i="7"/>
  <c r="R775" i="7" s="1"/>
  <c r="H776" i="7"/>
  <c r="I776" i="7"/>
  <c r="J776" i="7"/>
  <c r="K776" i="7"/>
  <c r="L776" i="7"/>
  <c r="R776" i="7" s="1"/>
  <c r="H777" i="7"/>
  <c r="I777" i="7"/>
  <c r="J777" i="7"/>
  <c r="K777" i="7"/>
  <c r="L777" i="7"/>
  <c r="R777" i="7" s="1"/>
  <c r="H778" i="7"/>
  <c r="I778" i="7"/>
  <c r="J778" i="7"/>
  <c r="K778" i="7"/>
  <c r="L778" i="7"/>
  <c r="R778" i="7" s="1"/>
  <c r="H779" i="7"/>
  <c r="I779" i="7"/>
  <c r="J779" i="7"/>
  <c r="K779" i="7"/>
  <c r="L779" i="7"/>
  <c r="R779" i="7" s="1"/>
  <c r="H780" i="7"/>
  <c r="I780" i="7"/>
  <c r="J780" i="7"/>
  <c r="K780" i="7"/>
  <c r="L780" i="7"/>
  <c r="R780" i="7" s="1"/>
  <c r="H781" i="7"/>
  <c r="I781" i="7"/>
  <c r="J781" i="7"/>
  <c r="K781" i="7"/>
  <c r="L781" i="7"/>
  <c r="R781" i="7" s="1"/>
  <c r="H782" i="7"/>
  <c r="I782" i="7"/>
  <c r="J782" i="7"/>
  <c r="K782" i="7"/>
  <c r="L782" i="7"/>
  <c r="R782" i="7" s="1"/>
  <c r="H783" i="7"/>
  <c r="I783" i="7"/>
  <c r="J783" i="7"/>
  <c r="K783" i="7"/>
  <c r="L783" i="7"/>
  <c r="R783" i="7" s="1"/>
  <c r="H784" i="7"/>
  <c r="I784" i="7"/>
  <c r="J784" i="7"/>
  <c r="K784" i="7"/>
  <c r="L784" i="7"/>
  <c r="R784" i="7" s="1"/>
  <c r="H785" i="7"/>
  <c r="I785" i="7"/>
  <c r="J785" i="7"/>
  <c r="K785" i="7"/>
  <c r="L785" i="7"/>
  <c r="R785" i="7" s="1"/>
  <c r="H786" i="7"/>
  <c r="I786" i="7"/>
  <c r="J786" i="7"/>
  <c r="K786" i="7"/>
  <c r="L786" i="7"/>
  <c r="R786" i="7" s="1"/>
  <c r="H787" i="7"/>
  <c r="I787" i="7"/>
  <c r="J787" i="7"/>
  <c r="K787" i="7"/>
  <c r="L787" i="7"/>
  <c r="R787" i="7" s="1"/>
  <c r="H788" i="7"/>
  <c r="I788" i="7"/>
  <c r="J788" i="7"/>
  <c r="K788" i="7"/>
  <c r="L788" i="7"/>
  <c r="R788" i="7" s="1"/>
  <c r="G789" i="7"/>
  <c r="M789" i="7"/>
  <c r="N789" i="7"/>
  <c r="O789" i="7"/>
  <c r="P789" i="7"/>
  <c r="H790" i="7"/>
  <c r="I790" i="7"/>
  <c r="J790" i="7"/>
  <c r="K790" i="7"/>
  <c r="L790" i="7"/>
  <c r="R790" i="7" s="1"/>
  <c r="H791" i="7"/>
  <c r="I791" i="7"/>
  <c r="J791" i="7"/>
  <c r="K791" i="7"/>
  <c r="L791" i="7"/>
  <c r="R791" i="7" s="1"/>
  <c r="H792" i="7"/>
  <c r="I792" i="7"/>
  <c r="J792" i="7"/>
  <c r="K792" i="7"/>
  <c r="L792" i="7"/>
  <c r="R792" i="7" s="1"/>
  <c r="H793" i="7"/>
  <c r="I793" i="7"/>
  <c r="J793" i="7"/>
  <c r="K793" i="7"/>
  <c r="L793" i="7"/>
  <c r="R793" i="7" s="1"/>
  <c r="H794" i="7"/>
  <c r="I794" i="7"/>
  <c r="J794" i="7"/>
  <c r="K794" i="7"/>
  <c r="L794" i="7"/>
  <c r="R794" i="7" s="1"/>
  <c r="H795" i="7"/>
  <c r="I795" i="7"/>
  <c r="J795" i="7"/>
  <c r="K795" i="7"/>
  <c r="L795" i="7"/>
  <c r="R795" i="7" s="1"/>
  <c r="H796" i="7"/>
  <c r="I796" i="7"/>
  <c r="J796" i="7"/>
  <c r="K796" i="7"/>
  <c r="L796" i="7"/>
  <c r="R796" i="7" s="1"/>
  <c r="H797" i="7"/>
  <c r="I797" i="7"/>
  <c r="J797" i="7"/>
  <c r="K797" i="7"/>
  <c r="L797" i="7"/>
  <c r="R797" i="7" s="1"/>
  <c r="H798" i="7"/>
  <c r="I798" i="7"/>
  <c r="J798" i="7"/>
  <c r="K798" i="7"/>
  <c r="L798" i="7"/>
  <c r="R798" i="7" s="1"/>
  <c r="H799" i="7"/>
  <c r="I799" i="7"/>
  <c r="J799" i="7"/>
  <c r="K799" i="7"/>
  <c r="L799" i="7"/>
  <c r="R799" i="7" s="1"/>
  <c r="H800" i="7"/>
  <c r="I800" i="7"/>
  <c r="J800" i="7"/>
  <c r="K800" i="7"/>
  <c r="L800" i="7"/>
  <c r="R800" i="7" s="1"/>
  <c r="H801" i="7"/>
  <c r="I801" i="7"/>
  <c r="J801" i="7"/>
  <c r="K801" i="7"/>
  <c r="L801" i="7"/>
  <c r="R801" i="7" s="1"/>
  <c r="H802" i="7"/>
  <c r="I802" i="7"/>
  <c r="J802" i="7"/>
  <c r="K802" i="7"/>
  <c r="L802" i="7"/>
  <c r="R802" i="7" s="1"/>
  <c r="H803" i="7"/>
  <c r="I803" i="7"/>
  <c r="J803" i="7"/>
  <c r="K803" i="7"/>
  <c r="L803" i="7"/>
  <c r="R803" i="7" s="1"/>
  <c r="H804" i="7"/>
  <c r="I804" i="7"/>
  <c r="J804" i="7"/>
  <c r="K804" i="7"/>
  <c r="L804" i="7"/>
  <c r="R804" i="7" s="1"/>
  <c r="H805" i="7"/>
  <c r="I805" i="7"/>
  <c r="J805" i="7"/>
  <c r="K805" i="7"/>
  <c r="L805" i="7"/>
  <c r="R805" i="7" s="1"/>
  <c r="G806" i="7"/>
  <c r="M806" i="7"/>
  <c r="N806" i="7"/>
  <c r="O806" i="7"/>
  <c r="P806" i="7"/>
  <c r="H807" i="7"/>
  <c r="I807" i="7"/>
  <c r="J807" i="7"/>
  <c r="K807" i="7"/>
  <c r="L807" i="7"/>
  <c r="R807" i="7" s="1"/>
  <c r="H808" i="7"/>
  <c r="I808" i="7"/>
  <c r="J808" i="7"/>
  <c r="K808" i="7"/>
  <c r="L808" i="7"/>
  <c r="R808" i="7" s="1"/>
  <c r="H809" i="7"/>
  <c r="I809" i="7"/>
  <c r="J809" i="7"/>
  <c r="K809" i="7"/>
  <c r="L809" i="7"/>
  <c r="R809" i="7" s="1"/>
  <c r="H810" i="7"/>
  <c r="I810" i="7"/>
  <c r="J810" i="7"/>
  <c r="K810" i="7"/>
  <c r="L810" i="7"/>
  <c r="R810" i="7" s="1"/>
  <c r="H811" i="7"/>
  <c r="I811" i="7"/>
  <c r="J811" i="7"/>
  <c r="K811" i="7"/>
  <c r="L811" i="7"/>
  <c r="R811" i="7" s="1"/>
  <c r="H812" i="7"/>
  <c r="I812" i="7"/>
  <c r="J812" i="7"/>
  <c r="K812" i="7"/>
  <c r="L812" i="7"/>
  <c r="R812" i="7" s="1"/>
  <c r="H813" i="7"/>
  <c r="I813" i="7"/>
  <c r="J813" i="7"/>
  <c r="K813" i="7"/>
  <c r="L813" i="7"/>
  <c r="R813" i="7" s="1"/>
  <c r="H814" i="7"/>
  <c r="I814" i="7"/>
  <c r="J814" i="7"/>
  <c r="K814" i="7"/>
  <c r="L814" i="7"/>
  <c r="R814" i="7" s="1"/>
  <c r="H815" i="7"/>
  <c r="I815" i="7"/>
  <c r="J815" i="7"/>
  <c r="K815" i="7"/>
  <c r="L815" i="7"/>
  <c r="R815" i="7" s="1"/>
  <c r="H816" i="7"/>
  <c r="I816" i="7"/>
  <c r="J816" i="7"/>
  <c r="K816" i="7"/>
  <c r="L816" i="7"/>
  <c r="R816" i="7" s="1"/>
  <c r="H817" i="7"/>
  <c r="I817" i="7"/>
  <c r="J817" i="7"/>
  <c r="K817" i="7"/>
  <c r="L817" i="7"/>
  <c r="R817" i="7" s="1"/>
  <c r="H818" i="7"/>
  <c r="I818" i="7"/>
  <c r="J818" i="7"/>
  <c r="K818" i="7"/>
  <c r="L818" i="7"/>
  <c r="R818" i="7" s="1"/>
  <c r="G819" i="7"/>
  <c r="M819" i="7"/>
  <c r="N819" i="7"/>
  <c r="O819" i="7"/>
  <c r="P819" i="7"/>
  <c r="H820" i="7"/>
  <c r="I820" i="7"/>
  <c r="J820" i="7"/>
  <c r="K820" i="7"/>
  <c r="L820" i="7"/>
  <c r="R820" i="7" s="1"/>
  <c r="H821" i="7"/>
  <c r="I821" i="7"/>
  <c r="J821" i="7"/>
  <c r="K821" i="7"/>
  <c r="L821" i="7"/>
  <c r="R821" i="7" s="1"/>
  <c r="H822" i="7"/>
  <c r="I822" i="7"/>
  <c r="J822" i="7"/>
  <c r="K822" i="7"/>
  <c r="L822" i="7"/>
  <c r="R822" i="7" s="1"/>
  <c r="H823" i="7"/>
  <c r="I823" i="7"/>
  <c r="J823" i="7"/>
  <c r="K823" i="7"/>
  <c r="L823" i="7"/>
  <c r="R823" i="7" s="1"/>
  <c r="G825" i="7"/>
  <c r="M825" i="7"/>
  <c r="N825" i="7"/>
  <c r="O825" i="7"/>
  <c r="P825" i="7"/>
  <c r="H826" i="7"/>
  <c r="I826" i="7"/>
  <c r="J826" i="7"/>
  <c r="K826" i="7"/>
  <c r="L826" i="7"/>
  <c r="R826" i="7" s="1"/>
  <c r="H827" i="7"/>
  <c r="I827" i="7"/>
  <c r="J827" i="7"/>
  <c r="K827" i="7"/>
  <c r="L827" i="7"/>
  <c r="R827" i="7" s="1"/>
  <c r="H828" i="7"/>
  <c r="I828" i="7"/>
  <c r="J828" i="7"/>
  <c r="K828" i="7"/>
  <c r="L828" i="7"/>
  <c r="R828" i="7" s="1"/>
  <c r="H829" i="7"/>
  <c r="I829" i="7"/>
  <c r="J829" i="7"/>
  <c r="K829" i="7"/>
  <c r="L829" i="7"/>
  <c r="R829" i="7" s="1"/>
  <c r="H830" i="7"/>
  <c r="I830" i="7"/>
  <c r="J830" i="7"/>
  <c r="K830" i="7"/>
  <c r="L830" i="7"/>
  <c r="R830" i="7" s="1"/>
  <c r="H831" i="7"/>
  <c r="I831" i="7"/>
  <c r="J831" i="7"/>
  <c r="K831" i="7"/>
  <c r="L831" i="7"/>
  <c r="R831" i="7" s="1"/>
  <c r="N1232" i="7"/>
  <c r="O1232" i="7"/>
  <c r="P1232" i="7"/>
  <c r="M1232" i="7"/>
  <c r="H1237" i="7"/>
  <c r="I1237" i="7"/>
  <c r="J1237" i="7"/>
  <c r="K1237" i="7"/>
  <c r="L1237" i="7"/>
  <c r="N1227" i="7"/>
  <c r="O1227" i="7"/>
  <c r="P1227" i="7"/>
  <c r="M1227" i="7"/>
  <c r="H1231" i="7"/>
  <c r="I1231" i="7"/>
  <c r="J1231" i="7"/>
  <c r="K1231" i="7"/>
  <c r="L1231" i="7"/>
  <c r="N1220" i="7"/>
  <c r="O1220" i="7"/>
  <c r="P1220" i="7"/>
  <c r="M1220" i="7"/>
  <c r="H1226" i="7"/>
  <c r="I1226" i="7"/>
  <c r="J1226" i="7"/>
  <c r="K1226" i="7"/>
  <c r="L1226" i="7"/>
  <c r="L535" i="7"/>
  <c r="H535" i="7"/>
  <c r="G528" i="7"/>
  <c r="H531" i="7"/>
  <c r="H532" i="7"/>
  <c r="N529" i="7"/>
  <c r="N528" i="7" s="1"/>
  <c r="O529" i="7"/>
  <c r="O528" i="7" s="1"/>
  <c r="P529" i="7"/>
  <c r="P528" i="7" s="1"/>
  <c r="H530" i="7"/>
  <c r="N1147" i="7"/>
  <c r="O1147" i="7"/>
  <c r="P1147" i="7"/>
  <c r="M1147" i="7"/>
  <c r="H1154" i="7"/>
  <c r="I1154" i="7"/>
  <c r="J1154" i="7"/>
  <c r="K1154" i="7"/>
  <c r="L1154" i="7"/>
  <c r="R1154" i="7" s="1"/>
  <c r="H1155" i="7"/>
  <c r="I1155" i="7"/>
  <c r="J1155" i="7"/>
  <c r="K1155" i="7"/>
  <c r="L1155" i="7"/>
  <c r="R1155" i="7" s="1"/>
  <c r="H1156" i="7"/>
  <c r="I1156" i="7"/>
  <c r="J1156" i="7"/>
  <c r="K1156" i="7"/>
  <c r="L1156" i="7"/>
  <c r="R1156" i="7" s="1"/>
  <c r="G1157" i="7"/>
  <c r="M1157" i="7"/>
  <c r="N1157" i="7"/>
  <c r="O1157" i="7"/>
  <c r="P1157" i="7"/>
  <c r="H1158" i="7"/>
  <c r="I1158" i="7"/>
  <c r="J1158" i="7"/>
  <c r="K1158" i="7"/>
  <c r="L1158" i="7"/>
  <c r="R1158" i="7" s="1"/>
  <c r="H1159" i="7"/>
  <c r="I1159" i="7"/>
  <c r="J1159" i="7"/>
  <c r="K1159" i="7"/>
  <c r="L1159" i="7"/>
  <c r="R1159" i="7" s="1"/>
  <c r="N896" i="7"/>
  <c r="O896" i="7"/>
  <c r="P896" i="7"/>
  <c r="N878" i="7"/>
  <c r="O878" i="7"/>
  <c r="P878" i="7"/>
  <c r="M878" i="7"/>
  <c r="M896" i="7"/>
  <c r="G896" i="7"/>
  <c r="G878" i="7"/>
  <c r="L597" i="7"/>
  <c r="R35" i="9" l="1"/>
  <c r="P35" i="9"/>
  <c r="O35" i="9"/>
  <c r="Q35" i="9"/>
  <c r="O81" i="9"/>
  <c r="O116" i="9"/>
  <c r="P31" i="9"/>
  <c r="O31" i="9"/>
  <c r="P116" i="9"/>
  <c r="Q116" i="9"/>
  <c r="R31" i="9"/>
  <c r="O71" i="9"/>
  <c r="Q31" i="9"/>
  <c r="R116" i="9"/>
  <c r="P71" i="9"/>
  <c r="Q71" i="9"/>
  <c r="R71" i="9"/>
  <c r="R122" i="9"/>
  <c r="O86" i="9"/>
  <c r="O117" i="9"/>
  <c r="O33" i="9"/>
  <c r="R126" i="9"/>
  <c r="O47" i="9"/>
  <c r="R87" i="9"/>
  <c r="Q87" i="9"/>
  <c r="O130" i="9"/>
  <c r="Q86" i="9"/>
  <c r="Q47" i="9"/>
  <c r="R104" i="9"/>
  <c r="P73" i="9"/>
  <c r="P33" i="9"/>
  <c r="P87" i="9"/>
  <c r="P86" i="9"/>
  <c r="P47" i="9"/>
  <c r="Q104" i="9"/>
  <c r="O73" i="9"/>
  <c r="P104" i="9"/>
  <c r="O87" i="9"/>
  <c r="Q122" i="9"/>
  <c r="O104" i="9"/>
  <c r="O127" i="9"/>
  <c r="R34" i="9"/>
  <c r="Q126" i="9"/>
  <c r="R48" i="9"/>
  <c r="P122" i="9"/>
  <c r="Q34" i="9"/>
  <c r="P126" i="9"/>
  <c r="R117" i="9"/>
  <c r="Q48" i="9"/>
  <c r="R130" i="9"/>
  <c r="P34" i="9"/>
  <c r="O126" i="9"/>
  <c r="Q117" i="9"/>
  <c r="O144" i="9"/>
  <c r="P48" i="9"/>
  <c r="Q130" i="9"/>
  <c r="O34" i="9"/>
  <c r="R73" i="9"/>
  <c r="R33" i="9"/>
  <c r="P117" i="9"/>
  <c r="O48" i="9"/>
  <c r="P130" i="9"/>
  <c r="R86" i="9"/>
  <c r="R47" i="9"/>
  <c r="Q73" i="9"/>
  <c r="Q33" i="9"/>
  <c r="H309" i="7"/>
  <c r="G316" i="7"/>
  <c r="G310" i="7"/>
  <c r="G317" i="7"/>
  <c r="G313" i="7"/>
  <c r="G311" i="7"/>
  <c r="G314" i="7"/>
  <c r="G315" i="7"/>
  <c r="G312" i="7"/>
  <c r="I274" i="7"/>
  <c r="H534" i="7"/>
  <c r="J274" i="7"/>
  <c r="J306" i="7"/>
  <c r="J305" i="7" s="1"/>
  <c r="H306" i="7"/>
  <c r="H305" i="7" s="1"/>
  <c r="I306" i="7"/>
  <c r="I305" i="7" s="1"/>
  <c r="K306" i="7"/>
  <c r="K305" i="7" s="1"/>
  <c r="K274" i="7"/>
  <c r="H529" i="7"/>
  <c r="M261" i="7"/>
  <c r="K262" i="7"/>
  <c r="L262" i="7"/>
  <c r="R262" i="7" s="1"/>
  <c r="H262" i="7"/>
  <c r="P261" i="7"/>
  <c r="J262" i="7"/>
  <c r="I262" i="7"/>
  <c r="O261" i="7"/>
  <c r="N261" i="7"/>
  <c r="H268" i="7"/>
  <c r="G261" i="7"/>
  <c r="J268" i="7"/>
  <c r="K268" i="7"/>
  <c r="I268" i="7"/>
  <c r="L268" i="7"/>
  <c r="R268" i="7" s="1"/>
  <c r="H280" i="7"/>
  <c r="M277" i="7"/>
  <c r="O277" i="7"/>
  <c r="I278" i="7"/>
  <c r="L274" i="7"/>
  <c r="R274" i="7" s="1"/>
  <c r="L278" i="7"/>
  <c r="R278" i="7" s="1"/>
  <c r="P277" i="7"/>
  <c r="K278" i="7"/>
  <c r="J278" i="7"/>
  <c r="H278" i="7"/>
  <c r="G277" i="7"/>
  <c r="N277" i="7"/>
  <c r="L280" i="7"/>
  <c r="R280" i="7" s="1"/>
  <c r="J295" i="7"/>
  <c r="I287" i="7"/>
  <c r="I280" i="7"/>
  <c r="H287" i="7"/>
  <c r="K280" i="7"/>
  <c r="J280" i="7"/>
  <c r="K295" i="7"/>
  <c r="I301" i="7"/>
  <c r="L295" i="7"/>
  <c r="R295" i="7" s="1"/>
  <c r="K287" i="7"/>
  <c r="J287" i="7"/>
  <c r="H295" i="7"/>
  <c r="K301" i="7"/>
  <c r="J301" i="7"/>
  <c r="I295" i="7"/>
  <c r="L287" i="7"/>
  <c r="R287" i="7" s="1"/>
  <c r="H301" i="7"/>
  <c r="L306" i="7"/>
  <c r="R306" i="7" s="1"/>
  <c r="L301" i="7"/>
  <c r="R301" i="7" s="1"/>
  <c r="N305" i="7"/>
  <c r="L305" i="7" s="1"/>
  <c r="L309" i="7"/>
  <c r="R309" i="7" s="1"/>
  <c r="K789" i="7"/>
  <c r="I668" i="7"/>
  <c r="L755" i="7"/>
  <c r="R755" i="7" s="1"/>
  <c r="K819" i="7"/>
  <c r="H660" i="7"/>
  <c r="L675" i="7"/>
  <c r="R675" i="7" s="1"/>
  <c r="H668" i="7"/>
  <c r="J806" i="7"/>
  <c r="P758" i="7"/>
  <c r="O758" i="7"/>
  <c r="L789" i="7"/>
  <c r="R789" i="7" s="1"/>
  <c r="I789" i="7"/>
  <c r="H789" i="7"/>
  <c r="I675" i="7"/>
  <c r="L706" i="7"/>
  <c r="R706" i="7" s="1"/>
  <c r="J759" i="7"/>
  <c r="P638" i="7"/>
  <c r="J789" i="7"/>
  <c r="K660" i="7"/>
  <c r="O638" i="7"/>
  <c r="L733" i="7"/>
  <c r="R733" i="7" s="1"/>
  <c r="K806" i="7"/>
  <c r="J675" i="7"/>
  <c r="N674" i="7"/>
  <c r="K706" i="7"/>
  <c r="J706" i="7"/>
  <c r="O674" i="7"/>
  <c r="J733" i="7"/>
  <c r="P674" i="7"/>
  <c r="H675" i="7"/>
  <c r="H706" i="7"/>
  <c r="K733" i="7"/>
  <c r="K675" i="7"/>
  <c r="I706" i="7"/>
  <c r="H733" i="7"/>
  <c r="I733" i="7"/>
  <c r="I755" i="7"/>
  <c r="J755" i="7"/>
  <c r="K755" i="7"/>
  <c r="G674" i="7"/>
  <c r="H755" i="7"/>
  <c r="M674" i="7"/>
  <c r="H819" i="7"/>
  <c r="N638" i="7"/>
  <c r="K652" i="7"/>
  <c r="L825" i="7"/>
  <c r="R825" i="7" s="1"/>
  <c r="K759" i="7"/>
  <c r="J660" i="7"/>
  <c r="L660" i="7"/>
  <c r="R660" i="7" s="1"/>
  <c r="L652" i="7"/>
  <c r="R652" i="7" s="1"/>
  <c r="I639" i="7"/>
  <c r="L759" i="7"/>
  <c r="R759" i="7" s="1"/>
  <c r="I660" i="7"/>
  <c r="H639" i="7"/>
  <c r="J639" i="7"/>
  <c r="I652" i="7"/>
  <c r="H806" i="7"/>
  <c r="L639" i="7"/>
  <c r="R639" i="7" s="1"/>
  <c r="N758" i="7"/>
  <c r="H652" i="7"/>
  <c r="I819" i="7"/>
  <c r="L668" i="7"/>
  <c r="R668" i="7" s="1"/>
  <c r="I759" i="7"/>
  <c r="I806" i="7"/>
  <c r="K668" i="7"/>
  <c r="K639" i="7"/>
  <c r="J668" i="7"/>
  <c r="J652" i="7"/>
  <c r="G638" i="7"/>
  <c r="J819" i="7"/>
  <c r="L806" i="7"/>
  <c r="R806" i="7" s="1"/>
  <c r="M758" i="7"/>
  <c r="L819" i="7"/>
  <c r="R819" i="7" s="1"/>
  <c r="M638" i="7"/>
  <c r="L534" i="7"/>
  <c r="L1157" i="7"/>
  <c r="R1157" i="7" s="1"/>
  <c r="L896" i="7"/>
  <c r="R896" i="7" s="1"/>
  <c r="H595" i="7"/>
  <c r="I595" i="7"/>
  <c r="J595" i="7"/>
  <c r="K595" i="7"/>
  <c r="L595" i="7"/>
  <c r="R595" i="7" s="1"/>
  <c r="H596" i="7"/>
  <c r="I596" i="7"/>
  <c r="J596" i="7"/>
  <c r="K596" i="7"/>
  <c r="L596" i="7"/>
  <c r="R596" i="7" s="1"/>
  <c r="H597" i="7"/>
  <c r="I597" i="7"/>
  <c r="J597" i="7"/>
  <c r="K597" i="7"/>
  <c r="R597" i="7"/>
  <c r="G981" i="7"/>
  <c r="P981" i="7"/>
  <c r="O981" i="7"/>
  <c r="N981" i="7"/>
  <c r="M981" i="7"/>
  <c r="I990" i="7"/>
  <c r="J990" i="7"/>
  <c r="K990" i="7"/>
  <c r="L990" i="7"/>
  <c r="G964" i="7"/>
  <c r="I989" i="7"/>
  <c r="J989" i="7"/>
  <c r="K989" i="7"/>
  <c r="G972" i="7"/>
  <c r="H949" i="7"/>
  <c r="L989" i="7"/>
  <c r="G1130" i="7"/>
  <c r="G1129" i="7"/>
  <c r="G1128" i="7"/>
  <c r="H333" i="7"/>
  <c r="R577" i="7"/>
  <c r="L576" i="7"/>
  <c r="R576" i="7" s="1"/>
  <c r="K576" i="7"/>
  <c r="K575" i="7" s="1"/>
  <c r="J576" i="7"/>
  <c r="J575" i="7" s="1"/>
  <c r="I576" i="7"/>
  <c r="I575" i="7" s="1"/>
  <c r="H576" i="7"/>
  <c r="H575" i="7" s="1"/>
  <c r="P948" i="7"/>
  <c r="N964" i="7"/>
  <c r="O964" i="7"/>
  <c r="P964" i="7"/>
  <c r="M964" i="7"/>
  <c r="N972" i="7"/>
  <c r="O972" i="7"/>
  <c r="P972" i="7"/>
  <c r="M972" i="7"/>
  <c r="N254" i="7"/>
  <c r="O254" i="7"/>
  <c r="P254" i="7"/>
  <c r="N244" i="7"/>
  <c r="O244" i="7"/>
  <c r="P244" i="7"/>
  <c r="O227" i="7"/>
  <c r="P227" i="7"/>
  <c r="N210" i="7"/>
  <c r="O210" i="7"/>
  <c r="P210" i="7"/>
  <c r="N193" i="7"/>
  <c r="O193" i="7"/>
  <c r="P193" i="7"/>
  <c r="N163" i="7"/>
  <c r="O163" i="7"/>
  <c r="P163" i="7"/>
  <c r="N140" i="7"/>
  <c r="O140" i="7"/>
  <c r="P140" i="7"/>
  <c r="N113" i="7"/>
  <c r="O113" i="7"/>
  <c r="P113" i="7"/>
  <c r="N105" i="7"/>
  <c r="O105" i="7"/>
  <c r="P105" i="7"/>
  <c r="N96" i="7"/>
  <c r="O96" i="7"/>
  <c r="P96" i="7"/>
  <c r="N90" i="7"/>
  <c r="O90" i="7"/>
  <c r="P90" i="7"/>
  <c r="N83" i="7"/>
  <c r="O83" i="7"/>
  <c r="P83" i="7"/>
  <c r="N79" i="7"/>
  <c r="O79" i="7"/>
  <c r="P79" i="7"/>
  <c r="N71" i="7"/>
  <c r="O71" i="7"/>
  <c r="P71" i="7"/>
  <c r="N61" i="7"/>
  <c r="O61" i="7"/>
  <c r="P61" i="7"/>
  <c r="N41" i="7"/>
  <c r="O41" i="7"/>
  <c r="P41" i="7"/>
  <c r="N21" i="7"/>
  <c r="O21" i="7"/>
  <c r="P21" i="7"/>
  <c r="N18" i="7"/>
  <c r="O18" i="7"/>
  <c r="P18" i="7"/>
  <c r="N14" i="7"/>
  <c r="O14" i="7"/>
  <c r="P14" i="7"/>
  <c r="N9" i="7"/>
  <c r="O9" i="7"/>
  <c r="P9" i="7"/>
  <c r="L1001" i="7"/>
  <c r="L980" i="7"/>
  <c r="K980" i="7"/>
  <c r="J980" i="7"/>
  <c r="I980" i="7"/>
  <c r="H980" i="7"/>
  <c r="L979" i="7"/>
  <c r="K979" i="7"/>
  <c r="J979" i="7"/>
  <c r="I979" i="7"/>
  <c r="H979" i="7"/>
  <c r="L978" i="7"/>
  <c r="K978" i="7"/>
  <c r="J978" i="7"/>
  <c r="I978" i="7"/>
  <c r="H978" i="7"/>
  <c r="L977" i="7"/>
  <c r="K977" i="7"/>
  <c r="J977" i="7"/>
  <c r="I977" i="7"/>
  <c r="H977" i="7"/>
  <c r="G948" i="7"/>
  <c r="L952" i="7"/>
  <c r="R952" i="7" s="1"/>
  <c r="L951" i="7"/>
  <c r="R951" i="7" s="1"/>
  <c r="L950" i="7"/>
  <c r="R950" i="7" s="1"/>
  <c r="L949" i="7"/>
  <c r="R949" i="7" s="1"/>
  <c r="L959" i="7"/>
  <c r="R959" i="7" s="1"/>
  <c r="K959" i="7"/>
  <c r="J959" i="7"/>
  <c r="I959" i="7"/>
  <c r="H959" i="7"/>
  <c r="L958" i="7"/>
  <c r="R958" i="7" s="1"/>
  <c r="K958" i="7"/>
  <c r="J958" i="7"/>
  <c r="I958" i="7"/>
  <c r="H958" i="7"/>
  <c r="L971" i="7"/>
  <c r="R971" i="7" s="1"/>
  <c r="K971" i="7"/>
  <c r="J971" i="7"/>
  <c r="I971" i="7"/>
  <c r="H971" i="7"/>
  <c r="L970" i="7"/>
  <c r="R970" i="7" s="1"/>
  <c r="K970" i="7"/>
  <c r="J970" i="7"/>
  <c r="I970" i="7"/>
  <c r="H970" i="7"/>
  <c r="P1037" i="7"/>
  <c r="O1037" i="7"/>
  <c r="N1037" i="7"/>
  <c r="M1037" i="7"/>
  <c r="H1049" i="7"/>
  <c r="I1049" i="7"/>
  <c r="J1049" i="7"/>
  <c r="K1049" i="7"/>
  <c r="L1049" i="7"/>
  <c r="R1049" i="7" s="1"/>
  <c r="H1050" i="7"/>
  <c r="I1050" i="7"/>
  <c r="J1050" i="7"/>
  <c r="K1050" i="7"/>
  <c r="L1050" i="7"/>
  <c r="R1050" i="7" s="1"/>
  <c r="H1051" i="7"/>
  <c r="I1051" i="7"/>
  <c r="J1051" i="7"/>
  <c r="K1051" i="7"/>
  <c r="L1051" i="7"/>
  <c r="R1051" i="7" s="1"/>
  <c r="H1052" i="7"/>
  <c r="I1052" i="7"/>
  <c r="J1052" i="7"/>
  <c r="K1052" i="7"/>
  <c r="L1052" i="7"/>
  <c r="R1052" i="7" s="1"/>
  <c r="H1053" i="7"/>
  <c r="I1053" i="7"/>
  <c r="J1053" i="7"/>
  <c r="K1053" i="7"/>
  <c r="L1053" i="7"/>
  <c r="R1053" i="7" s="1"/>
  <c r="H385" i="7"/>
  <c r="I1262" i="7"/>
  <c r="I1263" i="7"/>
  <c r="J1264" i="7"/>
  <c r="J1265" i="7"/>
  <c r="H1261" i="7"/>
  <c r="H1260" i="7"/>
  <c r="H1259" i="7"/>
  <c r="J1257" i="7"/>
  <c r="I1256" i="7"/>
  <c r="I1255" i="7"/>
  <c r="H1253" i="7"/>
  <c r="J1251" i="7"/>
  <c r="J1250" i="7"/>
  <c r="I1249" i="7"/>
  <c r="I1248" i="7"/>
  <c r="I1247" i="7"/>
  <c r="H1246" i="7"/>
  <c r="H1245" i="7"/>
  <c r="P97" i="9" l="1"/>
  <c r="O97" i="9"/>
  <c r="Q97" i="9"/>
  <c r="P137" i="9"/>
  <c r="R137" i="9"/>
  <c r="Q137" i="9"/>
  <c r="O137" i="9"/>
  <c r="O59" i="9"/>
  <c r="Q59" i="9"/>
  <c r="P59" i="9"/>
  <c r="N71" i="9"/>
  <c r="N31" i="9"/>
  <c r="N116" i="9"/>
  <c r="P145" i="9"/>
  <c r="Q145" i="9"/>
  <c r="O232" i="7"/>
  <c r="P232" i="7"/>
  <c r="N232" i="7"/>
  <c r="J261" i="7"/>
  <c r="L261" i="7"/>
  <c r="R261" i="7" s="1"/>
  <c r="I261" i="7"/>
  <c r="K261" i="7"/>
  <c r="H261" i="7"/>
  <c r="L277" i="7"/>
  <c r="R277" i="7" s="1"/>
  <c r="K277" i="7"/>
  <c r="H277" i="7"/>
  <c r="I277" i="7"/>
  <c r="J277" i="7"/>
  <c r="R305" i="7"/>
  <c r="I758" i="7"/>
  <c r="L674" i="7"/>
  <c r="R674" i="7" s="1"/>
  <c r="H638" i="7"/>
  <c r="I674" i="7"/>
  <c r="J758" i="7"/>
  <c r="J638" i="7"/>
  <c r="K758" i="7"/>
  <c r="K638" i="7"/>
  <c r="H674" i="7"/>
  <c r="J674" i="7"/>
  <c r="K674" i="7"/>
  <c r="I638" i="7"/>
  <c r="L758" i="7"/>
  <c r="R758" i="7" s="1"/>
  <c r="L638" i="7"/>
  <c r="R638" i="7" s="1"/>
  <c r="N8" i="7"/>
  <c r="P8" i="7"/>
  <c r="O8" i="7"/>
  <c r="H12" i="9"/>
  <c r="I10" i="9"/>
  <c r="H97" i="9"/>
  <c r="H59" i="9"/>
  <c r="H1244" i="7"/>
  <c r="O145" i="9" s="1"/>
  <c r="N97" i="9" l="1"/>
  <c r="N137" i="9"/>
  <c r="N59" i="9"/>
  <c r="H17" i="9"/>
  <c r="N145" i="9"/>
  <c r="H145" i="9"/>
  <c r="H1038" i="7" l="1"/>
  <c r="H1039" i="7"/>
  <c r="H1040" i="7"/>
  <c r="H1041" i="7"/>
  <c r="H1042" i="7"/>
  <c r="H1083" i="7" l="1"/>
  <c r="I1083" i="7"/>
  <c r="J1083" i="7"/>
  <c r="K1083" i="7"/>
  <c r="L1083" i="7"/>
  <c r="R1083" i="7" s="1"/>
  <c r="H1069" i="7" l="1"/>
  <c r="I1069" i="7"/>
  <c r="J1069" i="7"/>
  <c r="K1069" i="7"/>
  <c r="L1069" i="7"/>
  <c r="R1069" i="7" s="1"/>
  <c r="H1046" i="7" l="1"/>
  <c r="I1046" i="7"/>
  <c r="J1046" i="7"/>
  <c r="K1046" i="7"/>
  <c r="L1046" i="7"/>
  <c r="R1046" i="7" s="1"/>
  <c r="I1038" i="7"/>
  <c r="J1038" i="7"/>
  <c r="K1038" i="7"/>
  <c r="L1038" i="7"/>
  <c r="R1038" i="7" s="1"/>
  <c r="I1039" i="7"/>
  <c r="J1039" i="7"/>
  <c r="K1039" i="7"/>
  <c r="L1039" i="7"/>
  <c r="R1039" i="7" s="1"/>
  <c r="G163" i="7" l="1"/>
  <c r="G148" i="7"/>
  <c r="H11" i="7" l="1"/>
  <c r="O12" i="9" s="1"/>
  <c r="H12" i="7"/>
  <c r="H13" i="7"/>
  <c r="H15" i="7"/>
  <c r="O21" i="9" s="1"/>
  <c r="H16" i="7"/>
  <c r="H17" i="7"/>
  <c r="H19" i="7"/>
  <c r="H22" i="7"/>
  <c r="H23" i="7"/>
  <c r="H24" i="7"/>
  <c r="H25" i="7"/>
  <c r="H26" i="7"/>
  <c r="H27" i="7"/>
  <c r="H28" i="7"/>
  <c r="H29" i="7"/>
  <c r="H34" i="7"/>
  <c r="H35" i="7"/>
  <c r="H36" i="7"/>
  <c r="H37" i="7"/>
  <c r="H38" i="7"/>
  <c r="H39" i="7"/>
  <c r="H40" i="7"/>
  <c r="H42" i="7"/>
  <c r="H43" i="7"/>
  <c r="H44" i="7"/>
  <c r="H45" i="7"/>
  <c r="H46" i="7"/>
  <c r="H47" i="7"/>
  <c r="H48" i="7"/>
  <c r="H49" i="7"/>
  <c r="H54" i="7"/>
  <c r="H55" i="7"/>
  <c r="H56" i="7"/>
  <c r="H57" i="7"/>
  <c r="H58" i="7"/>
  <c r="H59" i="7"/>
  <c r="H60" i="7"/>
  <c r="H62" i="7"/>
  <c r="H63" i="7"/>
  <c r="H64" i="7"/>
  <c r="H65" i="7"/>
  <c r="H66" i="7"/>
  <c r="H67" i="7"/>
  <c r="H68" i="7"/>
  <c r="H69" i="7"/>
  <c r="H70" i="7"/>
  <c r="H72" i="7"/>
  <c r="H73" i="7"/>
  <c r="H74" i="7"/>
  <c r="H75" i="7"/>
  <c r="H76" i="7"/>
  <c r="H77" i="7"/>
  <c r="H80" i="7"/>
  <c r="H81" i="7"/>
  <c r="H82" i="7"/>
  <c r="H84" i="7"/>
  <c r="H85" i="7"/>
  <c r="H86" i="7"/>
  <c r="H87" i="7"/>
  <c r="H88" i="7"/>
  <c r="H89" i="7"/>
  <c r="H91" i="7"/>
  <c r="H92" i="7"/>
  <c r="H1285" i="7"/>
  <c r="I1285" i="7"/>
  <c r="J1285" i="7"/>
  <c r="K1285" i="7"/>
  <c r="H1286" i="7"/>
  <c r="I1286" i="7"/>
  <c r="J1286" i="7"/>
  <c r="K1286" i="7"/>
  <c r="H1287" i="7"/>
  <c r="I1287" i="7"/>
  <c r="J1287" i="7"/>
  <c r="K1287" i="7"/>
  <c r="H1288" i="7"/>
  <c r="I1288" i="7"/>
  <c r="J1288" i="7"/>
  <c r="K1288" i="7"/>
  <c r="H1281" i="7"/>
  <c r="I1281" i="7"/>
  <c r="J1281" i="7"/>
  <c r="K1281" i="7"/>
  <c r="H1282" i="7"/>
  <c r="I1282" i="7"/>
  <c r="J1282" i="7"/>
  <c r="K1282" i="7"/>
  <c r="H1283" i="7"/>
  <c r="I1283" i="7"/>
  <c r="J1283" i="7"/>
  <c r="K1283" i="7"/>
  <c r="H1274" i="7"/>
  <c r="I1274" i="7"/>
  <c r="J1274" i="7"/>
  <c r="K1274" i="7"/>
  <c r="H1275" i="7"/>
  <c r="I1275" i="7"/>
  <c r="J1275" i="7"/>
  <c r="K1275" i="7"/>
  <c r="H1276" i="7"/>
  <c r="I1276" i="7"/>
  <c r="J1276" i="7"/>
  <c r="K1276" i="7"/>
  <c r="H1277" i="7"/>
  <c r="I1277" i="7"/>
  <c r="J1277" i="7"/>
  <c r="K1277" i="7"/>
  <c r="H1278" i="7"/>
  <c r="I1278" i="7"/>
  <c r="J1278" i="7"/>
  <c r="K1278" i="7"/>
  <c r="H1279" i="7"/>
  <c r="I1279" i="7"/>
  <c r="J1279" i="7"/>
  <c r="K1279" i="7"/>
  <c r="H1191" i="7"/>
  <c r="I1191" i="7"/>
  <c r="J1191" i="7"/>
  <c r="K1191" i="7"/>
  <c r="H1192" i="7"/>
  <c r="I1192" i="7"/>
  <c r="J1192" i="7"/>
  <c r="K1192" i="7"/>
  <c r="H1189" i="7"/>
  <c r="I1189" i="7"/>
  <c r="J1189" i="7"/>
  <c r="K1189" i="7"/>
  <c r="H1190" i="7"/>
  <c r="I1190" i="7"/>
  <c r="J1190" i="7"/>
  <c r="K1190" i="7"/>
  <c r="H1184" i="7"/>
  <c r="I1184" i="7"/>
  <c r="J1184" i="7"/>
  <c r="K1184" i="7"/>
  <c r="H1185" i="7"/>
  <c r="I1185" i="7"/>
  <c r="J1185" i="7"/>
  <c r="K1185" i="7"/>
  <c r="H1186" i="7"/>
  <c r="I1186" i="7"/>
  <c r="J1186" i="7"/>
  <c r="K1186" i="7"/>
  <c r="H1187" i="7"/>
  <c r="I1187" i="7"/>
  <c r="J1187" i="7"/>
  <c r="K1187" i="7"/>
  <c r="H1180" i="7"/>
  <c r="I1180" i="7"/>
  <c r="J1180" i="7"/>
  <c r="K1180" i="7"/>
  <c r="H1181" i="7"/>
  <c r="I1181" i="7"/>
  <c r="J1181" i="7"/>
  <c r="K1181" i="7"/>
  <c r="H1182" i="7"/>
  <c r="I1182" i="7"/>
  <c r="J1182" i="7"/>
  <c r="K1182" i="7"/>
  <c r="H1173" i="7"/>
  <c r="I1173" i="7"/>
  <c r="J1173" i="7"/>
  <c r="K1173" i="7"/>
  <c r="H1174" i="7"/>
  <c r="I1174" i="7"/>
  <c r="J1174" i="7"/>
  <c r="K1174" i="7"/>
  <c r="H1175" i="7"/>
  <c r="I1175" i="7"/>
  <c r="J1175" i="7"/>
  <c r="K1175" i="7"/>
  <c r="H1176" i="7"/>
  <c r="I1176" i="7"/>
  <c r="J1176" i="7"/>
  <c r="K1176" i="7"/>
  <c r="H1177" i="7"/>
  <c r="I1177" i="7"/>
  <c r="J1177" i="7"/>
  <c r="K1177" i="7"/>
  <c r="H1178" i="7"/>
  <c r="I1178" i="7"/>
  <c r="J1178" i="7"/>
  <c r="K1178" i="7"/>
  <c r="H1167" i="7"/>
  <c r="I1167" i="7"/>
  <c r="J1167" i="7"/>
  <c r="K1167" i="7"/>
  <c r="H1168" i="7"/>
  <c r="I1168" i="7"/>
  <c r="J1168" i="7"/>
  <c r="K1168" i="7"/>
  <c r="H1169" i="7"/>
  <c r="I1169" i="7"/>
  <c r="J1169" i="7"/>
  <c r="K1169" i="7"/>
  <c r="H1170" i="7"/>
  <c r="I1170" i="7"/>
  <c r="J1170" i="7"/>
  <c r="K1170" i="7"/>
  <c r="H1162" i="7"/>
  <c r="I1162" i="7"/>
  <c r="J1162" i="7"/>
  <c r="K1162" i="7"/>
  <c r="H1163" i="7"/>
  <c r="I1163" i="7"/>
  <c r="J1163" i="7"/>
  <c r="K1163" i="7"/>
  <c r="H1164" i="7"/>
  <c r="I1164" i="7"/>
  <c r="J1164" i="7"/>
  <c r="K1164" i="7"/>
  <c r="H1165" i="7"/>
  <c r="I1165" i="7"/>
  <c r="J1165" i="7"/>
  <c r="K1165" i="7"/>
  <c r="H1160" i="7"/>
  <c r="I1160" i="7"/>
  <c r="J1160" i="7"/>
  <c r="K1160" i="7"/>
  <c r="H1148" i="7"/>
  <c r="I1148" i="7"/>
  <c r="J1148" i="7"/>
  <c r="K1148" i="7"/>
  <c r="H1149" i="7"/>
  <c r="I1149" i="7"/>
  <c r="J1149" i="7"/>
  <c r="K1149" i="7"/>
  <c r="H1150" i="7"/>
  <c r="I1150" i="7"/>
  <c r="J1150" i="7"/>
  <c r="K1150" i="7"/>
  <c r="H1151" i="7"/>
  <c r="I1151" i="7"/>
  <c r="J1151" i="7"/>
  <c r="K1151" i="7"/>
  <c r="H1152" i="7"/>
  <c r="I1152" i="7"/>
  <c r="J1152" i="7"/>
  <c r="K1152" i="7"/>
  <c r="H1153" i="7"/>
  <c r="I1153" i="7"/>
  <c r="J1153" i="7"/>
  <c r="K1153" i="7"/>
  <c r="H1141" i="7"/>
  <c r="I1141" i="7"/>
  <c r="J1141" i="7"/>
  <c r="K1141" i="7"/>
  <c r="H1142" i="7"/>
  <c r="I1142" i="7"/>
  <c r="J1142" i="7"/>
  <c r="K1142" i="7"/>
  <c r="H1143" i="7"/>
  <c r="I1143" i="7"/>
  <c r="J1143" i="7"/>
  <c r="K1143" i="7"/>
  <c r="H1144" i="7"/>
  <c r="I1144" i="7"/>
  <c r="J1144" i="7"/>
  <c r="K1144" i="7"/>
  <c r="H1145" i="7"/>
  <c r="I1145" i="7"/>
  <c r="J1145" i="7"/>
  <c r="K1145" i="7"/>
  <c r="H1136" i="7"/>
  <c r="I1136" i="7"/>
  <c r="J1136" i="7"/>
  <c r="K1136" i="7"/>
  <c r="H1137" i="7"/>
  <c r="I1137" i="7"/>
  <c r="J1137" i="7"/>
  <c r="K1137" i="7"/>
  <c r="H1138" i="7"/>
  <c r="I1138" i="7"/>
  <c r="J1138" i="7"/>
  <c r="K1138" i="7"/>
  <c r="H1139" i="7"/>
  <c r="I1139" i="7"/>
  <c r="J1139" i="7"/>
  <c r="K1139" i="7"/>
  <c r="H1132" i="7"/>
  <c r="I1132" i="7"/>
  <c r="J1132" i="7"/>
  <c r="K1132" i="7"/>
  <c r="H1133" i="7"/>
  <c r="I1133" i="7"/>
  <c r="J1133" i="7"/>
  <c r="K1133" i="7"/>
  <c r="H1134" i="7"/>
  <c r="I1134" i="7"/>
  <c r="J1134" i="7"/>
  <c r="K1134" i="7"/>
  <c r="H1128" i="7"/>
  <c r="I1128" i="7"/>
  <c r="K1128" i="7"/>
  <c r="H1129" i="7"/>
  <c r="I1129" i="7"/>
  <c r="K1129" i="7"/>
  <c r="H1130" i="7"/>
  <c r="I1130" i="7"/>
  <c r="J1130" i="7"/>
  <c r="H1121" i="7"/>
  <c r="I1121" i="7"/>
  <c r="J1121" i="7"/>
  <c r="K1121" i="7"/>
  <c r="H1122" i="7"/>
  <c r="I1122" i="7"/>
  <c r="J1122" i="7"/>
  <c r="K1122" i="7"/>
  <c r="H1123" i="7"/>
  <c r="I1123" i="7"/>
  <c r="J1123" i="7"/>
  <c r="K1123" i="7"/>
  <c r="H1124" i="7"/>
  <c r="I1124" i="7"/>
  <c r="J1124" i="7"/>
  <c r="K1124" i="7"/>
  <c r="H1125" i="7"/>
  <c r="I1125" i="7"/>
  <c r="J1125" i="7"/>
  <c r="K1125" i="7"/>
  <c r="H1126" i="7"/>
  <c r="I1126" i="7"/>
  <c r="J1126" i="7"/>
  <c r="K1126" i="7"/>
  <c r="H1103" i="7"/>
  <c r="I1103" i="7"/>
  <c r="J1103" i="7"/>
  <c r="K1103" i="7"/>
  <c r="H1104" i="7"/>
  <c r="I1104" i="7"/>
  <c r="J1104" i="7"/>
  <c r="K1104" i="7"/>
  <c r="H1105" i="7"/>
  <c r="I1105" i="7"/>
  <c r="J1105" i="7"/>
  <c r="K1105" i="7"/>
  <c r="H1106" i="7"/>
  <c r="I1106" i="7"/>
  <c r="J1106" i="7"/>
  <c r="K1106" i="7"/>
  <c r="H1107" i="7"/>
  <c r="I1107" i="7"/>
  <c r="J1107" i="7"/>
  <c r="K1107" i="7"/>
  <c r="H1108" i="7"/>
  <c r="I1108" i="7"/>
  <c r="J1108" i="7"/>
  <c r="K1108" i="7"/>
  <c r="H1109" i="7"/>
  <c r="I1109" i="7"/>
  <c r="J1109" i="7"/>
  <c r="K1109" i="7"/>
  <c r="H1110" i="7"/>
  <c r="I1110" i="7"/>
  <c r="J1110" i="7"/>
  <c r="K1110" i="7"/>
  <c r="H1111" i="7"/>
  <c r="I1111" i="7"/>
  <c r="J1111" i="7"/>
  <c r="K1111" i="7"/>
  <c r="H1112" i="7"/>
  <c r="I1112" i="7"/>
  <c r="J1112" i="7"/>
  <c r="K1112" i="7"/>
  <c r="H1113" i="7"/>
  <c r="I1113" i="7"/>
  <c r="J1113" i="7"/>
  <c r="K1113" i="7"/>
  <c r="H1114" i="7"/>
  <c r="I1114" i="7"/>
  <c r="J1114" i="7"/>
  <c r="K1114" i="7"/>
  <c r="H1115" i="7"/>
  <c r="I1115" i="7"/>
  <c r="J1115" i="7"/>
  <c r="K1115" i="7"/>
  <c r="H1116" i="7"/>
  <c r="I1116" i="7"/>
  <c r="J1116" i="7"/>
  <c r="K1116" i="7"/>
  <c r="H1117" i="7"/>
  <c r="I1117" i="7"/>
  <c r="J1117" i="7"/>
  <c r="K1117" i="7"/>
  <c r="H1118" i="7"/>
  <c r="I1118" i="7"/>
  <c r="J1118" i="7"/>
  <c r="K1118" i="7"/>
  <c r="H1102" i="7"/>
  <c r="I1102" i="7"/>
  <c r="J1102" i="7"/>
  <c r="K1102" i="7"/>
  <c r="H1101" i="7"/>
  <c r="I1101" i="7"/>
  <c r="J1101" i="7"/>
  <c r="K1101" i="7"/>
  <c r="H1082" i="7"/>
  <c r="I1082" i="7"/>
  <c r="J1082" i="7"/>
  <c r="K1082" i="7"/>
  <c r="H1084" i="7"/>
  <c r="I1084" i="7"/>
  <c r="J1084" i="7"/>
  <c r="K1084" i="7"/>
  <c r="H1085" i="7"/>
  <c r="I1085" i="7"/>
  <c r="J1085" i="7"/>
  <c r="K1085" i="7"/>
  <c r="H1086" i="7"/>
  <c r="I1086" i="7"/>
  <c r="J1086" i="7"/>
  <c r="K1086" i="7"/>
  <c r="H1087" i="7"/>
  <c r="I1087" i="7"/>
  <c r="J1087" i="7"/>
  <c r="K1087" i="7"/>
  <c r="H1088" i="7"/>
  <c r="I1088" i="7"/>
  <c r="J1088" i="7"/>
  <c r="K1088" i="7"/>
  <c r="H1089" i="7"/>
  <c r="I1089" i="7"/>
  <c r="J1089" i="7"/>
  <c r="K1089" i="7"/>
  <c r="H1090" i="7"/>
  <c r="I1090" i="7"/>
  <c r="J1090" i="7"/>
  <c r="K1090" i="7"/>
  <c r="H1091" i="7"/>
  <c r="I1091" i="7"/>
  <c r="J1091" i="7"/>
  <c r="K1091" i="7"/>
  <c r="H1092" i="7"/>
  <c r="I1092" i="7"/>
  <c r="J1092" i="7"/>
  <c r="K1092" i="7"/>
  <c r="H1093" i="7"/>
  <c r="I1093" i="7"/>
  <c r="J1093" i="7"/>
  <c r="K1093" i="7"/>
  <c r="H1094" i="7"/>
  <c r="I1094" i="7"/>
  <c r="J1094" i="7"/>
  <c r="K1094" i="7"/>
  <c r="H1095" i="7"/>
  <c r="I1095" i="7"/>
  <c r="J1095" i="7"/>
  <c r="K1095" i="7"/>
  <c r="H1096" i="7"/>
  <c r="I1096" i="7"/>
  <c r="J1096" i="7"/>
  <c r="K1096" i="7"/>
  <c r="H1097" i="7"/>
  <c r="I1097" i="7"/>
  <c r="J1097" i="7"/>
  <c r="K1097" i="7"/>
  <c r="H1098" i="7"/>
  <c r="I1098" i="7"/>
  <c r="J1098" i="7"/>
  <c r="K1098" i="7"/>
  <c r="H1099" i="7"/>
  <c r="I1099" i="7"/>
  <c r="J1099" i="7"/>
  <c r="K1099" i="7"/>
  <c r="H1064" i="7"/>
  <c r="I1064" i="7"/>
  <c r="J1064" i="7"/>
  <c r="K1064" i="7"/>
  <c r="H1065" i="7"/>
  <c r="I1065" i="7"/>
  <c r="J1065" i="7"/>
  <c r="K1065" i="7"/>
  <c r="H1066" i="7"/>
  <c r="I1066" i="7"/>
  <c r="J1066" i="7"/>
  <c r="K1066" i="7"/>
  <c r="H1067" i="7"/>
  <c r="I1067" i="7"/>
  <c r="J1067" i="7"/>
  <c r="K1067" i="7"/>
  <c r="H1068" i="7"/>
  <c r="I1068" i="7"/>
  <c r="J1068" i="7"/>
  <c r="K1068" i="7"/>
  <c r="H1070" i="7"/>
  <c r="I1070" i="7"/>
  <c r="J1070" i="7"/>
  <c r="K1070" i="7"/>
  <c r="H1071" i="7"/>
  <c r="I1071" i="7"/>
  <c r="J1071" i="7"/>
  <c r="K1071" i="7"/>
  <c r="H1072" i="7"/>
  <c r="I1072" i="7"/>
  <c r="J1072" i="7"/>
  <c r="K1072" i="7"/>
  <c r="H1073" i="7"/>
  <c r="I1073" i="7"/>
  <c r="J1073" i="7"/>
  <c r="K1073" i="7"/>
  <c r="H1074" i="7"/>
  <c r="I1074" i="7"/>
  <c r="J1074" i="7"/>
  <c r="K1074" i="7"/>
  <c r="H1075" i="7"/>
  <c r="I1075" i="7"/>
  <c r="J1075" i="7"/>
  <c r="K1075" i="7"/>
  <c r="H1076" i="7"/>
  <c r="I1076" i="7"/>
  <c r="J1076" i="7"/>
  <c r="K1076" i="7"/>
  <c r="H1077" i="7"/>
  <c r="I1077" i="7"/>
  <c r="K1077" i="7"/>
  <c r="H1078" i="7"/>
  <c r="I1078" i="7"/>
  <c r="J1078" i="7"/>
  <c r="H1079" i="7"/>
  <c r="I1079" i="7"/>
  <c r="J1079" i="7"/>
  <c r="H1080" i="7"/>
  <c r="I1080" i="7"/>
  <c r="J1080" i="7"/>
  <c r="H1055" i="7"/>
  <c r="I1055" i="7"/>
  <c r="J1055" i="7"/>
  <c r="K1055" i="7"/>
  <c r="H1056" i="7"/>
  <c r="I1056" i="7"/>
  <c r="J1056" i="7"/>
  <c r="K1056" i="7"/>
  <c r="H1057" i="7"/>
  <c r="I1057" i="7"/>
  <c r="J1057" i="7"/>
  <c r="K1057" i="7"/>
  <c r="H1058" i="7"/>
  <c r="I1058" i="7"/>
  <c r="J1058" i="7"/>
  <c r="K1058" i="7"/>
  <c r="H1059" i="7"/>
  <c r="I1059" i="7"/>
  <c r="J1059" i="7"/>
  <c r="K1059" i="7"/>
  <c r="H1060" i="7"/>
  <c r="I1060" i="7"/>
  <c r="J1060" i="7"/>
  <c r="K1060" i="7"/>
  <c r="H1061" i="7"/>
  <c r="I1061" i="7"/>
  <c r="J1061" i="7"/>
  <c r="K1061" i="7"/>
  <c r="H1062" i="7"/>
  <c r="I1062" i="7"/>
  <c r="J1062" i="7"/>
  <c r="K1062" i="7"/>
  <c r="I1040" i="7"/>
  <c r="J1040" i="7"/>
  <c r="K1040" i="7"/>
  <c r="I1041" i="7"/>
  <c r="J1041" i="7"/>
  <c r="K1041" i="7"/>
  <c r="I1042" i="7"/>
  <c r="J1042" i="7"/>
  <c r="K1042" i="7"/>
  <c r="H1043" i="7"/>
  <c r="I1043" i="7"/>
  <c r="J1043" i="7"/>
  <c r="K1043" i="7"/>
  <c r="H1044" i="7"/>
  <c r="I1044" i="7"/>
  <c r="J1044" i="7"/>
  <c r="K1044" i="7"/>
  <c r="H1045" i="7"/>
  <c r="I1045" i="7"/>
  <c r="J1045" i="7"/>
  <c r="K1045" i="7"/>
  <c r="H1047" i="7"/>
  <c r="I1047" i="7"/>
  <c r="J1047" i="7"/>
  <c r="K1047" i="7"/>
  <c r="H1048" i="7"/>
  <c r="I1048" i="7"/>
  <c r="J1048" i="7"/>
  <c r="K1048" i="7"/>
  <c r="H1027" i="7"/>
  <c r="I1027" i="7"/>
  <c r="J1027" i="7"/>
  <c r="K1027" i="7"/>
  <c r="H1028" i="7"/>
  <c r="I1028" i="7"/>
  <c r="J1028" i="7"/>
  <c r="K1028" i="7"/>
  <c r="H1029" i="7"/>
  <c r="I1029" i="7"/>
  <c r="J1029" i="7"/>
  <c r="K1029" i="7"/>
  <c r="H1030" i="7"/>
  <c r="I1030" i="7"/>
  <c r="J1030" i="7"/>
  <c r="K1030" i="7"/>
  <c r="H1031" i="7"/>
  <c r="I1031" i="7"/>
  <c r="J1031" i="7"/>
  <c r="K1031" i="7"/>
  <c r="H1032" i="7"/>
  <c r="I1032" i="7"/>
  <c r="J1032" i="7"/>
  <c r="K1032" i="7"/>
  <c r="H1033" i="7"/>
  <c r="I1033" i="7"/>
  <c r="J1033" i="7"/>
  <c r="K1033" i="7"/>
  <c r="H1034" i="7"/>
  <c r="I1034" i="7"/>
  <c r="J1034" i="7"/>
  <c r="K1034" i="7"/>
  <c r="H1035" i="7"/>
  <c r="I1035" i="7"/>
  <c r="J1035" i="7"/>
  <c r="K1035" i="7"/>
  <c r="H1017" i="7"/>
  <c r="I1017" i="7"/>
  <c r="J1017" i="7"/>
  <c r="K1017" i="7"/>
  <c r="H1018" i="7"/>
  <c r="I1018" i="7"/>
  <c r="J1018" i="7"/>
  <c r="K1018" i="7"/>
  <c r="H1019" i="7"/>
  <c r="I1019" i="7"/>
  <c r="J1019" i="7"/>
  <c r="K1019" i="7"/>
  <c r="H1020" i="7"/>
  <c r="I1020" i="7"/>
  <c r="J1020" i="7"/>
  <c r="K1020" i="7"/>
  <c r="H1021" i="7"/>
  <c r="I1021" i="7"/>
  <c r="J1021" i="7"/>
  <c r="K1021" i="7"/>
  <c r="H1022" i="7"/>
  <c r="I1022" i="7"/>
  <c r="J1022" i="7"/>
  <c r="K1022" i="7"/>
  <c r="H1023" i="7"/>
  <c r="I1023" i="7"/>
  <c r="J1023" i="7"/>
  <c r="K1023" i="7"/>
  <c r="H1024" i="7"/>
  <c r="I1024" i="7"/>
  <c r="J1024" i="7"/>
  <c r="K1024" i="7"/>
  <c r="H1025" i="7"/>
  <c r="I1025" i="7"/>
  <c r="J1025" i="7"/>
  <c r="K1025" i="7"/>
  <c r="H1009" i="7"/>
  <c r="I1009" i="7"/>
  <c r="J1009" i="7"/>
  <c r="K1009" i="7"/>
  <c r="H1010" i="7"/>
  <c r="I1010" i="7"/>
  <c r="J1010" i="7"/>
  <c r="K1010" i="7"/>
  <c r="H1011" i="7"/>
  <c r="I1011" i="7"/>
  <c r="J1011" i="7"/>
  <c r="K1011" i="7"/>
  <c r="H1012" i="7"/>
  <c r="I1012" i="7"/>
  <c r="J1012" i="7"/>
  <c r="K1012" i="7"/>
  <c r="H1013" i="7"/>
  <c r="I1013" i="7"/>
  <c r="J1013" i="7"/>
  <c r="K1013" i="7"/>
  <c r="H1014" i="7"/>
  <c r="I1014" i="7"/>
  <c r="J1014" i="7"/>
  <c r="K1014" i="7"/>
  <c r="H1015" i="7"/>
  <c r="I1015" i="7"/>
  <c r="J1015" i="7"/>
  <c r="H1004" i="7"/>
  <c r="I1004" i="7"/>
  <c r="J1004" i="7"/>
  <c r="K1004" i="7"/>
  <c r="H1005" i="7"/>
  <c r="I1005" i="7"/>
  <c r="J1005" i="7"/>
  <c r="K1005" i="7"/>
  <c r="H1006" i="7"/>
  <c r="I1006" i="7"/>
  <c r="J1006" i="7"/>
  <c r="K1006" i="7"/>
  <c r="H1007" i="7"/>
  <c r="I1007" i="7"/>
  <c r="J1007" i="7"/>
  <c r="K1007" i="7"/>
  <c r="H993" i="7"/>
  <c r="I993" i="7"/>
  <c r="J993" i="7"/>
  <c r="K993" i="7"/>
  <c r="H994" i="7"/>
  <c r="I994" i="7"/>
  <c r="J994" i="7"/>
  <c r="K994" i="7"/>
  <c r="H995" i="7"/>
  <c r="I995" i="7"/>
  <c r="J995" i="7"/>
  <c r="K995" i="7"/>
  <c r="H996" i="7"/>
  <c r="I996" i="7"/>
  <c r="J996" i="7"/>
  <c r="K996" i="7"/>
  <c r="H997" i="7"/>
  <c r="I997" i="7"/>
  <c r="J997" i="7"/>
  <c r="K997" i="7"/>
  <c r="H998" i="7"/>
  <c r="I998" i="7"/>
  <c r="J998" i="7"/>
  <c r="K998" i="7"/>
  <c r="H999" i="7"/>
  <c r="I999" i="7"/>
  <c r="J999" i="7"/>
  <c r="K999" i="7"/>
  <c r="H1000" i="7"/>
  <c r="I1000" i="7"/>
  <c r="J1000" i="7"/>
  <c r="K1000" i="7"/>
  <c r="H1001" i="7"/>
  <c r="I1001" i="7"/>
  <c r="J1001" i="7"/>
  <c r="K1001" i="7"/>
  <c r="H1002" i="7"/>
  <c r="I1002" i="7"/>
  <c r="J1002" i="7"/>
  <c r="K1002" i="7"/>
  <c r="H982" i="7"/>
  <c r="I982" i="7"/>
  <c r="J982" i="7"/>
  <c r="K982" i="7"/>
  <c r="H983" i="7"/>
  <c r="I983" i="7"/>
  <c r="J983" i="7"/>
  <c r="K983" i="7"/>
  <c r="H984" i="7"/>
  <c r="I984" i="7"/>
  <c r="J984" i="7"/>
  <c r="K984" i="7"/>
  <c r="H985" i="7"/>
  <c r="I985" i="7"/>
  <c r="J985" i="7"/>
  <c r="K985" i="7"/>
  <c r="H986" i="7"/>
  <c r="I986" i="7"/>
  <c r="J986" i="7"/>
  <c r="K986" i="7"/>
  <c r="H987" i="7"/>
  <c r="I987" i="7"/>
  <c r="J987" i="7"/>
  <c r="K987" i="7"/>
  <c r="H988" i="7"/>
  <c r="I988" i="7"/>
  <c r="J988" i="7"/>
  <c r="K988" i="7"/>
  <c r="H973" i="7"/>
  <c r="J973" i="7"/>
  <c r="K973" i="7"/>
  <c r="H974" i="7"/>
  <c r="I974" i="7"/>
  <c r="J974" i="7"/>
  <c r="K974" i="7"/>
  <c r="H975" i="7"/>
  <c r="I975" i="7"/>
  <c r="J975" i="7"/>
  <c r="K975" i="7"/>
  <c r="H976" i="7"/>
  <c r="I976" i="7"/>
  <c r="J976" i="7"/>
  <c r="K976" i="7"/>
  <c r="H965" i="7"/>
  <c r="I965" i="7"/>
  <c r="J965" i="7"/>
  <c r="K965" i="7"/>
  <c r="H966" i="7"/>
  <c r="I966" i="7"/>
  <c r="J966" i="7"/>
  <c r="K966" i="7"/>
  <c r="H967" i="7"/>
  <c r="I967" i="7"/>
  <c r="J967" i="7"/>
  <c r="K967" i="7"/>
  <c r="H968" i="7"/>
  <c r="I968" i="7"/>
  <c r="J968" i="7"/>
  <c r="K968" i="7"/>
  <c r="H969" i="7"/>
  <c r="I969" i="7"/>
  <c r="J969" i="7"/>
  <c r="K969" i="7"/>
  <c r="H961" i="7"/>
  <c r="I961" i="7"/>
  <c r="J961" i="7"/>
  <c r="K961" i="7"/>
  <c r="H962" i="7"/>
  <c r="I962" i="7"/>
  <c r="J962" i="7"/>
  <c r="K962" i="7"/>
  <c r="H963" i="7"/>
  <c r="I963" i="7"/>
  <c r="J963" i="7"/>
  <c r="K963" i="7"/>
  <c r="I949" i="7"/>
  <c r="J949" i="7"/>
  <c r="K949" i="7"/>
  <c r="H950" i="7"/>
  <c r="I950" i="7"/>
  <c r="J950" i="7"/>
  <c r="K950" i="7"/>
  <c r="H951" i="7"/>
  <c r="I951" i="7"/>
  <c r="J951" i="7"/>
  <c r="K951" i="7"/>
  <c r="H952" i="7"/>
  <c r="I952" i="7"/>
  <c r="J952" i="7"/>
  <c r="K952" i="7"/>
  <c r="H953" i="7"/>
  <c r="I953" i="7"/>
  <c r="J953" i="7"/>
  <c r="K953" i="7"/>
  <c r="H954" i="7"/>
  <c r="I954" i="7"/>
  <c r="J954" i="7"/>
  <c r="K954" i="7"/>
  <c r="H955" i="7"/>
  <c r="I955" i="7"/>
  <c r="J955" i="7"/>
  <c r="K955" i="7"/>
  <c r="H956" i="7"/>
  <c r="I956" i="7"/>
  <c r="J956" i="7"/>
  <c r="K956" i="7"/>
  <c r="H957" i="7"/>
  <c r="I957" i="7"/>
  <c r="J957" i="7"/>
  <c r="K957" i="7"/>
  <c r="H933" i="7"/>
  <c r="I933" i="7"/>
  <c r="J933" i="7"/>
  <c r="K933" i="7"/>
  <c r="H934" i="7"/>
  <c r="I934" i="7"/>
  <c r="J934" i="7"/>
  <c r="K934" i="7"/>
  <c r="H935" i="7"/>
  <c r="I935" i="7"/>
  <c r="J935" i="7"/>
  <c r="K935" i="7"/>
  <c r="H936" i="7"/>
  <c r="I936" i="7"/>
  <c r="J936" i="7"/>
  <c r="K936" i="7"/>
  <c r="H937" i="7"/>
  <c r="I937" i="7"/>
  <c r="J937" i="7"/>
  <c r="K937" i="7"/>
  <c r="H938" i="7"/>
  <c r="I938" i="7"/>
  <c r="J938" i="7"/>
  <c r="K938" i="7"/>
  <c r="H939" i="7"/>
  <c r="I939" i="7"/>
  <c r="J939" i="7"/>
  <c r="K939" i="7"/>
  <c r="H940" i="7"/>
  <c r="I940" i="7"/>
  <c r="J940" i="7"/>
  <c r="K940" i="7"/>
  <c r="H941" i="7"/>
  <c r="I941" i="7"/>
  <c r="J941" i="7"/>
  <c r="K941" i="7"/>
  <c r="H942" i="7"/>
  <c r="I942" i="7"/>
  <c r="J942" i="7"/>
  <c r="K942" i="7"/>
  <c r="H943" i="7"/>
  <c r="I943" i="7"/>
  <c r="J943" i="7"/>
  <c r="K943" i="7"/>
  <c r="H944" i="7"/>
  <c r="I944" i="7"/>
  <c r="J944" i="7"/>
  <c r="K944" i="7"/>
  <c r="H945" i="7"/>
  <c r="I945" i="7"/>
  <c r="J945" i="7"/>
  <c r="K945" i="7"/>
  <c r="H946" i="7"/>
  <c r="I946" i="7"/>
  <c r="J946" i="7"/>
  <c r="K946" i="7"/>
  <c r="H917" i="7"/>
  <c r="I917" i="7"/>
  <c r="J917" i="7"/>
  <c r="K917" i="7"/>
  <c r="H918" i="7"/>
  <c r="I918" i="7"/>
  <c r="J918" i="7"/>
  <c r="K918" i="7"/>
  <c r="H919" i="7"/>
  <c r="I919" i="7"/>
  <c r="J919" i="7"/>
  <c r="K919" i="7"/>
  <c r="H920" i="7"/>
  <c r="I920" i="7"/>
  <c r="J920" i="7"/>
  <c r="K920" i="7"/>
  <c r="H921" i="7"/>
  <c r="I921" i="7"/>
  <c r="J921" i="7"/>
  <c r="K921" i="7"/>
  <c r="H922" i="7"/>
  <c r="I922" i="7"/>
  <c r="J922" i="7"/>
  <c r="K922" i="7"/>
  <c r="H923" i="7"/>
  <c r="I923" i="7"/>
  <c r="J923" i="7"/>
  <c r="K923" i="7"/>
  <c r="H924" i="7"/>
  <c r="I924" i="7"/>
  <c r="J924" i="7"/>
  <c r="K924" i="7"/>
  <c r="H925" i="7"/>
  <c r="I925" i="7"/>
  <c r="J925" i="7"/>
  <c r="K925" i="7"/>
  <c r="H926" i="7"/>
  <c r="I926" i="7"/>
  <c r="J926" i="7"/>
  <c r="K926" i="7"/>
  <c r="H927" i="7"/>
  <c r="I927" i="7"/>
  <c r="J927" i="7"/>
  <c r="K927" i="7"/>
  <c r="H928" i="7"/>
  <c r="I928" i="7"/>
  <c r="J928" i="7"/>
  <c r="K928" i="7"/>
  <c r="H929" i="7"/>
  <c r="I929" i="7"/>
  <c r="J929" i="7"/>
  <c r="K929" i="7"/>
  <c r="H930" i="7"/>
  <c r="I930" i="7"/>
  <c r="J930" i="7"/>
  <c r="K930" i="7"/>
  <c r="H931" i="7"/>
  <c r="I931" i="7"/>
  <c r="J931" i="7"/>
  <c r="K931" i="7"/>
  <c r="H902" i="7"/>
  <c r="I902" i="7"/>
  <c r="J902" i="7"/>
  <c r="K902" i="7"/>
  <c r="H903" i="7"/>
  <c r="I903" i="7"/>
  <c r="J903" i="7"/>
  <c r="K903" i="7"/>
  <c r="H904" i="7"/>
  <c r="I904" i="7"/>
  <c r="J904" i="7"/>
  <c r="K904" i="7"/>
  <c r="H905" i="7"/>
  <c r="I905" i="7"/>
  <c r="J905" i="7"/>
  <c r="K905" i="7"/>
  <c r="H906" i="7"/>
  <c r="I906" i="7"/>
  <c r="J906" i="7"/>
  <c r="K906" i="7"/>
  <c r="H907" i="7"/>
  <c r="I907" i="7"/>
  <c r="J907" i="7"/>
  <c r="K907" i="7"/>
  <c r="H908" i="7"/>
  <c r="I908" i="7"/>
  <c r="J908" i="7"/>
  <c r="K908" i="7"/>
  <c r="H909" i="7"/>
  <c r="I909" i="7"/>
  <c r="J909" i="7"/>
  <c r="K909" i="7"/>
  <c r="H910" i="7"/>
  <c r="I910" i="7"/>
  <c r="J910" i="7"/>
  <c r="K910" i="7"/>
  <c r="H911" i="7"/>
  <c r="I911" i="7"/>
  <c r="J911" i="7"/>
  <c r="K911" i="7"/>
  <c r="H912" i="7"/>
  <c r="I912" i="7"/>
  <c r="J912" i="7"/>
  <c r="K912" i="7"/>
  <c r="H913" i="7"/>
  <c r="I913" i="7"/>
  <c r="J913" i="7"/>
  <c r="K913" i="7"/>
  <c r="H914" i="7"/>
  <c r="I914" i="7"/>
  <c r="J914" i="7"/>
  <c r="K914" i="7"/>
  <c r="H915" i="7"/>
  <c r="I915" i="7"/>
  <c r="J915" i="7"/>
  <c r="K915" i="7"/>
  <c r="H879" i="7"/>
  <c r="I879" i="7"/>
  <c r="J879" i="7"/>
  <c r="K879" i="7"/>
  <c r="H880" i="7"/>
  <c r="I880" i="7"/>
  <c r="J880" i="7"/>
  <c r="K880" i="7"/>
  <c r="H881" i="7"/>
  <c r="I881" i="7"/>
  <c r="J881" i="7"/>
  <c r="K881" i="7"/>
  <c r="H882" i="7"/>
  <c r="I882" i="7"/>
  <c r="J882" i="7"/>
  <c r="K882" i="7"/>
  <c r="H883" i="7"/>
  <c r="I883" i="7"/>
  <c r="J883" i="7"/>
  <c r="K883" i="7"/>
  <c r="H884" i="7"/>
  <c r="I884" i="7"/>
  <c r="J884" i="7"/>
  <c r="K884" i="7"/>
  <c r="H885" i="7"/>
  <c r="I885" i="7"/>
  <c r="J885" i="7"/>
  <c r="K885" i="7"/>
  <c r="H886" i="7"/>
  <c r="I886" i="7"/>
  <c r="J886" i="7"/>
  <c r="K886" i="7"/>
  <c r="H887" i="7"/>
  <c r="I887" i="7"/>
  <c r="J887" i="7"/>
  <c r="K887" i="7"/>
  <c r="H888" i="7"/>
  <c r="I888" i="7"/>
  <c r="J888" i="7"/>
  <c r="K888" i="7"/>
  <c r="H889" i="7"/>
  <c r="I889" i="7"/>
  <c r="J889" i="7"/>
  <c r="K889" i="7"/>
  <c r="H890" i="7"/>
  <c r="I890" i="7"/>
  <c r="J890" i="7"/>
  <c r="K890" i="7"/>
  <c r="H891" i="7"/>
  <c r="I891" i="7"/>
  <c r="J891" i="7"/>
  <c r="K891" i="7"/>
  <c r="H892" i="7"/>
  <c r="I892" i="7"/>
  <c r="J892" i="7"/>
  <c r="K892" i="7"/>
  <c r="H893" i="7"/>
  <c r="I893" i="7"/>
  <c r="J893" i="7"/>
  <c r="K893" i="7"/>
  <c r="H894" i="7"/>
  <c r="I894" i="7"/>
  <c r="J894" i="7"/>
  <c r="K894" i="7"/>
  <c r="H895" i="7"/>
  <c r="I895" i="7"/>
  <c r="J895" i="7"/>
  <c r="K895" i="7"/>
  <c r="H897" i="7"/>
  <c r="I897" i="7"/>
  <c r="J897" i="7"/>
  <c r="K897" i="7"/>
  <c r="H898" i="7"/>
  <c r="I898" i="7"/>
  <c r="J898" i="7"/>
  <c r="K898" i="7"/>
  <c r="H899" i="7"/>
  <c r="I899" i="7"/>
  <c r="J899" i="7"/>
  <c r="K899" i="7"/>
  <c r="H900" i="7"/>
  <c r="I900" i="7"/>
  <c r="J900" i="7"/>
  <c r="K900" i="7"/>
  <c r="H875" i="7"/>
  <c r="I875" i="7"/>
  <c r="J875" i="7"/>
  <c r="K875" i="7"/>
  <c r="H876" i="7"/>
  <c r="I876" i="7"/>
  <c r="J876" i="7"/>
  <c r="K876" i="7"/>
  <c r="H869" i="7"/>
  <c r="I869" i="7"/>
  <c r="J869" i="7"/>
  <c r="K869" i="7"/>
  <c r="H870" i="7"/>
  <c r="I870" i="7"/>
  <c r="J870" i="7"/>
  <c r="K870" i="7"/>
  <c r="H871" i="7"/>
  <c r="I871" i="7"/>
  <c r="J871" i="7"/>
  <c r="K871" i="7"/>
  <c r="H872" i="7"/>
  <c r="I872" i="7"/>
  <c r="J872" i="7"/>
  <c r="K872" i="7"/>
  <c r="H873" i="7"/>
  <c r="I873" i="7"/>
  <c r="J873" i="7"/>
  <c r="K873" i="7"/>
  <c r="H864" i="7"/>
  <c r="I864" i="7"/>
  <c r="J864" i="7"/>
  <c r="K864" i="7"/>
  <c r="H865" i="7"/>
  <c r="I865" i="7"/>
  <c r="J865" i="7"/>
  <c r="K865" i="7"/>
  <c r="H866" i="7"/>
  <c r="I866" i="7"/>
  <c r="J866" i="7"/>
  <c r="K866" i="7"/>
  <c r="H867" i="7"/>
  <c r="I867" i="7"/>
  <c r="J867" i="7"/>
  <c r="K867" i="7"/>
  <c r="H863" i="7"/>
  <c r="I863" i="7"/>
  <c r="J863" i="7"/>
  <c r="K863" i="7"/>
  <c r="H853" i="7"/>
  <c r="I853" i="7"/>
  <c r="J853" i="7"/>
  <c r="K853" i="7"/>
  <c r="H854" i="7"/>
  <c r="I854" i="7"/>
  <c r="J854" i="7"/>
  <c r="K854" i="7"/>
  <c r="H855" i="7"/>
  <c r="I855" i="7"/>
  <c r="J855" i="7"/>
  <c r="K855" i="7"/>
  <c r="H856" i="7"/>
  <c r="I856" i="7"/>
  <c r="J856" i="7"/>
  <c r="K856" i="7"/>
  <c r="H857" i="7"/>
  <c r="I857" i="7"/>
  <c r="J857" i="7"/>
  <c r="K857" i="7"/>
  <c r="H858" i="7"/>
  <c r="I858" i="7"/>
  <c r="J858" i="7"/>
  <c r="K858" i="7"/>
  <c r="H859" i="7"/>
  <c r="I859" i="7"/>
  <c r="J859" i="7"/>
  <c r="K859" i="7"/>
  <c r="H860" i="7"/>
  <c r="I860" i="7"/>
  <c r="J860" i="7"/>
  <c r="K860" i="7"/>
  <c r="H861" i="7"/>
  <c r="I861" i="7"/>
  <c r="J861" i="7"/>
  <c r="K861" i="7"/>
  <c r="H849" i="7"/>
  <c r="I849" i="7"/>
  <c r="J849" i="7"/>
  <c r="K849" i="7"/>
  <c r="H850" i="7"/>
  <c r="I850" i="7"/>
  <c r="J850" i="7"/>
  <c r="K850" i="7"/>
  <c r="H843" i="7"/>
  <c r="I843" i="7"/>
  <c r="J843" i="7"/>
  <c r="K843" i="7"/>
  <c r="H844" i="7"/>
  <c r="I844" i="7"/>
  <c r="J844" i="7"/>
  <c r="K844" i="7"/>
  <c r="H845" i="7"/>
  <c r="I845" i="7"/>
  <c r="J845" i="7"/>
  <c r="K845" i="7"/>
  <c r="H846" i="7"/>
  <c r="I846" i="7"/>
  <c r="J846" i="7"/>
  <c r="K846" i="7"/>
  <c r="H847" i="7"/>
  <c r="I847" i="7"/>
  <c r="J847" i="7"/>
  <c r="K847" i="7"/>
  <c r="H837" i="7"/>
  <c r="I837" i="7"/>
  <c r="J837" i="7"/>
  <c r="K837" i="7"/>
  <c r="H838" i="7"/>
  <c r="I838" i="7"/>
  <c r="J838" i="7"/>
  <c r="K838" i="7"/>
  <c r="H839" i="7"/>
  <c r="I839" i="7"/>
  <c r="J839" i="7"/>
  <c r="K839" i="7"/>
  <c r="H840" i="7"/>
  <c r="I840" i="7"/>
  <c r="J840" i="7"/>
  <c r="K840" i="7"/>
  <c r="H841" i="7"/>
  <c r="I841" i="7"/>
  <c r="J841" i="7"/>
  <c r="K841" i="7"/>
  <c r="H832" i="7"/>
  <c r="I832" i="7"/>
  <c r="J832" i="7"/>
  <c r="K832" i="7"/>
  <c r="H833" i="7"/>
  <c r="I833" i="7"/>
  <c r="J833" i="7"/>
  <c r="K833" i="7"/>
  <c r="H834" i="7"/>
  <c r="I834" i="7"/>
  <c r="J834" i="7"/>
  <c r="K834" i="7"/>
  <c r="H835" i="7"/>
  <c r="I835" i="7"/>
  <c r="J835" i="7"/>
  <c r="K835" i="7"/>
  <c r="O56" i="9" l="1"/>
  <c r="R56" i="9"/>
  <c r="Q56" i="9"/>
  <c r="P56" i="9"/>
  <c r="O64" i="9"/>
  <c r="P50" i="9"/>
  <c r="O13" i="9"/>
  <c r="Q89" i="9"/>
  <c r="Q105" i="9"/>
  <c r="Q49" i="9"/>
  <c r="Q131" i="9"/>
  <c r="Q90" i="9"/>
  <c r="P93" i="9"/>
  <c r="R49" i="9"/>
  <c r="R105" i="9"/>
  <c r="R89" i="9"/>
  <c r="R131" i="9"/>
  <c r="R90" i="9"/>
  <c r="Q93" i="9"/>
  <c r="O24" i="9"/>
  <c r="P49" i="9"/>
  <c r="O135" i="9"/>
  <c r="O22" i="9"/>
  <c r="O49" i="9"/>
  <c r="O105" i="9"/>
  <c r="O89" i="9"/>
  <c r="O131" i="9"/>
  <c r="O66" i="9"/>
  <c r="P107" i="9"/>
  <c r="P88" i="9"/>
  <c r="O107" i="9"/>
  <c r="O88" i="9"/>
  <c r="O50" i="9"/>
  <c r="O106" i="9"/>
  <c r="O51" i="9"/>
  <c r="R132" i="9"/>
  <c r="Q92" i="9"/>
  <c r="Q133" i="9"/>
  <c r="R93" i="9"/>
  <c r="Q134" i="9"/>
  <c r="Q94" i="9"/>
  <c r="R136" i="9"/>
  <c r="R57" i="9"/>
  <c r="R96" i="9"/>
  <c r="O14" i="9"/>
  <c r="Q132" i="9"/>
  <c r="P92" i="9"/>
  <c r="P133" i="9"/>
  <c r="O93" i="9"/>
  <c r="P134" i="9"/>
  <c r="P94" i="9"/>
  <c r="Q136" i="9"/>
  <c r="Q57" i="9"/>
  <c r="Q96" i="9"/>
  <c r="P132" i="9"/>
  <c r="O92" i="9"/>
  <c r="O133" i="9"/>
  <c r="R53" i="9"/>
  <c r="O134" i="9"/>
  <c r="O94" i="9"/>
  <c r="P135" i="9"/>
  <c r="P136" i="9"/>
  <c r="P57" i="9"/>
  <c r="P96" i="9"/>
  <c r="P105" i="9"/>
  <c r="P89" i="9"/>
  <c r="P131" i="9"/>
  <c r="P90" i="9"/>
  <c r="O132" i="9"/>
  <c r="Q53" i="9"/>
  <c r="R54" i="9"/>
  <c r="O136" i="9"/>
  <c r="O57" i="9"/>
  <c r="O96" i="9"/>
  <c r="O90" i="9"/>
  <c r="O91" i="9"/>
  <c r="R52" i="9"/>
  <c r="P53" i="9"/>
  <c r="Q54" i="9"/>
  <c r="R55" i="9"/>
  <c r="R95" i="9"/>
  <c r="R17" i="9"/>
  <c r="R88" i="9"/>
  <c r="R50" i="9"/>
  <c r="R106" i="9"/>
  <c r="R51" i="9"/>
  <c r="R91" i="9"/>
  <c r="Q52" i="9"/>
  <c r="O53" i="9"/>
  <c r="P54" i="9"/>
  <c r="Q55" i="9"/>
  <c r="Q95" i="9"/>
  <c r="Q17" i="9"/>
  <c r="O102" i="9"/>
  <c r="O23" i="9"/>
  <c r="R107" i="9"/>
  <c r="Q107" i="9"/>
  <c r="Q88" i="9"/>
  <c r="Q50" i="9"/>
  <c r="Q106" i="9"/>
  <c r="Q51" i="9"/>
  <c r="Q91" i="9"/>
  <c r="P52" i="9"/>
  <c r="O54" i="9"/>
  <c r="P55" i="9"/>
  <c r="P95" i="9"/>
  <c r="P17" i="9"/>
  <c r="O65" i="9"/>
  <c r="P106" i="9"/>
  <c r="P51" i="9"/>
  <c r="O52" i="9"/>
  <c r="R92" i="9"/>
  <c r="R133" i="9"/>
  <c r="R134" i="9"/>
  <c r="R94" i="9"/>
  <c r="O55" i="9"/>
  <c r="O95" i="9"/>
  <c r="O17" i="9"/>
  <c r="H71" i="7"/>
  <c r="H90" i="7"/>
  <c r="H79" i="7"/>
  <c r="H41" i="7"/>
  <c r="H83" i="7"/>
  <c r="H61" i="7"/>
  <c r="H14" i="7"/>
  <c r="J1063" i="7"/>
  <c r="K1063" i="7"/>
  <c r="I1063" i="7"/>
  <c r="I825" i="7"/>
  <c r="J825" i="7"/>
  <c r="H825" i="7"/>
  <c r="K825" i="7"/>
  <c r="H1157" i="7"/>
  <c r="I1157" i="7"/>
  <c r="J1157" i="7"/>
  <c r="K1157" i="7"/>
  <c r="K1172" i="7"/>
  <c r="H1147" i="7"/>
  <c r="J1147" i="7"/>
  <c r="K1147" i="7"/>
  <c r="I1147" i="7"/>
  <c r="K896" i="7"/>
  <c r="J896" i="7"/>
  <c r="I896" i="7"/>
  <c r="H896" i="7"/>
  <c r="K878" i="7"/>
  <c r="J878" i="7"/>
  <c r="I878" i="7"/>
  <c r="H878" i="7"/>
  <c r="K981" i="7"/>
  <c r="J981" i="7"/>
  <c r="I981" i="7"/>
  <c r="H981" i="7"/>
  <c r="K972" i="7"/>
  <c r="J972" i="7"/>
  <c r="K964" i="7"/>
  <c r="J964" i="7"/>
  <c r="I964" i="7"/>
  <c r="K948" i="7"/>
  <c r="J948" i="7"/>
  <c r="I948" i="7"/>
  <c r="H964" i="7"/>
  <c r="H972" i="7"/>
  <c r="J932" i="7"/>
  <c r="H948" i="7"/>
  <c r="K1037" i="7"/>
  <c r="J1037" i="7"/>
  <c r="I1037" i="7"/>
  <c r="H1037" i="7"/>
  <c r="H18" i="7"/>
  <c r="H21" i="7"/>
  <c r="H9" i="7"/>
  <c r="N17" i="9" l="1"/>
  <c r="H8" i="7"/>
  <c r="H20" i="7"/>
  <c r="H78" i="7"/>
  <c r="N134" i="9"/>
  <c r="N133" i="9"/>
  <c r="N106" i="9"/>
  <c r="N105" i="9"/>
  <c r="N136" i="9"/>
  <c r="N130" i="9"/>
  <c r="N132" i="9"/>
  <c r="N131" i="9"/>
  <c r="N107" i="9"/>
  <c r="N157" i="9"/>
  <c r="H633" i="7" l="1"/>
  <c r="I633" i="7"/>
  <c r="J633" i="7"/>
  <c r="K633" i="7"/>
  <c r="H632" i="7"/>
  <c r="I632" i="7"/>
  <c r="J632" i="7"/>
  <c r="K632" i="7"/>
  <c r="H631" i="7"/>
  <c r="I631" i="7"/>
  <c r="J631" i="7"/>
  <c r="K631" i="7"/>
  <c r="H630" i="7"/>
  <c r="I630" i="7"/>
  <c r="J630" i="7"/>
  <c r="K630" i="7"/>
  <c r="H622" i="7"/>
  <c r="I622" i="7"/>
  <c r="J622" i="7"/>
  <c r="K622" i="7"/>
  <c r="H621" i="7"/>
  <c r="I621" i="7"/>
  <c r="J621" i="7"/>
  <c r="K621" i="7"/>
  <c r="H620" i="7"/>
  <c r="I620" i="7"/>
  <c r="J620" i="7"/>
  <c r="K620" i="7"/>
  <c r="H619" i="7"/>
  <c r="I619" i="7"/>
  <c r="J619" i="7"/>
  <c r="K619" i="7"/>
  <c r="H618" i="7"/>
  <c r="I618" i="7"/>
  <c r="J618" i="7"/>
  <c r="K618" i="7"/>
  <c r="H617" i="7"/>
  <c r="I617" i="7"/>
  <c r="J617" i="7"/>
  <c r="K617" i="7"/>
  <c r="H608" i="7"/>
  <c r="I608" i="7"/>
  <c r="J608" i="7"/>
  <c r="K608" i="7"/>
  <c r="H607" i="7"/>
  <c r="I607" i="7"/>
  <c r="J607" i="7"/>
  <c r="K607" i="7"/>
  <c r="H606" i="7"/>
  <c r="I606" i="7"/>
  <c r="J606" i="7"/>
  <c r="K606" i="7"/>
  <c r="H605" i="7"/>
  <c r="I605" i="7"/>
  <c r="J605" i="7"/>
  <c r="K605" i="7"/>
  <c r="H604" i="7"/>
  <c r="I604" i="7"/>
  <c r="J604" i="7"/>
  <c r="K604" i="7"/>
  <c r="H590" i="7"/>
  <c r="I590" i="7"/>
  <c r="J590" i="7"/>
  <c r="K590" i="7"/>
  <c r="H589" i="7"/>
  <c r="I589" i="7"/>
  <c r="J589" i="7"/>
  <c r="K589" i="7"/>
  <c r="H588" i="7"/>
  <c r="I588" i="7"/>
  <c r="J588" i="7"/>
  <c r="K588" i="7"/>
  <c r="H587" i="7"/>
  <c r="I587" i="7"/>
  <c r="J587" i="7"/>
  <c r="K587" i="7"/>
  <c r="H586" i="7"/>
  <c r="I586" i="7"/>
  <c r="J586" i="7"/>
  <c r="K586" i="7"/>
  <c r="H585" i="7"/>
  <c r="I585" i="7"/>
  <c r="J585" i="7"/>
  <c r="K585" i="7"/>
  <c r="H584" i="7"/>
  <c r="I584" i="7"/>
  <c r="J584" i="7"/>
  <c r="K584" i="7"/>
  <c r="H583" i="7"/>
  <c r="I583" i="7"/>
  <c r="J583" i="7"/>
  <c r="K583" i="7"/>
  <c r="H569" i="7"/>
  <c r="O149" i="9" s="1"/>
  <c r="I569" i="7"/>
  <c r="P149" i="9" s="1"/>
  <c r="J569" i="7"/>
  <c r="Q149" i="9" s="1"/>
  <c r="K569" i="7"/>
  <c r="R149" i="9" s="1"/>
  <c r="H570" i="7"/>
  <c r="O150" i="9" s="1"/>
  <c r="I570" i="7"/>
  <c r="P150" i="9" s="1"/>
  <c r="J570" i="7"/>
  <c r="Q150" i="9" s="1"/>
  <c r="K570" i="7"/>
  <c r="R150" i="9" s="1"/>
  <c r="H571" i="7"/>
  <c r="O151" i="9" s="1"/>
  <c r="I571" i="7"/>
  <c r="P151" i="9" s="1"/>
  <c r="J571" i="7"/>
  <c r="Q151" i="9" s="1"/>
  <c r="K571" i="7"/>
  <c r="R151" i="9" s="1"/>
  <c r="H572" i="7"/>
  <c r="O152" i="9" s="1"/>
  <c r="I572" i="7"/>
  <c r="P152" i="9" s="1"/>
  <c r="J572" i="7"/>
  <c r="Q152" i="9" s="1"/>
  <c r="K572" i="7"/>
  <c r="R152" i="9" s="1"/>
  <c r="H573" i="7"/>
  <c r="O153" i="9" s="1"/>
  <c r="I573" i="7"/>
  <c r="P153" i="9" s="1"/>
  <c r="J573" i="7"/>
  <c r="Q153" i="9" s="1"/>
  <c r="K573" i="7"/>
  <c r="R153" i="9" s="1"/>
  <c r="H1233" i="7"/>
  <c r="I1233" i="7"/>
  <c r="J1233" i="7"/>
  <c r="K1233" i="7"/>
  <c r="H1234" i="7"/>
  <c r="I1234" i="7"/>
  <c r="J1234" i="7"/>
  <c r="K1234" i="7"/>
  <c r="H1235" i="7"/>
  <c r="I1235" i="7"/>
  <c r="J1235" i="7"/>
  <c r="K1235" i="7"/>
  <c r="H1236" i="7"/>
  <c r="I1236" i="7"/>
  <c r="J1236" i="7"/>
  <c r="K1236" i="7"/>
  <c r="H1239" i="7"/>
  <c r="I1239" i="7"/>
  <c r="J1239" i="7"/>
  <c r="K1239" i="7"/>
  <c r="H1240" i="7"/>
  <c r="I1240" i="7"/>
  <c r="J1240" i="7"/>
  <c r="K1240" i="7"/>
  <c r="H1241" i="7"/>
  <c r="I1241" i="7"/>
  <c r="J1241" i="7"/>
  <c r="K1241" i="7"/>
  <c r="H1221" i="7"/>
  <c r="I1221" i="7"/>
  <c r="J1221" i="7"/>
  <c r="K1221" i="7"/>
  <c r="H1222" i="7"/>
  <c r="I1222" i="7"/>
  <c r="J1222" i="7"/>
  <c r="K1222" i="7"/>
  <c r="H1223" i="7"/>
  <c r="I1223" i="7"/>
  <c r="J1223" i="7"/>
  <c r="K1223" i="7"/>
  <c r="H1224" i="7"/>
  <c r="I1224" i="7"/>
  <c r="J1224" i="7"/>
  <c r="K1224" i="7"/>
  <c r="H1225" i="7"/>
  <c r="I1225" i="7"/>
  <c r="J1225" i="7"/>
  <c r="K1225" i="7"/>
  <c r="H1228" i="7"/>
  <c r="I1228" i="7"/>
  <c r="J1228" i="7"/>
  <c r="K1228" i="7"/>
  <c r="H1229" i="7"/>
  <c r="I1229" i="7"/>
  <c r="J1229" i="7"/>
  <c r="K1229" i="7"/>
  <c r="H1230" i="7"/>
  <c r="I1230" i="7"/>
  <c r="J1230" i="7"/>
  <c r="K1230" i="7"/>
  <c r="H1214" i="7"/>
  <c r="I1214" i="7"/>
  <c r="J1214" i="7"/>
  <c r="K1214" i="7"/>
  <c r="H1215" i="7"/>
  <c r="I1215" i="7"/>
  <c r="J1215" i="7"/>
  <c r="K1215" i="7"/>
  <c r="H1216" i="7"/>
  <c r="I1216" i="7"/>
  <c r="J1216" i="7"/>
  <c r="K1216" i="7"/>
  <c r="H1217" i="7"/>
  <c r="I1217" i="7"/>
  <c r="J1217" i="7"/>
  <c r="K1217" i="7"/>
  <c r="H1218" i="7"/>
  <c r="I1218" i="7"/>
  <c r="J1218" i="7"/>
  <c r="K1218" i="7"/>
  <c r="H1206" i="7"/>
  <c r="I1206" i="7"/>
  <c r="J1206" i="7"/>
  <c r="K1206" i="7"/>
  <c r="H1207" i="7"/>
  <c r="I1207" i="7"/>
  <c r="J1207" i="7"/>
  <c r="K1207" i="7"/>
  <c r="H1208" i="7"/>
  <c r="I1208" i="7"/>
  <c r="J1208" i="7"/>
  <c r="K1208" i="7"/>
  <c r="H1209" i="7"/>
  <c r="I1209" i="7"/>
  <c r="J1209" i="7"/>
  <c r="K1209" i="7"/>
  <c r="H1210" i="7"/>
  <c r="I1210" i="7"/>
  <c r="J1210" i="7"/>
  <c r="K1210" i="7"/>
  <c r="H1211" i="7"/>
  <c r="I1211" i="7"/>
  <c r="J1211" i="7"/>
  <c r="K1211" i="7"/>
  <c r="H1212" i="7"/>
  <c r="I1212" i="7"/>
  <c r="J1212" i="7"/>
  <c r="K1212" i="7"/>
  <c r="H1200" i="7"/>
  <c r="I1200" i="7"/>
  <c r="J1200" i="7"/>
  <c r="K1200" i="7"/>
  <c r="H1201" i="7"/>
  <c r="I1201" i="7"/>
  <c r="J1201" i="7"/>
  <c r="K1201" i="7"/>
  <c r="H1202" i="7"/>
  <c r="I1202" i="7"/>
  <c r="J1202" i="7"/>
  <c r="K1202" i="7"/>
  <c r="H1203" i="7"/>
  <c r="I1203" i="7"/>
  <c r="J1203" i="7"/>
  <c r="K1203" i="7"/>
  <c r="H1204" i="7"/>
  <c r="I1204" i="7"/>
  <c r="J1204" i="7"/>
  <c r="K1204" i="7"/>
  <c r="H1195" i="7"/>
  <c r="I1195" i="7"/>
  <c r="J1195" i="7"/>
  <c r="K1195" i="7"/>
  <c r="H1196" i="7"/>
  <c r="I1196" i="7"/>
  <c r="J1196" i="7"/>
  <c r="K1196" i="7"/>
  <c r="H1197" i="7"/>
  <c r="I1197" i="7"/>
  <c r="J1197" i="7"/>
  <c r="K1197" i="7"/>
  <c r="H1198" i="7"/>
  <c r="I1198" i="7"/>
  <c r="J1198" i="7"/>
  <c r="K1198" i="7"/>
  <c r="H563" i="7"/>
  <c r="I563" i="7"/>
  <c r="J563" i="7"/>
  <c r="K563" i="7"/>
  <c r="H564" i="7"/>
  <c r="I564" i="7"/>
  <c r="J564" i="7"/>
  <c r="K564" i="7"/>
  <c r="H565" i="7"/>
  <c r="I565" i="7"/>
  <c r="J565" i="7"/>
  <c r="K565" i="7"/>
  <c r="H566" i="7"/>
  <c r="I566" i="7"/>
  <c r="J566" i="7"/>
  <c r="K566" i="7"/>
  <c r="H567" i="7"/>
  <c r="I567" i="7"/>
  <c r="J567" i="7"/>
  <c r="K567" i="7"/>
  <c r="H555" i="7"/>
  <c r="I555" i="7"/>
  <c r="J555" i="7"/>
  <c r="K555" i="7"/>
  <c r="H556" i="7"/>
  <c r="I556" i="7"/>
  <c r="J556" i="7"/>
  <c r="K556" i="7"/>
  <c r="H557" i="7"/>
  <c r="I557" i="7"/>
  <c r="J557" i="7"/>
  <c r="K557" i="7"/>
  <c r="H558" i="7"/>
  <c r="I558" i="7"/>
  <c r="J558" i="7"/>
  <c r="K558" i="7"/>
  <c r="H559" i="7"/>
  <c r="I559" i="7"/>
  <c r="J559" i="7"/>
  <c r="K559" i="7"/>
  <c r="H560" i="7"/>
  <c r="I560" i="7"/>
  <c r="J560" i="7"/>
  <c r="K560" i="7"/>
  <c r="H561" i="7"/>
  <c r="I561" i="7"/>
  <c r="J561" i="7"/>
  <c r="K561" i="7"/>
  <c r="H549" i="7"/>
  <c r="I549" i="7"/>
  <c r="J549" i="7"/>
  <c r="K549" i="7"/>
  <c r="H550" i="7"/>
  <c r="I550" i="7"/>
  <c r="J550" i="7"/>
  <c r="K550" i="7"/>
  <c r="H551" i="7"/>
  <c r="I551" i="7"/>
  <c r="J551" i="7"/>
  <c r="K551" i="7"/>
  <c r="H552" i="7"/>
  <c r="I552" i="7"/>
  <c r="J552" i="7"/>
  <c r="K552" i="7"/>
  <c r="H553" i="7"/>
  <c r="I553" i="7"/>
  <c r="J553" i="7"/>
  <c r="K553" i="7"/>
  <c r="H542" i="7"/>
  <c r="I542" i="7"/>
  <c r="J542" i="7"/>
  <c r="K542" i="7"/>
  <c r="H543" i="7"/>
  <c r="I543" i="7"/>
  <c r="J543" i="7"/>
  <c r="K543" i="7"/>
  <c r="H544" i="7"/>
  <c r="I544" i="7"/>
  <c r="J544" i="7"/>
  <c r="K544" i="7"/>
  <c r="H545" i="7"/>
  <c r="I545" i="7"/>
  <c r="J545" i="7"/>
  <c r="K545" i="7"/>
  <c r="H546" i="7"/>
  <c r="I546" i="7"/>
  <c r="J546" i="7"/>
  <c r="K546" i="7"/>
  <c r="H547" i="7"/>
  <c r="I547" i="7"/>
  <c r="J547" i="7"/>
  <c r="K547" i="7"/>
  <c r="H541" i="7"/>
  <c r="I541" i="7"/>
  <c r="J541" i="7"/>
  <c r="K541" i="7"/>
  <c r="H540" i="7"/>
  <c r="I540" i="7"/>
  <c r="J540" i="7"/>
  <c r="K540" i="7"/>
  <c r="H528" i="7"/>
  <c r="I530" i="7"/>
  <c r="P144" i="9" s="1"/>
  <c r="J530" i="7"/>
  <c r="Q144" i="9" s="1"/>
  <c r="K530" i="7"/>
  <c r="R144" i="9" s="1"/>
  <c r="H525" i="7"/>
  <c r="I525" i="7"/>
  <c r="J525" i="7"/>
  <c r="K525" i="7"/>
  <c r="H526" i="7"/>
  <c r="I526" i="7"/>
  <c r="J526" i="7"/>
  <c r="K526" i="7"/>
  <c r="H527" i="7"/>
  <c r="I527" i="7"/>
  <c r="J527" i="7"/>
  <c r="K527" i="7"/>
  <c r="H519" i="7"/>
  <c r="I519" i="7"/>
  <c r="J519" i="7"/>
  <c r="K519" i="7"/>
  <c r="H520" i="7"/>
  <c r="I520" i="7"/>
  <c r="J520" i="7"/>
  <c r="K520" i="7"/>
  <c r="H521" i="7"/>
  <c r="I521" i="7"/>
  <c r="J521" i="7"/>
  <c r="K521" i="7"/>
  <c r="H522" i="7"/>
  <c r="I522" i="7"/>
  <c r="J522" i="7"/>
  <c r="K522" i="7"/>
  <c r="H523" i="7"/>
  <c r="I523" i="7"/>
  <c r="J523" i="7"/>
  <c r="K523" i="7"/>
  <c r="H515" i="7"/>
  <c r="I515" i="7"/>
  <c r="J515" i="7"/>
  <c r="K515" i="7"/>
  <c r="H516" i="7"/>
  <c r="I516" i="7"/>
  <c r="J516" i="7"/>
  <c r="K516" i="7"/>
  <c r="H517" i="7"/>
  <c r="I517" i="7"/>
  <c r="J517" i="7"/>
  <c r="K517" i="7"/>
  <c r="H510" i="7"/>
  <c r="I510" i="7"/>
  <c r="J510" i="7"/>
  <c r="K510" i="7"/>
  <c r="H511" i="7"/>
  <c r="I511" i="7"/>
  <c r="J511" i="7"/>
  <c r="K511" i="7"/>
  <c r="H512" i="7"/>
  <c r="I512" i="7"/>
  <c r="J512" i="7"/>
  <c r="K512" i="7"/>
  <c r="H513" i="7"/>
  <c r="I513" i="7"/>
  <c r="J513" i="7"/>
  <c r="K513" i="7"/>
  <c r="H505" i="7"/>
  <c r="I505" i="7"/>
  <c r="J505" i="7"/>
  <c r="K505" i="7"/>
  <c r="H506" i="7"/>
  <c r="I506" i="7"/>
  <c r="J506" i="7"/>
  <c r="K506" i="7"/>
  <c r="H507" i="7"/>
  <c r="I507" i="7"/>
  <c r="J507" i="7"/>
  <c r="K507" i="7"/>
  <c r="H498" i="7"/>
  <c r="I498" i="7"/>
  <c r="J498" i="7"/>
  <c r="K498" i="7"/>
  <c r="H499" i="7"/>
  <c r="I499" i="7"/>
  <c r="J499" i="7"/>
  <c r="K499" i="7"/>
  <c r="H500" i="7"/>
  <c r="I500" i="7"/>
  <c r="J500" i="7"/>
  <c r="K500" i="7"/>
  <c r="H501" i="7"/>
  <c r="I501" i="7"/>
  <c r="J501" i="7"/>
  <c r="K501" i="7"/>
  <c r="H502" i="7"/>
  <c r="I502" i="7"/>
  <c r="J502" i="7"/>
  <c r="K502" i="7"/>
  <c r="H503" i="7"/>
  <c r="I503" i="7"/>
  <c r="J503" i="7"/>
  <c r="K503" i="7"/>
  <c r="H493" i="7"/>
  <c r="I493" i="7"/>
  <c r="J493" i="7"/>
  <c r="K493" i="7"/>
  <c r="H494" i="7"/>
  <c r="I494" i="7"/>
  <c r="J494" i="7"/>
  <c r="K494" i="7"/>
  <c r="H495" i="7"/>
  <c r="I495" i="7"/>
  <c r="J495" i="7"/>
  <c r="K495" i="7"/>
  <c r="H496" i="7"/>
  <c r="I496" i="7"/>
  <c r="J496" i="7"/>
  <c r="K496" i="7"/>
  <c r="H486" i="7"/>
  <c r="I486" i="7"/>
  <c r="J486" i="7"/>
  <c r="K486" i="7"/>
  <c r="H487" i="7"/>
  <c r="I487" i="7"/>
  <c r="J487" i="7"/>
  <c r="K487" i="7"/>
  <c r="H488" i="7"/>
  <c r="I488" i="7"/>
  <c r="J488" i="7"/>
  <c r="K488" i="7"/>
  <c r="H489" i="7"/>
  <c r="I489" i="7"/>
  <c r="J489" i="7"/>
  <c r="K489" i="7"/>
  <c r="H490" i="7"/>
  <c r="I490" i="7"/>
  <c r="J490" i="7"/>
  <c r="K490" i="7"/>
  <c r="H491" i="7"/>
  <c r="I491" i="7"/>
  <c r="J491" i="7"/>
  <c r="K491" i="7"/>
  <c r="H480" i="7"/>
  <c r="I480" i="7"/>
  <c r="J480" i="7"/>
  <c r="K480" i="7"/>
  <c r="H482" i="7"/>
  <c r="I482" i="7"/>
  <c r="J482" i="7"/>
  <c r="K482" i="7"/>
  <c r="H483" i="7"/>
  <c r="I483" i="7"/>
  <c r="J483" i="7"/>
  <c r="K483" i="7"/>
  <c r="H473" i="7"/>
  <c r="I473" i="7"/>
  <c r="J473" i="7"/>
  <c r="K473" i="7"/>
  <c r="H474" i="7"/>
  <c r="I474" i="7"/>
  <c r="J474" i="7"/>
  <c r="K474" i="7"/>
  <c r="H475" i="7"/>
  <c r="I475" i="7"/>
  <c r="J475" i="7"/>
  <c r="K475" i="7"/>
  <c r="H476" i="7"/>
  <c r="I476" i="7"/>
  <c r="J476" i="7"/>
  <c r="K476" i="7"/>
  <c r="H477" i="7"/>
  <c r="I477" i="7"/>
  <c r="J477" i="7"/>
  <c r="K477" i="7"/>
  <c r="H478" i="7"/>
  <c r="I478" i="7"/>
  <c r="J478" i="7"/>
  <c r="K478" i="7"/>
  <c r="H468" i="7"/>
  <c r="I468" i="7"/>
  <c r="J468" i="7"/>
  <c r="K468" i="7"/>
  <c r="H469" i="7"/>
  <c r="I469" i="7"/>
  <c r="J469" i="7"/>
  <c r="K469" i="7"/>
  <c r="H470" i="7"/>
  <c r="I470" i="7"/>
  <c r="J470" i="7"/>
  <c r="K470" i="7"/>
  <c r="H471" i="7"/>
  <c r="I471" i="7"/>
  <c r="J471" i="7"/>
  <c r="K471" i="7"/>
  <c r="H460" i="7"/>
  <c r="I460" i="7"/>
  <c r="J460" i="7"/>
  <c r="K460" i="7"/>
  <c r="H461" i="7"/>
  <c r="I461" i="7"/>
  <c r="J461" i="7"/>
  <c r="K461" i="7"/>
  <c r="H462" i="7"/>
  <c r="I462" i="7"/>
  <c r="J462" i="7"/>
  <c r="K462" i="7"/>
  <c r="H463" i="7"/>
  <c r="I463" i="7"/>
  <c r="J463" i="7"/>
  <c r="K463" i="7"/>
  <c r="H464" i="7"/>
  <c r="I464" i="7"/>
  <c r="J464" i="7"/>
  <c r="K464" i="7"/>
  <c r="H465" i="7"/>
  <c r="I465" i="7"/>
  <c r="J465" i="7"/>
  <c r="K465" i="7"/>
  <c r="H466" i="7"/>
  <c r="I466" i="7"/>
  <c r="J466" i="7"/>
  <c r="K466" i="7"/>
  <c r="H454" i="7"/>
  <c r="I454" i="7"/>
  <c r="J454" i="7"/>
  <c r="K454" i="7"/>
  <c r="H455" i="7"/>
  <c r="I455" i="7"/>
  <c r="J455" i="7"/>
  <c r="K455" i="7"/>
  <c r="H456" i="7"/>
  <c r="I456" i="7"/>
  <c r="J456" i="7"/>
  <c r="K456" i="7"/>
  <c r="H457" i="7"/>
  <c r="I457" i="7"/>
  <c r="J457" i="7"/>
  <c r="K457" i="7"/>
  <c r="H447" i="7"/>
  <c r="I447" i="7"/>
  <c r="J447" i="7"/>
  <c r="K447" i="7"/>
  <c r="H448" i="7"/>
  <c r="I448" i="7"/>
  <c r="J448" i="7"/>
  <c r="K448" i="7"/>
  <c r="H449" i="7"/>
  <c r="I449" i="7"/>
  <c r="J449" i="7"/>
  <c r="K449" i="7"/>
  <c r="H450" i="7"/>
  <c r="I450" i="7"/>
  <c r="J450" i="7"/>
  <c r="K450" i="7"/>
  <c r="H451" i="7"/>
  <c r="I451" i="7"/>
  <c r="J451" i="7"/>
  <c r="K451" i="7"/>
  <c r="H452" i="7"/>
  <c r="I452" i="7"/>
  <c r="J452" i="7"/>
  <c r="K452" i="7"/>
  <c r="H442" i="7"/>
  <c r="I442" i="7"/>
  <c r="J442" i="7"/>
  <c r="K442" i="7"/>
  <c r="H443" i="7"/>
  <c r="I443" i="7"/>
  <c r="J443" i="7"/>
  <c r="K443" i="7"/>
  <c r="H444" i="7"/>
  <c r="I444" i="7"/>
  <c r="J444" i="7"/>
  <c r="K444" i="7"/>
  <c r="H445" i="7"/>
  <c r="I445" i="7"/>
  <c r="J445" i="7"/>
  <c r="K445" i="7"/>
  <c r="H435" i="7"/>
  <c r="I435" i="7"/>
  <c r="J435" i="7"/>
  <c r="K435" i="7"/>
  <c r="H436" i="7"/>
  <c r="I436" i="7"/>
  <c r="J436" i="7"/>
  <c r="K436" i="7"/>
  <c r="H437" i="7"/>
  <c r="I437" i="7"/>
  <c r="J437" i="7"/>
  <c r="K437" i="7"/>
  <c r="H438" i="7"/>
  <c r="I438" i="7"/>
  <c r="J438" i="7"/>
  <c r="K438" i="7"/>
  <c r="H439" i="7"/>
  <c r="I439" i="7"/>
  <c r="J439" i="7"/>
  <c r="K439" i="7"/>
  <c r="H440" i="7"/>
  <c r="I440" i="7"/>
  <c r="J440" i="7"/>
  <c r="K440" i="7"/>
  <c r="H427" i="7"/>
  <c r="I427" i="7"/>
  <c r="J427" i="7"/>
  <c r="K427" i="7"/>
  <c r="H428" i="7"/>
  <c r="I428" i="7"/>
  <c r="J428" i="7"/>
  <c r="K428" i="7"/>
  <c r="H429" i="7"/>
  <c r="I429" i="7"/>
  <c r="J429" i="7"/>
  <c r="K429" i="7"/>
  <c r="H430" i="7"/>
  <c r="I430" i="7"/>
  <c r="J430" i="7"/>
  <c r="K430" i="7"/>
  <c r="H431" i="7"/>
  <c r="I431" i="7"/>
  <c r="J431" i="7"/>
  <c r="K431" i="7"/>
  <c r="H419" i="7"/>
  <c r="I419" i="7"/>
  <c r="J419" i="7"/>
  <c r="K419" i="7"/>
  <c r="H420" i="7"/>
  <c r="I420" i="7"/>
  <c r="J420" i="7"/>
  <c r="K420" i="7"/>
  <c r="H421" i="7"/>
  <c r="I421" i="7"/>
  <c r="J421" i="7"/>
  <c r="K421" i="7"/>
  <c r="H422" i="7"/>
  <c r="I422" i="7"/>
  <c r="J422" i="7"/>
  <c r="K422" i="7"/>
  <c r="H423" i="7"/>
  <c r="I423" i="7"/>
  <c r="J423" i="7"/>
  <c r="K423" i="7"/>
  <c r="H424" i="7"/>
  <c r="I424" i="7"/>
  <c r="J424" i="7"/>
  <c r="K424" i="7"/>
  <c r="H425" i="7"/>
  <c r="I425" i="7"/>
  <c r="J425" i="7"/>
  <c r="K425" i="7"/>
  <c r="H413" i="7"/>
  <c r="I413" i="7"/>
  <c r="J413" i="7"/>
  <c r="K413" i="7"/>
  <c r="H414" i="7"/>
  <c r="I414" i="7"/>
  <c r="J414" i="7"/>
  <c r="K414" i="7"/>
  <c r="H415" i="7"/>
  <c r="I415" i="7"/>
  <c r="J415" i="7"/>
  <c r="K415" i="7"/>
  <c r="H416" i="7"/>
  <c r="I416" i="7"/>
  <c r="J416" i="7"/>
  <c r="K416" i="7"/>
  <c r="H417" i="7"/>
  <c r="I417" i="7"/>
  <c r="J417" i="7"/>
  <c r="K417" i="7"/>
  <c r="H406" i="7"/>
  <c r="I406" i="7"/>
  <c r="J406" i="7"/>
  <c r="K406" i="7"/>
  <c r="H407" i="7"/>
  <c r="I407" i="7"/>
  <c r="J407" i="7"/>
  <c r="K407" i="7"/>
  <c r="H408" i="7"/>
  <c r="I408" i="7"/>
  <c r="J408" i="7"/>
  <c r="K408" i="7"/>
  <c r="H409" i="7"/>
  <c r="I409" i="7"/>
  <c r="J409" i="7"/>
  <c r="K409" i="7"/>
  <c r="H410" i="7"/>
  <c r="I410" i="7"/>
  <c r="J410" i="7"/>
  <c r="K410" i="7"/>
  <c r="H411" i="7"/>
  <c r="I411" i="7"/>
  <c r="J411" i="7"/>
  <c r="K411" i="7"/>
  <c r="H405" i="7"/>
  <c r="I405" i="7"/>
  <c r="J405" i="7"/>
  <c r="K405" i="7"/>
  <c r="H404" i="7"/>
  <c r="I404" i="7"/>
  <c r="J404" i="7"/>
  <c r="K404" i="7"/>
  <c r="H401" i="7"/>
  <c r="I401" i="7"/>
  <c r="J401" i="7"/>
  <c r="K401" i="7"/>
  <c r="H399" i="7"/>
  <c r="I399" i="7"/>
  <c r="J399" i="7"/>
  <c r="K399" i="7"/>
  <c r="H398" i="7"/>
  <c r="I398" i="7"/>
  <c r="J398" i="7"/>
  <c r="K398" i="7"/>
  <c r="H396" i="7"/>
  <c r="I396" i="7"/>
  <c r="J396" i="7"/>
  <c r="K396" i="7"/>
  <c r="H395" i="7"/>
  <c r="I395" i="7"/>
  <c r="J395" i="7"/>
  <c r="K395" i="7"/>
  <c r="H394" i="7"/>
  <c r="I394" i="7"/>
  <c r="J394" i="7"/>
  <c r="K394" i="7"/>
  <c r="H393" i="7"/>
  <c r="I393" i="7"/>
  <c r="J393" i="7"/>
  <c r="K393" i="7"/>
  <c r="H392" i="7"/>
  <c r="I392" i="7"/>
  <c r="J392" i="7"/>
  <c r="K392" i="7"/>
  <c r="H391" i="7"/>
  <c r="I391" i="7"/>
  <c r="J391" i="7"/>
  <c r="K391" i="7"/>
  <c r="H390" i="7"/>
  <c r="I390" i="7"/>
  <c r="J390" i="7"/>
  <c r="K390" i="7"/>
  <c r="O147" i="9" l="1"/>
  <c r="I603" i="7"/>
  <c r="K603" i="7"/>
  <c r="H603" i="7"/>
  <c r="I582" i="7"/>
  <c r="K582" i="7"/>
  <c r="J582" i="7"/>
  <c r="H582" i="7"/>
  <c r="J603" i="7"/>
  <c r="K629" i="7"/>
  <c r="J616" i="7"/>
  <c r="J629" i="7"/>
  <c r="K616" i="7"/>
  <c r="I616" i="7"/>
  <c r="I629" i="7"/>
  <c r="H616" i="7"/>
  <c r="H629" i="7"/>
  <c r="O37" i="9"/>
  <c r="Q37" i="9"/>
  <c r="P37" i="9"/>
  <c r="Q85" i="9"/>
  <c r="P85" i="9"/>
  <c r="O85" i="9"/>
  <c r="R38" i="9"/>
  <c r="O75" i="9"/>
  <c r="P76" i="9"/>
  <c r="R75" i="9"/>
  <c r="R142" i="9"/>
  <c r="R129" i="9"/>
  <c r="R39" i="9"/>
  <c r="R121" i="9"/>
  <c r="Q75" i="9"/>
  <c r="R120" i="9"/>
  <c r="R46" i="9"/>
  <c r="O129" i="9"/>
  <c r="O142" i="9"/>
  <c r="O38" i="9"/>
  <c r="R37" i="9"/>
  <c r="R76" i="9"/>
  <c r="R143" i="9"/>
  <c r="R40" i="9"/>
  <c r="R79" i="9"/>
  <c r="R119" i="9"/>
  <c r="R80" i="9"/>
  <c r="R82" i="9"/>
  <c r="R44" i="9"/>
  <c r="R103" i="9"/>
  <c r="R85" i="9"/>
  <c r="Q76" i="9"/>
  <c r="Q143" i="9"/>
  <c r="Q40" i="9"/>
  <c r="Q79" i="9"/>
  <c r="Q119" i="9"/>
  <c r="Q80" i="9"/>
  <c r="Q82" i="9"/>
  <c r="Q44" i="9"/>
  <c r="Q103" i="9"/>
  <c r="P143" i="9"/>
  <c r="P40" i="9"/>
  <c r="P79" i="9"/>
  <c r="P119" i="9"/>
  <c r="P80" i="9"/>
  <c r="P82" i="9"/>
  <c r="P44" i="9"/>
  <c r="P103" i="9"/>
  <c r="O76" i="9"/>
  <c r="O143" i="9"/>
  <c r="O40" i="9"/>
  <c r="O79" i="9"/>
  <c r="O119" i="9"/>
  <c r="O80" i="9"/>
  <c r="O82" i="9"/>
  <c r="O44" i="9"/>
  <c r="O103" i="9"/>
  <c r="O100" i="9" s="1"/>
  <c r="R77" i="9"/>
  <c r="R118" i="9"/>
  <c r="R41" i="9"/>
  <c r="R155" i="9"/>
  <c r="R42" i="9"/>
  <c r="R43" i="9"/>
  <c r="R83" i="9"/>
  <c r="R45" i="9"/>
  <c r="R84" i="9"/>
  <c r="Q129" i="9"/>
  <c r="Q38" i="9"/>
  <c r="Q142" i="9"/>
  <c r="Q39" i="9"/>
  <c r="Q77" i="9"/>
  <c r="Q118" i="9"/>
  <c r="Q41" i="9"/>
  <c r="Q155" i="9"/>
  <c r="Q42" i="9"/>
  <c r="Q120" i="9"/>
  <c r="Q43" i="9"/>
  <c r="Q83" i="9"/>
  <c r="Q45" i="9"/>
  <c r="Q84" i="9"/>
  <c r="Q121" i="9"/>
  <c r="Q46" i="9"/>
  <c r="P75" i="9"/>
  <c r="P129" i="9"/>
  <c r="P38" i="9"/>
  <c r="P142" i="9"/>
  <c r="P39" i="9"/>
  <c r="P77" i="9"/>
  <c r="P118" i="9"/>
  <c r="P41" i="9"/>
  <c r="P155" i="9"/>
  <c r="P42" i="9"/>
  <c r="P120" i="9"/>
  <c r="P43" i="9"/>
  <c r="P83" i="9"/>
  <c r="P45" i="9"/>
  <c r="P84" i="9"/>
  <c r="P121" i="9"/>
  <c r="P46" i="9"/>
  <c r="O39" i="9"/>
  <c r="O77" i="9"/>
  <c r="O118" i="9"/>
  <c r="O41" i="9"/>
  <c r="O42" i="9"/>
  <c r="O120" i="9"/>
  <c r="O43" i="9"/>
  <c r="O83" i="9"/>
  <c r="O45" i="9"/>
  <c r="O84" i="9"/>
  <c r="O121" i="9"/>
  <c r="O46" i="9"/>
  <c r="K1238" i="7"/>
  <c r="J1238" i="7"/>
  <c r="I1238" i="7"/>
  <c r="H1238" i="7"/>
  <c r="H1227" i="7"/>
  <c r="K1227" i="7"/>
  <c r="J1227" i="7"/>
  <c r="I1227" i="7"/>
  <c r="J1232" i="7"/>
  <c r="K1232" i="7"/>
  <c r="I1232" i="7"/>
  <c r="H1232" i="7"/>
  <c r="I529" i="7"/>
  <c r="I528" i="7" s="1"/>
  <c r="J529" i="7"/>
  <c r="J528" i="7" s="1"/>
  <c r="K529" i="7"/>
  <c r="K528" i="7" s="1"/>
  <c r="K1220" i="7"/>
  <c r="J1220" i="7"/>
  <c r="I1220" i="7"/>
  <c r="H1220" i="7"/>
  <c r="K485" i="7"/>
  <c r="J485" i="7"/>
  <c r="I485" i="7"/>
  <c r="H485" i="7"/>
  <c r="N150" i="9"/>
  <c r="Q147" i="9"/>
  <c r="N153" i="9"/>
  <c r="N151" i="9"/>
  <c r="N149" i="9"/>
  <c r="N152" i="9"/>
  <c r="R147" i="9"/>
  <c r="P147" i="9"/>
  <c r="Q140" i="9" l="1"/>
  <c r="O140" i="9"/>
  <c r="P140" i="9"/>
  <c r="R140" i="9"/>
  <c r="N104" i="9"/>
  <c r="N129" i="9"/>
  <c r="N144" i="9"/>
  <c r="N143" i="9"/>
  <c r="N103" i="9"/>
  <c r="O155" i="9"/>
  <c r="N155" i="9" s="1"/>
  <c r="N142" i="9"/>
  <c r="N147" i="9"/>
  <c r="H397" i="7"/>
  <c r="I397" i="7"/>
  <c r="J397" i="7"/>
  <c r="K397" i="7"/>
  <c r="H389" i="7"/>
  <c r="K388" i="7"/>
  <c r="J388" i="7"/>
  <c r="I388" i="7"/>
  <c r="H388" i="7"/>
  <c r="K387" i="7"/>
  <c r="J387" i="7"/>
  <c r="I387" i="7"/>
  <c r="H387" i="7"/>
  <c r="K386" i="7"/>
  <c r="J386" i="7"/>
  <c r="I386" i="7"/>
  <c r="H386" i="7"/>
  <c r="K385" i="7"/>
  <c r="J385" i="7"/>
  <c r="I385" i="7"/>
  <c r="K384" i="7"/>
  <c r="J384" i="7"/>
  <c r="I384" i="7"/>
  <c r="H384" i="7"/>
  <c r="K383" i="7"/>
  <c r="J383" i="7"/>
  <c r="I383" i="7"/>
  <c r="H383" i="7"/>
  <c r="K382" i="7"/>
  <c r="J382" i="7"/>
  <c r="I382" i="7"/>
  <c r="H382" i="7"/>
  <c r="K381" i="7"/>
  <c r="J381" i="7"/>
  <c r="I381" i="7"/>
  <c r="H381" i="7"/>
  <c r="K380" i="7"/>
  <c r="J380" i="7"/>
  <c r="I380" i="7"/>
  <c r="H380" i="7"/>
  <c r="K379" i="7"/>
  <c r="J379" i="7"/>
  <c r="I379" i="7"/>
  <c r="H379" i="7"/>
  <c r="K378" i="7"/>
  <c r="J378" i="7"/>
  <c r="I378" i="7"/>
  <c r="H378" i="7"/>
  <c r="K377" i="7"/>
  <c r="J377" i="7"/>
  <c r="I377" i="7"/>
  <c r="H377" i="7"/>
  <c r="K376" i="7"/>
  <c r="J376" i="7"/>
  <c r="I376" i="7"/>
  <c r="H376" i="7"/>
  <c r="K375" i="7"/>
  <c r="J375" i="7"/>
  <c r="I375" i="7"/>
  <c r="H375" i="7"/>
  <c r="K372" i="7"/>
  <c r="J372" i="7"/>
  <c r="I372" i="7"/>
  <c r="H372" i="7"/>
  <c r="K371" i="7"/>
  <c r="J371" i="7"/>
  <c r="I371" i="7"/>
  <c r="H371" i="7"/>
  <c r="K370" i="7"/>
  <c r="J370" i="7"/>
  <c r="I370" i="7"/>
  <c r="H370" i="7"/>
  <c r="K369" i="7"/>
  <c r="J369" i="7"/>
  <c r="I369" i="7"/>
  <c r="H369" i="7"/>
  <c r="K368" i="7"/>
  <c r="J368" i="7"/>
  <c r="I368" i="7"/>
  <c r="H368" i="7"/>
  <c r="J366" i="7"/>
  <c r="I366" i="7"/>
  <c r="H366" i="7"/>
  <c r="J365" i="7"/>
  <c r="I365" i="7"/>
  <c r="H365" i="7"/>
  <c r="K364" i="7"/>
  <c r="J364" i="7"/>
  <c r="H364" i="7"/>
  <c r="J363" i="7"/>
  <c r="I363" i="7"/>
  <c r="H363" i="7"/>
  <c r="J362" i="7"/>
  <c r="I362" i="7"/>
  <c r="H362" i="7"/>
  <c r="K361" i="7"/>
  <c r="J361" i="7"/>
  <c r="I361" i="7"/>
  <c r="K359" i="7"/>
  <c r="I359" i="7"/>
  <c r="H359" i="7"/>
  <c r="K358" i="7"/>
  <c r="I358" i="7"/>
  <c r="H358" i="7"/>
  <c r="K357" i="7"/>
  <c r="I357" i="7"/>
  <c r="H357" i="7"/>
  <c r="K356" i="7"/>
  <c r="I356" i="7"/>
  <c r="H356" i="7"/>
  <c r="K355" i="7"/>
  <c r="J355" i="7"/>
  <c r="H355" i="7"/>
  <c r="K354" i="7"/>
  <c r="J354" i="7"/>
  <c r="H354" i="7"/>
  <c r="K353" i="7"/>
  <c r="J353" i="7"/>
  <c r="H353" i="7"/>
  <c r="K352" i="7"/>
  <c r="J352" i="7"/>
  <c r="H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K346" i="7"/>
  <c r="J346" i="7"/>
  <c r="K345" i="7"/>
  <c r="J345" i="7"/>
  <c r="K344" i="7"/>
  <c r="J344" i="7"/>
  <c r="K342" i="7"/>
  <c r="J342" i="7"/>
  <c r="K341" i="7"/>
  <c r="J341" i="7"/>
  <c r="K340" i="7"/>
  <c r="J340" i="7"/>
  <c r="K339" i="7"/>
  <c r="J339" i="7"/>
  <c r="K338" i="7"/>
  <c r="J338" i="7"/>
  <c r="K337" i="7"/>
  <c r="J337" i="7"/>
  <c r="K336" i="7"/>
  <c r="J336" i="7"/>
  <c r="K335" i="7"/>
  <c r="J335" i="7"/>
  <c r="K334" i="7"/>
  <c r="J334" i="7"/>
  <c r="H334" i="7"/>
  <c r="K333" i="7"/>
  <c r="J333" i="7"/>
  <c r="K332" i="7"/>
  <c r="J332" i="7"/>
  <c r="I332" i="7"/>
  <c r="K331" i="7"/>
  <c r="J331" i="7"/>
  <c r="I331" i="7"/>
  <c r="K330" i="7"/>
  <c r="J330" i="7"/>
  <c r="H330" i="7"/>
  <c r="K329" i="7"/>
  <c r="J329" i="7"/>
  <c r="H329" i="7"/>
  <c r="K328" i="7"/>
  <c r="J328" i="7"/>
  <c r="I328" i="7"/>
  <c r="K327" i="7"/>
  <c r="J327" i="7"/>
  <c r="K326" i="7"/>
  <c r="J326" i="7"/>
  <c r="K325" i="7"/>
  <c r="J325" i="7"/>
  <c r="I325" i="7"/>
  <c r="K324" i="7"/>
  <c r="J324" i="7"/>
  <c r="I324" i="7"/>
  <c r="K322" i="7"/>
  <c r="J322" i="7"/>
  <c r="I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260" i="7"/>
  <c r="J260" i="7"/>
  <c r="I260" i="7"/>
  <c r="H260" i="7"/>
  <c r="K259" i="7"/>
  <c r="J259" i="7"/>
  <c r="I259" i="7"/>
  <c r="H259" i="7"/>
  <c r="K258" i="7"/>
  <c r="J258" i="7"/>
  <c r="I258" i="7"/>
  <c r="H258" i="7"/>
  <c r="K257" i="7"/>
  <c r="J257" i="7"/>
  <c r="I257" i="7"/>
  <c r="H257" i="7"/>
  <c r="K256" i="7"/>
  <c r="J256" i="7"/>
  <c r="I256" i="7"/>
  <c r="H256" i="7"/>
  <c r="K255" i="7"/>
  <c r="J255" i="7"/>
  <c r="I255" i="7"/>
  <c r="H255" i="7"/>
  <c r="K253" i="7"/>
  <c r="J253" i="7"/>
  <c r="I253" i="7"/>
  <c r="H253" i="7"/>
  <c r="K252" i="7"/>
  <c r="J252" i="7"/>
  <c r="I252" i="7"/>
  <c r="H252" i="7"/>
  <c r="K251" i="7"/>
  <c r="J251" i="7"/>
  <c r="I251" i="7"/>
  <c r="H251" i="7"/>
  <c r="K250" i="7"/>
  <c r="J250" i="7"/>
  <c r="I250" i="7"/>
  <c r="H250" i="7"/>
  <c r="K249" i="7"/>
  <c r="J249" i="7"/>
  <c r="I249" i="7"/>
  <c r="H249" i="7"/>
  <c r="K248" i="7"/>
  <c r="J248" i="7"/>
  <c r="I248" i="7"/>
  <c r="H248" i="7"/>
  <c r="K247" i="7"/>
  <c r="J247" i="7"/>
  <c r="I247" i="7"/>
  <c r="H247" i="7"/>
  <c r="K246" i="7"/>
  <c r="J246" i="7"/>
  <c r="I246" i="7"/>
  <c r="H246" i="7"/>
  <c r="K245" i="7"/>
  <c r="J245" i="7"/>
  <c r="I245" i="7"/>
  <c r="H245" i="7"/>
  <c r="K243" i="7"/>
  <c r="J243" i="7"/>
  <c r="I243" i="7"/>
  <c r="H243" i="7"/>
  <c r="K242" i="7"/>
  <c r="J242" i="7"/>
  <c r="I242" i="7"/>
  <c r="H242" i="7"/>
  <c r="K241" i="7"/>
  <c r="J241" i="7"/>
  <c r="I241" i="7"/>
  <c r="H241" i="7"/>
  <c r="K240" i="7"/>
  <c r="J240" i="7"/>
  <c r="I240" i="7"/>
  <c r="H240" i="7"/>
  <c r="K239" i="7"/>
  <c r="J239" i="7"/>
  <c r="I239" i="7"/>
  <c r="H239" i="7"/>
  <c r="K238" i="7"/>
  <c r="J238" i="7"/>
  <c r="I238" i="7"/>
  <c r="H238" i="7"/>
  <c r="K237" i="7"/>
  <c r="J237" i="7"/>
  <c r="I237" i="7"/>
  <c r="H237" i="7"/>
  <c r="K236" i="7"/>
  <c r="J236" i="7"/>
  <c r="I236" i="7"/>
  <c r="H236" i="7"/>
  <c r="K235" i="7"/>
  <c r="J235" i="7"/>
  <c r="I235" i="7"/>
  <c r="H235" i="7"/>
  <c r="K234" i="7"/>
  <c r="J234" i="7"/>
  <c r="I234" i="7"/>
  <c r="H234" i="7"/>
  <c r="K230" i="7"/>
  <c r="J230" i="7"/>
  <c r="I230" i="7"/>
  <c r="H230" i="7"/>
  <c r="K229" i="7"/>
  <c r="J229" i="7"/>
  <c r="I229" i="7"/>
  <c r="H229" i="7"/>
  <c r="K228" i="7"/>
  <c r="J228" i="7"/>
  <c r="I228" i="7"/>
  <c r="H228" i="7"/>
  <c r="K226" i="7"/>
  <c r="J226" i="7"/>
  <c r="I226" i="7"/>
  <c r="H226" i="7"/>
  <c r="K225" i="7"/>
  <c r="J225" i="7"/>
  <c r="I225" i="7"/>
  <c r="H225" i="7"/>
  <c r="K224" i="7"/>
  <c r="J224" i="7"/>
  <c r="I224" i="7"/>
  <c r="K223" i="7"/>
  <c r="J223" i="7"/>
  <c r="I223" i="7"/>
  <c r="K222" i="7"/>
  <c r="J222" i="7"/>
  <c r="I222" i="7"/>
  <c r="H222" i="7"/>
  <c r="K221" i="7"/>
  <c r="J221" i="7"/>
  <c r="I221" i="7"/>
  <c r="H221" i="7"/>
  <c r="K220" i="7"/>
  <c r="J220" i="7"/>
  <c r="I220" i="7"/>
  <c r="H220" i="7"/>
  <c r="K219" i="7"/>
  <c r="J219" i="7"/>
  <c r="I219" i="7"/>
  <c r="K218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K209" i="7"/>
  <c r="J209" i="7"/>
  <c r="I209" i="7"/>
  <c r="H209" i="7"/>
  <c r="K208" i="7"/>
  <c r="J208" i="7"/>
  <c r="I208" i="7"/>
  <c r="H208" i="7"/>
  <c r="K207" i="7"/>
  <c r="J207" i="7"/>
  <c r="I207" i="7"/>
  <c r="H207" i="7"/>
  <c r="K206" i="7"/>
  <c r="J206" i="7"/>
  <c r="I206" i="7"/>
  <c r="H206" i="7"/>
  <c r="K205" i="7"/>
  <c r="J205" i="7"/>
  <c r="I205" i="7"/>
  <c r="H205" i="7"/>
  <c r="K204" i="7"/>
  <c r="J204" i="7"/>
  <c r="I204" i="7"/>
  <c r="H204" i="7"/>
  <c r="K203" i="7"/>
  <c r="J203" i="7"/>
  <c r="I203" i="7"/>
  <c r="H203" i="7"/>
  <c r="K202" i="7"/>
  <c r="J202" i="7"/>
  <c r="I202" i="7"/>
  <c r="H202" i="7"/>
  <c r="K201" i="7"/>
  <c r="J201" i="7"/>
  <c r="I201" i="7"/>
  <c r="H201" i="7"/>
  <c r="K200" i="7"/>
  <c r="J200" i="7"/>
  <c r="I200" i="7"/>
  <c r="H200" i="7"/>
  <c r="K199" i="7"/>
  <c r="J199" i="7"/>
  <c r="I199" i="7"/>
  <c r="H199" i="7"/>
  <c r="K198" i="7"/>
  <c r="J198" i="7"/>
  <c r="I198" i="7"/>
  <c r="H198" i="7"/>
  <c r="K197" i="7"/>
  <c r="J197" i="7"/>
  <c r="I197" i="7"/>
  <c r="H197" i="7"/>
  <c r="K196" i="7"/>
  <c r="J196" i="7"/>
  <c r="I196" i="7"/>
  <c r="H196" i="7"/>
  <c r="K195" i="7"/>
  <c r="J195" i="7"/>
  <c r="I195" i="7"/>
  <c r="H195" i="7"/>
  <c r="K194" i="7"/>
  <c r="J194" i="7"/>
  <c r="I194" i="7"/>
  <c r="H194" i="7"/>
  <c r="K189" i="7"/>
  <c r="J189" i="7"/>
  <c r="I189" i="7"/>
  <c r="H189" i="7"/>
  <c r="K188" i="7"/>
  <c r="J188" i="7"/>
  <c r="I188" i="7"/>
  <c r="H188" i="7"/>
  <c r="K185" i="7"/>
  <c r="J185" i="7"/>
  <c r="I185" i="7"/>
  <c r="H185" i="7"/>
  <c r="K184" i="7"/>
  <c r="J184" i="7"/>
  <c r="I184" i="7"/>
  <c r="H184" i="7"/>
  <c r="K179" i="7"/>
  <c r="J179" i="7"/>
  <c r="I179" i="7"/>
  <c r="H179" i="7"/>
  <c r="K178" i="7"/>
  <c r="J178" i="7"/>
  <c r="I178" i="7"/>
  <c r="H178" i="7"/>
  <c r="K177" i="7"/>
  <c r="J177" i="7"/>
  <c r="I177" i="7"/>
  <c r="H177" i="7"/>
  <c r="R112" i="9"/>
  <c r="Q112" i="9"/>
  <c r="P112" i="9"/>
  <c r="O112" i="9"/>
  <c r="K172" i="7"/>
  <c r="J172" i="7"/>
  <c r="I172" i="7"/>
  <c r="H172" i="7"/>
  <c r="K171" i="7"/>
  <c r="J171" i="7"/>
  <c r="I171" i="7"/>
  <c r="H171" i="7"/>
  <c r="K170" i="7"/>
  <c r="J170" i="7"/>
  <c r="I170" i="7"/>
  <c r="H170" i="7"/>
  <c r="K169" i="7"/>
  <c r="J169" i="7"/>
  <c r="I169" i="7"/>
  <c r="H169" i="7"/>
  <c r="K168" i="7"/>
  <c r="J168" i="7"/>
  <c r="I168" i="7"/>
  <c r="H168" i="7"/>
  <c r="K167" i="7"/>
  <c r="J167" i="7"/>
  <c r="I167" i="7"/>
  <c r="H167" i="7"/>
  <c r="K166" i="7"/>
  <c r="J166" i="7"/>
  <c r="I166" i="7"/>
  <c r="H166" i="7"/>
  <c r="K164" i="7"/>
  <c r="J164" i="7"/>
  <c r="I164" i="7"/>
  <c r="H164" i="7"/>
  <c r="K162" i="7"/>
  <c r="J162" i="7"/>
  <c r="I162" i="7"/>
  <c r="H162" i="7"/>
  <c r="K161" i="7"/>
  <c r="J161" i="7"/>
  <c r="I161" i="7"/>
  <c r="H161" i="7"/>
  <c r="K160" i="7"/>
  <c r="J160" i="7"/>
  <c r="I160" i="7"/>
  <c r="H160" i="7"/>
  <c r="K159" i="7"/>
  <c r="J159" i="7"/>
  <c r="I159" i="7"/>
  <c r="H159" i="7"/>
  <c r="K157" i="7"/>
  <c r="J157" i="7"/>
  <c r="I157" i="7"/>
  <c r="H157" i="7"/>
  <c r="K156" i="7"/>
  <c r="J156" i="7"/>
  <c r="I156" i="7"/>
  <c r="H156" i="7"/>
  <c r="K155" i="7"/>
  <c r="J155" i="7"/>
  <c r="I155" i="7"/>
  <c r="H155" i="7"/>
  <c r="K154" i="7"/>
  <c r="J154" i="7"/>
  <c r="H154" i="7"/>
  <c r="K153" i="7"/>
  <c r="J153" i="7"/>
  <c r="I153" i="7"/>
  <c r="H153" i="7"/>
  <c r="K152" i="7"/>
  <c r="J152" i="7"/>
  <c r="I152" i="7"/>
  <c r="H152" i="7"/>
  <c r="K151" i="7"/>
  <c r="J151" i="7"/>
  <c r="I151" i="7"/>
  <c r="H151" i="7"/>
  <c r="K147" i="7"/>
  <c r="J147" i="7"/>
  <c r="I147" i="7"/>
  <c r="H147" i="7"/>
  <c r="K146" i="7"/>
  <c r="J146" i="7"/>
  <c r="I146" i="7"/>
  <c r="H146" i="7"/>
  <c r="K145" i="7"/>
  <c r="J145" i="7"/>
  <c r="I145" i="7"/>
  <c r="H145" i="7"/>
  <c r="K144" i="7"/>
  <c r="J144" i="7"/>
  <c r="I144" i="7"/>
  <c r="H144" i="7"/>
  <c r="K143" i="7"/>
  <c r="J143" i="7"/>
  <c r="I143" i="7"/>
  <c r="H143" i="7"/>
  <c r="K142" i="7"/>
  <c r="J142" i="7"/>
  <c r="I142" i="7"/>
  <c r="H142" i="7"/>
  <c r="K141" i="7"/>
  <c r="J141" i="7"/>
  <c r="I141" i="7"/>
  <c r="H141" i="7"/>
  <c r="K139" i="7"/>
  <c r="J139" i="7"/>
  <c r="I139" i="7"/>
  <c r="H139" i="7"/>
  <c r="K138" i="7"/>
  <c r="J138" i="7"/>
  <c r="I138" i="7"/>
  <c r="H138" i="7"/>
  <c r="K137" i="7"/>
  <c r="J137" i="7"/>
  <c r="I137" i="7"/>
  <c r="H137" i="7"/>
  <c r="K136" i="7"/>
  <c r="J136" i="7"/>
  <c r="I136" i="7"/>
  <c r="H136" i="7"/>
  <c r="K135" i="7"/>
  <c r="J135" i="7"/>
  <c r="I135" i="7"/>
  <c r="H135" i="7"/>
  <c r="K134" i="7"/>
  <c r="J134" i="7"/>
  <c r="I134" i="7"/>
  <c r="H134" i="7"/>
  <c r="K133" i="7"/>
  <c r="J133" i="7"/>
  <c r="I133" i="7"/>
  <c r="H133" i="7"/>
  <c r="K132" i="7"/>
  <c r="J132" i="7"/>
  <c r="I132" i="7"/>
  <c r="H132" i="7"/>
  <c r="K131" i="7"/>
  <c r="J131" i="7"/>
  <c r="I131" i="7"/>
  <c r="H131" i="7"/>
  <c r="K130" i="7"/>
  <c r="J130" i="7"/>
  <c r="I130" i="7"/>
  <c r="H130" i="7"/>
  <c r="K129" i="7"/>
  <c r="J129" i="7"/>
  <c r="I129" i="7"/>
  <c r="H129" i="7"/>
  <c r="K128" i="7"/>
  <c r="J128" i="7"/>
  <c r="I128" i="7"/>
  <c r="H128" i="7"/>
  <c r="K127" i="7"/>
  <c r="J127" i="7"/>
  <c r="I127" i="7"/>
  <c r="H127" i="7"/>
  <c r="K126" i="7"/>
  <c r="J126" i="7"/>
  <c r="I126" i="7"/>
  <c r="H126" i="7"/>
  <c r="K125" i="7"/>
  <c r="J125" i="7"/>
  <c r="I125" i="7"/>
  <c r="H125" i="7"/>
  <c r="K124" i="7"/>
  <c r="J124" i="7"/>
  <c r="I124" i="7"/>
  <c r="H124" i="7"/>
  <c r="K123" i="7"/>
  <c r="J123" i="7"/>
  <c r="I123" i="7"/>
  <c r="H123" i="7"/>
  <c r="K122" i="7"/>
  <c r="J122" i="7"/>
  <c r="I122" i="7"/>
  <c r="H122" i="7"/>
  <c r="K121" i="7"/>
  <c r="J121" i="7"/>
  <c r="I121" i="7"/>
  <c r="H121" i="7"/>
  <c r="K120" i="7"/>
  <c r="J120" i="7"/>
  <c r="I120" i="7"/>
  <c r="H120" i="7"/>
  <c r="K119" i="7"/>
  <c r="J119" i="7"/>
  <c r="I119" i="7"/>
  <c r="H119" i="7"/>
  <c r="K118" i="7"/>
  <c r="J118" i="7"/>
  <c r="I118" i="7"/>
  <c r="H118" i="7"/>
  <c r="K117" i="7"/>
  <c r="J117" i="7"/>
  <c r="I117" i="7"/>
  <c r="H117" i="7"/>
  <c r="K114" i="7"/>
  <c r="K113" i="7" s="1"/>
  <c r="J114" i="7"/>
  <c r="J113" i="7" s="1"/>
  <c r="I114" i="7"/>
  <c r="I113" i="7" s="1"/>
  <c r="H114" i="7"/>
  <c r="H113" i="7" s="1"/>
  <c r="K112" i="7"/>
  <c r="J112" i="7"/>
  <c r="I112" i="7"/>
  <c r="H112" i="7"/>
  <c r="K108" i="7"/>
  <c r="J108" i="7"/>
  <c r="I108" i="7"/>
  <c r="H108" i="7"/>
  <c r="K107" i="7"/>
  <c r="J107" i="7"/>
  <c r="I107" i="7"/>
  <c r="H107" i="7"/>
  <c r="K106" i="7"/>
  <c r="J106" i="7"/>
  <c r="I106" i="7"/>
  <c r="H106" i="7"/>
  <c r="K104" i="7"/>
  <c r="J104" i="7"/>
  <c r="I104" i="7"/>
  <c r="H104" i="7"/>
  <c r="K103" i="7"/>
  <c r="J103" i="7"/>
  <c r="I103" i="7"/>
  <c r="H103" i="7"/>
  <c r="K102" i="7"/>
  <c r="J102" i="7"/>
  <c r="I102" i="7"/>
  <c r="H102" i="7"/>
  <c r="K101" i="7"/>
  <c r="J101" i="7"/>
  <c r="I101" i="7"/>
  <c r="H101" i="7"/>
  <c r="K99" i="7"/>
  <c r="J99" i="7"/>
  <c r="I99" i="7"/>
  <c r="H99" i="7"/>
  <c r="K98" i="7"/>
  <c r="J98" i="7"/>
  <c r="I98" i="7"/>
  <c r="H98" i="7"/>
  <c r="K97" i="7"/>
  <c r="J97" i="7"/>
  <c r="I97" i="7"/>
  <c r="H97" i="7"/>
  <c r="K92" i="7"/>
  <c r="J92" i="7"/>
  <c r="I92" i="7"/>
  <c r="K91" i="7"/>
  <c r="J91" i="7"/>
  <c r="I91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2" i="7"/>
  <c r="J82" i="7"/>
  <c r="I82" i="7"/>
  <c r="K81" i="7"/>
  <c r="J81" i="7"/>
  <c r="I81" i="7"/>
  <c r="K80" i="7"/>
  <c r="J80" i="7"/>
  <c r="I80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1" i="7"/>
  <c r="J31" i="7"/>
  <c r="I31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19" i="7"/>
  <c r="J19" i="7"/>
  <c r="I19" i="7"/>
  <c r="K17" i="7"/>
  <c r="J17" i="7"/>
  <c r="I17" i="7"/>
  <c r="K16" i="7"/>
  <c r="J16" i="7"/>
  <c r="I16" i="7"/>
  <c r="K15" i="7"/>
  <c r="R21" i="9" s="1"/>
  <c r="J15" i="7"/>
  <c r="Q21" i="9" s="1"/>
  <c r="I15" i="7"/>
  <c r="P21" i="9" s="1"/>
  <c r="K13" i="7"/>
  <c r="J13" i="7"/>
  <c r="I13" i="7"/>
  <c r="I10" i="7"/>
  <c r="J10" i="7"/>
  <c r="K10" i="7"/>
  <c r="I11" i="7"/>
  <c r="J11" i="7"/>
  <c r="K11" i="7"/>
  <c r="I389" i="7"/>
  <c r="J389" i="7"/>
  <c r="K389" i="7"/>
  <c r="H400" i="7"/>
  <c r="I400" i="7"/>
  <c r="J400" i="7"/>
  <c r="K400" i="7"/>
  <c r="H403" i="7"/>
  <c r="I403" i="7"/>
  <c r="J403" i="7"/>
  <c r="K403" i="7"/>
  <c r="H412" i="7"/>
  <c r="I412" i="7"/>
  <c r="J412" i="7"/>
  <c r="K412" i="7"/>
  <c r="H418" i="7"/>
  <c r="I418" i="7"/>
  <c r="J418" i="7"/>
  <c r="K418" i="7"/>
  <c r="H426" i="7"/>
  <c r="I426" i="7"/>
  <c r="J426" i="7"/>
  <c r="K426" i="7"/>
  <c r="H433" i="7"/>
  <c r="I433" i="7"/>
  <c r="J433" i="7"/>
  <c r="K433" i="7"/>
  <c r="H441" i="7"/>
  <c r="I441" i="7"/>
  <c r="J441" i="7"/>
  <c r="K441" i="7"/>
  <c r="H446" i="7"/>
  <c r="I446" i="7"/>
  <c r="J446" i="7"/>
  <c r="K446" i="7"/>
  <c r="H453" i="7"/>
  <c r="I453" i="7"/>
  <c r="J453" i="7"/>
  <c r="K453" i="7"/>
  <c r="H459" i="7"/>
  <c r="I459" i="7"/>
  <c r="J459" i="7"/>
  <c r="K459" i="7"/>
  <c r="H467" i="7"/>
  <c r="I467" i="7"/>
  <c r="J467" i="7"/>
  <c r="K467" i="7"/>
  <c r="H472" i="7"/>
  <c r="I472" i="7"/>
  <c r="J472" i="7"/>
  <c r="K472" i="7"/>
  <c r="H479" i="7"/>
  <c r="O78" i="9" s="1"/>
  <c r="I479" i="7"/>
  <c r="P78" i="9" s="1"/>
  <c r="J479" i="7"/>
  <c r="Q78" i="9" s="1"/>
  <c r="K479" i="7"/>
  <c r="R78" i="9" s="1"/>
  <c r="H492" i="7"/>
  <c r="I492" i="7"/>
  <c r="J492" i="7"/>
  <c r="K492" i="7"/>
  <c r="H497" i="7"/>
  <c r="I497" i="7"/>
  <c r="J497" i="7"/>
  <c r="K497" i="7"/>
  <c r="H504" i="7"/>
  <c r="I504" i="7"/>
  <c r="J504" i="7"/>
  <c r="K504" i="7"/>
  <c r="H509" i="7"/>
  <c r="I509" i="7"/>
  <c r="J509" i="7"/>
  <c r="K509" i="7"/>
  <c r="H514" i="7"/>
  <c r="I514" i="7"/>
  <c r="J514" i="7"/>
  <c r="K514" i="7"/>
  <c r="H518" i="7"/>
  <c r="I518" i="7"/>
  <c r="J518" i="7"/>
  <c r="K518" i="7"/>
  <c r="H524" i="7"/>
  <c r="I524" i="7"/>
  <c r="J524" i="7"/>
  <c r="K524" i="7"/>
  <c r="H539" i="7"/>
  <c r="I539" i="7"/>
  <c r="J539" i="7"/>
  <c r="K539" i="7"/>
  <c r="H548" i="7"/>
  <c r="I548" i="7"/>
  <c r="J548" i="7"/>
  <c r="K548" i="7"/>
  <c r="H554" i="7"/>
  <c r="I554" i="7"/>
  <c r="J554" i="7"/>
  <c r="K554" i="7"/>
  <c r="H562" i="7"/>
  <c r="I562" i="7"/>
  <c r="J562" i="7"/>
  <c r="K562" i="7"/>
  <c r="H1194" i="7"/>
  <c r="I1194" i="7"/>
  <c r="J1194" i="7"/>
  <c r="K1194" i="7"/>
  <c r="H1199" i="7"/>
  <c r="I1199" i="7"/>
  <c r="J1199" i="7"/>
  <c r="K1199" i="7"/>
  <c r="H1205" i="7"/>
  <c r="I1205" i="7"/>
  <c r="J1205" i="7"/>
  <c r="K1205" i="7"/>
  <c r="H1213" i="7"/>
  <c r="I1213" i="7"/>
  <c r="J1213" i="7"/>
  <c r="K1213" i="7"/>
  <c r="H568" i="7"/>
  <c r="I568" i="7"/>
  <c r="J568" i="7"/>
  <c r="K568" i="7"/>
  <c r="H836" i="7"/>
  <c r="I836" i="7"/>
  <c r="J836" i="7"/>
  <c r="K836" i="7"/>
  <c r="H842" i="7"/>
  <c r="I842" i="7"/>
  <c r="J842" i="7"/>
  <c r="K842" i="7"/>
  <c r="H848" i="7"/>
  <c r="I848" i="7"/>
  <c r="J848" i="7"/>
  <c r="K848" i="7"/>
  <c r="H852" i="7"/>
  <c r="I852" i="7"/>
  <c r="J852" i="7"/>
  <c r="K852" i="7"/>
  <c r="H862" i="7"/>
  <c r="I862" i="7"/>
  <c r="J862" i="7"/>
  <c r="K862" i="7"/>
  <c r="H868" i="7"/>
  <c r="I868" i="7"/>
  <c r="J868" i="7"/>
  <c r="K868" i="7"/>
  <c r="H874" i="7"/>
  <c r="I874" i="7"/>
  <c r="J874" i="7"/>
  <c r="K874" i="7"/>
  <c r="H901" i="7"/>
  <c r="I901" i="7"/>
  <c r="J901" i="7"/>
  <c r="K901" i="7"/>
  <c r="H916" i="7"/>
  <c r="I916" i="7"/>
  <c r="J916" i="7"/>
  <c r="K916" i="7"/>
  <c r="H932" i="7"/>
  <c r="I932" i="7"/>
  <c r="K932" i="7"/>
  <c r="H960" i="7"/>
  <c r="H947" i="7" s="1"/>
  <c r="I960" i="7"/>
  <c r="J960" i="7"/>
  <c r="K960" i="7"/>
  <c r="H992" i="7"/>
  <c r="I992" i="7"/>
  <c r="J992" i="7"/>
  <c r="K992" i="7"/>
  <c r="H1003" i="7"/>
  <c r="I1003" i="7"/>
  <c r="J1003" i="7"/>
  <c r="K1003" i="7"/>
  <c r="H1008" i="7"/>
  <c r="I1008" i="7"/>
  <c r="J1008" i="7"/>
  <c r="K1008" i="7"/>
  <c r="H1016" i="7"/>
  <c r="I1016" i="7"/>
  <c r="J1016" i="7"/>
  <c r="K1016" i="7"/>
  <c r="H1026" i="7"/>
  <c r="I1026" i="7"/>
  <c r="J1026" i="7"/>
  <c r="K1026" i="7"/>
  <c r="H1054" i="7"/>
  <c r="I1054" i="7"/>
  <c r="J1054" i="7"/>
  <c r="K1054" i="7"/>
  <c r="H1063" i="7"/>
  <c r="H1081" i="7"/>
  <c r="I1081" i="7"/>
  <c r="J1081" i="7"/>
  <c r="K1081" i="7"/>
  <c r="H1100" i="7"/>
  <c r="I1100" i="7"/>
  <c r="J1100" i="7"/>
  <c r="K1100" i="7"/>
  <c r="H1120" i="7"/>
  <c r="I1120" i="7"/>
  <c r="J1120" i="7"/>
  <c r="K1120" i="7"/>
  <c r="H1127" i="7"/>
  <c r="I1127" i="7"/>
  <c r="H1131" i="7"/>
  <c r="I1131" i="7"/>
  <c r="J1131" i="7"/>
  <c r="K1131" i="7"/>
  <c r="H1135" i="7"/>
  <c r="I1135" i="7"/>
  <c r="J1135" i="7"/>
  <c r="K1135" i="7"/>
  <c r="H1140" i="7"/>
  <c r="I1140" i="7"/>
  <c r="J1140" i="7"/>
  <c r="K1140" i="7"/>
  <c r="H1161" i="7"/>
  <c r="I1161" i="7"/>
  <c r="J1161" i="7"/>
  <c r="K1161" i="7"/>
  <c r="H1166" i="7"/>
  <c r="I1166" i="7"/>
  <c r="J1166" i="7"/>
  <c r="K1166" i="7"/>
  <c r="H1172" i="7"/>
  <c r="I1172" i="7"/>
  <c r="J1172" i="7"/>
  <c r="H1179" i="7"/>
  <c r="I1179" i="7"/>
  <c r="J1179" i="7"/>
  <c r="K1179" i="7"/>
  <c r="H1183" i="7"/>
  <c r="I1183" i="7"/>
  <c r="J1183" i="7"/>
  <c r="K1183" i="7"/>
  <c r="H1188" i="7"/>
  <c r="I1188" i="7"/>
  <c r="J1188" i="7"/>
  <c r="K1188" i="7"/>
  <c r="H1273" i="7"/>
  <c r="I1273" i="7"/>
  <c r="J1273" i="7"/>
  <c r="K1273" i="7"/>
  <c r="H1280" i="7"/>
  <c r="I1280" i="7"/>
  <c r="J1280" i="7"/>
  <c r="K1280" i="7"/>
  <c r="H1284" i="7"/>
  <c r="I1284" i="7"/>
  <c r="J1284" i="7"/>
  <c r="K1284" i="7"/>
  <c r="H1289" i="7"/>
  <c r="I1289" i="7"/>
  <c r="J1289" i="7"/>
  <c r="K1289" i="7"/>
  <c r="H1295" i="7"/>
  <c r="I1295" i="7"/>
  <c r="J1295" i="7"/>
  <c r="K1295" i="7"/>
  <c r="H1300" i="7"/>
  <c r="I1300" i="7"/>
  <c r="J1300" i="7"/>
  <c r="K1300" i="7"/>
  <c r="H1304" i="7"/>
  <c r="I1304" i="7"/>
  <c r="J1304" i="7"/>
  <c r="K1304" i="7"/>
  <c r="H1307" i="7"/>
  <c r="I1307" i="7"/>
  <c r="J1307" i="7"/>
  <c r="K1307" i="7"/>
  <c r="H1311" i="7"/>
  <c r="I1311" i="7"/>
  <c r="J1311" i="7"/>
  <c r="K1311" i="7"/>
  <c r="H1316" i="7"/>
  <c r="I1316" i="7"/>
  <c r="J1316" i="7"/>
  <c r="K1316" i="7"/>
  <c r="H1353" i="7"/>
  <c r="I1353" i="7"/>
  <c r="J1353" i="7"/>
  <c r="K1353" i="7"/>
  <c r="H1383" i="7"/>
  <c r="I1383" i="7"/>
  <c r="J1383" i="7"/>
  <c r="K1383" i="7"/>
  <c r="H1404" i="7"/>
  <c r="I1404" i="7"/>
  <c r="J1404" i="7"/>
  <c r="K1404" i="7"/>
  <c r="H1416" i="7"/>
  <c r="I1416" i="7"/>
  <c r="J1416" i="7"/>
  <c r="K1416" i="7"/>
  <c r="H1423" i="7"/>
  <c r="I1423" i="7"/>
  <c r="J1423" i="7"/>
  <c r="K1423" i="7"/>
  <c r="H1427" i="7"/>
  <c r="I1427" i="7"/>
  <c r="J1427" i="7"/>
  <c r="K1427" i="7"/>
  <c r="H1432" i="7"/>
  <c r="I1432" i="7"/>
  <c r="J1432" i="7"/>
  <c r="K1432" i="7"/>
  <c r="H1438" i="7"/>
  <c r="I1438" i="7"/>
  <c r="J1438" i="7"/>
  <c r="K1438" i="7"/>
  <c r="H1445" i="7"/>
  <c r="I1445" i="7"/>
  <c r="J1445" i="7"/>
  <c r="K1445" i="7"/>
  <c r="H1449" i="7"/>
  <c r="I1449" i="7"/>
  <c r="J1449" i="7"/>
  <c r="K1449" i="7"/>
  <c r="H1454" i="7"/>
  <c r="I1454" i="7"/>
  <c r="J1454" i="7"/>
  <c r="K1454" i="7"/>
  <c r="H1460" i="7"/>
  <c r="I1460" i="7"/>
  <c r="J1460" i="7"/>
  <c r="K1460" i="7"/>
  <c r="H1467" i="7"/>
  <c r="I1467" i="7"/>
  <c r="J1467" i="7"/>
  <c r="K1467" i="7"/>
  <c r="H1471" i="7"/>
  <c r="I1471" i="7"/>
  <c r="J1471" i="7"/>
  <c r="K1471" i="7"/>
  <c r="H1476" i="7"/>
  <c r="I1476" i="7"/>
  <c r="J1476" i="7"/>
  <c r="K1476" i="7"/>
  <c r="H1481" i="7"/>
  <c r="I1481" i="7"/>
  <c r="J1481" i="7"/>
  <c r="K1481" i="7"/>
  <c r="H1488" i="7"/>
  <c r="I1488" i="7"/>
  <c r="J1488" i="7"/>
  <c r="K1488" i="7"/>
  <c r="H1495" i="7"/>
  <c r="I1495" i="7"/>
  <c r="J1495" i="7"/>
  <c r="K1495" i="7"/>
  <c r="H1499" i="7"/>
  <c r="I1499" i="7"/>
  <c r="J1499" i="7"/>
  <c r="K1499" i="7"/>
  <c r="H1503" i="7"/>
  <c r="I1503" i="7"/>
  <c r="J1503" i="7"/>
  <c r="K1503" i="7"/>
  <c r="H1508" i="7"/>
  <c r="I1508" i="7"/>
  <c r="J1508" i="7"/>
  <c r="K1508" i="7"/>
  <c r="H1515" i="7"/>
  <c r="H1514" i="7" s="1"/>
  <c r="I1515" i="7"/>
  <c r="I1514" i="7" s="1"/>
  <c r="J1515" i="7"/>
  <c r="J1514" i="7" s="1"/>
  <c r="K1515" i="7"/>
  <c r="K1514" i="7" s="1"/>
  <c r="H1521" i="7"/>
  <c r="H1520" i="7" s="1"/>
  <c r="I1521" i="7"/>
  <c r="I1520" i="7" s="1"/>
  <c r="J1521" i="7"/>
  <c r="J1520" i="7" s="1"/>
  <c r="K1521" i="7"/>
  <c r="K1520" i="7" s="1"/>
  <c r="H1527" i="7"/>
  <c r="H1526" i="7" s="1"/>
  <c r="I1527" i="7"/>
  <c r="I1526" i="7" s="1"/>
  <c r="J1527" i="7"/>
  <c r="J1526" i="7" s="1"/>
  <c r="K1527" i="7"/>
  <c r="K1526" i="7" s="1"/>
  <c r="H1533" i="7"/>
  <c r="H1532" i="7" s="1"/>
  <c r="I1533" i="7"/>
  <c r="I1532" i="7" s="1"/>
  <c r="J1533" i="7"/>
  <c r="J1532" i="7" s="1"/>
  <c r="K1533" i="7"/>
  <c r="K1532" i="7" s="1"/>
  <c r="H1543" i="7"/>
  <c r="I1543" i="7"/>
  <c r="J1543" i="7"/>
  <c r="K1543" i="7"/>
  <c r="H1550" i="7"/>
  <c r="I1550" i="7"/>
  <c r="J1550" i="7"/>
  <c r="K1550" i="7"/>
  <c r="H1557" i="7"/>
  <c r="I1557" i="7"/>
  <c r="J1557" i="7"/>
  <c r="K1557" i="7"/>
  <c r="H1561" i="7"/>
  <c r="I1561" i="7"/>
  <c r="J1561" i="7"/>
  <c r="K1561" i="7"/>
  <c r="H1565" i="7"/>
  <c r="I1565" i="7"/>
  <c r="J1565" i="7"/>
  <c r="K1565" i="7"/>
  <c r="H1570" i="7"/>
  <c r="I1570" i="7"/>
  <c r="J1570" i="7"/>
  <c r="K1570" i="7"/>
  <c r="H1576" i="7"/>
  <c r="I1576" i="7"/>
  <c r="J1576" i="7"/>
  <c r="K1576" i="7"/>
  <c r="H1243" i="7"/>
  <c r="I1243" i="7"/>
  <c r="J1243" i="7"/>
  <c r="K1243" i="7"/>
  <c r="H1252" i="7"/>
  <c r="I1252" i="7"/>
  <c r="J1252" i="7"/>
  <c r="K1252" i="7"/>
  <c r="H1258" i="7"/>
  <c r="I1258" i="7"/>
  <c r="J1258" i="7"/>
  <c r="K1258" i="7"/>
  <c r="H1266" i="7"/>
  <c r="I1266" i="7"/>
  <c r="J1266" i="7"/>
  <c r="K1266" i="7"/>
  <c r="H1582" i="7"/>
  <c r="I1582" i="7"/>
  <c r="J1582" i="7"/>
  <c r="K1582" i="7"/>
  <c r="H1590" i="7"/>
  <c r="I1590" i="7"/>
  <c r="J1590" i="7"/>
  <c r="K1590" i="7"/>
  <c r="H1595" i="7"/>
  <c r="I1595" i="7"/>
  <c r="J1595" i="7"/>
  <c r="K1595" i="7"/>
  <c r="I1602" i="7"/>
  <c r="J1602" i="7"/>
  <c r="K1602" i="7"/>
  <c r="H1603" i="7"/>
  <c r="H1602" i="7" s="1"/>
  <c r="H1608" i="7"/>
  <c r="I1608" i="7"/>
  <c r="J1608" i="7"/>
  <c r="K1608" i="7"/>
  <c r="H1617" i="7"/>
  <c r="I1617" i="7"/>
  <c r="J1617" i="7"/>
  <c r="K1617" i="7"/>
  <c r="H1623" i="7"/>
  <c r="I1623" i="7"/>
  <c r="J1623" i="7"/>
  <c r="K1623" i="7"/>
  <c r="H1631" i="7"/>
  <c r="I1631" i="7"/>
  <c r="J1631" i="7"/>
  <c r="K1631" i="7"/>
  <c r="K12" i="7"/>
  <c r="J12" i="7"/>
  <c r="I12" i="7"/>
  <c r="N575" i="7"/>
  <c r="L933" i="7"/>
  <c r="L934" i="7"/>
  <c r="L946" i="7"/>
  <c r="R946" i="7" s="1"/>
  <c r="L886" i="7"/>
  <c r="L880" i="7"/>
  <c r="L881" i="7"/>
  <c r="L882" i="7"/>
  <c r="L883" i="7"/>
  <c r="L884" i="7"/>
  <c r="L885" i="7"/>
  <c r="L887" i="7"/>
  <c r="L888" i="7"/>
  <c r="L889" i="7"/>
  <c r="L890" i="7"/>
  <c r="L891" i="7"/>
  <c r="P64" i="9" l="1"/>
  <c r="Q64" i="9"/>
  <c r="R64" i="9"/>
  <c r="P115" i="9"/>
  <c r="Q115" i="9"/>
  <c r="O70" i="9"/>
  <c r="R115" i="9"/>
  <c r="O30" i="9"/>
  <c r="O28" i="9"/>
  <c r="P28" i="9"/>
  <c r="O114" i="9"/>
  <c r="P70" i="9"/>
  <c r="Q30" i="9"/>
  <c r="Q70" i="9"/>
  <c r="R30" i="9"/>
  <c r="R70" i="9"/>
  <c r="P30" i="9"/>
  <c r="O115" i="9"/>
  <c r="O67" i="9"/>
  <c r="P22" i="9"/>
  <c r="O16" i="9"/>
  <c r="R25" i="9"/>
  <c r="P13" i="9"/>
  <c r="Q13" i="9"/>
  <c r="R26" i="9"/>
  <c r="O113" i="9"/>
  <c r="R13" i="9"/>
  <c r="O15" i="9"/>
  <c r="P113" i="9"/>
  <c r="R12" i="9"/>
  <c r="Q26" i="9"/>
  <c r="R27" i="9"/>
  <c r="Q69" i="9"/>
  <c r="R69" i="9"/>
  <c r="R102" i="9"/>
  <c r="R100" i="9" s="1"/>
  <c r="P69" i="9"/>
  <c r="P114" i="9"/>
  <c r="Q22" i="9"/>
  <c r="Q102" i="9"/>
  <c r="Q100" i="9" s="1"/>
  <c r="P12" i="9"/>
  <c r="R127" i="9"/>
  <c r="Q74" i="9"/>
  <c r="R128" i="9"/>
  <c r="O68" i="9"/>
  <c r="R24" i="9"/>
  <c r="P67" i="9"/>
  <c r="P16" i="9"/>
  <c r="P68" i="9"/>
  <c r="Q113" i="9"/>
  <c r="Q28" i="9"/>
  <c r="Q114" i="9"/>
  <c r="Q12" i="9"/>
  <c r="P66" i="9"/>
  <c r="Q67" i="9"/>
  <c r="Q24" i="9"/>
  <c r="P15" i="9"/>
  <c r="R22" i="9"/>
  <c r="Q16" i="9"/>
  <c r="O128" i="9"/>
  <c r="O124" i="9" s="1"/>
  <c r="Q15" i="9"/>
  <c r="R65" i="9"/>
  <c r="P25" i="9"/>
  <c r="P26" i="9"/>
  <c r="Q27" i="9"/>
  <c r="Q127" i="9"/>
  <c r="P74" i="9"/>
  <c r="O74" i="9"/>
  <c r="Q128" i="9"/>
  <c r="P102" i="9"/>
  <c r="P100" i="9" s="1"/>
  <c r="Q25" i="9"/>
  <c r="P24" i="9"/>
  <c r="P29" i="9"/>
  <c r="R74" i="9"/>
  <c r="Q29" i="9"/>
  <c r="O36" i="9"/>
  <c r="R29" i="9"/>
  <c r="Q66" i="9"/>
  <c r="Q68" i="9"/>
  <c r="R113" i="9"/>
  <c r="R28" i="9"/>
  <c r="R114" i="9"/>
  <c r="O29" i="9"/>
  <c r="Q36" i="9"/>
  <c r="P23" i="9"/>
  <c r="Q23" i="9"/>
  <c r="R66" i="9"/>
  <c r="R15" i="9"/>
  <c r="R67" i="9"/>
  <c r="R16" i="9"/>
  <c r="R68" i="9"/>
  <c r="O27" i="9"/>
  <c r="R36" i="9"/>
  <c r="P14" i="9"/>
  <c r="Q14" i="9"/>
  <c r="R14" i="9"/>
  <c r="P65" i="9"/>
  <c r="R23" i="9"/>
  <c r="Q65" i="9"/>
  <c r="O25" i="9"/>
  <c r="O26" i="9"/>
  <c r="P27" i="9"/>
  <c r="O69" i="9"/>
  <c r="P127" i="9"/>
  <c r="P128" i="9"/>
  <c r="J71" i="7"/>
  <c r="J309" i="7"/>
  <c r="K309" i="7"/>
  <c r="J323" i="7"/>
  <c r="K323" i="7"/>
  <c r="I309" i="7"/>
  <c r="K61" i="7"/>
  <c r="I79" i="7"/>
  <c r="H323" i="7"/>
  <c r="I83" i="7"/>
  <c r="K79" i="7"/>
  <c r="J83" i="7"/>
  <c r="I90" i="7"/>
  <c r="I41" i="7"/>
  <c r="J90" i="7"/>
  <c r="K71" i="7"/>
  <c r="J41" i="7"/>
  <c r="I61" i="7"/>
  <c r="K90" i="7"/>
  <c r="J79" i="7"/>
  <c r="K83" i="7"/>
  <c r="K41" i="7"/>
  <c r="J61" i="7"/>
  <c r="I71" i="7"/>
  <c r="G337" i="7"/>
  <c r="G344" i="7"/>
  <c r="G361" i="7"/>
  <c r="G365" i="7"/>
  <c r="G362" i="7"/>
  <c r="G320" i="7"/>
  <c r="G322" i="7"/>
  <c r="H1036" i="7"/>
  <c r="G366" i="7"/>
  <c r="G331" i="7"/>
  <c r="G338" i="7"/>
  <c r="G345" i="7"/>
  <c r="G350" i="7"/>
  <c r="G354" i="7"/>
  <c r="G358" i="7"/>
  <c r="G364" i="7"/>
  <c r="G318" i="7"/>
  <c r="G325" i="7"/>
  <c r="G329" i="7"/>
  <c r="G339" i="7"/>
  <c r="G346" i="7"/>
  <c r="G319" i="7"/>
  <c r="G321" i="7"/>
  <c r="G326" i="7"/>
  <c r="G330" i="7"/>
  <c r="G340" i="7"/>
  <c r="G347" i="7"/>
  <c r="G349" i="7"/>
  <c r="G353" i="7"/>
  <c r="G357" i="7"/>
  <c r="G363" i="7"/>
  <c r="G335" i="7"/>
  <c r="G341" i="7"/>
  <c r="G348" i="7"/>
  <c r="G352" i="7"/>
  <c r="G336" i="7"/>
  <c r="G333" i="7"/>
  <c r="G334" i="7"/>
  <c r="G351" i="7"/>
  <c r="G355" i="7"/>
  <c r="G359" i="7"/>
  <c r="G356" i="7"/>
  <c r="G342" i="7"/>
  <c r="G328" i="7"/>
  <c r="G332" i="7"/>
  <c r="G324" i="7"/>
  <c r="H186" i="7"/>
  <c r="K824" i="7"/>
  <c r="J824" i="7"/>
  <c r="I824" i="7"/>
  <c r="H824" i="7"/>
  <c r="I877" i="7"/>
  <c r="J877" i="7"/>
  <c r="K877" i="7"/>
  <c r="H877" i="7"/>
  <c r="K947" i="7"/>
  <c r="J947" i="7"/>
  <c r="K18" i="7"/>
  <c r="K14" i="7" s="1"/>
  <c r="N140" i="9"/>
  <c r="H174" i="7"/>
  <c r="J109" i="7"/>
  <c r="J163" i="7"/>
  <c r="J176" i="7"/>
  <c r="J186" i="7"/>
  <c r="J360" i="7"/>
  <c r="J367" i="7"/>
  <c r="K174" i="7"/>
  <c r="I374" i="7"/>
  <c r="I373" i="7" s="1"/>
  <c r="K109" i="7"/>
  <c r="K186" i="7"/>
  <c r="K227" i="7"/>
  <c r="K254" i="7"/>
  <c r="K360" i="7"/>
  <c r="K367" i="7"/>
  <c r="I174" i="7"/>
  <c r="I244" i="7"/>
  <c r="H254" i="7"/>
  <c r="I18" i="7"/>
  <c r="I14" i="7" s="1"/>
  <c r="J174" i="7"/>
  <c r="J18" i="7"/>
  <c r="J14" i="7" s="1"/>
  <c r="H109" i="7"/>
  <c r="I233" i="7"/>
  <c r="I109" i="7"/>
  <c r="I183" i="7"/>
  <c r="H105" i="7"/>
  <c r="J374" i="7"/>
  <c r="J373" i="7" s="1"/>
  <c r="H1415" i="7"/>
  <c r="I105" i="7"/>
  <c r="H183" i="7"/>
  <c r="I163" i="7"/>
  <c r="I176" i="7"/>
  <c r="I227" i="7"/>
  <c r="I360" i="7"/>
  <c r="I367" i="7"/>
  <c r="J233" i="7"/>
  <c r="K233" i="7"/>
  <c r="H176" i="7"/>
  <c r="H227" i="7"/>
  <c r="H374" i="7"/>
  <c r="H373" i="7" s="1"/>
  <c r="J105" i="7"/>
  <c r="K9" i="7"/>
  <c r="J9" i="7"/>
  <c r="H851" i="7"/>
  <c r="I9" i="7"/>
  <c r="I254" i="7"/>
  <c r="K1415" i="7"/>
  <c r="J254" i="7"/>
  <c r="J1415" i="7"/>
  <c r="I1415" i="7"/>
  <c r="K1437" i="7"/>
  <c r="J1242" i="7"/>
  <c r="J1437" i="7"/>
  <c r="I1242" i="7"/>
  <c r="I1119" i="7"/>
  <c r="H140" i="7"/>
  <c r="H1242" i="7"/>
  <c r="K1581" i="7"/>
  <c r="K1549" i="7"/>
  <c r="K1459" i="7"/>
  <c r="K508" i="7"/>
  <c r="J1459" i="7"/>
  <c r="I1459" i="7"/>
  <c r="H210" i="7"/>
  <c r="H1581" i="7"/>
  <c r="H1549" i="7"/>
  <c r="H1487" i="7"/>
  <c r="H1459" i="7"/>
  <c r="K163" i="7"/>
  <c r="K1242" i="7"/>
  <c r="K1036" i="7"/>
  <c r="J227" i="7"/>
  <c r="J1036" i="7"/>
  <c r="I1581" i="7"/>
  <c r="I1549" i="7"/>
  <c r="I1036" i="7"/>
  <c r="H1437" i="7"/>
  <c r="I210" i="7"/>
  <c r="K1487" i="7"/>
  <c r="J1581" i="7"/>
  <c r="J1549" i="7"/>
  <c r="J1487" i="7"/>
  <c r="I1487" i="7"/>
  <c r="K1607" i="7"/>
  <c r="J183" i="7"/>
  <c r="K1315" i="7"/>
  <c r="J1294" i="7"/>
  <c r="K183" i="7"/>
  <c r="H163" i="7"/>
  <c r="H360" i="7"/>
  <c r="H367" i="7"/>
  <c r="K374" i="7"/>
  <c r="K373" i="7" s="1"/>
  <c r="J1607" i="7"/>
  <c r="I1607" i="7"/>
  <c r="I1437" i="7"/>
  <c r="I1315" i="7"/>
  <c r="I1294" i="7"/>
  <c r="H233" i="7"/>
  <c r="H1607" i="7"/>
  <c r="K1294" i="7"/>
  <c r="J1315" i="7"/>
  <c r="H1315" i="7"/>
  <c r="H1294" i="7"/>
  <c r="I186" i="7"/>
  <c r="K1272" i="7"/>
  <c r="H1272" i="7"/>
  <c r="J1272" i="7"/>
  <c r="I1272" i="7"/>
  <c r="I1171" i="7"/>
  <c r="J1171" i="7"/>
  <c r="H1171" i="7"/>
  <c r="K1171" i="7"/>
  <c r="K1146" i="7"/>
  <c r="J1146" i="7"/>
  <c r="I1146" i="7"/>
  <c r="H1146" i="7"/>
  <c r="H1119" i="7"/>
  <c r="H991" i="7"/>
  <c r="J991" i="7"/>
  <c r="I991" i="7"/>
  <c r="K991" i="7"/>
  <c r="K851" i="7"/>
  <c r="J851" i="7"/>
  <c r="I851" i="7"/>
  <c r="I1193" i="7"/>
  <c r="J1193" i="7"/>
  <c r="K1193" i="7"/>
  <c r="H1193" i="7"/>
  <c r="I538" i="7"/>
  <c r="H538" i="7"/>
  <c r="K538" i="7"/>
  <c r="J538" i="7"/>
  <c r="I508" i="7"/>
  <c r="J508" i="7"/>
  <c r="H508" i="7"/>
  <c r="H458" i="7"/>
  <c r="I458" i="7"/>
  <c r="K458" i="7"/>
  <c r="J458" i="7"/>
  <c r="H432" i="7"/>
  <c r="K432" i="7"/>
  <c r="J432" i="7"/>
  <c r="I432" i="7"/>
  <c r="K402" i="7"/>
  <c r="I402" i="7"/>
  <c r="H402" i="7"/>
  <c r="J402" i="7"/>
  <c r="H244" i="7"/>
  <c r="K244" i="7"/>
  <c r="J244" i="7"/>
  <c r="K210" i="7"/>
  <c r="J210" i="7"/>
  <c r="H193" i="7"/>
  <c r="I193" i="7"/>
  <c r="K193" i="7"/>
  <c r="J193" i="7"/>
  <c r="K176" i="7"/>
  <c r="I148" i="7"/>
  <c r="K148" i="7"/>
  <c r="H148" i="7"/>
  <c r="J148" i="7"/>
  <c r="J140" i="7"/>
  <c r="I140" i="7"/>
  <c r="K140" i="7"/>
  <c r="I116" i="7"/>
  <c r="H116" i="7"/>
  <c r="K116" i="7"/>
  <c r="J116" i="7"/>
  <c r="K105" i="7"/>
  <c r="H96" i="7"/>
  <c r="K96" i="7"/>
  <c r="I96" i="7"/>
  <c r="J96" i="7"/>
  <c r="I21" i="7"/>
  <c r="J21" i="7"/>
  <c r="K21" i="7"/>
  <c r="G932" i="7"/>
  <c r="N901" i="7"/>
  <c r="O901" i="7"/>
  <c r="P901" i="7"/>
  <c r="N916" i="7"/>
  <c r="O916" i="7"/>
  <c r="P916" i="7"/>
  <c r="N932" i="7"/>
  <c r="O932" i="7"/>
  <c r="P932" i="7"/>
  <c r="L945" i="7"/>
  <c r="R945" i="7" s="1"/>
  <c r="L944" i="7"/>
  <c r="R944" i="7" s="1"/>
  <c r="L930" i="7"/>
  <c r="R930" i="7" s="1"/>
  <c r="L929" i="7"/>
  <c r="R929" i="7" s="1"/>
  <c r="L928" i="7"/>
  <c r="R928" i="7" s="1"/>
  <c r="L914" i="7"/>
  <c r="R914" i="7" s="1"/>
  <c r="L913" i="7"/>
  <c r="R913" i="7" s="1"/>
  <c r="L912" i="7"/>
  <c r="R912" i="7" s="1"/>
  <c r="L911" i="7"/>
  <c r="R911" i="7" s="1"/>
  <c r="L899" i="7"/>
  <c r="R899" i="7" s="1"/>
  <c r="L898" i="7"/>
  <c r="R898" i="7" s="1"/>
  <c r="L897" i="7"/>
  <c r="R897" i="7" s="1"/>
  <c r="R19" i="9" l="1"/>
  <c r="O10" i="9"/>
  <c r="Q19" i="9"/>
  <c r="O62" i="9"/>
  <c r="O19" i="9"/>
  <c r="R62" i="9"/>
  <c r="P124" i="9"/>
  <c r="Q62" i="9"/>
  <c r="J173" i="7"/>
  <c r="N30" i="9"/>
  <c r="K8" i="7"/>
  <c r="K182" i="7"/>
  <c r="H95" i="7"/>
  <c r="H173" i="7"/>
  <c r="K308" i="7"/>
  <c r="K20" i="7"/>
  <c r="J308" i="7"/>
  <c r="I20" i="7"/>
  <c r="J182" i="7"/>
  <c r="I78" i="7"/>
  <c r="J95" i="7"/>
  <c r="H182" i="7"/>
  <c r="J20" i="7"/>
  <c r="K115" i="7"/>
  <c r="K78" i="7"/>
  <c r="I115" i="7"/>
  <c r="I173" i="7"/>
  <c r="I95" i="7"/>
  <c r="J115" i="7"/>
  <c r="H115" i="7"/>
  <c r="I182" i="7"/>
  <c r="J78" i="7"/>
  <c r="I8" i="7"/>
  <c r="K95" i="7"/>
  <c r="J8" i="7"/>
  <c r="K173" i="7"/>
  <c r="G309" i="7"/>
  <c r="H232" i="7"/>
  <c r="K232" i="7"/>
  <c r="J232" i="7"/>
  <c r="I232" i="7"/>
  <c r="H308" i="7"/>
  <c r="P877" i="7"/>
  <c r="N877" i="7"/>
  <c r="O877" i="7"/>
  <c r="N100" i="9"/>
  <c r="R10" i="9"/>
  <c r="Q10" i="9"/>
  <c r="P10" i="9"/>
  <c r="N102" i="9"/>
  <c r="N12" i="9"/>
  <c r="N127" i="9"/>
  <c r="N126" i="9"/>
  <c r="N112" i="9"/>
  <c r="N128" i="9"/>
  <c r="H192" i="7"/>
  <c r="I192" i="7"/>
  <c r="J192" i="7"/>
  <c r="K192" i="7"/>
  <c r="R934" i="7"/>
  <c r="L903" i="7"/>
  <c r="R903" i="7" s="1"/>
  <c r="R889" i="7"/>
  <c r="R890" i="7"/>
  <c r="L938" i="7"/>
  <c r="R938" i="7" s="1"/>
  <c r="L937" i="7"/>
  <c r="R937" i="7" s="1"/>
  <c r="L936" i="7"/>
  <c r="R936" i="7" s="1"/>
  <c r="L942" i="7"/>
  <c r="R942" i="7" s="1"/>
  <c r="L941" i="7"/>
  <c r="R941" i="7" s="1"/>
  <c r="L940" i="7"/>
  <c r="R940" i="7" s="1"/>
  <c r="L939" i="7"/>
  <c r="R939" i="7" s="1"/>
  <c r="L943" i="7"/>
  <c r="R943" i="7" s="1"/>
  <c r="L923" i="7"/>
  <c r="R923" i="7" s="1"/>
  <c r="L924" i="7"/>
  <c r="R924" i="7" s="1"/>
  <c r="L922" i="7"/>
  <c r="R922" i="7" s="1"/>
  <c r="L921" i="7"/>
  <c r="R921" i="7" s="1"/>
  <c r="L927" i="7"/>
  <c r="R927" i="7" s="1"/>
  <c r="L926" i="7"/>
  <c r="R926" i="7" s="1"/>
  <c r="L925" i="7"/>
  <c r="R925" i="7" s="1"/>
  <c r="L908" i="7"/>
  <c r="R908" i="7" s="1"/>
  <c r="L907" i="7"/>
  <c r="R907" i="7" s="1"/>
  <c r="L910" i="7"/>
  <c r="R910" i="7" s="1"/>
  <c r="L909" i="7"/>
  <c r="R909" i="7" s="1"/>
  <c r="L906" i="7"/>
  <c r="R906" i="7" s="1"/>
  <c r="L905" i="7"/>
  <c r="R905" i="7" s="1"/>
  <c r="L892" i="7"/>
  <c r="R892" i="7" s="1"/>
  <c r="R891" i="7"/>
  <c r="L893" i="7"/>
  <c r="R893" i="7" s="1"/>
  <c r="R885" i="7"/>
  <c r="R886" i="7"/>
  <c r="G1631" i="7"/>
  <c r="G1630" i="7" s="1"/>
  <c r="G1629" i="7" s="1"/>
  <c r="G1628" i="7" s="1"/>
  <c r="G1627" i="7" s="1"/>
  <c r="G1626" i="7" s="1"/>
  <c r="G1625" i="7" s="1"/>
  <c r="G1624" i="7" s="1"/>
  <c r="G1623" i="7" s="1"/>
  <c r="G1622" i="7" s="1"/>
  <c r="G1621" i="7" s="1"/>
  <c r="G1620" i="7" s="1"/>
  <c r="G1619" i="7" s="1"/>
  <c r="G1618" i="7" s="1"/>
  <c r="G1617" i="7" s="1"/>
  <c r="G1616" i="7" s="1"/>
  <c r="G1615" i="7" s="1"/>
  <c r="G1614" i="7" s="1"/>
  <c r="G1613" i="7" s="1"/>
  <c r="G1612" i="7" s="1"/>
  <c r="G1611" i="7" s="1"/>
  <c r="G1610" i="7" s="1"/>
  <c r="G1609" i="7" s="1"/>
  <c r="G1608" i="7" s="1"/>
  <c r="G1314" i="7"/>
  <c r="G1313" i="7"/>
  <c r="G1312" i="7"/>
  <c r="G1310" i="7"/>
  <c r="G1309" i="7"/>
  <c r="G1308" i="7"/>
  <c r="G1306" i="7"/>
  <c r="G1305" i="7"/>
  <c r="G1303" i="7"/>
  <c r="G1302" i="7"/>
  <c r="G1301" i="7"/>
  <c r="G1299" i="7"/>
  <c r="N10" i="9" l="1"/>
  <c r="L1040" i="7"/>
  <c r="L1041" i="7"/>
  <c r="L1042" i="7"/>
  <c r="L1043" i="7"/>
  <c r="L1044" i="7"/>
  <c r="L1045" i="7"/>
  <c r="L1047" i="7"/>
  <c r="L1048" i="7"/>
  <c r="M1054" i="7"/>
  <c r="N1054" i="7"/>
  <c r="O1054" i="7"/>
  <c r="P1054" i="7"/>
  <c r="N96" i="9"/>
  <c r="N95" i="9"/>
  <c r="N94" i="9"/>
  <c r="N93" i="9"/>
  <c r="N90" i="9"/>
  <c r="N89" i="9"/>
  <c r="N88" i="9"/>
  <c r="N86" i="9"/>
  <c r="N85" i="9"/>
  <c r="N84" i="9"/>
  <c r="N83" i="9"/>
  <c r="N81" i="9"/>
  <c r="N80" i="9"/>
  <c r="N79" i="9"/>
  <c r="N78" i="9"/>
  <c r="N76" i="9"/>
  <c r="N75" i="9"/>
  <c r="N73" i="9"/>
  <c r="N72" i="9"/>
  <c r="N70" i="9"/>
  <c r="N69" i="9"/>
  <c r="N68" i="9"/>
  <c r="N67" i="9"/>
  <c r="N66" i="9"/>
  <c r="N65" i="9"/>
  <c r="N64" i="9"/>
  <c r="N16" i="9"/>
  <c r="N15" i="9"/>
  <c r="N14" i="9"/>
  <c r="L140" i="9" l="1"/>
  <c r="J140" i="9"/>
  <c r="K140" i="9"/>
  <c r="I140" i="9"/>
  <c r="J10" i="9"/>
  <c r="L10" i="9"/>
  <c r="K10" i="9"/>
  <c r="N115" i="9"/>
  <c r="N118" i="9"/>
  <c r="N74" i="9"/>
  <c r="N77" i="9"/>
  <c r="N82" i="9"/>
  <c r="N87" i="9"/>
  <c r="N92" i="9"/>
  <c r="N37" i="9"/>
  <c r="N46" i="9"/>
  <c r="N43" i="9"/>
  <c r="N40" i="9"/>
  <c r="N48" i="9"/>
  <c r="N29" i="9"/>
  <c r="N50" i="9"/>
  <c r="N13" i="9"/>
  <c r="L1054" i="7"/>
  <c r="G492" i="7"/>
  <c r="G497" i="7"/>
  <c r="G504" i="7"/>
  <c r="G509" i="7"/>
  <c r="G514" i="7"/>
  <c r="G518" i="7"/>
  <c r="G1298" i="7"/>
  <c r="G1297" i="7"/>
  <c r="G1296" i="7"/>
  <c r="M1300" i="7"/>
  <c r="N1300" i="7"/>
  <c r="O1300" i="7"/>
  <c r="P1300" i="7"/>
  <c r="M1304" i="7"/>
  <c r="N1304" i="7"/>
  <c r="O1304" i="7"/>
  <c r="P1304" i="7"/>
  <c r="M1307" i="7"/>
  <c r="N1307" i="7"/>
  <c r="O1307" i="7"/>
  <c r="P1307" i="7"/>
  <c r="M1311" i="7"/>
  <c r="N1311" i="7"/>
  <c r="O1311" i="7"/>
  <c r="P1311" i="7"/>
  <c r="G254" i="7"/>
  <c r="M254" i="7"/>
  <c r="L255" i="7"/>
  <c r="R255" i="7" s="1"/>
  <c r="L256" i="7"/>
  <c r="R256" i="7" s="1"/>
  <c r="L257" i="7"/>
  <c r="R257" i="7" s="1"/>
  <c r="L258" i="7"/>
  <c r="R258" i="7" s="1"/>
  <c r="L259" i="7"/>
  <c r="R259" i="7" s="1"/>
  <c r="L260" i="7"/>
  <c r="R260" i="7" s="1"/>
  <c r="G244" i="7"/>
  <c r="M244" i="7"/>
  <c r="L245" i="7"/>
  <c r="R245" i="7" s="1"/>
  <c r="L246" i="7"/>
  <c r="R246" i="7" s="1"/>
  <c r="L247" i="7"/>
  <c r="R247" i="7" s="1"/>
  <c r="L248" i="7"/>
  <c r="R248" i="7" s="1"/>
  <c r="L249" i="7"/>
  <c r="R249" i="7" s="1"/>
  <c r="L250" i="7"/>
  <c r="R250" i="7" s="1"/>
  <c r="L251" i="7"/>
  <c r="R251" i="7" s="1"/>
  <c r="L252" i="7"/>
  <c r="R252" i="7" s="1"/>
  <c r="L253" i="7"/>
  <c r="R253" i="7" s="1"/>
  <c r="G233" i="7"/>
  <c r="M233" i="7"/>
  <c r="L234" i="7"/>
  <c r="R234" i="7" s="1"/>
  <c r="L235" i="7"/>
  <c r="R235" i="7" s="1"/>
  <c r="L236" i="7"/>
  <c r="R236" i="7" s="1"/>
  <c r="L237" i="7"/>
  <c r="R237" i="7" s="1"/>
  <c r="L238" i="7"/>
  <c r="R238" i="7" s="1"/>
  <c r="L239" i="7"/>
  <c r="R239" i="7" s="1"/>
  <c r="L240" i="7"/>
  <c r="R240" i="7" s="1"/>
  <c r="L241" i="7"/>
  <c r="R241" i="7" s="1"/>
  <c r="L242" i="7"/>
  <c r="R242" i="7" s="1"/>
  <c r="L243" i="7"/>
  <c r="R243" i="7" s="1"/>
  <c r="R1045" i="7"/>
  <c r="R1047" i="7"/>
  <c r="R1048" i="7"/>
  <c r="P1172" i="7"/>
  <c r="L1173" i="7"/>
  <c r="R1173" i="7" s="1"/>
  <c r="L1174" i="7"/>
  <c r="R1174" i="7" s="1"/>
  <c r="L1175" i="7"/>
  <c r="R1175" i="7" s="1"/>
  <c r="L1176" i="7"/>
  <c r="R1176" i="7" s="1"/>
  <c r="L1177" i="7"/>
  <c r="R1177" i="7" s="1"/>
  <c r="L1178" i="7"/>
  <c r="R1178" i="7" s="1"/>
  <c r="M232" i="7" l="1"/>
  <c r="G232" i="7"/>
  <c r="N120" i="9"/>
  <c r="N121" i="9"/>
  <c r="P110" i="9"/>
  <c r="N114" i="9"/>
  <c r="N117" i="9"/>
  <c r="N113" i="9"/>
  <c r="R110" i="9"/>
  <c r="N119" i="9"/>
  <c r="Q110" i="9"/>
  <c r="N27" i="9"/>
  <c r="N25" i="9"/>
  <c r="N45" i="9"/>
  <c r="N56" i="9"/>
  <c r="N34" i="9"/>
  <c r="N57" i="9"/>
  <c r="N39" i="9"/>
  <c r="N51" i="9"/>
  <c r="N53" i="9"/>
  <c r="N52" i="9"/>
  <c r="N26" i="9"/>
  <c r="N28" i="9"/>
  <c r="N23" i="9"/>
  <c r="N54" i="9"/>
  <c r="N47" i="9"/>
  <c r="N33" i="9"/>
  <c r="N41" i="9"/>
  <c r="N24" i="9"/>
  <c r="N35" i="9"/>
  <c r="N55" i="9"/>
  <c r="N49" i="9"/>
  <c r="N22" i="9"/>
  <c r="N21" i="9"/>
  <c r="N44" i="9"/>
  <c r="N38" i="9"/>
  <c r="N42" i="9"/>
  <c r="L254" i="7"/>
  <c r="L244" i="7"/>
  <c r="L233" i="7"/>
  <c r="M163" i="7"/>
  <c r="L232" i="7" l="1"/>
  <c r="L155" i="9"/>
  <c r="J155" i="9"/>
  <c r="K155" i="9"/>
  <c r="I155" i="9"/>
  <c r="H155" i="9" l="1"/>
  <c r="H157" i="9"/>
  <c r="K147" i="9"/>
  <c r="L147" i="9"/>
  <c r="H153" i="9"/>
  <c r="H152" i="9"/>
  <c r="H151" i="9"/>
  <c r="H150" i="9"/>
  <c r="H149" i="9"/>
  <c r="L1234" i="7" l="1"/>
  <c r="N1131" i="7"/>
  <c r="L1148" i="7"/>
  <c r="R1148" i="7" s="1"/>
  <c r="L1149" i="7"/>
  <c r="R1149" i="7" s="1"/>
  <c r="L1150" i="7"/>
  <c r="R1150" i="7" s="1"/>
  <c r="L1151" i="7"/>
  <c r="R1151" i="7" s="1"/>
  <c r="L1152" i="7"/>
  <c r="R1152" i="7" s="1"/>
  <c r="L1153" i="7"/>
  <c r="R1153" i="7" s="1"/>
  <c r="P1280" i="7"/>
  <c r="L1281" i="7"/>
  <c r="R1281" i="7" s="1"/>
  <c r="L1282" i="7"/>
  <c r="R1282" i="7" s="1"/>
  <c r="L1283" i="7"/>
  <c r="R1283" i="7" s="1"/>
  <c r="O960" i="7"/>
  <c r="P960" i="7"/>
  <c r="L961" i="7"/>
  <c r="R961" i="7" s="1"/>
  <c r="L962" i="7"/>
  <c r="R962" i="7" s="1"/>
  <c r="L963" i="7"/>
  <c r="R963" i="7" s="1"/>
  <c r="L1223" i="7"/>
  <c r="R1223" i="7" s="1"/>
  <c r="K1130" i="7"/>
  <c r="R135" i="9" s="1"/>
  <c r="R124" i="9" s="1"/>
  <c r="J1129" i="7"/>
  <c r="J1128" i="7"/>
  <c r="Q135" i="9" s="1"/>
  <c r="Q124" i="9" s="1"/>
  <c r="J147" i="9"/>
  <c r="J1127" i="7" l="1"/>
  <c r="J1119" i="7" s="1"/>
  <c r="R8" i="9"/>
  <c r="K1127" i="7"/>
  <c r="K1119" i="7" s="1"/>
  <c r="I147" i="9"/>
  <c r="H147" i="9" s="1"/>
  <c r="L110" i="9"/>
  <c r="I110" i="9"/>
  <c r="K110" i="9"/>
  <c r="J110" i="9"/>
  <c r="H49" i="9"/>
  <c r="H48" i="9"/>
  <c r="H88" i="9"/>
  <c r="H87" i="9"/>
  <c r="H144" i="9"/>
  <c r="H143" i="9"/>
  <c r="H142" i="9"/>
  <c r="H135" i="9"/>
  <c r="H128" i="9"/>
  <c r="H127" i="9"/>
  <c r="H129" i="9"/>
  <c r="H126" i="9"/>
  <c r="H131" i="9"/>
  <c r="H130" i="9"/>
  <c r="H136" i="9"/>
  <c r="H134" i="9"/>
  <c r="H133" i="9"/>
  <c r="H132" i="9"/>
  <c r="H113" i="9"/>
  <c r="H118" i="9"/>
  <c r="H112" i="9"/>
  <c r="H115" i="9"/>
  <c r="H120" i="9"/>
  <c r="H114" i="9"/>
  <c r="H119" i="9"/>
  <c r="H117" i="9"/>
  <c r="H122" i="9"/>
  <c r="H121" i="9"/>
  <c r="H102" i="9"/>
  <c r="H105" i="9"/>
  <c r="H103" i="9"/>
  <c r="H107" i="9"/>
  <c r="H106" i="9"/>
  <c r="H104" i="9"/>
  <c r="H67" i="9"/>
  <c r="H64" i="9"/>
  <c r="H83" i="9"/>
  <c r="H66" i="9"/>
  <c r="H84" i="9"/>
  <c r="H65" i="9"/>
  <c r="H68" i="9"/>
  <c r="H79" i="9"/>
  <c r="H91" i="9"/>
  <c r="H89" i="9"/>
  <c r="H85" i="9"/>
  <c r="H92" i="9"/>
  <c r="H72" i="9"/>
  <c r="H80" i="9"/>
  <c r="H69" i="9"/>
  <c r="H70" i="9"/>
  <c r="H96" i="9"/>
  <c r="H77" i="9"/>
  <c r="H93" i="9"/>
  <c r="H74" i="9"/>
  <c r="H73" i="9"/>
  <c r="H82" i="9"/>
  <c r="H81" i="9"/>
  <c r="H95" i="9"/>
  <c r="H76" i="9"/>
  <c r="H75" i="9"/>
  <c r="H90" i="9"/>
  <c r="H86" i="9"/>
  <c r="H94" i="9"/>
  <c r="H23" i="9"/>
  <c r="H44" i="9"/>
  <c r="H56" i="9"/>
  <c r="H40" i="9"/>
  <c r="H46" i="9"/>
  <c r="H25" i="9"/>
  <c r="H57" i="9"/>
  <c r="H38" i="9"/>
  <c r="H27" i="9"/>
  <c r="H29" i="9"/>
  <c r="H47" i="9"/>
  <c r="H26" i="9"/>
  <c r="H28" i="9"/>
  <c r="H45" i="9"/>
  <c r="H43" i="9"/>
  <c r="H22" i="9"/>
  <c r="H51" i="9"/>
  <c r="H53" i="9"/>
  <c r="H34" i="9"/>
  <c r="H37" i="9"/>
  <c r="H21" i="9"/>
  <c r="H55" i="9"/>
  <c r="H42" i="9"/>
  <c r="H54" i="9"/>
  <c r="H33" i="9"/>
  <c r="H39" i="9"/>
  <c r="H24" i="9"/>
  <c r="H36" i="9"/>
  <c r="H35" i="9"/>
  <c r="H41" i="9"/>
  <c r="H52" i="9"/>
  <c r="H50" i="9"/>
  <c r="H15" i="9"/>
  <c r="H16" i="9"/>
  <c r="H13" i="9"/>
  <c r="N135" i="9" l="1"/>
  <c r="H100" i="9"/>
  <c r="H110" i="9"/>
  <c r="H140" i="9"/>
  <c r="H19" i="9"/>
  <c r="H124" i="9"/>
  <c r="N124" i="9" l="1"/>
  <c r="Q8" i="9"/>
  <c r="G1471" i="7"/>
  <c r="L1469" i="7"/>
  <c r="R1469" i="7" s="1"/>
  <c r="G479" i="7" l="1"/>
  <c r="G472" i="7"/>
  <c r="G467" i="7"/>
  <c r="G459" i="7"/>
  <c r="L1313" i="7"/>
  <c r="R1313" i="7" s="1"/>
  <c r="L1309" i="7"/>
  <c r="R1309" i="7" s="1"/>
  <c r="G1304" i="7"/>
  <c r="L1305" i="7"/>
  <c r="R1305" i="7" s="1"/>
  <c r="L1302" i="7"/>
  <c r="R1302" i="7" s="1"/>
  <c r="G1266" i="7"/>
  <c r="G1258" i="7"/>
  <c r="G1252" i="7"/>
  <c r="G1243" i="7"/>
  <c r="G562" i="7"/>
  <c r="G554" i="7"/>
  <c r="G548" i="7"/>
  <c r="G539" i="7"/>
  <c r="G403" i="7"/>
  <c r="G412" i="7"/>
  <c r="G418" i="7"/>
  <c r="G426" i="7"/>
  <c r="O93" i="7"/>
  <c r="P93" i="7"/>
  <c r="M93" i="7"/>
  <c r="N93" i="7"/>
  <c r="G874" i="7"/>
  <c r="G868" i="7"/>
  <c r="G862" i="7"/>
  <c r="G852" i="7"/>
  <c r="G848" i="7"/>
  <c r="G842" i="7"/>
  <c r="G836" i="7"/>
  <c r="G629" i="7"/>
  <c r="N1595" i="7"/>
  <c r="O1595" i="7"/>
  <c r="P1595" i="7"/>
  <c r="M1595" i="7"/>
  <c r="J581" i="7"/>
  <c r="K581" i="7"/>
  <c r="G1026" i="7"/>
  <c r="G1016" i="7"/>
  <c r="G1008" i="7"/>
  <c r="L587" i="7"/>
  <c r="G1543" i="7"/>
  <c r="G1481" i="7"/>
  <c r="L1192" i="7"/>
  <c r="R1192" i="7" s="1"/>
  <c r="L1191" i="7"/>
  <c r="R1191" i="7" s="1"/>
  <c r="L1190" i="7"/>
  <c r="R1190" i="7" s="1"/>
  <c r="L1189" i="7"/>
  <c r="R1189" i="7" s="1"/>
  <c r="P1188" i="7"/>
  <c r="O1188" i="7"/>
  <c r="N1188" i="7"/>
  <c r="M1188" i="7"/>
  <c r="G1188" i="7"/>
  <c r="L1187" i="7"/>
  <c r="R1187" i="7" s="1"/>
  <c r="L1186" i="7"/>
  <c r="R1186" i="7" s="1"/>
  <c r="L1185" i="7"/>
  <c r="R1185" i="7" s="1"/>
  <c r="L1184" i="7"/>
  <c r="R1184" i="7" s="1"/>
  <c r="P1183" i="7"/>
  <c r="O1183" i="7"/>
  <c r="N1183" i="7"/>
  <c r="M1183" i="7"/>
  <c r="G1183" i="7"/>
  <c r="L1182" i="7"/>
  <c r="R1182" i="7" s="1"/>
  <c r="L1181" i="7"/>
  <c r="R1181" i="7" s="1"/>
  <c r="L1180" i="7"/>
  <c r="R1180" i="7" s="1"/>
  <c r="P1179" i="7"/>
  <c r="O1179" i="7"/>
  <c r="N1179" i="7"/>
  <c r="M1179" i="7"/>
  <c r="G1179" i="7"/>
  <c r="O1172" i="7"/>
  <c r="N1172" i="7"/>
  <c r="M1172" i="7"/>
  <c r="G1172" i="7"/>
  <c r="L1170" i="7"/>
  <c r="R1170" i="7" s="1"/>
  <c r="L1169" i="7"/>
  <c r="R1169" i="7" s="1"/>
  <c r="L1168" i="7"/>
  <c r="R1168" i="7" s="1"/>
  <c r="L1167" i="7"/>
  <c r="R1167" i="7" s="1"/>
  <c r="P1166" i="7"/>
  <c r="O1166" i="7"/>
  <c r="N1166" i="7"/>
  <c r="M1166" i="7"/>
  <c r="G1166" i="7"/>
  <c r="L1165" i="7"/>
  <c r="R1165" i="7" s="1"/>
  <c r="L1164" i="7"/>
  <c r="R1164" i="7" s="1"/>
  <c r="L1163" i="7"/>
  <c r="R1163" i="7" s="1"/>
  <c r="L1162" i="7"/>
  <c r="R1162" i="7" s="1"/>
  <c r="P1161" i="7"/>
  <c r="O1161" i="7"/>
  <c r="N1161" i="7"/>
  <c r="M1161" i="7"/>
  <c r="G1161" i="7"/>
  <c r="L1160" i="7"/>
  <c r="R1160" i="7" s="1"/>
  <c r="P1205" i="7"/>
  <c r="O1205" i="7"/>
  <c r="N1205" i="7"/>
  <c r="M1205" i="7"/>
  <c r="P1213" i="7"/>
  <c r="O1213" i="7"/>
  <c r="N1213" i="7"/>
  <c r="M1213" i="7"/>
  <c r="L1218" i="7"/>
  <c r="L1217" i="7"/>
  <c r="L1216" i="7"/>
  <c r="L1215" i="7"/>
  <c r="L1214" i="7"/>
  <c r="L1212" i="7"/>
  <c r="L1211" i="7"/>
  <c r="L1210" i="7"/>
  <c r="L1209" i="7"/>
  <c r="L1208" i="7"/>
  <c r="L1207" i="7"/>
  <c r="L1206" i="7"/>
  <c r="P1199" i="7"/>
  <c r="O1199" i="7"/>
  <c r="N1199" i="7"/>
  <c r="M1199" i="7"/>
  <c r="P1194" i="7"/>
  <c r="O1194" i="7"/>
  <c r="N1194" i="7"/>
  <c r="M1194" i="7"/>
  <c r="L388" i="7"/>
  <c r="R388" i="7" s="1"/>
  <c r="L1204" i="7"/>
  <c r="L1203" i="7"/>
  <c r="L1202" i="7"/>
  <c r="L1201" i="7"/>
  <c r="L1200" i="7"/>
  <c r="L1198" i="7"/>
  <c r="N1521" i="7"/>
  <c r="N1520" i="7" s="1"/>
  <c r="N1295" i="7"/>
  <c r="N1243" i="7"/>
  <c r="O1243" i="7"/>
  <c r="P1243" i="7"/>
  <c r="M1243" i="7"/>
  <c r="L1245" i="7"/>
  <c r="R1245" i="7" s="1"/>
  <c r="L1244" i="7"/>
  <c r="R1244" i="7" s="1"/>
  <c r="L1580" i="7"/>
  <c r="R1580" i="7" s="1"/>
  <c r="L1579" i="7"/>
  <c r="R1579" i="7" s="1"/>
  <c r="L1578" i="7"/>
  <c r="R1578" i="7" s="1"/>
  <c r="L1577" i="7"/>
  <c r="R1577" i="7" s="1"/>
  <c r="P1576" i="7"/>
  <c r="O1576" i="7"/>
  <c r="N1576" i="7"/>
  <c r="M1576" i="7"/>
  <c r="G1576" i="7"/>
  <c r="L1575" i="7"/>
  <c r="R1575" i="7" s="1"/>
  <c r="L1574" i="7"/>
  <c r="R1574" i="7" s="1"/>
  <c r="L1573" i="7"/>
  <c r="R1573" i="7" s="1"/>
  <c r="L1572" i="7"/>
  <c r="R1572" i="7" s="1"/>
  <c r="L1571" i="7"/>
  <c r="R1571" i="7" s="1"/>
  <c r="P1570" i="7"/>
  <c r="O1570" i="7"/>
  <c r="N1570" i="7"/>
  <c r="M1570" i="7"/>
  <c r="G1570" i="7"/>
  <c r="L1569" i="7"/>
  <c r="R1569" i="7" s="1"/>
  <c r="L1568" i="7"/>
  <c r="R1568" i="7" s="1"/>
  <c r="L1567" i="7"/>
  <c r="R1567" i="7" s="1"/>
  <c r="L1566" i="7"/>
  <c r="R1566" i="7" s="1"/>
  <c r="P1565" i="7"/>
  <c r="O1565" i="7"/>
  <c r="N1565" i="7"/>
  <c r="M1565" i="7"/>
  <c r="G1565" i="7"/>
  <c r="L1564" i="7"/>
  <c r="R1564" i="7" s="1"/>
  <c r="L1563" i="7"/>
  <c r="R1563" i="7" s="1"/>
  <c r="L1562" i="7"/>
  <c r="R1562" i="7" s="1"/>
  <c r="P1561" i="7"/>
  <c r="O1561" i="7"/>
  <c r="N1561" i="7"/>
  <c r="M1561" i="7"/>
  <c r="G1561" i="7"/>
  <c r="L1560" i="7"/>
  <c r="R1560" i="7" s="1"/>
  <c r="L1559" i="7"/>
  <c r="R1559" i="7" s="1"/>
  <c r="L1558" i="7"/>
  <c r="R1558" i="7" s="1"/>
  <c r="P1557" i="7"/>
  <c r="O1557" i="7"/>
  <c r="N1557" i="7"/>
  <c r="M1557" i="7"/>
  <c r="G1557" i="7"/>
  <c r="L1556" i="7"/>
  <c r="R1556" i="7" s="1"/>
  <c r="L1555" i="7"/>
  <c r="R1555" i="7" s="1"/>
  <c r="L1554" i="7"/>
  <c r="R1554" i="7" s="1"/>
  <c r="L1553" i="7"/>
  <c r="R1553" i="7" s="1"/>
  <c r="L1552" i="7"/>
  <c r="R1552" i="7" s="1"/>
  <c r="L1551" i="7"/>
  <c r="R1551" i="7" s="1"/>
  <c r="P1550" i="7"/>
  <c r="O1550" i="7"/>
  <c r="N1550" i="7"/>
  <c r="M1550" i="7"/>
  <c r="G1550" i="7"/>
  <c r="L1548" i="7"/>
  <c r="R1548" i="7" s="1"/>
  <c r="L1547" i="7"/>
  <c r="R1547" i="7" s="1"/>
  <c r="L1546" i="7"/>
  <c r="R1546" i="7" s="1"/>
  <c r="L1545" i="7"/>
  <c r="R1545" i="7" s="1"/>
  <c r="L1544" i="7"/>
  <c r="R1544" i="7" s="1"/>
  <c r="P1543" i="7"/>
  <c r="O1543" i="7"/>
  <c r="N1543" i="7"/>
  <c r="M1543" i="7"/>
  <c r="L1542" i="7"/>
  <c r="R1542" i="7" s="1"/>
  <c r="L1541" i="7"/>
  <c r="R1541" i="7" s="1"/>
  <c r="L1540" i="7"/>
  <c r="R1540" i="7" s="1"/>
  <c r="L1539" i="7"/>
  <c r="R1539" i="7" s="1"/>
  <c r="L1538" i="7"/>
  <c r="R1538" i="7" s="1"/>
  <c r="L1537" i="7"/>
  <c r="R1537" i="7" s="1"/>
  <c r="L1536" i="7"/>
  <c r="R1536" i="7" s="1"/>
  <c r="L1535" i="7"/>
  <c r="R1535" i="7" s="1"/>
  <c r="L1534" i="7"/>
  <c r="R1534" i="7" s="1"/>
  <c r="P1533" i="7"/>
  <c r="P1532" i="7" s="1"/>
  <c r="O1533" i="7"/>
  <c r="O1532" i="7" s="1"/>
  <c r="N1533" i="7"/>
  <c r="N1532" i="7" s="1"/>
  <c r="M1533" i="7"/>
  <c r="M1532" i="7" s="1"/>
  <c r="G1533" i="7"/>
  <c r="G1532" i="7" s="1"/>
  <c r="L1531" i="7"/>
  <c r="R1531" i="7" s="1"/>
  <c r="L1530" i="7"/>
  <c r="R1530" i="7" s="1"/>
  <c r="L1529" i="7"/>
  <c r="R1529" i="7" s="1"/>
  <c r="L1528" i="7"/>
  <c r="R1528" i="7" s="1"/>
  <c r="P1527" i="7"/>
  <c r="P1526" i="7" s="1"/>
  <c r="O1527" i="7"/>
  <c r="N1527" i="7"/>
  <c r="N1526" i="7" s="1"/>
  <c r="M1527" i="7"/>
  <c r="M1526" i="7" s="1"/>
  <c r="G1527" i="7"/>
  <c r="G1526" i="7" s="1"/>
  <c r="L1525" i="7"/>
  <c r="R1525" i="7" s="1"/>
  <c r="L1524" i="7"/>
  <c r="R1524" i="7" s="1"/>
  <c r="L1523" i="7"/>
  <c r="R1523" i="7" s="1"/>
  <c r="L1522" i="7"/>
  <c r="R1522" i="7" s="1"/>
  <c r="P1521" i="7"/>
  <c r="P1520" i="7" s="1"/>
  <c r="O1521" i="7"/>
  <c r="O1520" i="7" s="1"/>
  <c r="M1521" i="7"/>
  <c r="G1521" i="7"/>
  <c r="G1520" i="7" s="1"/>
  <c r="L1519" i="7"/>
  <c r="R1519" i="7" s="1"/>
  <c r="L1518" i="7"/>
  <c r="R1518" i="7" s="1"/>
  <c r="L1517" i="7"/>
  <c r="R1517" i="7" s="1"/>
  <c r="L1516" i="7"/>
  <c r="R1516" i="7" s="1"/>
  <c r="P1515" i="7"/>
  <c r="P1514" i="7" s="1"/>
  <c r="O1515" i="7"/>
  <c r="O1514" i="7" s="1"/>
  <c r="N1515" i="7"/>
  <c r="M1515" i="7"/>
  <c r="G1515" i="7"/>
  <c r="G1514" i="7" s="1"/>
  <c r="L1513" i="7"/>
  <c r="R1513" i="7" s="1"/>
  <c r="L1512" i="7"/>
  <c r="R1512" i="7" s="1"/>
  <c r="L1511" i="7"/>
  <c r="R1511" i="7" s="1"/>
  <c r="L1510" i="7"/>
  <c r="R1510" i="7" s="1"/>
  <c r="L1509" i="7"/>
  <c r="R1509" i="7" s="1"/>
  <c r="P1508" i="7"/>
  <c r="O1508" i="7"/>
  <c r="N1508" i="7"/>
  <c r="M1508" i="7"/>
  <c r="G1508" i="7"/>
  <c r="L1507" i="7"/>
  <c r="R1507" i="7" s="1"/>
  <c r="L1506" i="7"/>
  <c r="R1506" i="7" s="1"/>
  <c r="L1505" i="7"/>
  <c r="R1505" i="7" s="1"/>
  <c r="L1504" i="7"/>
  <c r="R1504" i="7" s="1"/>
  <c r="P1503" i="7"/>
  <c r="O1503" i="7"/>
  <c r="N1503" i="7"/>
  <c r="M1503" i="7"/>
  <c r="G1503" i="7"/>
  <c r="L1502" i="7"/>
  <c r="R1502" i="7" s="1"/>
  <c r="L1501" i="7"/>
  <c r="R1501" i="7" s="1"/>
  <c r="L1500" i="7"/>
  <c r="R1500" i="7" s="1"/>
  <c r="P1499" i="7"/>
  <c r="O1499" i="7"/>
  <c r="N1499" i="7"/>
  <c r="M1499" i="7"/>
  <c r="G1499" i="7"/>
  <c r="L1498" i="7"/>
  <c r="R1498" i="7" s="1"/>
  <c r="L1497" i="7"/>
  <c r="R1497" i="7" s="1"/>
  <c r="L1496" i="7"/>
  <c r="R1496" i="7" s="1"/>
  <c r="P1495" i="7"/>
  <c r="O1495" i="7"/>
  <c r="N1495" i="7"/>
  <c r="M1495" i="7"/>
  <c r="G1495" i="7"/>
  <c r="L1494" i="7"/>
  <c r="R1494" i="7" s="1"/>
  <c r="L1493" i="7"/>
  <c r="R1493" i="7" s="1"/>
  <c r="L1492" i="7"/>
  <c r="R1492" i="7" s="1"/>
  <c r="L1491" i="7"/>
  <c r="R1491" i="7" s="1"/>
  <c r="L1490" i="7"/>
  <c r="R1490" i="7" s="1"/>
  <c r="L1489" i="7"/>
  <c r="R1489" i="7" s="1"/>
  <c r="P1488" i="7"/>
  <c r="O1488" i="7"/>
  <c r="N1488" i="7"/>
  <c r="M1488" i="7"/>
  <c r="G1488" i="7"/>
  <c r="L1480" i="7"/>
  <c r="R1480" i="7" s="1"/>
  <c r="L1479" i="7"/>
  <c r="R1479" i="7" s="1"/>
  <c r="L1478" i="7"/>
  <c r="R1478" i="7" s="1"/>
  <c r="L1477" i="7"/>
  <c r="R1477" i="7" s="1"/>
  <c r="P1476" i="7"/>
  <c r="O1476" i="7"/>
  <c r="N1476" i="7"/>
  <c r="M1476" i="7"/>
  <c r="G1476" i="7"/>
  <c r="L1475" i="7"/>
  <c r="R1475" i="7" s="1"/>
  <c r="L1474" i="7"/>
  <c r="R1474" i="7" s="1"/>
  <c r="L1473" i="7"/>
  <c r="R1473" i="7" s="1"/>
  <c r="L1472" i="7"/>
  <c r="R1472" i="7" s="1"/>
  <c r="P1471" i="7"/>
  <c r="O1471" i="7"/>
  <c r="N1471" i="7"/>
  <c r="M1471" i="7"/>
  <c r="L1470" i="7"/>
  <c r="R1470" i="7" s="1"/>
  <c r="L1468" i="7"/>
  <c r="R1468" i="7" s="1"/>
  <c r="P1467" i="7"/>
  <c r="O1467" i="7"/>
  <c r="N1467" i="7"/>
  <c r="M1467" i="7"/>
  <c r="G1467" i="7"/>
  <c r="L1466" i="7"/>
  <c r="R1466" i="7" s="1"/>
  <c r="L1465" i="7"/>
  <c r="R1465" i="7" s="1"/>
  <c r="L1464" i="7"/>
  <c r="R1464" i="7" s="1"/>
  <c r="L1463" i="7"/>
  <c r="R1463" i="7" s="1"/>
  <c r="L1462" i="7"/>
  <c r="R1462" i="7" s="1"/>
  <c r="L1461" i="7"/>
  <c r="R1461" i="7" s="1"/>
  <c r="P1460" i="7"/>
  <c r="O1460" i="7"/>
  <c r="N1460" i="7"/>
  <c r="M1460" i="7"/>
  <c r="G1460" i="7"/>
  <c r="L1145" i="7"/>
  <c r="R1145" i="7" s="1"/>
  <c r="L1144" i="7"/>
  <c r="R1144" i="7" s="1"/>
  <c r="L1143" i="7"/>
  <c r="R1143" i="7" s="1"/>
  <c r="L1142" i="7"/>
  <c r="R1142" i="7" s="1"/>
  <c r="L1141" i="7"/>
  <c r="R1141" i="7" s="1"/>
  <c r="P1140" i="7"/>
  <c r="O1140" i="7"/>
  <c r="N1140" i="7"/>
  <c r="M1140" i="7"/>
  <c r="G1140" i="7"/>
  <c r="L1139" i="7"/>
  <c r="R1139" i="7" s="1"/>
  <c r="L1138" i="7"/>
  <c r="R1138" i="7" s="1"/>
  <c r="L1137" i="7"/>
  <c r="R1137" i="7" s="1"/>
  <c r="L1136" i="7"/>
  <c r="R1136" i="7" s="1"/>
  <c r="P1135" i="7"/>
  <c r="O1135" i="7"/>
  <c r="N1135" i="7"/>
  <c r="M1135" i="7"/>
  <c r="G1135" i="7"/>
  <c r="L1134" i="7"/>
  <c r="R1134" i="7" s="1"/>
  <c r="L1133" i="7"/>
  <c r="R1133" i="7" s="1"/>
  <c r="L1132" i="7"/>
  <c r="R1132" i="7" s="1"/>
  <c r="P1131" i="7"/>
  <c r="O1131" i="7"/>
  <c r="M1131" i="7"/>
  <c r="G1131" i="7"/>
  <c r="L1130" i="7"/>
  <c r="R1130" i="7" s="1"/>
  <c r="L1129" i="7"/>
  <c r="R1129" i="7" s="1"/>
  <c r="L1128" i="7"/>
  <c r="R1128" i="7" s="1"/>
  <c r="P1127" i="7"/>
  <c r="O1127" i="7"/>
  <c r="N1127" i="7"/>
  <c r="M1127" i="7"/>
  <c r="G1127" i="7"/>
  <c r="L1126" i="7"/>
  <c r="R1126" i="7" s="1"/>
  <c r="L1125" i="7"/>
  <c r="R1125" i="7" s="1"/>
  <c r="L1124" i="7"/>
  <c r="R1124" i="7" s="1"/>
  <c r="L1123" i="7"/>
  <c r="R1123" i="7" s="1"/>
  <c r="L1122" i="7"/>
  <c r="R1122" i="7" s="1"/>
  <c r="L1121" i="7"/>
  <c r="R1121" i="7" s="1"/>
  <c r="P1120" i="7"/>
  <c r="O1120" i="7"/>
  <c r="N1120" i="7"/>
  <c r="M1120" i="7"/>
  <c r="G1120" i="7"/>
  <c r="L1486" i="7"/>
  <c r="R1486" i="7" s="1"/>
  <c r="L1485" i="7"/>
  <c r="R1485" i="7" s="1"/>
  <c r="L1484" i="7"/>
  <c r="R1484" i="7" s="1"/>
  <c r="L1483" i="7"/>
  <c r="R1483" i="7" s="1"/>
  <c r="L1482" i="7"/>
  <c r="R1482" i="7" s="1"/>
  <c r="P1481" i="7"/>
  <c r="O1481" i="7"/>
  <c r="N1481" i="7"/>
  <c r="M1481" i="7"/>
  <c r="L1118" i="7"/>
  <c r="R1118" i="7" s="1"/>
  <c r="L1117" i="7"/>
  <c r="R1117" i="7" s="1"/>
  <c r="L1116" i="7"/>
  <c r="R1116" i="7" s="1"/>
  <c r="L1115" i="7"/>
  <c r="R1115" i="7" s="1"/>
  <c r="L1114" i="7"/>
  <c r="R1114" i="7" s="1"/>
  <c r="L1113" i="7"/>
  <c r="R1113" i="7" s="1"/>
  <c r="L1112" i="7"/>
  <c r="R1112" i="7" s="1"/>
  <c r="L1111" i="7"/>
  <c r="R1111" i="7" s="1"/>
  <c r="L1110" i="7"/>
  <c r="R1110" i="7" s="1"/>
  <c r="L1109" i="7"/>
  <c r="R1109" i="7" s="1"/>
  <c r="L1108" i="7"/>
  <c r="R1108" i="7" s="1"/>
  <c r="L1107" i="7"/>
  <c r="R1107" i="7" s="1"/>
  <c r="L1106" i="7"/>
  <c r="R1106" i="7" s="1"/>
  <c r="L1105" i="7"/>
  <c r="R1105" i="7" s="1"/>
  <c r="L1104" i="7"/>
  <c r="R1104" i="7" s="1"/>
  <c r="L1103" i="7"/>
  <c r="R1103" i="7" s="1"/>
  <c r="L1102" i="7"/>
  <c r="R1102" i="7" s="1"/>
  <c r="L1101" i="7"/>
  <c r="R1101" i="7" s="1"/>
  <c r="P1100" i="7"/>
  <c r="O1100" i="7"/>
  <c r="N1100" i="7"/>
  <c r="M1100" i="7"/>
  <c r="L1099" i="7"/>
  <c r="R1099" i="7" s="1"/>
  <c r="L1098" i="7"/>
  <c r="R1098" i="7" s="1"/>
  <c r="L1097" i="7"/>
  <c r="R1097" i="7" s="1"/>
  <c r="L1096" i="7"/>
  <c r="R1096" i="7" s="1"/>
  <c r="L1095" i="7"/>
  <c r="R1095" i="7" s="1"/>
  <c r="L1094" i="7"/>
  <c r="R1094" i="7" s="1"/>
  <c r="L1093" i="7"/>
  <c r="R1093" i="7" s="1"/>
  <c r="L1092" i="7"/>
  <c r="R1092" i="7" s="1"/>
  <c r="L1091" i="7"/>
  <c r="R1091" i="7" s="1"/>
  <c r="L1090" i="7"/>
  <c r="R1090" i="7" s="1"/>
  <c r="L1089" i="7"/>
  <c r="R1089" i="7" s="1"/>
  <c r="L1088" i="7"/>
  <c r="R1088" i="7" s="1"/>
  <c r="L1087" i="7"/>
  <c r="R1087" i="7" s="1"/>
  <c r="L1086" i="7"/>
  <c r="R1086" i="7" s="1"/>
  <c r="L1085" i="7"/>
  <c r="R1085" i="7" s="1"/>
  <c r="L1084" i="7"/>
  <c r="R1084" i="7" s="1"/>
  <c r="L1082" i="7"/>
  <c r="R1082" i="7" s="1"/>
  <c r="P1081" i="7"/>
  <c r="O1081" i="7"/>
  <c r="N1081" i="7"/>
  <c r="M1081" i="7"/>
  <c r="L1080" i="7"/>
  <c r="R1080" i="7" s="1"/>
  <c r="L1079" i="7"/>
  <c r="R1079" i="7" s="1"/>
  <c r="L1078" i="7"/>
  <c r="R1078" i="7" s="1"/>
  <c r="L1077" i="7"/>
  <c r="R1077" i="7" s="1"/>
  <c r="L1076" i="7"/>
  <c r="R1076" i="7" s="1"/>
  <c r="L1075" i="7"/>
  <c r="R1075" i="7" s="1"/>
  <c r="L1074" i="7"/>
  <c r="R1074" i="7" s="1"/>
  <c r="L1073" i="7"/>
  <c r="R1073" i="7" s="1"/>
  <c r="L1072" i="7"/>
  <c r="R1072" i="7" s="1"/>
  <c r="L1071" i="7"/>
  <c r="R1071" i="7" s="1"/>
  <c r="L1070" i="7"/>
  <c r="R1070" i="7" s="1"/>
  <c r="L1068" i="7"/>
  <c r="R1068" i="7" s="1"/>
  <c r="L1067" i="7"/>
  <c r="R1067" i="7" s="1"/>
  <c r="L1066" i="7"/>
  <c r="R1066" i="7" s="1"/>
  <c r="L1065" i="7"/>
  <c r="R1065" i="7" s="1"/>
  <c r="L1064" i="7"/>
  <c r="R1064" i="7" s="1"/>
  <c r="P1063" i="7"/>
  <c r="O1063" i="7"/>
  <c r="N1063" i="7"/>
  <c r="M1063" i="7"/>
  <c r="L1062" i="7"/>
  <c r="R1062" i="7" s="1"/>
  <c r="L1061" i="7"/>
  <c r="R1061" i="7" s="1"/>
  <c r="L1060" i="7"/>
  <c r="R1060" i="7" s="1"/>
  <c r="L1059" i="7"/>
  <c r="R1059" i="7" s="1"/>
  <c r="L1058" i="7"/>
  <c r="R1058" i="7" s="1"/>
  <c r="L1057" i="7"/>
  <c r="R1057" i="7" s="1"/>
  <c r="L1056" i="7"/>
  <c r="R1056" i="7" s="1"/>
  <c r="L1055" i="7"/>
  <c r="R1055" i="7" s="1"/>
  <c r="R1044" i="7"/>
  <c r="R1043" i="7"/>
  <c r="R1042" i="7"/>
  <c r="R1041" i="7"/>
  <c r="R1040" i="7"/>
  <c r="L1035" i="7"/>
  <c r="R1035" i="7" s="1"/>
  <c r="L1034" i="7"/>
  <c r="R1034" i="7" s="1"/>
  <c r="L1033" i="7"/>
  <c r="R1033" i="7" s="1"/>
  <c r="L1032" i="7"/>
  <c r="R1032" i="7" s="1"/>
  <c r="L1031" i="7"/>
  <c r="R1031" i="7" s="1"/>
  <c r="L1030" i="7"/>
  <c r="R1030" i="7" s="1"/>
  <c r="L1029" i="7"/>
  <c r="R1029" i="7" s="1"/>
  <c r="L1028" i="7"/>
  <c r="R1028" i="7" s="1"/>
  <c r="L1027" i="7"/>
  <c r="R1027" i="7" s="1"/>
  <c r="P1026" i="7"/>
  <c r="O1026" i="7"/>
  <c r="N1026" i="7"/>
  <c r="M1026" i="7"/>
  <c r="L1025" i="7"/>
  <c r="R1025" i="7" s="1"/>
  <c r="L1024" i="7"/>
  <c r="R1024" i="7" s="1"/>
  <c r="L1023" i="7"/>
  <c r="R1023" i="7" s="1"/>
  <c r="L1022" i="7"/>
  <c r="R1022" i="7" s="1"/>
  <c r="L1021" i="7"/>
  <c r="R1021" i="7" s="1"/>
  <c r="L1020" i="7"/>
  <c r="R1020" i="7" s="1"/>
  <c r="L1019" i="7"/>
  <c r="R1019" i="7" s="1"/>
  <c r="L1018" i="7"/>
  <c r="R1018" i="7" s="1"/>
  <c r="L1017" i="7"/>
  <c r="R1017" i="7" s="1"/>
  <c r="P1016" i="7"/>
  <c r="O1016" i="7"/>
  <c r="N1016" i="7"/>
  <c r="M1016" i="7"/>
  <c r="L1015" i="7"/>
  <c r="R1015" i="7" s="1"/>
  <c r="L1014" i="7"/>
  <c r="R1014" i="7" s="1"/>
  <c r="L1013" i="7"/>
  <c r="R1013" i="7" s="1"/>
  <c r="L1012" i="7"/>
  <c r="R1012" i="7" s="1"/>
  <c r="L1011" i="7"/>
  <c r="R1011" i="7" s="1"/>
  <c r="L1010" i="7"/>
  <c r="R1010" i="7" s="1"/>
  <c r="L1009" i="7"/>
  <c r="R1009" i="7" s="1"/>
  <c r="P1008" i="7"/>
  <c r="O1008" i="7"/>
  <c r="N1008" i="7"/>
  <c r="M1008" i="7"/>
  <c r="L1007" i="7"/>
  <c r="R1007" i="7" s="1"/>
  <c r="L1006" i="7"/>
  <c r="R1006" i="7" s="1"/>
  <c r="L1005" i="7"/>
  <c r="R1005" i="7" s="1"/>
  <c r="L1004" i="7"/>
  <c r="R1004" i="7" s="1"/>
  <c r="P1003" i="7"/>
  <c r="O1003" i="7"/>
  <c r="N1003" i="7"/>
  <c r="M1003" i="7"/>
  <c r="G1003" i="7"/>
  <c r="L1002" i="7"/>
  <c r="R1002" i="7" s="1"/>
  <c r="R1001" i="7"/>
  <c r="L1000" i="7"/>
  <c r="R1000" i="7" s="1"/>
  <c r="L999" i="7"/>
  <c r="R999" i="7" s="1"/>
  <c r="L998" i="7"/>
  <c r="R998" i="7" s="1"/>
  <c r="L997" i="7"/>
  <c r="R997" i="7" s="1"/>
  <c r="L996" i="7"/>
  <c r="R996" i="7" s="1"/>
  <c r="L995" i="7"/>
  <c r="R995" i="7" s="1"/>
  <c r="L994" i="7"/>
  <c r="R994" i="7" s="1"/>
  <c r="L993" i="7"/>
  <c r="R993" i="7" s="1"/>
  <c r="P992" i="7"/>
  <c r="O992" i="7"/>
  <c r="N992" i="7"/>
  <c r="M992" i="7"/>
  <c r="G992" i="7"/>
  <c r="L988" i="7"/>
  <c r="R988" i="7" s="1"/>
  <c r="L987" i="7"/>
  <c r="R987" i="7" s="1"/>
  <c r="L986" i="7"/>
  <c r="R986" i="7" s="1"/>
  <c r="L985" i="7"/>
  <c r="R985" i="7" s="1"/>
  <c r="L984" i="7"/>
  <c r="R984" i="7" s="1"/>
  <c r="L983" i="7"/>
  <c r="R983" i="7" s="1"/>
  <c r="L982" i="7"/>
  <c r="R982" i="7" s="1"/>
  <c r="P947" i="7"/>
  <c r="L976" i="7"/>
  <c r="R976" i="7" s="1"/>
  <c r="L975" i="7"/>
  <c r="R975" i="7" s="1"/>
  <c r="L974" i="7"/>
  <c r="R974" i="7" s="1"/>
  <c r="L973" i="7"/>
  <c r="R973" i="7" s="1"/>
  <c r="L969" i="7"/>
  <c r="R969" i="7" s="1"/>
  <c r="L968" i="7"/>
  <c r="R968" i="7" s="1"/>
  <c r="L967" i="7"/>
  <c r="R967" i="7" s="1"/>
  <c r="L966" i="7"/>
  <c r="R966" i="7" s="1"/>
  <c r="L965" i="7"/>
  <c r="R965" i="7" s="1"/>
  <c r="N960" i="7"/>
  <c r="M960" i="7"/>
  <c r="G960" i="7"/>
  <c r="L957" i="7"/>
  <c r="R957" i="7" s="1"/>
  <c r="L956" i="7"/>
  <c r="R956" i="7" s="1"/>
  <c r="L955" i="7"/>
  <c r="R955" i="7" s="1"/>
  <c r="L954" i="7"/>
  <c r="R954" i="7" s="1"/>
  <c r="L953" i="7"/>
  <c r="R953" i="7" s="1"/>
  <c r="O948" i="7"/>
  <c r="N948" i="7"/>
  <c r="M948" i="7"/>
  <c r="L567" i="7"/>
  <c r="R567" i="7" s="1"/>
  <c r="L566" i="7"/>
  <c r="R566" i="7" s="1"/>
  <c r="L565" i="7"/>
  <c r="R565" i="7" s="1"/>
  <c r="L564" i="7"/>
  <c r="R564" i="7" s="1"/>
  <c r="L563" i="7"/>
  <c r="R563" i="7" s="1"/>
  <c r="P562" i="7"/>
  <c r="O562" i="7"/>
  <c r="N562" i="7"/>
  <c r="M562" i="7"/>
  <c r="L561" i="7"/>
  <c r="R561" i="7" s="1"/>
  <c r="L560" i="7"/>
  <c r="R560" i="7" s="1"/>
  <c r="L559" i="7"/>
  <c r="R559" i="7" s="1"/>
  <c r="L558" i="7"/>
  <c r="R558" i="7" s="1"/>
  <c r="L557" i="7"/>
  <c r="R557" i="7" s="1"/>
  <c r="L556" i="7"/>
  <c r="R556" i="7" s="1"/>
  <c r="L555" i="7"/>
  <c r="R555" i="7" s="1"/>
  <c r="P554" i="7"/>
  <c r="O554" i="7"/>
  <c r="N554" i="7"/>
  <c r="M554" i="7"/>
  <c r="L553" i="7"/>
  <c r="R553" i="7" s="1"/>
  <c r="L552" i="7"/>
  <c r="R552" i="7" s="1"/>
  <c r="L551" i="7"/>
  <c r="R551" i="7" s="1"/>
  <c r="L550" i="7"/>
  <c r="R550" i="7" s="1"/>
  <c r="L549" i="7"/>
  <c r="R549" i="7" s="1"/>
  <c r="P548" i="7"/>
  <c r="O548" i="7"/>
  <c r="N548" i="7"/>
  <c r="M548" i="7"/>
  <c r="L547" i="7"/>
  <c r="R547" i="7" s="1"/>
  <c r="L546" i="7"/>
  <c r="R546" i="7" s="1"/>
  <c r="L545" i="7"/>
  <c r="R545" i="7" s="1"/>
  <c r="L544" i="7"/>
  <c r="R544" i="7" s="1"/>
  <c r="L543" i="7"/>
  <c r="R543" i="7" s="1"/>
  <c r="L542" i="7"/>
  <c r="R542" i="7" s="1"/>
  <c r="L541" i="7"/>
  <c r="R541" i="7" s="1"/>
  <c r="L540" i="7"/>
  <c r="R540" i="7" s="1"/>
  <c r="P539" i="7"/>
  <c r="O539" i="7"/>
  <c r="N539" i="7"/>
  <c r="M539" i="7"/>
  <c r="L1293" i="7"/>
  <c r="R1293" i="7" s="1"/>
  <c r="L1292" i="7"/>
  <c r="R1292" i="7" s="1"/>
  <c r="L1291" i="7"/>
  <c r="R1291" i="7" s="1"/>
  <c r="L1290" i="7"/>
  <c r="R1290" i="7" s="1"/>
  <c r="P1289" i="7"/>
  <c r="O1289" i="7"/>
  <c r="N1289" i="7"/>
  <c r="M1289" i="7"/>
  <c r="G1289" i="7"/>
  <c r="L1288" i="7"/>
  <c r="R1288" i="7" s="1"/>
  <c r="L1287" i="7"/>
  <c r="R1287" i="7" s="1"/>
  <c r="L1286" i="7"/>
  <c r="R1286" i="7" s="1"/>
  <c r="L1285" i="7"/>
  <c r="R1285" i="7" s="1"/>
  <c r="P1284" i="7"/>
  <c r="O1284" i="7"/>
  <c r="N1284" i="7"/>
  <c r="M1284" i="7"/>
  <c r="G1284" i="7"/>
  <c r="O1280" i="7"/>
  <c r="N1280" i="7"/>
  <c r="M1280" i="7"/>
  <c r="G1280" i="7"/>
  <c r="L1279" i="7"/>
  <c r="R1279" i="7" s="1"/>
  <c r="L1278" i="7"/>
  <c r="R1278" i="7" s="1"/>
  <c r="L1277" i="7"/>
  <c r="R1277" i="7" s="1"/>
  <c r="L1276" i="7"/>
  <c r="R1276" i="7" s="1"/>
  <c r="L1275" i="7"/>
  <c r="R1275" i="7" s="1"/>
  <c r="L1274" i="7"/>
  <c r="R1274" i="7" s="1"/>
  <c r="P1273" i="7"/>
  <c r="O1273" i="7"/>
  <c r="N1273" i="7"/>
  <c r="M1273" i="7"/>
  <c r="G1273" i="7"/>
  <c r="L1458" i="7"/>
  <c r="R1458" i="7" s="1"/>
  <c r="L1457" i="7"/>
  <c r="R1457" i="7" s="1"/>
  <c r="L1456" i="7"/>
  <c r="R1456" i="7" s="1"/>
  <c r="L1455" i="7"/>
  <c r="R1455" i="7" s="1"/>
  <c r="P1454" i="7"/>
  <c r="O1454" i="7"/>
  <c r="N1454" i="7"/>
  <c r="M1454" i="7"/>
  <c r="G1454" i="7"/>
  <c r="L1453" i="7"/>
  <c r="R1453" i="7" s="1"/>
  <c r="L1452" i="7"/>
  <c r="R1452" i="7" s="1"/>
  <c r="L1451" i="7"/>
  <c r="R1451" i="7" s="1"/>
  <c r="L1450" i="7"/>
  <c r="R1450" i="7" s="1"/>
  <c r="P1449" i="7"/>
  <c r="O1449" i="7"/>
  <c r="N1449" i="7"/>
  <c r="M1449" i="7"/>
  <c r="G1449" i="7"/>
  <c r="L1448" i="7"/>
  <c r="R1448" i="7" s="1"/>
  <c r="L1447" i="7"/>
  <c r="R1447" i="7" s="1"/>
  <c r="L1446" i="7"/>
  <c r="R1446" i="7" s="1"/>
  <c r="P1445" i="7"/>
  <c r="O1445" i="7"/>
  <c r="N1445" i="7"/>
  <c r="M1445" i="7"/>
  <c r="G1445" i="7"/>
  <c r="L1444" i="7"/>
  <c r="R1444" i="7" s="1"/>
  <c r="L1443" i="7"/>
  <c r="R1443" i="7" s="1"/>
  <c r="L1442" i="7"/>
  <c r="R1442" i="7" s="1"/>
  <c r="L1441" i="7"/>
  <c r="R1441" i="7" s="1"/>
  <c r="L1440" i="7"/>
  <c r="R1440" i="7" s="1"/>
  <c r="L1439" i="7"/>
  <c r="R1439" i="7" s="1"/>
  <c r="P1438" i="7"/>
  <c r="O1438" i="7"/>
  <c r="N1438" i="7"/>
  <c r="M1438" i="7"/>
  <c r="G1438" i="7"/>
  <c r="L1436" i="7"/>
  <c r="R1436" i="7" s="1"/>
  <c r="L1435" i="7"/>
  <c r="R1435" i="7" s="1"/>
  <c r="L1434" i="7"/>
  <c r="R1434" i="7" s="1"/>
  <c r="L1433" i="7"/>
  <c r="R1433" i="7" s="1"/>
  <c r="P1432" i="7"/>
  <c r="O1432" i="7"/>
  <c r="N1432" i="7"/>
  <c r="M1432" i="7"/>
  <c r="G1432" i="7"/>
  <c r="L1431" i="7"/>
  <c r="R1431" i="7" s="1"/>
  <c r="L1430" i="7"/>
  <c r="R1430" i="7" s="1"/>
  <c r="L1429" i="7"/>
  <c r="R1429" i="7" s="1"/>
  <c r="L1428" i="7"/>
  <c r="R1428" i="7" s="1"/>
  <c r="P1427" i="7"/>
  <c r="O1427" i="7"/>
  <c r="N1427" i="7"/>
  <c r="M1427" i="7"/>
  <c r="G1427" i="7"/>
  <c r="L1426" i="7"/>
  <c r="R1426" i="7" s="1"/>
  <c r="L1425" i="7"/>
  <c r="R1425" i="7" s="1"/>
  <c r="L1424" i="7"/>
  <c r="R1424" i="7" s="1"/>
  <c r="P1423" i="7"/>
  <c r="O1423" i="7"/>
  <c r="N1423" i="7"/>
  <c r="M1423" i="7"/>
  <c r="G1423" i="7"/>
  <c r="L1422" i="7"/>
  <c r="R1422" i="7" s="1"/>
  <c r="L1421" i="7"/>
  <c r="R1421" i="7" s="1"/>
  <c r="L1420" i="7"/>
  <c r="R1420" i="7" s="1"/>
  <c r="L1419" i="7"/>
  <c r="R1419" i="7" s="1"/>
  <c r="L1418" i="7"/>
  <c r="R1418" i="7" s="1"/>
  <c r="L1417" i="7"/>
  <c r="R1417" i="7" s="1"/>
  <c r="P1416" i="7"/>
  <c r="O1416" i="7"/>
  <c r="N1416" i="7"/>
  <c r="M1416" i="7"/>
  <c r="G1416" i="7"/>
  <c r="L1314" i="7"/>
  <c r="R1314" i="7" s="1"/>
  <c r="L1312" i="7"/>
  <c r="R1312" i="7" s="1"/>
  <c r="G1311" i="7"/>
  <c r="L1310" i="7"/>
  <c r="R1310" i="7" s="1"/>
  <c r="L1308" i="7"/>
  <c r="R1308" i="7" s="1"/>
  <c r="G1307" i="7"/>
  <c r="L1306" i="7"/>
  <c r="R1306" i="7" s="1"/>
  <c r="L1303" i="7"/>
  <c r="R1303" i="7" s="1"/>
  <c r="L1301" i="7"/>
  <c r="R1301" i="7" s="1"/>
  <c r="G1300" i="7"/>
  <c r="L1298" i="7"/>
  <c r="R1298" i="7" s="1"/>
  <c r="L1297" i="7"/>
  <c r="R1297" i="7" s="1"/>
  <c r="L1296" i="7"/>
  <c r="R1296" i="7" s="1"/>
  <c r="P1295" i="7"/>
  <c r="O1295" i="7"/>
  <c r="M1295" i="7"/>
  <c r="G1295" i="7"/>
  <c r="L935" i="7"/>
  <c r="R935" i="7" s="1"/>
  <c r="R933" i="7"/>
  <c r="M932" i="7"/>
  <c r="L932" i="7" s="1"/>
  <c r="L931" i="7"/>
  <c r="R931" i="7" s="1"/>
  <c r="L920" i="7"/>
  <c r="R920" i="7" s="1"/>
  <c r="L919" i="7"/>
  <c r="R919" i="7" s="1"/>
  <c r="L918" i="7"/>
  <c r="R918" i="7" s="1"/>
  <c r="L917" i="7"/>
  <c r="R917" i="7" s="1"/>
  <c r="M916" i="7"/>
  <c r="G916" i="7"/>
  <c r="L915" i="7"/>
  <c r="R915" i="7" s="1"/>
  <c r="L904" i="7"/>
  <c r="R904" i="7" s="1"/>
  <c r="L902" i="7"/>
  <c r="R902" i="7" s="1"/>
  <c r="M901" i="7"/>
  <c r="G901" i="7"/>
  <c r="L900" i="7"/>
  <c r="R900" i="7" s="1"/>
  <c r="L895" i="7"/>
  <c r="R895" i="7" s="1"/>
  <c r="L894" i="7"/>
  <c r="R894" i="7" s="1"/>
  <c r="R888" i="7"/>
  <c r="R887" i="7"/>
  <c r="R880" i="7"/>
  <c r="R884" i="7"/>
  <c r="R883" i="7"/>
  <c r="R882" i="7"/>
  <c r="R881" i="7"/>
  <c r="L879" i="7"/>
  <c r="R879" i="7" s="1"/>
  <c r="L1414" i="7"/>
  <c r="R1414" i="7" s="1"/>
  <c r="L1413" i="7"/>
  <c r="R1413" i="7" s="1"/>
  <c r="L1412" i="7"/>
  <c r="R1412" i="7" s="1"/>
  <c r="L1411" i="7"/>
  <c r="R1411" i="7" s="1"/>
  <c r="L1410" i="7"/>
  <c r="R1410" i="7" s="1"/>
  <c r="L1409" i="7"/>
  <c r="R1409" i="7" s="1"/>
  <c r="L1408" i="7"/>
  <c r="R1408" i="7" s="1"/>
  <c r="L1407" i="7"/>
  <c r="R1407" i="7" s="1"/>
  <c r="L1406" i="7"/>
  <c r="R1406" i="7" s="1"/>
  <c r="L1405" i="7"/>
  <c r="R1405" i="7" s="1"/>
  <c r="P1404" i="7"/>
  <c r="O1404" i="7"/>
  <c r="N1404" i="7"/>
  <c r="M1404" i="7"/>
  <c r="G1404" i="7"/>
  <c r="L1403" i="7"/>
  <c r="R1403" i="7" s="1"/>
  <c r="L1402" i="7"/>
  <c r="R1402" i="7" s="1"/>
  <c r="L1401" i="7"/>
  <c r="R1401" i="7" s="1"/>
  <c r="L1400" i="7"/>
  <c r="R1400" i="7" s="1"/>
  <c r="L1399" i="7"/>
  <c r="R1399" i="7" s="1"/>
  <c r="L1398" i="7"/>
  <c r="R1398" i="7" s="1"/>
  <c r="L1397" i="7"/>
  <c r="R1397" i="7" s="1"/>
  <c r="L1396" i="7"/>
  <c r="R1396" i="7" s="1"/>
  <c r="L1395" i="7"/>
  <c r="R1395" i="7" s="1"/>
  <c r="L1394" i="7"/>
  <c r="R1394" i="7" s="1"/>
  <c r="L1393" i="7"/>
  <c r="R1393" i="7" s="1"/>
  <c r="L1392" i="7"/>
  <c r="R1392" i="7" s="1"/>
  <c r="L1391" i="7"/>
  <c r="R1391" i="7" s="1"/>
  <c r="L1390" i="7"/>
  <c r="R1390" i="7" s="1"/>
  <c r="L1389" i="7"/>
  <c r="R1389" i="7" s="1"/>
  <c r="L1388" i="7"/>
  <c r="R1388" i="7" s="1"/>
  <c r="L1387" i="7"/>
  <c r="R1387" i="7" s="1"/>
  <c r="L1386" i="7"/>
  <c r="R1386" i="7" s="1"/>
  <c r="L1385" i="7"/>
  <c r="R1385" i="7" s="1"/>
  <c r="L1384" i="7"/>
  <c r="R1384" i="7" s="1"/>
  <c r="P1383" i="7"/>
  <c r="O1383" i="7"/>
  <c r="N1383" i="7"/>
  <c r="M1383" i="7"/>
  <c r="G1383" i="7"/>
  <c r="L1382" i="7"/>
  <c r="R1382" i="7" s="1"/>
  <c r="L1381" i="7"/>
  <c r="R1381" i="7" s="1"/>
  <c r="L1380" i="7"/>
  <c r="R1380" i="7" s="1"/>
  <c r="L1379" i="7"/>
  <c r="R1379" i="7" s="1"/>
  <c r="L1378" i="7"/>
  <c r="R1378" i="7" s="1"/>
  <c r="L1377" i="7"/>
  <c r="R1377" i="7" s="1"/>
  <c r="L1376" i="7"/>
  <c r="R1376" i="7" s="1"/>
  <c r="L1375" i="7"/>
  <c r="R1375" i="7" s="1"/>
  <c r="L1374" i="7"/>
  <c r="R1374" i="7" s="1"/>
  <c r="L1373" i="7"/>
  <c r="R1373" i="7" s="1"/>
  <c r="L1372" i="7"/>
  <c r="R1372" i="7" s="1"/>
  <c r="L1371" i="7"/>
  <c r="R1371" i="7" s="1"/>
  <c r="L1370" i="7"/>
  <c r="R1370" i="7" s="1"/>
  <c r="L1369" i="7"/>
  <c r="R1369" i="7" s="1"/>
  <c r="L1368" i="7"/>
  <c r="R1368" i="7" s="1"/>
  <c r="L1367" i="7"/>
  <c r="R1367" i="7" s="1"/>
  <c r="L1366" i="7"/>
  <c r="R1366" i="7" s="1"/>
  <c r="L1365" i="7"/>
  <c r="R1365" i="7" s="1"/>
  <c r="L1364" i="7"/>
  <c r="R1364" i="7" s="1"/>
  <c r="L1363" i="7"/>
  <c r="R1363" i="7" s="1"/>
  <c r="L1362" i="7"/>
  <c r="R1362" i="7" s="1"/>
  <c r="L1361" i="7"/>
  <c r="R1361" i="7" s="1"/>
  <c r="L1360" i="7"/>
  <c r="R1360" i="7" s="1"/>
  <c r="L1359" i="7"/>
  <c r="R1359" i="7" s="1"/>
  <c r="L1358" i="7"/>
  <c r="R1358" i="7" s="1"/>
  <c r="L1357" i="7"/>
  <c r="R1357" i="7" s="1"/>
  <c r="L1356" i="7"/>
  <c r="R1356" i="7" s="1"/>
  <c r="L1355" i="7"/>
  <c r="R1355" i="7" s="1"/>
  <c r="L1354" i="7"/>
  <c r="R1354" i="7" s="1"/>
  <c r="P1353" i="7"/>
  <c r="O1353" i="7"/>
  <c r="N1353" i="7"/>
  <c r="M1353" i="7"/>
  <c r="G1353" i="7"/>
  <c r="L1352" i="7"/>
  <c r="R1352" i="7" s="1"/>
  <c r="L1351" i="7"/>
  <c r="R1351" i="7" s="1"/>
  <c r="L1350" i="7"/>
  <c r="R1350" i="7" s="1"/>
  <c r="L1346" i="7"/>
  <c r="R1346" i="7" s="1"/>
  <c r="L1345" i="7"/>
  <c r="R1345" i="7" s="1"/>
  <c r="L1344" i="7"/>
  <c r="R1344" i="7" s="1"/>
  <c r="L1343" i="7"/>
  <c r="R1343" i="7" s="1"/>
  <c r="L1342" i="7"/>
  <c r="R1342" i="7" s="1"/>
  <c r="L1341" i="7"/>
  <c r="R1341" i="7" s="1"/>
  <c r="L1340" i="7"/>
  <c r="R1340" i="7" s="1"/>
  <c r="L1339" i="7"/>
  <c r="R1339" i="7" s="1"/>
  <c r="L1338" i="7"/>
  <c r="R1338" i="7" s="1"/>
  <c r="L1337" i="7"/>
  <c r="R1337" i="7" s="1"/>
  <c r="L1336" i="7"/>
  <c r="R1336" i="7" s="1"/>
  <c r="L1335" i="7"/>
  <c r="R1335" i="7" s="1"/>
  <c r="L1334" i="7"/>
  <c r="R1334" i="7" s="1"/>
  <c r="L1333" i="7"/>
  <c r="R1333" i="7" s="1"/>
  <c r="L1332" i="7"/>
  <c r="R1332" i="7" s="1"/>
  <c r="L1331" i="7"/>
  <c r="R1331" i="7" s="1"/>
  <c r="L1330" i="7"/>
  <c r="R1330" i="7" s="1"/>
  <c r="L1329" i="7"/>
  <c r="R1329" i="7" s="1"/>
  <c r="L1328" i="7"/>
  <c r="R1328" i="7" s="1"/>
  <c r="L1327" i="7"/>
  <c r="R1327" i="7" s="1"/>
  <c r="L1326" i="7"/>
  <c r="R1326" i="7" s="1"/>
  <c r="L1325" i="7"/>
  <c r="R1325" i="7" s="1"/>
  <c r="L1324" i="7"/>
  <c r="R1324" i="7" s="1"/>
  <c r="L1323" i="7"/>
  <c r="R1323" i="7" s="1"/>
  <c r="L1322" i="7"/>
  <c r="R1322" i="7" s="1"/>
  <c r="L1321" i="7"/>
  <c r="R1321" i="7" s="1"/>
  <c r="L1320" i="7"/>
  <c r="R1320" i="7" s="1"/>
  <c r="L1319" i="7"/>
  <c r="R1319" i="7" s="1"/>
  <c r="L1318" i="7"/>
  <c r="R1318" i="7" s="1"/>
  <c r="L1317" i="7"/>
  <c r="R1317" i="7" s="1"/>
  <c r="P1316" i="7"/>
  <c r="O1316" i="7"/>
  <c r="N1316" i="7"/>
  <c r="M1316" i="7"/>
  <c r="G1316" i="7"/>
  <c r="L1241" i="7"/>
  <c r="R1241" i="7" s="1"/>
  <c r="L1240" i="7"/>
  <c r="R1240" i="7" s="1"/>
  <c r="L1239" i="7"/>
  <c r="R1239" i="7" s="1"/>
  <c r="P1238" i="7"/>
  <c r="O1238" i="7"/>
  <c r="N1238" i="7"/>
  <c r="M1238" i="7"/>
  <c r="G1238" i="7"/>
  <c r="L1236" i="7"/>
  <c r="R1236" i="7" s="1"/>
  <c r="L1235" i="7"/>
  <c r="R1235" i="7" s="1"/>
  <c r="R1234" i="7"/>
  <c r="L1233" i="7"/>
  <c r="R1233" i="7" s="1"/>
  <c r="Q1232" i="7"/>
  <c r="L1230" i="7"/>
  <c r="R1230" i="7" s="1"/>
  <c r="L1229" i="7"/>
  <c r="R1229" i="7" s="1"/>
  <c r="L1228" i="7"/>
  <c r="R1228" i="7" s="1"/>
  <c r="L1225" i="7"/>
  <c r="R1225" i="7" s="1"/>
  <c r="L1224" i="7"/>
  <c r="R1224" i="7" s="1"/>
  <c r="L1222" i="7"/>
  <c r="R1222" i="7" s="1"/>
  <c r="L1221" i="7"/>
  <c r="R1221" i="7" s="1"/>
  <c r="L876" i="7"/>
  <c r="R876" i="7" s="1"/>
  <c r="L875" i="7"/>
  <c r="R875" i="7" s="1"/>
  <c r="P874" i="7"/>
  <c r="O874" i="7"/>
  <c r="N874" i="7"/>
  <c r="M874" i="7"/>
  <c r="L873" i="7"/>
  <c r="R873" i="7" s="1"/>
  <c r="L872" i="7"/>
  <c r="R872" i="7" s="1"/>
  <c r="L871" i="7"/>
  <c r="R871" i="7" s="1"/>
  <c r="L870" i="7"/>
  <c r="R870" i="7" s="1"/>
  <c r="L869" i="7"/>
  <c r="R869" i="7" s="1"/>
  <c r="P868" i="7"/>
  <c r="O868" i="7"/>
  <c r="N868" i="7"/>
  <c r="M868" i="7"/>
  <c r="L867" i="7"/>
  <c r="R867" i="7" s="1"/>
  <c r="L866" i="7"/>
  <c r="R866" i="7" s="1"/>
  <c r="L865" i="7"/>
  <c r="R865" i="7" s="1"/>
  <c r="L864" i="7"/>
  <c r="R864" i="7" s="1"/>
  <c r="L863" i="7"/>
  <c r="R863" i="7" s="1"/>
  <c r="P862" i="7"/>
  <c r="O862" i="7"/>
  <c r="N862" i="7"/>
  <c r="M862" i="7"/>
  <c r="L861" i="7"/>
  <c r="R861" i="7" s="1"/>
  <c r="L860" i="7"/>
  <c r="R860" i="7" s="1"/>
  <c r="L859" i="7"/>
  <c r="R859" i="7" s="1"/>
  <c r="L858" i="7"/>
  <c r="R858" i="7" s="1"/>
  <c r="L857" i="7"/>
  <c r="R857" i="7" s="1"/>
  <c r="L856" i="7"/>
  <c r="R856" i="7" s="1"/>
  <c r="L855" i="7"/>
  <c r="R855" i="7" s="1"/>
  <c r="L854" i="7"/>
  <c r="R854" i="7" s="1"/>
  <c r="L853" i="7"/>
  <c r="R853" i="7" s="1"/>
  <c r="P852" i="7"/>
  <c r="O852" i="7"/>
  <c r="N852" i="7"/>
  <c r="M852" i="7"/>
  <c r="L850" i="7"/>
  <c r="R850" i="7" s="1"/>
  <c r="P848" i="7"/>
  <c r="O848" i="7"/>
  <c r="N848" i="7"/>
  <c r="M848" i="7"/>
  <c r="L845" i="7"/>
  <c r="R845" i="7" s="1"/>
  <c r="L841" i="7"/>
  <c r="R841" i="7" s="1"/>
  <c r="L620" i="7"/>
  <c r="R620" i="7" s="1"/>
  <c r="L608" i="7"/>
  <c r="R608" i="7" s="1"/>
  <c r="L607" i="7"/>
  <c r="R607" i="7" s="1"/>
  <c r="L606" i="7"/>
  <c r="R606" i="7" s="1"/>
  <c r="L605" i="7"/>
  <c r="R605" i="7" s="1"/>
  <c r="L604" i="7"/>
  <c r="R604" i="7" s="1"/>
  <c r="L586" i="7"/>
  <c r="R586" i="7" s="1"/>
  <c r="L573" i="7"/>
  <c r="R573" i="7" s="1"/>
  <c r="P568" i="7"/>
  <c r="O568" i="7"/>
  <c r="N568" i="7"/>
  <c r="M568" i="7"/>
  <c r="L1196" i="7"/>
  <c r="L530" i="7"/>
  <c r="R530" i="7" s="1"/>
  <c r="L520" i="7"/>
  <c r="R520" i="7" s="1"/>
  <c r="L512" i="7"/>
  <c r="R512" i="7" s="1"/>
  <c r="L494" i="7"/>
  <c r="R494" i="7" s="1"/>
  <c r="L491" i="7"/>
  <c r="R491" i="7" s="1"/>
  <c r="L490" i="7"/>
  <c r="R490" i="7" s="1"/>
  <c r="L489" i="7"/>
  <c r="R489" i="7" s="1"/>
  <c r="L488" i="7"/>
  <c r="R488" i="7" s="1"/>
  <c r="L487" i="7"/>
  <c r="R487" i="7" s="1"/>
  <c r="L486" i="7"/>
  <c r="R486" i="7" s="1"/>
  <c r="P485" i="7"/>
  <c r="K484" i="7" s="1"/>
  <c r="K6" i="7" s="1"/>
  <c r="O485" i="7"/>
  <c r="N485" i="7"/>
  <c r="I484" i="7" s="1"/>
  <c r="M485" i="7"/>
  <c r="H484" i="7" s="1"/>
  <c r="H6" i="7" s="1"/>
  <c r="G485" i="7"/>
  <c r="L477" i="7"/>
  <c r="R477" i="7" s="1"/>
  <c r="L468" i="7"/>
  <c r="R468" i="7" s="1"/>
  <c r="P467" i="7"/>
  <c r="O467" i="7"/>
  <c r="N467" i="7"/>
  <c r="M467" i="7"/>
  <c r="L451" i="7"/>
  <c r="R451" i="7" s="1"/>
  <c r="L442" i="7"/>
  <c r="R442" i="7" s="1"/>
  <c r="P441" i="7"/>
  <c r="O441" i="7"/>
  <c r="N441" i="7"/>
  <c r="M441" i="7"/>
  <c r="L425" i="7"/>
  <c r="R425" i="7" s="1"/>
  <c r="L416" i="7"/>
  <c r="R416" i="7" s="1"/>
  <c r="L407" i="7"/>
  <c r="R407" i="7" s="1"/>
  <c r="L405" i="7"/>
  <c r="R405" i="7" s="1"/>
  <c r="L404" i="7"/>
  <c r="R404" i="7" s="1"/>
  <c r="P403" i="7"/>
  <c r="O403" i="7"/>
  <c r="N403" i="7"/>
  <c r="M403" i="7"/>
  <c r="L401" i="7"/>
  <c r="R401" i="7" s="1"/>
  <c r="P400" i="7"/>
  <c r="O400" i="7"/>
  <c r="N400" i="7"/>
  <c r="M400" i="7"/>
  <c r="G400" i="7"/>
  <c r="L399" i="7"/>
  <c r="R399" i="7" s="1"/>
  <c r="L398" i="7"/>
  <c r="R398" i="7" s="1"/>
  <c r="P397" i="7"/>
  <c r="O397" i="7"/>
  <c r="N397" i="7"/>
  <c r="M397" i="7"/>
  <c r="G397" i="7"/>
  <c r="L378" i="7"/>
  <c r="R378" i="7" s="1"/>
  <c r="P374" i="7"/>
  <c r="O374" i="7"/>
  <c r="N374" i="7"/>
  <c r="M374" i="7"/>
  <c r="G374" i="7"/>
  <c r="L368" i="7"/>
  <c r="R368" i="7" s="1"/>
  <c r="P367" i="7"/>
  <c r="O367" i="7"/>
  <c r="N367" i="7"/>
  <c r="M367" i="7"/>
  <c r="G367" i="7"/>
  <c r="L356" i="7"/>
  <c r="R356" i="7" s="1"/>
  <c r="L346" i="7"/>
  <c r="R346" i="7" s="1"/>
  <c r="L335" i="7"/>
  <c r="R335" i="7" s="1"/>
  <c r="L320" i="7"/>
  <c r="R320" i="7" s="1"/>
  <c r="L319" i="7"/>
  <c r="R319" i="7" s="1"/>
  <c r="L231" i="7"/>
  <c r="R231" i="7" s="1"/>
  <c r="L217" i="7"/>
  <c r="R217" i="7" s="1"/>
  <c r="L208" i="7"/>
  <c r="R208" i="7" s="1"/>
  <c r="L206" i="7"/>
  <c r="R206" i="7" s="1"/>
  <c r="L205" i="7"/>
  <c r="R205" i="7" s="1"/>
  <c r="L204" i="7"/>
  <c r="R204" i="7" s="1"/>
  <c r="L203" i="7"/>
  <c r="R203" i="7" s="1"/>
  <c r="L202" i="7"/>
  <c r="R202" i="7" s="1"/>
  <c r="L201" i="7"/>
  <c r="R201" i="7" s="1"/>
  <c r="L200" i="7"/>
  <c r="R200" i="7" s="1"/>
  <c r="L199" i="7"/>
  <c r="R199" i="7" s="1"/>
  <c r="L191" i="7"/>
  <c r="R191" i="7" s="1"/>
  <c r="L190" i="7"/>
  <c r="R190" i="7" s="1"/>
  <c r="L189" i="7"/>
  <c r="R189" i="7" s="1"/>
  <c r="L188" i="7"/>
  <c r="R188" i="7" s="1"/>
  <c r="L185" i="7"/>
  <c r="R185" i="7" s="1"/>
  <c r="L184" i="7"/>
  <c r="R184" i="7" s="1"/>
  <c r="M183" i="7"/>
  <c r="G183" i="7"/>
  <c r="L181" i="7"/>
  <c r="R181" i="7" s="1"/>
  <c r="L180" i="7"/>
  <c r="R180" i="7" s="1"/>
  <c r="L179" i="7"/>
  <c r="R179" i="7" s="1"/>
  <c r="L178" i="7"/>
  <c r="R178" i="7" s="1"/>
  <c r="L177" i="7"/>
  <c r="R177" i="7" s="1"/>
  <c r="M176" i="7"/>
  <c r="G176" i="7"/>
  <c r="M174" i="7"/>
  <c r="G174" i="7"/>
  <c r="L172" i="7"/>
  <c r="R172" i="7" s="1"/>
  <c r="L171" i="7"/>
  <c r="R171" i="7" s="1"/>
  <c r="L170" i="7"/>
  <c r="R170" i="7" s="1"/>
  <c r="L169" i="7"/>
  <c r="R169" i="7" s="1"/>
  <c r="L168" i="7"/>
  <c r="R168" i="7" s="1"/>
  <c r="L167" i="7"/>
  <c r="R167" i="7" s="1"/>
  <c r="L166" i="7"/>
  <c r="R166" i="7" s="1"/>
  <c r="L164" i="7"/>
  <c r="R164" i="7" s="1"/>
  <c r="L162" i="7"/>
  <c r="R162" i="7" s="1"/>
  <c r="L161" i="7"/>
  <c r="R161" i="7" s="1"/>
  <c r="L160" i="7"/>
  <c r="R160" i="7" s="1"/>
  <c r="L159" i="7"/>
  <c r="R159" i="7" s="1"/>
  <c r="L157" i="7"/>
  <c r="R157" i="7" s="1"/>
  <c r="L156" i="7"/>
  <c r="R156" i="7" s="1"/>
  <c r="L155" i="7"/>
  <c r="R155" i="7" s="1"/>
  <c r="L154" i="7"/>
  <c r="R154" i="7" s="1"/>
  <c r="L153" i="7"/>
  <c r="R153" i="7" s="1"/>
  <c r="L152" i="7"/>
  <c r="R152" i="7" s="1"/>
  <c r="L151" i="7"/>
  <c r="R151" i="7" s="1"/>
  <c r="L147" i="7"/>
  <c r="R147" i="7" s="1"/>
  <c r="L146" i="7"/>
  <c r="R146" i="7" s="1"/>
  <c r="L145" i="7"/>
  <c r="R145" i="7" s="1"/>
  <c r="L144" i="7"/>
  <c r="R144" i="7" s="1"/>
  <c r="L143" i="7"/>
  <c r="R143" i="7" s="1"/>
  <c r="L142" i="7"/>
  <c r="R142" i="7" s="1"/>
  <c r="L141" i="7"/>
  <c r="R141" i="7" s="1"/>
  <c r="M115" i="7"/>
  <c r="G140" i="7"/>
  <c r="G115" i="7" s="1"/>
  <c r="L139" i="7"/>
  <c r="R139" i="7" s="1"/>
  <c r="L138" i="7"/>
  <c r="R138" i="7" s="1"/>
  <c r="L137" i="7"/>
  <c r="R137" i="7" s="1"/>
  <c r="L136" i="7"/>
  <c r="R136" i="7" s="1"/>
  <c r="L135" i="7"/>
  <c r="R135" i="7" s="1"/>
  <c r="L134" i="7"/>
  <c r="R134" i="7" s="1"/>
  <c r="L133" i="7"/>
  <c r="R133" i="7" s="1"/>
  <c r="L132" i="7"/>
  <c r="R132" i="7" s="1"/>
  <c r="L131" i="7"/>
  <c r="R131" i="7" s="1"/>
  <c r="L130" i="7"/>
  <c r="R130" i="7" s="1"/>
  <c r="L129" i="7"/>
  <c r="R129" i="7" s="1"/>
  <c r="L128" i="7"/>
  <c r="R128" i="7" s="1"/>
  <c r="L127" i="7"/>
  <c r="R127" i="7" s="1"/>
  <c r="L126" i="7"/>
  <c r="R126" i="7" s="1"/>
  <c r="L125" i="7"/>
  <c r="R125" i="7" s="1"/>
  <c r="L124" i="7"/>
  <c r="R124" i="7" s="1"/>
  <c r="L123" i="7"/>
  <c r="R123" i="7" s="1"/>
  <c r="L122" i="7"/>
  <c r="R122" i="7" s="1"/>
  <c r="L121" i="7"/>
  <c r="R121" i="7" s="1"/>
  <c r="L120" i="7"/>
  <c r="R120" i="7" s="1"/>
  <c r="L119" i="7"/>
  <c r="R119" i="7" s="1"/>
  <c r="L118" i="7"/>
  <c r="R118" i="7" s="1"/>
  <c r="L117" i="7"/>
  <c r="R117" i="7" s="1"/>
  <c r="L114" i="7"/>
  <c r="R114" i="7" s="1"/>
  <c r="M113" i="7"/>
  <c r="G113" i="7"/>
  <c r="L112" i="7"/>
  <c r="R112" i="7" s="1"/>
  <c r="G109" i="7"/>
  <c r="L108" i="7"/>
  <c r="R108" i="7" s="1"/>
  <c r="L107" i="7"/>
  <c r="R107" i="7" s="1"/>
  <c r="L106" i="7"/>
  <c r="R106" i="7" s="1"/>
  <c r="M105" i="7"/>
  <c r="G105" i="7"/>
  <c r="L104" i="7"/>
  <c r="R104" i="7" s="1"/>
  <c r="L103" i="7"/>
  <c r="R103" i="7" s="1"/>
  <c r="L102" i="7"/>
  <c r="R102" i="7" s="1"/>
  <c r="L101" i="7"/>
  <c r="R101" i="7" s="1"/>
  <c r="L99" i="7"/>
  <c r="R99" i="7" s="1"/>
  <c r="L98" i="7"/>
  <c r="R98" i="7" s="1"/>
  <c r="L97" i="7"/>
  <c r="R97" i="7" s="1"/>
  <c r="M96" i="7"/>
  <c r="G96" i="7"/>
  <c r="L92" i="7"/>
  <c r="R92" i="7" s="1"/>
  <c r="L91" i="7"/>
  <c r="R91" i="7" s="1"/>
  <c r="M90" i="7"/>
  <c r="G90" i="7"/>
  <c r="L89" i="7"/>
  <c r="R89" i="7" s="1"/>
  <c r="M83" i="7"/>
  <c r="G83" i="7"/>
  <c r="L80" i="7"/>
  <c r="R80" i="7" s="1"/>
  <c r="M79" i="7"/>
  <c r="G79" i="7"/>
  <c r="L63" i="7"/>
  <c r="R63" i="7" s="1"/>
  <c r="M61" i="7"/>
  <c r="G61" i="7"/>
  <c r="L54" i="7"/>
  <c r="R54" i="7" s="1"/>
  <c r="L46" i="7"/>
  <c r="R46" i="7" s="1"/>
  <c r="L37" i="7"/>
  <c r="R37" i="7" s="1"/>
  <c r="L19" i="7"/>
  <c r="M18" i="7"/>
  <c r="G18" i="7"/>
  <c r="L17" i="7"/>
  <c r="R17" i="7" s="1"/>
  <c r="L16" i="7"/>
  <c r="R16" i="7" s="1"/>
  <c r="L15" i="7"/>
  <c r="R15" i="7" s="1"/>
  <c r="M14" i="7"/>
  <c r="G14" i="7"/>
  <c r="L13" i="7"/>
  <c r="R13" i="7" s="1"/>
  <c r="L12" i="7"/>
  <c r="R12" i="7" s="1"/>
  <c r="L11" i="7"/>
  <c r="R11" i="7" s="1"/>
  <c r="L10" i="7"/>
  <c r="R10" i="7" s="1"/>
  <c r="M9" i="7"/>
  <c r="G9" i="7"/>
  <c r="L1636" i="7"/>
  <c r="R1636" i="7" s="1"/>
  <c r="L1635" i="7"/>
  <c r="R1635" i="7" s="1"/>
  <c r="L1634" i="7"/>
  <c r="R1634" i="7" s="1"/>
  <c r="L1633" i="7"/>
  <c r="R1633" i="7" s="1"/>
  <c r="L1632" i="7"/>
  <c r="R1632" i="7" s="1"/>
  <c r="P1631" i="7"/>
  <c r="O1631" i="7"/>
  <c r="N1631" i="7"/>
  <c r="M1631" i="7"/>
  <c r="L1630" i="7"/>
  <c r="R1630" i="7" s="1"/>
  <c r="L1629" i="7"/>
  <c r="R1629" i="7" s="1"/>
  <c r="L1628" i="7"/>
  <c r="R1628" i="7" s="1"/>
  <c r="L1627" i="7"/>
  <c r="R1627" i="7" s="1"/>
  <c r="L1626" i="7"/>
  <c r="R1626" i="7" s="1"/>
  <c r="L1625" i="7"/>
  <c r="R1625" i="7" s="1"/>
  <c r="L1624" i="7"/>
  <c r="R1624" i="7" s="1"/>
  <c r="P1623" i="7"/>
  <c r="O1623" i="7"/>
  <c r="N1623" i="7"/>
  <c r="M1623" i="7"/>
  <c r="L1622" i="7"/>
  <c r="R1622" i="7" s="1"/>
  <c r="L1621" i="7"/>
  <c r="R1621" i="7" s="1"/>
  <c r="L1620" i="7"/>
  <c r="R1620" i="7" s="1"/>
  <c r="L1619" i="7"/>
  <c r="R1619" i="7" s="1"/>
  <c r="L1618" i="7"/>
  <c r="R1618" i="7" s="1"/>
  <c r="P1617" i="7"/>
  <c r="O1617" i="7"/>
  <c r="N1617" i="7"/>
  <c r="M1617" i="7"/>
  <c r="L1616" i="7"/>
  <c r="R1616" i="7" s="1"/>
  <c r="L1615" i="7"/>
  <c r="R1615" i="7" s="1"/>
  <c r="L1614" i="7"/>
  <c r="R1614" i="7" s="1"/>
  <c r="L1613" i="7"/>
  <c r="R1613" i="7" s="1"/>
  <c r="L1612" i="7"/>
  <c r="R1612" i="7" s="1"/>
  <c r="L1611" i="7"/>
  <c r="R1611" i="7" s="1"/>
  <c r="L1610" i="7"/>
  <c r="R1610" i="7" s="1"/>
  <c r="L1609" i="7"/>
  <c r="R1609" i="7" s="1"/>
  <c r="P1608" i="7"/>
  <c r="O1608" i="7"/>
  <c r="N1608" i="7"/>
  <c r="M1608" i="7"/>
  <c r="G1607" i="7"/>
  <c r="L1606" i="7"/>
  <c r="R1606" i="7" s="1"/>
  <c r="L1605" i="7"/>
  <c r="R1605" i="7" s="1"/>
  <c r="L1604" i="7"/>
  <c r="R1604" i="7" s="1"/>
  <c r="M1603" i="7"/>
  <c r="P1602" i="7"/>
  <c r="O1602" i="7"/>
  <c r="N1602" i="7"/>
  <c r="G1602" i="7"/>
  <c r="L1601" i="7"/>
  <c r="R1601" i="7" s="1"/>
  <c r="L1600" i="7"/>
  <c r="R1600" i="7" s="1"/>
  <c r="L1599" i="7"/>
  <c r="R1599" i="7" s="1"/>
  <c r="L1598" i="7"/>
  <c r="R1598" i="7" s="1"/>
  <c r="L1597" i="7"/>
  <c r="R1597" i="7" s="1"/>
  <c r="L1596" i="7"/>
  <c r="R1596" i="7" s="1"/>
  <c r="G1595" i="7"/>
  <c r="L1594" i="7"/>
  <c r="R1594" i="7" s="1"/>
  <c r="L1593" i="7"/>
  <c r="R1593" i="7" s="1"/>
  <c r="L1592" i="7"/>
  <c r="R1592" i="7" s="1"/>
  <c r="L1591" i="7"/>
  <c r="R1591" i="7" s="1"/>
  <c r="P1590" i="7"/>
  <c r="O1590" i="7"/>
  <c r="N1590" i="7"/>
  <c r="M1590" i="7"/>
  <c r="G1590" i="7"/>
  <c r="L1589" i="7"/>
  <c r="R1589" i="7" s="1"/>
  <c r="L1588" i="7"/>
  <c r="R1588" i="7" s="1"/>
  <c r="L1587" i="7"/>
  <c r="R1587" i="7" s="1"/>
  <c r="L1586" i="7"/>
  <c r="R1586" i="7" s="1"/>
  <c r="L1585" i="7"/>
  <c r="R1585" i="7" s="1"/>
  <c r="L1584" i="7"/>
  <c r="R1584" i="7" s="1"/>
  <c r="L1583" i="7"/>
  <c r="R1583" i="7" s="1"/>
  <c r="P1582" i="7"/>
  <c r="O1582" i="7"/>
  <c r="N1582" i="7"/>
  <c r="M1582" i="7"/>
  <c r="G1582" i="7"/>
  <c r="L1271" i="7"/>
  <c r="R1271" i="7" s="1"/>
  <c r="L1270" i="7"/>
  <c r="R1270" i="7" s="1"/>
  <c r="L1269" i="7"/>
  <c r="R1269" i="7" s="1"/>
  <c r="L1268" i="7"/>
  <c r="R1268" i="7" s="1"/>
  <c r="L1267" i="7"/>
  <c r="R1267" i="7" s="1"/>
  <c r="P1266" i="7"/>
  <c r="O1266" i="7"/>
  <c r="N1266" i="7"/>
  <c r="M1266" i="7"/>
  <c r="L1265" i="7"/>
  <c r="R1265" i="7" s="1"/>
  <c r="L1264" i="7"/>
  <c r="R1264" i="7" s="1"/>
  <c r="L1263" i="7"/>
  <c r="R1263" i="7" s="1"/>
  <c r="L1262" i="7"/>
  <c r="R1262" i="7" s="1"/>
  <c r="L1261" i="7"/>
  <c r="R1261" i="7" s="1"/>
  <c r="L1260" i="7"/>
  <c r="R1260" i="7" s="1"/>
  <c r="L1259" i="7"/>
  <c r="R1259" i="7" s="1"/>
  <c r="P1258" i="7"/>
  <c r="O1258" i="7"/>
  <c r="N1258" i="7"/>
  <c r="M1258" i="7"/>
  <c r="L1257" i="7"/>
  <c r="R1257" i="7" s="1"/>
  <c r="L1256" i="7"/>
  <c r="R1256" i="7" s="1"/>
  <c r="L1255" i="7"/>
  <c r="R1255" i="7" s="1"/>
  <c r="L1254" i="7"/>
  <c r="R1254" i="7" s="1"/>
  <c r="L1253" i="7"/>
  <c r="R1253" i="7" s="1"/>
  <c r="P1252" i="7"/>
  <c r="O1252" i="7"/>
  <c r="N1252" i="7"/>
  <c r="M1252" i="7"/>
  <c r="L1251" i="7"/>
  <c r="R1251" i="7" s="1"/>
  <c r="L1250" i="7"/>
  <c r="R1250" i="7" s="1"/>
  <c r="L1249" i="7"/>
  <c r="R1249" i="7" s="1"/>
  <c r="L1248" i="7"/>
  <c r="R1248" i="7" s="1"/>
  <c r="L1247" i="7"/>
  <c r="R1247" i="7" s="1"/>
  <c r="L1246" i="7"/>
  <c r="R1246" i="7" s="1"/>
  <c r="L1299" i="7"/>
  <c r="R1299" i="7" s="1"/>
  <c r="L84" i="7"/>
  <c r="R84" i="7" s="1"/>
  <c r="L85" i="7"/>
  <c r="L86" i="7"/>
  <c r="L87" i="7"/>
  <c r="L88" i="7"/>
  <c r="R88" i="7" s="1"/>
  <c r="L81" i="7"/>
  <c r="L82" i="7"/>
  <c r="L72" i="7"/>
  <c r="L73" i="7"/>
  <c r="L74" i="7"/>
  <c r="L75" i="7"/>
  <c r="L76" i="7"/>
  <c r="L77" i="7"/>
  <c r="L64" i="7"/>
  <c r="L65" i="7"/>
  <c r="L66" i="7"/>
  <c r="L67" i="7"/>
  <c r="L68" i="7"/>
  <c r="L69" i="7"/>
  <c r="L70" i="7"/>
  <c r="L62" i="7"/>
  <c r="L42" i="7"/>
  <c r="L43" i="7"/>
  <c r="L44" i="7"/>
  <c r="L45" i="7"/>
  <c r="L47" i="7"/>
  <c r="L48" i="7"/>
  <c r="R48" i="7" s="1"/>
  <c r="L49" i="7"/>
  <c r="L50" i="7"/>
  <c r="L51" i="7"/>
  <c r="L52" i="7"/>
  <c r="L53" i="7"/>
  <c r="L55" i="7"/>
  <c r="L56" i="7"/>
  <c r="L57" i="7"/>
  <c r="L58" i="7"/>
  <c r="L59" i="7"/>
  <c r="L60" i="7"/>
  <c r="L23" i="7"/>
  <c r="L24" i="7"/>
  <c r="L25" i="7"/>
  <c r="L26" i="7"/>
  <c r="L27" i="7"/>
  <c r="L28" i="7"/>
  <c r="L29" i="7"/>
  <c r="L33" i="7"/>
  <c r="L34" i="7"/>
  <c r="L35" i="7"/>
  <c r="L36" i="7"/>
  <c r="L38" i="7"/>
  <c r="R38" i="7" s="1"/>
  <c r="L39" i="7"/>
  <c r="L40" i="7"/>
  <c r="L22" i="7"/>
  <c r="L630" i="7"/>
  <c r="L631" i="7"/>
  <c r="L632" i="7"/>
  <c r="L633" i="7"/>
  <c r="L569" i="7"/>
  <c r="R569" i="7" s="1"/>
  <c r="L570" i="7"/>
  <c r="R570" i="7" s="1"/>
  <c r="L571" i="7"/>
  <c r="L572" i="7"/>
  <c r="R572" i="7" s="1"/>
  <c r="R578" i="7"/>
  <c r="L493" i="7"/>
  <c r="L495" i="7"/>
  <c r="L496" i="7"/>
  <c r="L498" i="7"/>
  <c r="L499" i="7"/>
  <c r="L500" i="7"/>
  <c r="L501" i="7"/>
  <c r="L502" i="7"/>
  <c r="L503" i="7"/>
  <c r="L505" i="7"/>
  <c r="L506" i="7"/>
  <c r="L507" i="7"/>
  <c r="L510" i="7"/>
  <c r="L511" i="7"/>
  <c r="L513" i="7"/>
  <c r="L515" i="7"/>
  <c r="L516" i="7"/>
  <c r="L517" i="7"/>
  <c r="L519" i="7"/>
  <c r="L521" i="7"/>
  <c r="L522" i="7"/>
  <c r="L523" i="7"/>
  <c r="L525" i="7"/>
  <c r="L526" i="7"/>
  <c r="L527" i="7"/>
  <c r="L1195" i="7"/>
  <c r="L1197" i="7"/>
  <c r="L583" i="7"/>
  <c r="L584" i="7"/>
  <c r="L585" i="7"/>
  <c r="L588" i="7"/>
  <c r="L589" i="7"/>
  <c r="L590" i="7"/>
  <c r="L617" i="7"/>
  <c r="L618" i="7"/>
  <c r="L619" i="7"/>
  <c r="L621" i="7"/>
  <c r="L622" i="7"/>
  <c r="L318" i="7"/>
  <c r="L321" i="7"/>
  <c r="L322" i="7"/>
  <c r="L324" i="7"/>
  <c r="L325" i="7"/>
  <c r="R325" i="7" s="1"/>
  <c r="L326" i="7"/>
  <c r="L327" i="7"/>
  <c r="L328" i="7"/>
  <c r="L329" i="7"/>
  <c r="L330" i="7"/>
  <c r="R330" i="7" s="1"/>
  <c r="L331" i="7"/>
  <c r="R331" i="7" s="1"/>
  <c r="L332" i="7"/>
  <c r="R332" i="7" s="1"/>
  <c r="L333" i="7"/>
  <c r="R333" i="7" s="1"/>
  <c r="L334" i="7"/>
  <c r="L336" i="7"/>
  <c r="R336" i="7" s="1"/>
  <c r="L337" i="7"/>
  <c r="R337" i="7" s="1"/>
  <c r="L338" i="7"/>
  <c r="L339" i="7"/>
  <c r="L340" i="7"/>
  <c r="L341" i="7"/>
  <c r="R341" i="7" s="1"/>
  <c r="L342" i="7"/>
  <c r="R342" i="7" s="1"/>
  <c r="L344" i="7"/>
  <c r="L345" i="7"/>
  <c r="L347" i="7"/>
  <c r="R347" i="7" s="1"/>
  <c r="L348" i="7"/>
  <c r="R348" i="7" s="1"/>
  <c r="L349" i="7"/>
  <c r="R349" i="7" s="1"/>
  <c r="L350" i="7"/>
  <c r="L351" i="7"/>
  <c r="L352" i="7"/>
  <c r="L353" i="7"/>
  <c r="L354" i="7"/>
  <c r="R354" i="7" s="1"/>
  <c r="L355" i="7"/>
  <c r="L357" i="7"/>
  <c r="R357" i="7" s="1"/>
  <c r="L358" i="7"/>
  <c r="R358" i="7" s="1"/>
  <c r="L359" i="7"/>
  <c r="R359" i="7" s="1"/>
  <c r="L361" i="7"/>
  <c r="R361" i="7" s="1"/>
  <c r="L362" i="7"/>
  <c r="R362" i="7" s="1"/>
  <c r="L363" i="7"/>
  <c r="R363" i="7" s="1"/>
  <c r="L364" i="7"/>
  <c r="R364" i="7" s="1"/>
  <c r="L365" i="7"/>
  <c r="R365" i="7" s="1"/>
  <c r="L366" i="7"/>
  <c r="L369" i="7"/>
  <c r="R369" i="7" s="1"/>
  <c r="L370" i="7"/>
  <c r="R370" i="7" s="1"/>
  <c r="L371" i="7"/>
  <c r="R371" i="7" s="1"/>
  <c r="L372" i="7"/>
  <c r="L375" i="7"/>
  <c r="L376" i="7"/>
  <c r="L377" i="7"/>
  <c r="L379" i="7"/>
  <c r="L380" i="7"/>
  <c r="L381" i="7"/>
  <c r="L382" i="7"/>
  <c r="L383" i="7"/>
  <c r="L384" i="7"/>
  <c r="L385" i="7"/>
  <c r="L386" i="7"/>
  <c r="L387" i="7"/>
  <c r="L390" i="7"/>
  <c r="L391" i="7"/>
  <c r="L392" i="7"/>
  <c r="L393" i="7"/>
  <c r="L394" i="7"/>
  <c r="L395" i="7"/>
  <c r="L396" i="7"/>
  <c r="L832" i="7"/>
  <c r="R832" i="7" s="1"/>
  <c r="L833" i="7"/>
  <c r="R833" i="7" s="1"/>
  <c r="L834" i="7"/>
  <c r="R834" i="7" s="1"/>
  <c r="L835" i="7"/>
  <c r="R835" i="7" s="1"/>
  <c r="L837" i="7"/>
  <c r="R837" i="7" s="1"/>
  <c r="L838" i="7"/>
  <c r="R838" i="7" s="1"/>
  <c r="L839" i="7"/>
  <c r="R839" i="7" s="1"/>
  <c r="L840" i="7"/>
  <c r="L843" i="7"/>
  <c r="R843" i="7" s="1"/>
  <c r="L844" i="7"/>
  <c r="L846" i="7"/>
  <c r="R846" i="7" s="1"/>
  <c r="L847" i="7"/>
  <c r="R847" i="7" s="1"/>
  <c r="L849" i="7"/>
  <c r="R849" i="7" s="1"/>
  <c r="L406" i="7"/>
  <c r="L408" i="7"/>
  <c r="L409" i="7"/>
  <c r="L410" i="7"/>
  <c r="L411" i="7"/>
  <c r="L413" i="7"/>
  <c r="L414" i="7"/>
  <c r="L415" i="7"/>
  <c r="L417" i="7"/>
  <c r="L419" i="7"/>
  <c r="L420" i="7"/>
  <c r="L421" i="7"/>
  <c r="L422" i="7"/>
  <c r="L423" i="7"/>
  <c r="L424" i="7"/>
  <c r="L427" i="7"/>
  <c r="L428" i="7"/>
  <c r="L429" i="7"/>
  <c r="L430" i="7"/>
  <c r="L431" i="7"/>
  <c r="L435" i="7"/>
  <c r="L436" i="7"/>
  <c r="L437" i="7"/>
  <c r="L438" i="7"/>
  <c r="L439" i="7"/>
  <c r="L440" i="7"/>
  <c r="L443" i="7"/>
  <c r="L444" i="7"/>
  <c r="L445" i="7"/>
  <c r="L447" i="7"/>
  <c r="L448" i="7"/>
  <c r="L449" i="7"/>
  <c r="L450" i="7"/>
  <c r="L452" i="7"/>
  <c r="L454" i="7"/>
  <c r="L455" i="7"/>
  <c r="L456" i="7"/>
  <c r="L457" i="7"/>
  <c r="L460" i="7"/>
  <c r="L461" i="7"/>
  <c r="L462" i="7"/>
  <c r="L463" i="7"/>
  <c r="L464" i="7"/>
  <c r="L465" i="7"/>
  <c r="L466" i="7"/>
  <c r="L469" i="7"/>
  <c r="L470" i="7"/>
  <c r="L471" i="7"/>
  <c r="L473" i="7"/>
  <c r="L474" i="7"/>
  <c r="L475" i="7"/>
  <c r="L476" i="7"/>
  <c r="L478" i="7"/>
  <c r="L480" i="7"/>
  <c r="L482" i="7"/>
  <c r="L483" i="7"/>
  <c r="L194" i="7"/>
  <c r="O575" i="7"/>
  <c r="P575" i="7"/>
  <c r="M71" i="7"/>
  <c r="G71" i="7"/>
  <c r="G1315" i="7" l="1"/>
  <c r="M95" i="7"/>
  <c r="M8" i="7"/>
  <c r="G432" i="7"/>
  <c r="G8" i="7"/>
  <c r="G581" i="7"/>
  <c r="G824" i="7"/>
  <c r="G877" i="7"/>
  <c r="M877" i="7"/>
  <c r="N947" i="7"/>
  <c r="M947" i="7"/>
  <c r="O947" i="7"/>
  <c r="L960" i="7"/>
  <c r="R960" i="7" s="1"/>
  <c r="G182" i="7"/>
  <c r="G1272" i="7"/>
  <c r="G95" i="7"/>
  <c r="K1219" i="7"/>
  <c r="K4" i="7" s="1"/>
  <c r="H581" i="7"/>
  <c r="J484" i="7"/>
  <c r="J6" i="7" s="1"/>
  <c r="I581" i="7"/>
  <c r="L575" i="7"/>
  <c r="L1603" i="7"/>
  <c r="R1603" i="7" s="1"/>
  <c r="R19" i="7"/>
  <c r="M1193" i="7"/>
  <c r="G1294" i="7"/>
  <c r="M1146" i="7"/>
  <c r="G458" i="7"/>
  <c r="G1437" i="7"/>
  <c r="G1459" i="7"/>
  <c r="G538" i="7"/>
  <c r="G1242" i="7"/>
  <c r="G402" i="7"/>
  <c r="L93" i="7"/>
  <c r="R93" i="7" s="1"/>
  <c r="G851" i="7"/>
  <c r="N581" i="7"/>
  <c r="O581" i="7"/>
  <c r="M581" i="7"/>
  <c r="P581" i="7"/>
  <c r="L1595" i="7"/>
  <c r="R1595" i="7" s="1"/>
  <c r="L582" i="7"/>
  <c r="G1487" i="7"/>
  <c r="G1415" i="7"/>
  <c r="G1549" i="7"/>
  <c r="M1171" i="7"/>
  <c r="L1213" i="7"/>
  <c r="R1213" i="7" s="1"/>
  <c r="P1146" i="7"/>
  <c r="O1171" i="7"/>
  <c r="P1171" i="7"/>
  <c r="L1205" i="7"/>
  <c r="R1205" i="7" s="1"/>
  <c r="G1171" i="7"/>
  <c r="N1171" i="7"/>
  <c r="L1179" i="7"/>
  <c r="R1179" i="7" s="1"/>
  <c r="L1188" i="7"/>
  <c r="R1188" i="7" s="1"/>
  <c r="G1146" i="7"/>
  <c r="L1183" i="7"/>
  <c r="R1183" i="7" s="1"/>
  <c r="N1146" i="7"/>
  <c r="L1172" i="7"/>
  <c r="R1172" i="7" s="1"/>
  <c r="O1146" i="7"/>
  <c r="L1166" i="7"/>
  <c r="R1166" i="7" s="1"/>
  <c r="L1147" i="7"/>
  <c r="R1147" i="7" s="1"/>
  <c r="L1161" i="7"/>
  <c r="R1161" i="7" s="1"/>
  <c r="L1199" i="7"/>
  <c r="R1199" i="7" s="1"/>
  <c r="N1193" i="7"/>
  <c r="O1193" i="7"/>
  <c r="P1193" i="7"/>
  <c r="G78" i="7"/>
  <c r="L1252" i="7"/>
  <c r="R1252" i="7" s="1"/>
  <c r="G173" i="7"/>
  <c r="G1219" i="7"/>
  <c r="L174" i="7"/>
  <c r="R174" i="7" s="1"/>
  <c r="P1242" i="7"/>
  <c r="L1481" i="7"/>
  <c r="R1481" i="7" s="1"/>
  <c r="L1120" i="7"/>
  <c r="R1120" i="7" s="1"/>
  <c r="L1471" i="7"/>
  <c r="R1471" i="7" s="1"/>
  <c r="L116" i="7"/>
  <c r="R116" i="7" s="1"/>
  <c r="R1054" i="7"/>
  <c r="L1432" i="7"/>
  <c r="R1432" i="7" s="1"/>
  <c r="L1258" i="7"/>
  <c r="R1258" i="7" s="1"/>
  <c r="L1404" i="7"/>
  <c r="R1404" i="7" s="1"/>
  <c r="L964" i="7"/>
  <c r="R964" i="7" s="1"/>
  <c r="L105" i="7"/>
  <c r="R105" i="7" s="1"/>
  <c r="N182" i="7"/>
  <c r="L163" i="7"/>
  <c r="R163" i="7" s="1"/>
  <c r="P1459" i="7"/>
  <c r="L972" i="7"/>
  <c r="R972" i="7" s="1"/>
  <c r="L868" i="7"/>
  <c r="R868" i="7" s="1"/>
  <c r="L1623" i="7"/>
  <c r="R1623" i="7" s="1"/>
  <c r="N173" i="7"/>
  <c r="P182" i="7"/>
  <c r="L1304" i="7"/>
  <c r="R1304" i="7" s="1"/>
  <c r="L916" i="7"/>
  <c r="R916" i="7" s="1"/>
  <c r="L874" i="7"/>
  <c r="R874" i="7" s="1"/>
  <c r="L1617" i="7"/>
  <c r="R1617" i="7" s="1"/>
  <c r="L1238" i="7"/>
  <c r="R1238" i="7" s="1"/>
  <c r="L1557" i="7"/>
  <c r="R1557" i="7" s="1"/>
  <c r="L1532" i="7"/>
  <c r="R1532" i="7" s="1"/>
  <c r="L1003" i="7"/>
  <c r="R1003" i="7" s="1"/>
  <c r="L1427" i="7"/>
  <c r="R1427" i="7" s="1"/>
  <c r="L90" i="7"/>
  <c r="R90" i="7" s="1"/>
  <c r="P1036" i="7"/>
  <c r="L1284" i="7"/>
  <c r="R1284" i="7" s="1"/>
  <c r="L1565" i="7"/>
  <c r="R1565" i="7" s="1"/>
  <c r="N78" i="7"/>
  <c r="M182" i="7"/>
  <c r="G991" i="7"/>
  <c r="O1487" i="7"/>
  <c r="L1570" i="7"/>
  <c r="R1570" i="7" s="1"/>
  <c r="L862" i="7"/>
  <c r="R862" i="7" s="1"/>
  <c r="R932" i="7"/>
  <c r="L1508" i="7"/>
  <c r="R1508" i="7" s="1"/>
  <c r="M538" i="7"/>
  <c r="L1533" i="7"/>
  <c r="R1533" i="7" s="1"/>
  <c r="M1602" i="7"/>
  <c r="L1602" i="7" s="1"/>
  <c r="R1602" i="7" s="1"/>
  <c r="P78" i="7"/>
  <c r="L186" i="7"/>
  <c r="R186" i="7" s="1"/>
  <c r="L1227" i="7"/>
  <c r="R1227" i="7" s="1"/>
  <c r="L1063" i="7"/>
  <c r="R1063" i="7" s="1"/>
  <c r="L1582" i="7"/>
  <c r="R1582" i="7" s="1"/>
  <c r="L109" i="7"/>
  <c r="R109" i="7" s="1"/>
  <c r="O78" i="7"/>
  <c r="L397" i="7"/>
  <c r="R397" i="7" s="1"/>
  <c r="P1607" i="7"/>
  <c r="P173" i="7"/>
  <c r="L485" i="7"/>
  <c r="R485" i="7" s="1"/>
  <c r="L1220" i="7"/>
  <c r="R1220" i="7" s="1"/>
  <c r="P1219" i="7"/>
  <c r="G1119" i="7"/>
  <c r="L1543" i="7"/>
  <c r="R1543" i="7" s="1"/>
  <c r="L1515" i="7"/>
  <c r="R1515" i="7" s="1"/>
  <c r="N1514" i="7"/>
  <c r="N538" i="7"/>
  <c r="L1232" i="7"/>
  <c r="R1232" i="7" s="1"/>
  <c r="L1454" i="7"/>
  <c r="R1454" i="7" s="1"/>
  <c r="P1415" i="7"/>
  <c r="O1219" i="7"/>
  <c r="O1526" i="7"/>
  <c r="L1527" i="7"/>
  <c r="R1527" i="7" s="1"/>
  <c r="P95" i="7"/>
  <c r="O115" i="7"/>
  <c r="L554" i="7"/>
  <c r="R554" i="7" s="1"/>
  <c r="L948" i="7"/>
  <c r="R948" i="7" s="1"/>
  <c r="L18" i="7"/>
  <c r="R18" i="7" s="1"/>
  <c r="O1415" i="7"/>
  <c r="L148" i="7"/>
  <c r="R148" i="7" s="1"/>
  <c r="N1487" i="7"/>
  <c r="L1503" i="7"/>
  <c r="R1503" i="7" s="1"/>
  <c r="N95" i="7"/>
  <c r="O95" i="7"/>
  <c r="L1311" i="7"/>
  <c r="R1311" i="7" s="1"/>
  <c r="M991" i="7"/>
  <c r="L183" i="7"/>
  <c r="R183" i="7" s="1"/>
  <c r="O182" i="7"/>
  <c r="L1280" i="7"/>
  <c r="R1280" i="7" s="1"/>
  <c r="L539" i="7"/>
  <c r="R539" i="7" s="1"/>
  <c r="L548" i="7"/>
  <c r="R548" i="7" s="1"/>
  <c r="L562" i="7"/>
  <c r="R562" i="7" s="1"/>
  <c r="L901" i="7"/>
  <c r="R901" i="7" s="1"/>
  <c r="L1300" i="7"/>
  <c r="R1300" i="7" s="1"/>
  <c r="O538" i="7"/>
  <c r="L1081" i="7"/>
  <c r="R1081" i="7" s="1"/>
  <c r="L1499" i="7"/>
  <c r="R1499" i="7" s="1"/>
  <c r="M1549" i="7"/>
  <c r="L1561" i="7"/>
  <c r="R1561" i="7" s="1"/>
  <c r="M1607" i="7"/>
  <c r="L1445" i="7"/>
  <c r="R1445" i="7" s="1"/>
  <c r="L1289" i="7"/>
  <c r="R1289" i="7" s="1"/>
  <c r="P538" i="7"/>
  <c r="L1476" i="7"/>
  <c r="R1476" i="7" s="1"/>
  <c r="N1549" i="7"/>
  <c r="O1607" i="7"/>
  <c r="L1631" i="7"/>
  <c r="R1631" i="7" s="1"/>
  <c r="L113" i="7"/>
  <c r="R113" i="7" s="1"/>
  <c r="O851" i="7"/>
  <c r="O1437" i="7"/>
  <c r="L1438" i="7"/>
  <c r="R1438" i="7" s="1"/>
  <c r="O1549" i="7"/>
  <c r="G1581" i="7"/>
  <c r="L1383" i="7"/>
  <c r="R1383" i="7" s="1"/>
  <c r="M1119" i="7"/>
  <c r="L1140" i="7"/>
  <c r="R1140" i="7" s="1"/>
  <c r="L400" i="7"/>
  <c r="R400" i="7" s="1"/>
  <c r="N115" i="7"/>
  <c r="L1416" i="7"/>
  <c r="R1416" i="7" s="1"/>
  <c r="L1423" i="7"/>
  <c r="R1423" i="7" s="1"/>
  <c r="M1272" i="7"/>
  <c r="L1467" i="7"/>
  <c r="R1467" i="7" s="1"/>
  <c r="L96" i="7"/>
  <c r="R96" i="7" s="1"/>
  <c r="M1487" i="7"/>
  <c r="M1514" i="7"/>
  <c r="O1294" i="7"/>
  <c r="O1119" i="7"/>
  <c r="L1576" i="7"/>
  <c r="R1576" i="7" s="1"/>
  <c r="N1315" i="7"/>
  <c r="P1294" i="7"/>
  <c r="M1437" i="7"/>
  <c r="L1449" i="7"/>
  <c r="R1449" i="7" s="1"/>
  <c r="L1037" i="7"/>
  <c r="R1037" i="7" s="1"/>
  <c r="P1119" i="7"/>
  <c r="N1459" i="7"/>
  <c r="L1495" i="7"/>
  <c r="R1495" i="7" s="1"/>
  <c r="O1581" i="7"/>
  <c r="L603" i="7"/>
  <c r="R603" i="7" s="1"/>
  <c r="O1315" i="7"/>
  <c r="N1437" i="7"/>
  <c r="L1016" i="7"/>
  <c r="R1016" i="7" s="1"/>
  <c r="O1242" i="7"/>
  <c r="L14" i="7"/>
  <c r="R14" i="7" s="1"/>
  <c r="M1520" i="7"/>
  <c r="L1521" i="7"/>
  <c r="R1521" i="7" s="1"/>
  <c r="N1294" i="7"/>
  <c r="L1295" i="7"/>
  <c r="R1295" i="7" s="1"/>
  <c r="L1307" i="7"/>
  <c r="R1307" i="7" s="1"/>
  <c r="M1294" i="7"/>
  <c r="O1459" i="7"/>
  <c r="L1460" i="7"/>
  <c r="R1460" i="7" s="1"/>
  <c r="L1266" i="7"/>
  <c r="R1266" i="7" s="1"/>
  <c r="L403" i="7"/>
  <c r="R403" i="7" s="1"/>
  <c r="P1315" i="7"/>
  <c r="N1242" i="7"/>
  <c r="L1243" i="7"/>
  <c r="R1243" i="7" s="1"/>
  <c r="L140" i="7"/>
  <c r="R140" i="7" s="1"/>
  <c r="M1315" i="7"/>
  <c r="L1316" i="7"/>
  <c r="R1316" i="7" s="1"/>
  <c r="L1590" i="7"/>
  <c r="R1590" i="7" s="1"/>
  <c r="N1581" i="7"/>
  <c r="N1607" i="7"/>
  <c r="L1608" i="7"/>
  <c r="R1608" i="7" s="1"/>
  <c r="L878" i="7"/>
  <c r="R878" i="7" s="1"/>
  <c r="M851" i="7"/>
  <c r="N1415" i="7"/>
  <c r="N991" i="7"/>
  <c r="O173" i="7"/>
  <c r="M1219" i="7"/>
  <c r="P1549" i="7"/>
  <c r="L1550" i="7"/>
  <c r="R1550" i="7" s="1"/>
  <c r="N851" i="7"/>
  <c r="L852" i="7"/>
  <c r="R852" i="7" s="1"/>
  <c r="N1219" i="7"/>
  <c r="M78" i="7"/>
  <c r="M1415" i="7"/>
  <c r="L1488" i="7"/>
  <c r="R1488" i="7" s="1"/>
  <c r="P1487" i="7"/>
  <c r="M1242" i="7"/>
  <c r="L1273" i="7"/>
  <c r="R1273" i="7" s="1"/>
  <c r="N1272" i="7"/>
  <c r="N1036" i="7"/>
  <c r="L176" i="7"/>
  <c r="R176" i="7" s="1"/>
  <c r="P851" i="7"/>
  <c r="O1272" i="7"/>
  <c r="L1026" i="7"/>
  <c r="R1026" i="7" s="1"/>
  <c r="O1036" i="7"/>
  <c r="M1459" i="7"/>
  <c r="P1581" i="7"/>
  <c r="M173" i="7"/>
  <c r="L1353" i="7"/>
  <c r="R1353" i="7" s="1"/>
  <c r="P1272" i="7"/>
  <c r="P115" i="7"/>
  <c r="L981" i="7"/>
  <c r="R981" i="7" s="1"/>
  <c r="L1008" i="7"/>
  <c r="R1008" i="7" s="1"/>
  <c r="L1135" i="7"/>
  <c r="R1135" i="7" s="1"/>
  <c r="P1437" i="7"/>
  <c r="L992" i="7"/>
  <c r="R992" i="7" s="1"/>
  <c r="O991" i="7"/>
  <c r="P991" i="7"/>
  <c r="L1131" i="7"/>
  <c r="R1131" i="7" s="1"/>
  <c r="N1119" i="7"/>
  <c r="M1036" i="7"/>
  <c r="L1100" i="7"/>
  <c r="R1100" i="7" s="1"/>
  <c r="L1127" i="7"/>
  <c r="R1127" i="7" s="1"/>
  <c r="R321" i="7"/>
  <c r="R60" i="7"/>
  <c r="R66" i="7"/>
  <c r="R81" i="7"/>
  <c r="R344" i="7"/>
  <c r="R40" i="7"/>
  <c r="R58" i="7"/>
  <c r="R87" i="7"/>
  <c r="R355" i="7"/>
  <c r="R328" i="7"/>
  <c r="R39" i="7"/>
  <c r="R44" i="7"/>
  <c r="R85" i="7"/>
  <c r="R340" i="7"/>
  <c r="R318" i="7"/>
  <c r="R26" i="7"/>
  <c r="R55" i="7"/>
  <c r="R43" i="7"/>
  <c r="R77" i="7"/>
  <c r="R353" i="7"/>
  <c r="R50" i="7"/>
  <c r="R67" i="7"/>
  <c r="R471" i="7"/>
  <c r="R457" i="7"/>
  <c r="R444" i="7"/>
  <c r="R430" i="7"/>
  <c r="R417" i="7"/>
  <c r="R393" i="7"/>
  <c r="R482" i="7"/>
  <c r="R469" i="7"/>
  <c r="R455" i="7"/>
  <c r="R428" i="7"/>
  <c r="R414" i="7"/>
  <c r="R391" i="7"/>
  <c r="R376" i="7"/>
  <c r="R339" i="7"/>
  <c r="R517" i="7"/>
  <c r="R503" i="7"/>
  <c r="R571" i="7"/>
  <c r="R36" i="7"/>
  <c r="R53" i="7"/>
  <c r="R42" i="7"/>
  <c r="R76" i="7"/>
  <c r="R454" i="7"/>
  <c r="R440" i="7"/>
  <c r="R427" i="7"/>
  <c r="R413" i="7"/>
  <c r="R390" i="7"/>
  <c r="R375" i="7"/>
  <c r="R352" i="7"/>
  <c r="R338" i="7"/>
  <c r="R327" i="7"/>
  <c r="R516" i="7"/>
  <c r="R502" i="7"/>
  <c r="R35" i="7"/>
  <c r="R62" i="7"/>
  <c r="R75" i="7"/>
  <c r="R480" i="7"/>
  <c r="R466" i="7"/>
  <c r="R439" i="7"/>
  <c r="R387" i="7"/>
  <c r="R372" i="7"/>
  <c r="R351" i="7"/>
  <c r="R326" i="7"/>
  <c r="R515" i="7"/>
  <c r="R501" i="7"/>
  <c r="R34" i="7"/>
  <c r="R25" i="7"/>
  <c r="R70" i="7"/>
  <c r="R74" i="7"/>
  <c r="R465" i="7"/>
  <c r="R452" i="7"/>
  <c r="R438" i="7"/>
  <c r="R424" i="7"/>
  <c r="R411" i="7"/>
  <c r="R844" i="7"/>
  <c r="R386" i="7"/>
  <c r="R350" i="7"/>
  <c r="R500" i="7"/>
  <c r="R33" i="7"/>
  <c r="R24" i="7"/>
  <c r="R52" i="7"/>
  <c r="R69" i="7"/>
  <c r="R73" i="7"/>
  <c r="R478" i="7"/>
  <c r="R464" i="7"/>
  <c r="R450" i="7"/>
  <c r="R437" i="7"/>
  <c r="R423" i="7"/>
  <c r="R410" i="7"/>
  <c r="R385" i="7"/>
  <c r="R334" i="7"/>
  <c r="R324" i="7"/>
  <c r="R527" i="7"/>
  <c r="R513" i="7"/>
  <c r="R499" i="7"/>
  <c r="R31" i="7"/>
  <c r="R23" i="7"/>
  <c r="R51" i="7"/>
  <c r="R68" i="7"/>
  <c r="R72" i="7"/>
  <c r="R476" i="7"/>
  <c r="R463" i="7"/>
  <c r="R449" i="7"/>
  <c r="R436" i="7"/>
  <c r="R422" i="7"/>
  <c r="R409" i="7"/>
  <c r="R384" i="7"/>
  <c r="R322" i="7"/>
  <c r="R526" i="7"/>
  <c r="R511" i="7"/>
  <c r="R498" i="7"/>
  <c r="R29" i="7"/>
  <c r="R82" i="7"/>
  <c r="R475" i="7"/>
  <c r="R462" i="7"/>
  <c r="R448" i="7"/>
  <c r="R435" i="7"/>
  <c r="R421" i="7"/>
  <c r="R408" i="7"/>
  <c r="R383" i="7"/>
  <c r="R525" i="7"/>
  <c r="R510" i="7"/>
  <c r="R496" i="7"/>
  <c r="R28" i="7"/>
  <c r="R49" i="7"/>
  <c r="R474" i="7"/>
  <c r="R461" i="7"/>
  <c r="R447" i="7"/>
  <c r="R420" i="7"/>
  <c r="R406" i="7"/>
  <c r="R396" i="7"/>
  <c r="R382" i="7"/>
  <c r="R366" i="7"/>
  <c r="R345" i="7"/>
  <c r="R523" i="7"/>
  <c r="R495" i="7"/>
  <c r="R22" i="7"/>
  <c r="R59" i="7"/>
  <c r="R65" i="7"/>
  <c r="R473" i="7"/>
  <c r="R460" i="7"/>
  <c r="R419" i="7"/>
  <c r="R395" i="7"/>
  <c r="R381" i="7"/>
  <c r="R522" i="7"/>
  <c r="R507" i="7"/>
  <c r="R493" i="7"/>
  <c r="R47" i="7"/>
  <c r="R64" i="7"/>
  <c r="R445" i="7"/>
  <c r="R431" i="7"/>
  <c r="R394" i="7"/>
  <c r="R380" i="7"/>
  <c r="R329" i="7"/>
  <c r="R521" i="7"/>
  <c r="R506" i="7"/>
  <c r="R57" i="7"/>
  <c r="R45" i="7"/>
  <c r="R86" i="7"/>
  <c r="R379" i="7"/>
  <c r="R519" i="7"/>
  <c r="R27" i="7"/>
  <c r="R56" i="7"/>
  <c r="R483" i="7"/>
  <c r="R470" i="7"/>
  <c r="R456" i="7"/>
  <c r="R443" i="7"/>
  <c r="R429" i="7"/>
  <c r="R415" i="7"/>
  <c r="R840" i="7"/>
  <c r="R392" i="7"/>
  <c r="R377" i="7"/>
  <c r="R505" i="7"/>
  <c r="L568" i="7"/>
  <c r="L71" i="7"/>
  <c r="L1194" i="7"/>
  <c r="G389" i="7"/>
  <c r="G373" i="7" s="1"/>
  <c r="P842" i="7"/>
  <c r="O842" i="7"/>
  <c r="N842" i="7"/>
  <c r="M842" i="7"/>
  <c r="P836" i="7"/>
  <c r="O836" i="7"/>
  <c r="N836" i="7"/>
  <c r="M836" i="7"/>
  <c r="C2" i="4"/>
  <c r="R583" i="7"/>
  <c r="R584" i="7"/>
  <c r="R585" i="7"/>
  <c r="R587" i="7"/>
  <c r="R588" i="7"/>
  <c r="R589" i="7"/>
  <c r="R590" i="7"/>
  <c r="R617" i="7"/>
  <c r="R618" i="7"/>
  <c r="R619" i="7"/>
  <c r="R621" i="7"/>
  <c r="R622" i="7"/>
  <c r="R630" i="7"/>
  <c r="R631" i="7"/>
  <c r="R632" i="7"/>
  <c r="R633" i="7"/>
  <c r="G41" i="7"/>
  <c r="M41" i="7"/>
  <c r="G21" i="7"/>
  <c r="Q21" i="7"/>
  <c r="M21" i="7"/>
  <c r="L230" i="7"/>
  <c r="L229" i="7"/>
  <c r="L228" i="7"/>
  <c r="G227" i="7"/>
  <c r="L226" i="7"/>
  <c r="L225" i="7"/>
  <c r="L224" i="7"/>
  <c r="L223" i="7"/>
  <c r="L222" i="7"/>
  <c r="L221" i="7"/>
  <c r="L220" i="7"/>
  <c r="L219" i="7"/>
  <c r="L218" i="7"/>
  <c r="L216" i="7"/>
  <c r="L215" i="7"/>
  <c r="L214" i="7"/>
  <c r="L213" i="7"/>
  <c r="L212" i="7"/>
  <c r="L211" i="7"/>
  <c r="M210" i="7"/>
  <c r="G210" i="7"/>
  <c r="L209" i="7"/>
  <c r="L207" i="7"/>
  <c r="L198" i="7"/>
  <c r="L197" i="7"/>
  <c r="L196" i="7"/>
  <c r="L195" i="7"/>
  <c r="R194" i="7"/>
  <c r="M193" i="7"/>
  <c r="G193" i="7"/>
  <c r="G524" i="7"/>
  <c r="G508" i="7" s="1"/>
  <c r="B2" i="4"/>
  <c r="N479" i="7"/>
  <c r="O479" i="7"/>
  <c r="P479" i="7"/>
  <c r="M479" i="7"/>
  <c r="I78" i="9" s="1"/>
  <c r="I62" i="9" s="1"/>
  <c r="N472" i="7"/>
  <c r="O472" i="7"/>
  <c r="P472" i="7"/>
  <c r="M472" i="7"/>
  <c r="M459" i="7"/>
  <c r="N453" i="7"/>
  <c r="O453" i="7"/>
  <c r="P453" i="7"/>
  <c r="M453" i="7"/>
  <c r="N446" i="7"/>
  <c r="O446" i="7"/>
  <c r="P446" i="7"/>
  <c r="M446" i="7"/>
  <c r="N518" i="7"/>
  <c r="O518" i="7"/>
  <c r="P518" i="7"/>
  <c r="M514" i="7"/>
  <c r="N514" i="7"/>
  <c r="O514" i="7"/>
  <c r="P514" i="7"/>
  <c r="M518" i="7"/>
  <c r="M524" i="7"/>
  <c r="N524" i="7"/>
  <c r="O524" i="7"/>
  <c r="P524" i="7"/>
  <c r="N426" i="7"/>
  <c r="O426" i="7"/>
  <c r="P426" i="7"/>
  <c r="M426" i="7"/>
  <c r="N418" i="7"/>
  <c r="O418" i="7"/>
  <c r="P418" i="7"/>
  <c r="M418" i="7"/>
  <c r="N412" i="7"/>
  <c r="O412" i="7"/>
  <c r="P412" i="7"/>
  <c r="M412" i="7"/>
  <c r="N360" i="7"/>
  <c r="O360" i="7"/>
  <c r="P360" i="7"/>
  <c r="M360" i="7"/>
  <c r="G360" i="7"/>
  <c r="N323" i="7"/>
  <c r="O323" i="7"/>
  <c r="P323" i="7"/>
  <c r="M323" i="7"/>
  <c r="N504" i="7"/>
  <c r="O504" i="7"/>
  <c r="P504" i="7"/>
  <c r="M504" i="7"/>
  <c r="N497" i="7"/>
  <c r="O497" i="7"/>
  <c r="P497" i="7"/>
  <c r="M497" i="7"/>
  <c r="N492" i="7"/>
  <c r="O492" i="7"/>
  <c r="P492" i="7"/>
  <c r="M492" i="7"/>
  <c r="N389" i="7"/>
  <c r="N373" i="7" s="1"/>
  <c r="O389" i="7"/>
  <c r="O373" i="7" s="1"/>
  <c r="P389" i="7"/>
  <c r="P373" i="7" s="1"/>
  <c r="M389" i="7"/>
  <c r="M373" i="7" s="1"/>
  <c r="P509" i="7"/>
  <c r="O509" i="7"/>
  <c r="N509" i="7"/>
  <c r="M509" i="7"/>
  <c r="G568" i="7"/>
  <c r="G1193" i="7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  <c r="K579" i="7" l="1"/>
  <c r="J78" i="9"/>
  <c r="L78" i="9"/>
  <c r="K78" i="9"/>
  <c r="P458" i="7"/>
  <c r="N458" i="7"/>
  <c r="O458" i="7"/>
  <c r="I8" i="9"/>
  <c r="P308" i="7"/>
  <c r="O308" i="7"/>
  <c r="M308" i="7"/>
  <c r="N308" i="7"/>
  <c r="M824" i="7"/>
  <c r="N824" i="7"/>
  <c r="N579" i="7" s="1"/>
  <c r="O824" i="7"/>
  <c r="O579" i="7" s="1"/>
  <c r="P824" i="7"/>
  <c r="P579" i="7" s="1"/>
  <c r="H1219" i="7"/>
  <c r="G192" i="7"/>
  <c r="J1219" i="7"/>
  <c r="I1219" i="7"/>
  <c r="L8" i="7"/>
  <c r="L1526" i="7"/>
  <c r="R1526" i="7" s="1"/>
  <c r="L1520" i="7"/>
  <c r="R1520" i="7" s="1"/>
  <c r="L581" i="7"/>
  <c r="L1171" i="7"/>
  <c r="R1171" i="7" s="1"/>
  <c r="L1146" i="7"/>
  <c r="R1146" i="7" s="1"/>
  <c r="L227" i="7"/>
  <c r="R227" i="7" s="1"/>
  <c r="O20" i="7"/>
  <c r="L182" i="7"/>
  <c r="R182" i="7" s="1"/>
  <c r="L1549" i="7"/>
  <c r="R1549" i="7" s="1"/>
  <c r="L947" i="7"/>
  <c r="L877" i="7"/>
  <c r="R877" i="7" s="1"/>
  <c r="L538" i="7"/>
  <c r="R538" i="7" s="1"/>
  <c r="L1514" i="7"/>
  <c r="R1514" i="7" s="1"/>
  <c r="L115" i="7"/>
  <c r="L1607" i="7"/>
  <c r="R1607" i="7" s="1"/>
  <c r="N402" i="7"/>
  <c r="N432" i="7"/>
  <c r="P432" i="7"/>
  <c r="O192" i="7"/>
  <c r="P20" i="7"/>
  <c r="P192" i="7"/>
  <c r="L1487" i="7"/>
  <c r="R1487" i="7" s="1"/>
  <c r="M1581" i="7"/>
  <c r="L1119" i="7"/>
  <c r="P484" i="7"/>
  <c r="O484" i="7"/>
  <c r="N484" i="7"/>
  <c r="N192" i="7"/>
  <c r="N20" i="7"/>
  <c r="R254" i="7"/>
  <c r="L1437" i="7"/>
  <c r="R1437" i="7" s="1"/>
  <c r="L1036" i="7"/>
  <c r="R1036" i="7" s="1"/>
  <c r="M402" i="7"/>
  <c r="L1415" i="7"/>
  <c r="R1415" i="7" s="1"/>
  <c r="L95" i="7"/>
  <c r="R95" i="7" s="1"/>
  <c r="G484" i="7"/>
  <c r="G20" i="7"/>
  <c r="L1315" i="7"/>
  <c r="R1315" i="7" s="1"/>
  <c r="L173" i="7"/>
  <c r="R173" i="7" s="1"/>
  <c r="L991" i="7"/>
  <c r="R991" i="7" s="1"/>
  <c r="M484" i="7"/>
  <c r="P402" i="7"/>
  <c r="L1272" i="7"/>
  <c r="R1272" i="7" s="1"/>
  <c r="L851" i="7"/>
  <c r="R851" i="7" s="1"/>
  <c r="L504" i="7"/>
  <c r="R504" i="7" s="1"/>
  <c r="M192" i="7"/>
  <c r="L193" i="7"/>
  <c r="R193" i="7" s="1"/>
  <c r="L21" i="7"/>
  <c r="R21" i="7" s="1"/>
  <c r="M20" i="7"/>
  <c r="M432" i="7"/>
  <c r="L433" i="7"/>
  <c r="R433" i="7" s="1"/>
  <c r="L459" i="7"/>
  <c r="R459" i="7" s="1"/>
  <c r="M458" i="7"/>
  <c r="L492" i="7"/>
  <c r="R492" i="7" s="1"/>
  <c r="L1459" i="7"/>
  <c r="R1459" i="7" s="1"/>
  <c r="L1294" i="7"/>
  <c r="R1294" i="7" s="1"/>
  <c r="O402" i="7"/>
  <c r="O432" i="7"/>
  <c r="L1242" i="7"/>
  <c r="L1219" i="7"/>
  <c r="R1219" i="7" s="1"/>
  <c r="R207" i="7"/>
  <c r="R230" i="7"/>
  <c r="R209" i="7"/>
  <c r="R218" i="7"/>
  <c r="R197" i="7"/>
  <c r="R225" i="7"/>
  <c r="R568" i="7"/>
  <c r="R213" i="7"/>
  <c r="R226" i="7"/>
  <c r="R214" i="7"/>
  <c r="R216" i="7"/>
  <c r="R219" i="7"/>
  <c r="R220" i="7"/>
  <c r="R228" i="7"/>
  <c r="R195" i="7"/>
  <c r="R221" i="7"/>
  <c r="R229" i="7"/>
  <c r="R211" i="7"/>
  <c r="R224" i="7"/>
  <c r="R575" i="7"/>
  <c r="R212" i="7"/>
  <c r="R198" i="7"/>
  <c r="R215" i="7"/>
  <c r="R196" i="7"/>
  <c r="R222" i="7"/>
  <c r="R1194" i="7"/>
  <c r="R223" i="7"/>
  <c r="L629" i="7"/>
  <c r="R629" i="7" s="1"/>
  <c r="L412" i="7"/>
  <c r="L479" i="7"/>
  <c r="L374" i="7"/>
  <c r="L497" i="7"/>
  <c r="L323" i="7"/>
  <c r="L61" i="7"/>
  <c r="L514" i="7"/>
  <c r="L83" i="7"/>
  <c r="L836" i="7"/>
  <c r="R836" i="7" s="1"/>
  <c r="L41" i="7"/>
  <c r="L389" i="7"/>
  <c r="L446" i="7"/>
  <c r="L360" i="7"/>
  <c r="L418" i="7"/>
  <c r="L1193" i="7"/>
  <c r="L509" i="7"/>
  <c r="L426" i="7"/>
  <c r="L472" i="7"/>
  <c r="L616" i="7"/>
  <c r="R616" i="7" s="1"/>
  <c r="L524" i="7"/>
  <c r="L518" i="7"/>
  <c r="L453" i="7"/>
  <c r="L842" i="7"/>
  <c r="R842" i="7" s="1"/>
  <c r="L9" i="7"/>
  <c r="N508" i="7"/>
  <c r="O508" i="7"/>
  <c r="M508" i="7"/>
  <c r="R71" i="7"/>
  <c r="L210" i="7"/>
  <c r="P508" i="7"/>
  <c r="K62" i="9" l="1"/>
  <c r="K8" i="9" s="1"/>
  <c r="L62" i="9"/>
  <c r="L8" i="9" s="1"/>
  <c r="J62" i="9"/>
  <c r="J8" i="9" s="1"/>
  <c r="M4" i="7"/>
  <c r="N4" i="7"/>
  <c r="J579" i="7"/>
  <c r="J4" i="7"/>
  <c r="H78" i="9"/>
  <c r="M579" i="7"/>
  <c r="O6" i="7"/>
  <c r="N6" i="7"/>
  <c r="P6" i="7"/>
  <c r="M6" i="7"/>
  <c r="Y192" i="7" s="1"/>
  <c r="O4" i="7"/>
  <c r="P4" i="7"/>
  <c r="R1242" i="7"/>
  <c r="L308" i="7"/>
  <c r="R308" i="7" s="1"/>
  <c r="L824" i="7"/>
  <c r="L1581" i="7"/>
  <c r="R1581" i="7" s="1"/>
  <c r="R115" i="7"/>
  <c r="H14" i="9"/>
  <c r="R1119" i="7"/>
  <c r="R947" i="7"/>
  <c r="L484" i="7"/>
  <c r="R484" i="7" s="1"/>
  <c r="L402" i="7"/>
  <c r="R402" i="7" s="1"/>
  <c r="R518" i="7"/>
  <c r="R412" i="7"/>
  <c r="R446" i="7"/>
  <c r="R210" i="7"/>
  <c r="R472" i="7"/>
  <c r="R426" i="7"/>
  <c r="R61" i="7"/>
  <c r="R582" i="7"/>
  <c r="R1193" i="7"/>
  <c r="R524" i="7"/>
  <c r="R360" i="7"/>
  <c r="R83" i="7"/>
  <c r="R389" i="7"/>
  <c r="R509" i="7"/>
  <c r="R497" i="7"/>
  <c r="R418" i="7"/>
  <c r="R479" i="7"/>
  <c r="R233" i="7"/>
  <c r="R514" i="7"/>
  <c r="R9" i="7"/>
  <c r="R244" i="7"/>
  <c r="R41" i="7"/>
  <c r="R323" i="7"/>
  <c r="R453" i="7"/>
  <c r="R534" i="7"/>
  <c r="R374" i="7"/>
  <c r="L78" i="7"/>
  <c r="L508" i="7"/>
  <c r="L373" i="7"/>
  <c r="H62" i="9" l="1"/>
  <c r="L579" i="7"/>
  <c r="R824" i="7"/>
  <c r="H10" i="9"/>
  <c r="H8" i="9"/>
  <c r="L848" i="7"/>
  <c r="R848" i="7" s="1"/>
  <c r="R78" i="7"/>
  <c r="R232" i="7"/>
  <c r="R373" i="7"/>
  <c r="R508" i="7"/>
  <c r="R8" i="7"/>
  <c r="L467" i="7" l="1"/>
  <c r="R467" i="7" s="1"/>
  <c r="L432" i="7"/>
  <c r="R432" i="7" s="1"/>
  <c r="L458" i="7"/>
  <c r="R458" i="7" s="1"/>
  <c r="L20" i="7"/>
  <c r="L529" i="7"/>
  <c r="R529" i="7" s="1"/>
  <c r="L441" i="7"/>
  <c r="R441" i="7" s="1"/>
  <c r="L367" i="7"/>
  <c r="R367" i="7" s="1"/>
  <c r="L192" i="7"/>
  <c r="R192" i="7" s="1"/>
  <c r="L79" i="7"/>
  <c r="R79" i="7" s="1"/>
  <c r="U2" i="7" l="1"/>
  <c r="X4" i="7"/>
  <c r="R20" i="7"/>
  <c r="L528" i="7"/>
  <c r="L6" i="7" s="1"/>
  <c r="R528" i="7" l="1"/>
  <c r="L1" i="7"/>
  <c r="L4" i="7"/>
  <c r="R4" i="7" s="1"/>
  <c r="R581" i="7"/>
  <c r="G947" i="7" l="1"/>
  <c r="I973" i="7"/>
  <c r="P91" i="9" l="1"/>
  <c r="I972" i="7"/>
  <c r="I947" i="7" s="1"/>
  <c r="N91" i="9" l="1"/>
  <c r="P62" i="9"/>
  <c r="I579" i="7"/>
  <c r="N62" i="9" l="1"/>
  <c r="P36" i="9" l="1"/>
  <c r="G327" i="7"/>
  <c r="G323" i="7" s="1"/>
  <c r="G308" i="7" s="1"/>
  <c r="G6" i="7" s="1"/>
  <c r="N36" i="9" l="1"/>
  <c r="P19" i="9"/>
  <c r="N19" i="9" s="1"/>
  <c r="I323" i="7"/>
  <c r="I308" i="7" s="1"/>
  <c r="P8" i="9" l="1"/>
  <c r="I4" i="7"/>
  <c r="I6" i="7"/>
  <c r="G759" i="7" l="1"/>
  <c r="G758" i="7" s="1"/>
  <c r="G579" i="7" s="1"/>
  <c r="G4" i="7" s="1"/>
  <c r="H760" i="7"/>
  <c r="H759" i="7" s="1"/>
  <c r="H758" i="7" s="1"/>
  <c r="O122" i="9"/>
  <c r="O110" i="9" s="1"/>
  <c r="N110" i="9" l="1"/>
  <c r="O8" i="9"/>
  <c r="N8" i="9" s="1"/>
  <c r="H4" i="7"/>
  <c r="H579" i="7"/>
  <c r="N12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tc={1ACF72F6-3471-488D-BC15-56B8CEFF7A0F}</author>
    <author>tc={7F4B8E54-23FB-4AA6-B8F5-406A633F91FF}</author>
    <author>tc={F58FE0D1-DAA3-4590-88A4-0A2CF91386F6}</author>
    <author>tc={9495A7E7-6073-4D2E-B614-FFD6D6445810}</author>
    <author>tc={44F33B88-CF6B-4C42-A075-73BE7113270B}</author>
    <author>tc={7C174196-8C21-4037-BD11-4693FE16E1E4}</author>
    <author>tc={893BC628-65F7-4D58-829C-1FA329A1031E}</author>
    <author>tc={7707ABA9-C35B-4DC2-9265-393CC1C34043}</author>
    <author>tc={B73A28C0-7DE5-4603-8877-CE85061BBF9E}</author>
  </authors>
  <commentList>
    <comment ref="F93" authorId="0" shapeId="0" xr:uid="{1ACF72F6-3471-488D-BC15-56B8CEFF7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G94" authorId="1" shapeId="0" xr:uid="{7F4B8E54-23FB-4AA6-B8F5-406A633F91F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1146" authorId="2" shapeId="0" xr:uid="{F58FE0D1-DAA3-4590-88A4-0A2CF91386F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1171" authorId="3" shapeId="0" xr:uid="{9495A7E7-6073-4D2E-B614-FFD6D64458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L1194" authorId="4" shapeId="0" xr:uid="{44F33B88-CF6B-4C42-A075-73BE7113270B}">
      <text>
        <t>[Threaded comment]
Your version of Excel allows you to read this threaded comment; however, any edits to it will get removed if the file is opened in a newer version of Excel. Learn more: https://go.microsoft.com/fwlink/?linkid=870924
Comment:
    Dsgn brf, LOD 200 in MP, AR</t>
      </text>
    </comment>
    <comment ref="L1199" authorId="5" shapeId="0" xr:uid="{7C174196-8C21-4037-BD11-4693FE16E1E4}">
      <text>
        <t>[Threaded comment]
Your version of Excel allows you to read this threaded comment; however, any edits to it will get removed if the file is opened in a newer version of Excel. Learn more: https://go.microsoft.com/fwlink/?linkid=870924
Comment:
    Dsgn brf, LOD 200 in MP, AR</t>
      </text>
    </comment>
    <comment ref="F1520" authorId="6" shapeId="0" xr:uid="{893BC628-65F7-4D58-829C-1FA329A1031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1526" authorId="7" shapeId="0" xr:uid="{7707ABA9-C35B-4DC2-9265-393CC1C3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1532" authorId="8" shapeId="0" xr:uid="{B73A28C0-7DE5-4603-8877-CE85061BBF9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tc={FEF128B2-1875-4654-975A-F564A4A7CD18}</author>
    <author>tc={B9826CE9-4E83-49B9-8789-2652372E63A6}</author>
    <author>tc={6A6C49CD-E752-4B4F-B752-C369497BD411}</author>
  </authors>
  <commentList>
    <comment ref="C32" authorId="0" shapeId="0" xr:uid="{FEF128B2-1875-4654-975A-F564A4A7CD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Security cabin AR GFC released on 11Aug'26, Project entrance area &amp; boundary wall design work in progress</t>
      </text>
    </comment>
    <comment ref="C89" authorId="1" shapeId="0" xr:uid="{B9826CE9-4E83-49B9-8789-2652372E6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name - yet to be finalised</t>
      </text>
    </comment>
    <comment ref="C99" authorId="2" shapeId="0" xr:uid="{6A6C49CD-E752-4B4F-B752-C369497BD411}">
      <text>
        <t>[Threaded comment]
Your version of Excel allows you to read this threaded comment; however, any edits to it will get removed if the file is opened in a newer version of Excel. Learn more: https://go.microsoft.com/fwlink/?linkid=870924
Comment:
    V60 Product reintroduced in OTF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<sst xmlns="http://schemas.openxmlformats.org/spreadsheetml/2006/main" count="21310" uniqueCount="1760">
  <si>
    <t>2026 | Design Goals + Billing</t>
  </si>
  <si>
    <t>Billing [Cr.]</t>
  </si>
  <si>
    <t>Q1</t>
  </si>
  <si>
    <t>Q2</t>
  </si>
  <si>
    <t>Q3</t>
  </si>
  <si>
    <t>Q4</t>
  </si>
  <si>
    <t>Pkgs</t>
  </si>
  <si>
    <t>2027 Q1</t>
  </si>
  <si>
    <t>Project</t>
  </si>
  <si>
    <t>Phase</t>
  </si>
  <si>
    <t>Discipline</t>
  </si>
  <si>
    <t>Design Lead</t>
  </si>
  <si>
    <t>Description</t>
  </si>
  <si>
    <t xml:space="preserve"> </t>
  </si>
  <si>
    <t>Ongoing Projects</t>
  </si>
  <si>
    <t>AtR</t>
  </si>
  <si>
    <t>Ph 1, 2a, 2b, 2c</t>
  </si>
  <si>
    <t>Package Release [Complete LoD 350 by Q1]</t>
  </si>
  <si>
    <t>Architecture</t>
  </si>
  <si>
    <t>Ph 1, 2a, 2b</t>
  </si>
  <si>
    <t>Saji A</t>
  </si>
  <si>
    <t>Clubhouse + Amenities - Clubhouse—Interiors and Facilities</t>
  </si>
  <si>
    <t>Clubhouse + Amenities - Community spaces [Staff Lounge, Children play area]</t>
  </si>
  <si>
    <t>Ph 2c</t>
  </si>
  <si>
    <t>Master Plan - Site MEP</t>
  </si>
  <si>
    <t>Clubhouse + Amenities - Sporting Facilities</t>
  </si>
  <si>
    <t>Structural</t>
  </si>
  <si>
    <t>Prakash C</t>
  </si>
  <si>
    <t>MEP</t>
  </si>
  <si>
    <t>Gagan</t>
  </si>
  <si>
    <t>Ph 3</t>
  </si>
  <si>
    <t>Contract + Design brief</t>
  </si>
  <si>
    <t>Schematic Concept</t>
  </si>
  <si>
    <t>Approvals</t>
  </si>
  <si>
    <t>Pre Construction Set</t>
  </si>
  <si>
    <t>Home Products - V45 Default and it's variants</t>
  </si>
  <si>
    <t>Home Products - V80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</si>
  <si>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</si>
  <si>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</si>
  <si>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</si>
  <si>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</si>
  <si>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</si>
  <si>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</si>
  <si>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</si>
  <si>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</si>
  <si>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33 - Building Envelope + Plot Development </t>
  </si>
  <si>
    <t xml:space="preserve">Villa Block 34 - Building Envelope + Plot Development </t>
  </si>
  <si>
    <t>Master Plan - Master Plan</t>
  </si>
  <si>
    <t>Site Development - 02 Road Works</t>
  </si>
  <si>
    <t>Site Development - 06 Landscape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</si>
  <si>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</si>
  <si>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</si>
  <si>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</si>
  <si>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</si>
  <si>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</si>
  <si>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</si>
  <si>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33 - Foundations and Sub-Grade Structure </t>
  </si>
  <si>
    <t xml:space="preserve">Villa Block 33 - Super Structure  </t>
  </si>
  <si>
    <t xml:space="preserve">Villa Block 34 - Foundations and Sub-Grade Structure </t>
  </si>
  <si>
    <t xml:space="preserve">Villa Block 34 - Super Structure  </t>
  </si>
  <si>
    <t>Schematic Concept [V80]</t>
  </si>
  <si>
    <t>PreConstruction Set</t>
  </si>
  <si>
    <t>Villa Block 31 - Foundations and Sub-Grade Structure</t>
  </si>
  <si>
    <t xml:space="preserve">Villa Block 32 - Foundations and Sub-Grade Structure </t>
  </si>
  <si>
    <t>Landscape</t>
  </si>
  <si>
    <t>will be closed by Q4 2025</t>
  </si>
  <si>
    <t>Preconstruction Set</t>
  </si>
  <si>
    <t>Home Products - V45 Default</t>
  </si>
  <si>
    <t>Home Products - V80 Default</t>
  </si>
  <si>
    <t>Master Plan</t>
  </si>
  <si>
    <t>AtR - C</t>
  </si>
  <si>
    <t>Com</t>
  </si>
  <si>
    <t>Naveen Y</t>
  </si>
  <si>
    <t>Master Plan - Site Development</t>
  </si>
  <si>
    <t>Master Plan - Landscaping</t>
  </si>
  <si>
    <t>Tower-[Commercial] - Habitable Level 1-2</t>
  </si>
  <si>
    <t>Tower-[Commercial] - Habitable Level 3-5</t>
  </si>
  <si>
    <t>Tower-[Commercial] - Habitable Level 6-10</t>
  </si>
  <si>
    <t>Tower-[Commercial] - Terrace Level</t>
  </si>
  <si>
    <t>TMD Ph2</t>
  </si>
  <si>
    <t>Ph 2</t>
  </si>
  <si>
    <t>Childern play area [Complete by Q2]</t>
  </si>
  <si>
    <t>-</t>
  </si>
  <si>
    <t xml:space="preserve">Childern play area </t>
  </si>
  <si>
    <t>PoaRR-Res</t>
  </si>
  <si>
    <t>Res</t>
  </si>
  <si>
    <t>Package Release [Complete the project by Q1]</t>
  </si>
  <si>
    <t>Complete the project</t>
  </si>
  <si>
    <t>Villa Cluster 3 - All Levels</t>
  </si>
  <si>
    <t>Villa Cluster 3 - Building Envelope and Common Areas</t>
  </si>
  <si>
    <t>V40 Default and it's variants</t>
  </si>
  <si>
    <t>ISS Building Envelope and Common Areas</t>
  </si>
  <si>
    <t>Residential - Site Development</t>
  </si>
  <si>
    <t>Masterplan - Site MEP</t>
  </si>
  <si>
    <t>Masterplan - Landscaping</t>
  </si>
  <si>
    <t>Amenities &amp; Facilities - Sporting Facilities</t>
  </si>
  <si>
    <t>Site Development</t>
  </si>
  <si>
    <t>Site MEP</t>
  </si>
  <si>
    <t>Sporting Facilities</t>
  </si>
  <si>
    <t>Clubhouse Outdoor Spaces and Pool</t>
  </si>
  <si>
    <t>Amenities &amp; Facilities - Community spaces [Sporting Facilities]</t>
  </si>
  <si>
    <t>PoaRR-T08</t>
  </si>
  <si>
    <t>T08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</si>
  <si>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</si>
  <si>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</si>
  <si>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</si>
  <si>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</si>
  <si>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</si>
  <si>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</si>
  <si>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</si>
  <si>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</si>
  <si>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</si>
  <si>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</si>
  <si>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Penthouse Levels</t>
  </si>
  <si>
    <t>Terrace Level</t>
  </si>
  <si>
    <t>Building Envelope and Common Areas [Penthouse Levels And Terrace Level]</t>
  </si>
  <si>
    <t>Clubhouse—Interiors and Facilities</t>
  </si>
  <si>
    <t>Clubhouse—Outdoor Spaces and Pool</t>
  </si>
  <si>
    <t>Community spaces [Board Walk, Children play area]</t>
  </si>
  <si>
    <t>R25P Default and It's Variants</t>
  </si>
  <si>
    <t>L20P Default and It's Variants</t>
  </si>
  <si>
    <t>L22P Default and It's Variants</t>
  </si>
  <si>
    <t>D35 P Default and It's Variants</t>
  </si>
  <si>
    <t>T08 - ISS - Foundations &amp; Grade Slab</t>
  </si>
  <si>
    <t>T08 - ISS - Podium Slab</t>
  </si>
  <si>
    <t>T08 - ISS - Parking Level Subgrade</t>
  </si>
  <si>
    <t>Package Release [Complete the project]</t>
  </si>
  <si>
    <t>ISS - Foundation and Gradeslab</t>
  </si>
  <si>
    <t>L20 Default and it's variants</t>
  </si>
  <si>
    <t>D35 Default and it's variants</t>
  </si>
  <si>
    <t>L22 Default and It's Variants</t>
  </si>
  <si>
    <t>T08-Clubhouse—Interiors and Facilities</t>
  </si>
  <si>
    <t>T08-Master Plan</t>
  </si>
  <si>
    <t>T08-Landscaping</t>
  </si>
  <si>
    <t>T08-Community spaces [Board Walk, Children play area]</t>
  </si>
  <si>
    <t>ITQE-Ph1</t>
  </si>
  <si>
    <t>Ph 1</t>
  </si>
  <si>
    <t>Master Plan | Site Development</t>
  </si>
  <si>
    <t>Feb'26</t>
  </si>
  <si>
    <t>DG Vendor Stack details, Panel room</t>
  </si>
  <si>
    <t>Amenities &amp; Facilities |  Clubhouse—Outdoor Spaces and Pool</t>
  </si>
  <si>
    <t xml:space="preserve">Amenities &amp; Facilities |  Community spaces </t>
  </si>
  <si>
    <t>ITQE-Ph2a</t>
  </si>
  <si>
    <t>Ph 2a</t>
  </si>
  <si>
    <t>Cijey M</t>
  </si>
  <si>
    <t>Experience Home + Project Experience [ V35 ]</t>
  </si>
  <si>
    <t>Master Plan | Site MEP</t>
  </si>
  <si>
    <t>ITQE-Ph2b</t>
  </si>
  <si>
    <t>Ph 2b</t>
  </si>
  <si>
    <t>Package Release [ Complete the project by Q3]</t>
  </si>
  <si>
    <t>Tower—05 | Habitable Level 01</t>
  </si>
  <si>
    <t>Tower—06 | Habitable Level 01</t>
  </si>
  <si>
    <t>Tower—07 | Habitable Level 01</t>
  </si>
  <si>
    <t>Tower—05 | Building Envelope and Common Areas [Penthouse Levels And Terrace Level]</t>
  </si>
  <si>
    <t>Tower—06 | Building Envelope and Common Areas [Penthouse Levels And Terrace Level]</t>
  </si>
  <si>
    <t>Tower—07 | Building Envelope and Common Areas [Penthouse Levels And Terrace Level]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</si>
  <si>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</si>
  <si>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</si>
  <si>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</si>
  <si>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</si>
  <si>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</si>
  <si>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</si>
  <si>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</si>
  <si>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L25 Default and it's variants</t>
  </si>
  <si>
    <t>Tower 05 | Habitable Level - Even</t>
  </si>
  <si>
    <t>Tower 05 | Habitable Level - Odd</t>
  </si>
  <si>
    <t>Tower 06 | Habitable Level - Even</t>
  </si>
  <si>
    <t>Tower 06 | Habitable Level - Odd</t>
  </si>
  <si>
    <t>Tower 07 | Habitable Level - Even</t>
  </si>
  <si>
    <t>Tower 07 | Habitable Level - Odd</t>
  </si>
  <si>
    <t>ISS5&amp;6 | Structrural Slab 01 [Basement]</t>
  </si>
  <si>
    <t>ISS 7 | Foundations &amp; Sub|Grade</t>
  </si>
  <si>
    <t xml:space="preserve">ISS 7 | Structrural Slab 01 [Basement] </t>
  </si>
  <si>
    <t>Tower 05 | Terrace Level</t>
  </si>
  <si>
    <t>Tower 06 | Terrace Level</t>
  </si>
  <si>
    <t>Tower 07 | Terrace Level</t>
  </si>
  <si>
    <t>ISS5&amp;6 | Podium Slab</t>
  </si>
  <si>
    <t>ISS -5 &amp; 6 | Structrural Slab 01 [Basement]</t>
  </si>
  <si>
    <t>ISS -7 | Structrural Slab 01 [Basement]</t>
  </si>
  <si>
    <t>Masterplan | Site MEP</t>
  </si>
  <si>
    <t>ItQE-Ph2c [T9]</t>
  </si>
  <si>
    <t>Package Release [LoD 350-ISS, Habitable Level 11-20]</t>
  </si>
  <si>
    <t>LoD 350 - ISS, Habitable Level 11-20</t>
  </si>
  <si>
    <t>ISS 9 | Foundations &amp; Grade Slab</t>
  </si>
  <si>
    <t>ISS 9 | Parking level Subgrade</t>
  </si>
  <si>
    <t>ISS 9 | Podium Slab</t>
  </si>
  <si>
    <t>ISS 9 | Building Envelope and Common Areas</t>
  </si>
  <si>
    <t>Tower 9 | Foundation and Grade Slab</t>
  </si>
  <si>
    <t>Tower 9 | Parking Level-Sub grade</t>
  </si>
  <si>
    <t>Tower 9 | Building Envelope and Common Areas [Basement]</t>
  </si>
  <si>
    <t>Tower 9 | Habitable Level 01 + Tower MEP</t>
  </si>
  <si>
    <t>Tower 9 | Habitable Level 2-10</t>
  </si>
  <si>
    <t>Tower 9 | Habitable Level 11-20</t>
  </si>
  <si>
    <t>ISS 9 | Earthwork</t>
  </si>
  <si>
    <t>OTR-Ph01</t>
  </si>
  <si>
    <t>Individual Homes | V25 Default &amp; its Variant</t>
  </si>
  <si>
    <t>Villa Block | Building Envelope + Plot Development</t>
  </si>
  <si>
    <t>Experience Home + Project Experience</t>
  </si>
  <si>
    <t>Villa Block | Super Structure</t>
  </si>
  <si>
    <t>Amenities &amp; Facilities | Community spaces [Board Walk, Children play area]</t>
  </si>
  <si>
    <t>TuiG</t>
  </si>
  <si>
    <t>Package Release [Complete LoD 350 by Q2]</t>
  </si>
  <si>
    <t>Master Planning</t>
  </si>
  <si>
    <t>Archives</t>
  </si>
  <si>
    <t>Om Prakash</t>
  </si>
  <si>
    <t>Clubhouse—Structure and Envelope</t>
  </si>
  <si>
    <t>Try for atleast 1st slab release by Q1 2026</t>
  </si>
  <si>
    <t>Will be closed Q4 2025</t>
  </si>
  <si>
    <t>Will be issued by Q4 2025</t>
  </si>
  <si>
    <t>TMFT-Ph 2</t>
  </si>
  <si>
    <t>Package Release [Complete LoD 350 by Q4 2025]</t>
  </si>
  <si>
    <t>LoD 350 - Site Development</t>
  </si>
  <si>
    <t>DBTW</t>
  </si>
  <si>
    <t>we need to cricle back based on centralised AC</t>
  </si>
  <si>
    <t xml:space="preserve">Complete the project </t>
  </si>
  <si>
    <t>LoD 350 - Master Plan - Site Development</t>
  </si>
  <si>
    <t>`</t>
  </si>
  <si>
    <t>LoD 350 - Master Plan - Site MEP</t>
  </si>
  <si>
    <t>LoD 350 - Master Plan - Landscaping</t>
  </si>
  <si>
    <t>LoD 350 - Clubhouse—Interiors and Facilities</t>
  </si>
  <si>
    <t>LoD 350 - Community spaces [Board Walk, Children play area,OAT]</t>
  </si>
  <si>
    <t>LoD 350 - Sporting Facilities</t>
  </si>
  <si>
    <t>LoD 350 - Tower 06 - Foundation and Grade Slab</t>
  </si>
  <si>
    <t>will be completed by Q4 2025</t>
  </si>
  <si>
    <t>LoD 350 - ISS - Foundations &amp; Grade Slab</t>
  </si>
  <si>
    <t>LoD 350 - ISS - Podium Slab</t>
  </si>
  <si>
    <t>LoD 350 - Home Products - I20 Default and it's variants</t>
  </si>
  <si>
    <t>Close Jan 26</t>
  </si>
  <si>
    <t>LoD 350 - Home Products - I25 Default and it's variants</t>
  </si>
  <si>
    <t>LoD 350 - Clubhouse—Structure and Envelope</t>
  </si>
  <si>
    <t>LoD 350 - Clubhouse—Outdoor Spaces and Pool</t>
  </si>
  <si>
    <t>LoD 300 - Pre Construction Set [Podium]</t>
  </si>
  <si>
    <t>LoD 350 - ISS - Structrural Slab 01 [Basement]</t>
  </si>
  <si>
    <t>LoD 350 - Tower-1-Habitable Level - Even</t>
  </si>
  <si>
    <t>LoD 350 - Tower-1-Habitable Level - Odd</t>
  </si>
  <si>
    <t>LoD 350 - Tower-1-Terrace Level</t>
  </si>
  <si>
    <t>LoD 350 - Tower-2-Habitable Level 01</t>
  </si>
  <si>
    <t>LoD 350 - Tower-2-Habitable Level - Even</t>
  </si>
  <si>
    <t>LoD 350 - Tower-2-Habitable Level - Odd</t>
  </si>
  <si>
    <t>LoD 350 - Tower-2-Terrace Level</t>
  </si>
  <si>
    <t>LoD 350 - Tower-3-Habitable Level 01</t>
  </si>
  <si>
    <t/>
  </si>
  <si>
    <t>LoD 350 - Tower-3-Habitable Level - Even</t>
  </si>
  <si>
    <t>LoD 350 - Tower-3-Habitable Level - Odd</t>
  </si>
  <si>
    <t>LoD 350 - Tower-3-Terrace Level</t>
  </si>
  <si>
    <t>LoD 350 - Tower-4-Habitable Level 01</t>
  </si>
  <si>
    <t>LoD 350 - Tower-4-Habitable Level - Even</t>
  </si>
  <si>
    <t>LoD 350 - Tower-4-Habitable Level - Odd</t>
  </si>
  <si>
    <t>LoD 350 - Tower-4-Terrace Level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</si>
  <si>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</si>
  <si>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</si>
  <si>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</si>
  <si>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</si>
  <si>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Tower-5-Terrace Level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</si>
  <si>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</si>
  <si>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</si>
  <si>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</si>
  <si>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</si>
  <si>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</si>
  <si>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06-Terrace Level</t>
  </si>
  <si>
    <t>LoD 350 - Site MEP</t>
  </si>
  <si>
    <t>LoD 350 - Master Plan- Master Plan</t>
  </si>
  <si>
    <t>LoD 350 - Master Plan - Master Plan</t>
  </si>
  <si>
    <t>SftW</t>
  </si>
  <si>
    <t>Package Release [Complete the project by Q2]</t>
  </si>
  <si>
    <t>ISS 01 - Podium Slab</t>
  </si>
  <si>
    <t>Clubhouse + Amenities - Community spaces [Board Walk, Children play area]</t>
  </si>
  <si>
    <t>Tower 02 - Terrace Level</t>
  </si>
  <si>
    <t>Tower 03 - Building Envelope and Common Areas [Basement]</t>
  </si>
  <si>
    <t>Tower 03 - Building Envelope and Common Areas [Typical Tower Levels]</t>
  </si>
  <si>
    <t>ISS 01 - Building Envelope and Common Areas</t>
  </si>
  <si>
    <t>Tower 2 - Terrace Level</t>
  </si>
  <si>
    <t>Clubhouse - Community spaces [Board Walk, Children play area,OAT]</t>
  </si>
  <si>
    <t>Clubhouse—Sporting Facilities</t>
  </si>
  <si>
    <t>MEP | Master Plan - Site MEP</t>
  </si>
  <si>
    <t>MEP | Clubhouse—Sporting Facilities</t>
  </si>
  <si>
    <t>LGCE Campus</t>
  </si>
  <si>
    <t>Package Release [Complete the project by Q4]</t>
  </si>
  <si>
    <t>Design Brief</t>
  </si>
  <si>
    <t>LoD 200 - Schematic Concept</t>
  </si>
  <si>
    <t>LoD 300 - Pre Construction set</t>
  </si>
  <si>
    <t>LoD 350 - Foundation and Structure</t>
  </si>
  <si>
    <t>LoD 350 - Building Envelope &amp; Common Areas</t>
  </si>
  <si>
    <t>LoD 350 - MasterPlan</t>
  </si>
  <si>
    <t>LoD 350 - Interiors</t>
  </si>
  <si>
    <t>Ooty Res</t>
  </si>
  <si>
    <t>Manik G</t>
  </si>
  <si>
    <t>LoD 350 - Building Envelope + Plot Development</t>
  </si>
  <si>
    <t>MT Plano</t>
  </si>
  <si>
    <t>Package Release [Complete the project by Q3]</t>
  </si>
  <si>
    <t>MeenaSai Res</t>
  </si>
  <si>
    <t>MS Res</t>
  </si>
  <si>
    <t>Complete the project by Q3</t>
  </si>
  <si>
    <t>NH Homestay</t>
  </si>
  <si>
    <t>NH HS</t>
  </si>
  <si>
    <t>Complete the project by Q1 [except LoD 350 - Interiors - Q2]</t>
  </si>
  <si>
    <t>TMFT- Site development</t>
  </si>
  <si>
    <t>Indiranagar Res</t>
  </si>
  <si>
    <t>Indrng Res</t>
  </si>
  <si>
    <t>Full kit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</si>
  <si>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</si>
  <si>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</si>
  <si>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</si>
  <si>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</si>
  <si>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</si>
  <si>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OTR Museum</t>
  </si>
  <si>
    <t>OTR Mus</t>
  </si>
  <si>
    <t>ITQE - Rework</t>
  </si>
  <si>
    <t>Fullkit Homes</t>
  </si>
  <si>
    <t>FKH</t>
  </si>
  <si>
    <t>Package Release</t>
  </si>
  <si>
    <t>Atul P</t>
  </si>
  <si>
    <t>TuiG [M20, M30 and M40]</t>
  </si>
  <si>
    <t>Harohalli</t>
  </si>
  <si>
    <t>Harohalli [M30, M40 and V50]</t>
  </si>
  <si>
    <t>Violet Hill</t>
  </si>
  <si>
    <t>Violet Hill [Product?]</t>
  </si>
  <si>
    <t>Shreegaon</t>
  </si>
  <si>
    <t>Shreegaon [V50]</t>
  </si>
  <si>
    <t>OTF</t>
  </si>
  <si>
    <t>One Tiny Flower [V50 D and V50 U]</t>
  </si>
  <si>
    <t>Poinciana</t>
  </si>
  <si>
    <t>Rework Pkgs</t>
  </si>
  <si>
    <t>Rwrk</t>
  </si>
  <si>
    <t>STR Package Release [Parking level subgrade]</t>
  </si>
  <si>
    <t> </t>
  </si>
  <si>
    <t>ITQE-T05</t>
  </si>
  <si>
    <t>T05</t>
  </si>
  <si>
    <t>STR Package Release [Habitable Level 01]</t>
  </si>
  <si>
    <t>New Projects</t>
  </si>
  <si>
    <t>OTR-Ph02</t>
  </si>
  <si>
    <t>Package Release [Except Master plan and Amenities]</t>
  </si>
  <si>
    <t>135/2B2 &amp; 2B3</t>
  </si>
  <si>
    <t>Complete the Project</t>
  </si>
  <si>
    <t>Contract + Design Brief</t>
  </si>
  <si>
    <t>Marketing and Sales</t>
  </si>
  <si>
    <t>Villa Block | Foundations and Sub-Grade structure</t>
  </si>
  <si>
    <t>Master Plan | Master Plan</t>
  </si>
  <si>
    <t>Master Plan | Site Development- 02 Road works</t>
  </si>
  <si>
    <t>Master Plan | Site MEP- 03 Utilities</t>
  </si>
  <si>
    <t>Master Plan | Site Development- 04 Site Structures</t>
  </si>
  <si>
    <t>Schematic Concept - CH</t>
  </si>
  <si>
    <t>Approvals - CH</t>
  </si>
  <si>
    <t>Pre Construction Set - CH</t>
  </si>
  <si>
    <t>Clubhouse + Amenities | Clubhouse—Structure and Envelope</t>
  </si>
  <si>
    <t>Clubhouse + Amenities | Clubhouse—Interiors and Facilities</t>
  </si>
  <si>
    <t>Clubhouse + Amenities | Clubhouse—Outdoor Spaces and pool</t>
  </si>
  <si>
    <t>Clubhouse + Amenities | Community spaces [Board Walk, Children play area]</t>
  </si>
  <si>
    <t>Clubhouse + Amenities | Sporting Facilities</t>
  </si>
  <si>
    <t>TMFT-Ph 3</t>
  </si>
  <si>
    <t>Package Release [Dsgn Brf, LOD 200, Approvals, LOD 300]</t>
  </si>
  <si>
    <t>Conversion</t>
  </si>
  <si>
    <t>[Dsgn Brf, LOD 200, Approvals, LOD 300, LOD 350]</t>
  </si>
  <si>
    <t>Preconstruction</t>
  </si>
  <si>
    <t>Project Entrance</t>
  </si>
  <si>
    <t>Foundation and Grade Slab</t>
  </si>
  <si>
    <t>Parking Level-Sub grade</t>
  </si>
  <si>
    <t>Building Envelope and Common Areas [Basement]</t>
  </si>
  <si>
    <t>Habitable Levels</t>
  </si>
  <si>
    <t>Site Development- 02 Road works</t>
  </si>
  <si>
    <t>[LOD 200, LOD 300, LOD350]</t>
  </si>
  <si>
    <t>[LOD 200, Approvals, LOD 300, LOD 350]</t>
  </si>
  <si>
    <t>ItQE-Ph3a [T10-12 &amp; 31 Villas]</t>
  </si>
  <si>
    <t>Ph 3a</t>
  </si>
  <si>
    <t>Package Release [LoD 350-ISS, Habitable Level 2-10]</t>
  </si>
  <si>
    <t>T 10-12 &amp; 31 Villas moved to New Projects</t>
  </si>
  <si>
    <t>LoD 350 - ISS, Habitable Level 2-10</t>
  </si>
  <si>
    <t>ISS 10 | Foundations &amp; Grade Slab</t>
  </si>
  <si>
    <t>ISS 10 | Parking level Subgrade</t>
  </si>
  <si>
    <t>ISS 10 | Podium Slab</t>
  </si>
  <si>
    <t>ISS 10 | Building Envelope and Common Areas</t>
  </si>
  <si>
    <t>ISS 11 | Foundations &amp; Grade Slab</t>
  </si>
  <si>
    <t>ISS 11 | Parking level Subgrade</t>
  </si>
  <si>
    <t>ISS 11 | Podium Slab</t>
  </si>
  <si>
    <t>ISS 11 | Building Envelope and Common Areas</t>
  </si>
  <si>
    <t>ISS 12 | Foundations &amp; Grade Slab</t>
  </si>
  <si>
    <t>ISS 12 | Parking level Subgrade</t>
  </si>
  <si>
    <t>ISS 12 | Podium Slab</t>
  </si>
  <si>
    <t>ISS 12 | Building Envelope and Common Areas</t>
  </si>
  <si>
    <t>Tower 10 | Foundation and Grade Slab</t>
  </si>
  <si>
    <t>Tower 10 | Parking Level-Sub grade</t>
  </si>
  <si>
    <t>Tower 10 | Building Envelope and Common Areas [Basement]</t>
  </si>
  <si>
    <t>Tower 10 | Habitable Level 01 + Tower MEP</t>
  </si>
  <si>
    <t>Tower 10 | Habitable Level 2-10</t>
  </si>
  <si>
    <t>Tower 11 | Foundation and Grade Slab</t>
  </si>
  <si>
    <t>Tower 11 | Parking Level-Sub grade</t>
  </si>
  <si>
    <t>Tower 11 | Building Envelope and Common Areas [Basement]</t>
  </si>
  <si>
    <t>Tower 11 | Habitable Level 01 + Tower MEP</t>
  </si>
  <si>
    <t>Tower 11 | Habitable Level 2-10</t>
  </si>
  <si>
    <t>Tower 12 | Foundation and Grade Slab</t>
  </si>
  <si>
    <t>Tower 12 | Parking Level-Sub grade</t>
  </si>
  <si>
    <t>Tower 12 | Building Envelope and Common Areas [Basement]</t>
  </si>
  <si>
    <t>Tower 12 | Habitable Level 01 + Tower MEP</t>
  </si>
  <si>
    <t>Tower 12 | Habitable Level 2-10</t>
  </si>
  <si>
    <t>ISS 10 | Earthwork</t>
  </si>
  <si>
    <t>ISS 11 | Earthwork</t>
  </si>
  <si>
    <t>ISS 12 | Earthwork</t>
  </si>
  <si>
    <t>Sarjapur Road [South Block-Resi]</t>
  </si>
  <si>
    <t>Srjp - Res</t>
  </si>
  <si>
    <t>Package Release [LOD 350 - Towers, Experience Homes, Clubhouse and Approvals by Q4]</t>
  </si>
  <si>
    <t>203/6</t>
  </si>
  <si>
    <t>[LOD 350 - Towers, Experience Homes and Approvals]</t>
  </si>
  <si>
    <t>T1 | Foundation and Grade Slab</t>
  </si>
  <si>
    <t>T1 | Parking Level-Sub grade</t>
  </si>
  <si>
    <t>T1 | Building Envelope and Common Areas [Basement]</t>
  </si>
  <si>
    <t>T1 | Habitable Level 01</t>
  </si>
  <si>
    <t>T1 | Habitable Level - 2-10</t>
  </si>
  <si>
    <t>T1 | Building Envelope and Common Areas [Typical Tower Levels]</t>
  </si>
  <si>
    <t>T2 | Foundation and Grade Slab</t>
  </si>
  <si>
    <t>T2 | Parking Level-Sub grade</t>
  </si>
  <si>
    <t>T2 | Building Envelope and Common Areas [Basement]</t>
  </si>
  <si>
    <t>T2 | Habitable Level 01</t>
  </si>
  <si>
    <t>T2 | Habitable Level - 2-10</t>
  </si>
  <si>
    <t>T2 | Building Envelope and Common Areas [Typical Tower Levels]</t>
  </si>
  <si>
    <t>T3 | Foundation and Grade Slab</t>
  </si>
  <si>
    <t>T3 | Parking Level-Sub grade</t>
  </si>
  <si>
    <t>T3 | Building Envelope and Common Areas [Basement]</t>
  </si>
  <si>
    <t>T3 | Habitable Level 01</t>
  </si>
  <si>
    <t>T3 | Habitable Level - 2-10</t>
  </si>
  <si>
    <t>T3 | Building Envelope and Common Areas [Typical Tower Levels]</t>
  </si>
  <si>
    <t>CH - Schematic Concept</t>
  </si>
  <si>
    <t>CH - Pre Construction Set</t>
  </si>
  <si>
    <t>CH - Approvals</t>
  </si>
  <si>
    <t>T1 |Parking Level-Sub grade</t>
  </si>
  <si>
    <t xml:space="preserve">T1 |Habitable Level 01 </t>
  </si>
  <si>
    <t>T1 |Habitable Level - 2-10</t>
  </si>
  <si>
    <t>T2 |Parking Level-Sub grade</t>
  </si>
  <si>
    <t xml:space="preserve">T2 |Habitable Level 01 </t>
  </si>
  <si>
    <t>T2 |Habitable Level - 2-10</t>
  </si>
  <si>
    <t>T3 |Parking Level-Sub grade</t>
  </si>
  <si>
    <t xml:space="preserve">T3 |Habitable Level 01 </t>
  </si>
  <si>
    <t>T3 |Habitable Level - 2-10</t>
  </si>
  <si>
    <t>T1 |Foundation and Grade Slab</t>
  </si>
  <si>
    <t>T1 |Habitable Level 01 + Tower MEP</t>
  </si>
  <si>
    <t>T2 |Foundation and Grade Slab</t>
  </si>
  <si>
    <t>T2 |Habitable Level 01 + Tower MEP</t>
  </si>
  <si>
    <t>T3 |Foundation and Grade Slab</t>
  </si>
  <si>
    <t>T3 |Habitable Level 01 + Tower MEP</t>
  </si>
  <si>
    <t>[LOD 350, Experience Homes and Approvals]</t>
  </si>
  <si>
    <t>Sarjapur - C (South Block)</t>
  </si>
  <si>
    <t>Srjp - C - SB</t>
  </si>
  <si>
    <t>Package Release [LOD 350 - Towers by Q4]</t>
  </si>
  <si>
    <t>[LOD 350 - Towers]</t>
  </si>
  <si>
    <t xml:space="preserve">Habitable Level 01 </t>
  </si>
  <si>
    <t>Habitable Level - 2-10</t>
  </si>
  <si>
    <t>Habitable Level 01 + Tower MEP</t>
  </si>
  <si>
    <t>Sarjapur - C (North Block)</t>
  </si>
  <si>
    <t>Srjp - C - NB</t>
  </si>
  <si>
    <t>ADLR issue</t>
  </si>
  <si>
    <t>[LOD 300]</t>
  </si>
  <si>
    <t>Package release [Except Amenities and Facilities]</t>
  </si>
  <si>
    <t>No issues</t>
  </si>
  <si>
    <t>[Dsgn Brf, LOD 200, Approvals, LOD 300, Project Entrance]</t>
  </si>
  <si>
    <t>Contract + Design Brief [Commercial]</t>
  </si>
  <si>
    <t xml:space="preserve">Approvals </t>
  </si>
  <si>
    <t xml:space="preserve">Pre Construction Set </t>
  </si>
  <si>
    <t>Experience Home + Project Entrance</t>
  </si>
  <si>
    <t>Infra - Grading</t>
  </si>
  <si>
    <t>Infra - MEP</t>
  </si>
  <si>
    <t>BOQ &amp; Technical Specifications</t>
  </si>
  <si>
    <t>Structures - Security Cabin and Entrance</t>
  </si>
  <si>
    <t>Infra - Plot Boundary &amp; Enclosures</t>
  </si>
  <si>
    <t>Infra - Signage &amp; Street Lighting</t>
  </si>
  <si>
    <t>Structures - Electrical Room &amp; Toilet Block</t>
  </si>
  <si>
    <t>Structures - UGT</t>
  </si>
  <si>
    <t>Structures - OHT</t>
  </si>
  <si>
    <t>Structures - STP</t>
  </si>
  <si>
    <t>Structures - OWC &amp; other structure</t>
  </si>
  <si>
    <t>[LOD 200, Approvals]</t>
  </si>
  <si>
    <t>Pre Construction set - CH</t>
  </si>
  <si>
    <t>[LOD 200, LOD 300]</t>
  </si>
  <si>
    <t>Project Experience</t>
  </si>
  <si>
    <t>[LOD 200, Approvals, LOD 300]</t>
  </si>
  <si>
    <t>Infra - Coordinated</t>
  </si>
  <si>
    <t>Harohalli [Plotted]</t>
  </si>
  <si>
    <t>Package Release [Dsgn Brf, LOD 200, Approvals, Exp, Package 1 -3 by Q4]</t>
  </si>
  <si>
    <t>LAQ by Feb 26</t>
  </si>
  <si>
    <t>[Dsgn Brf, LOD 200, Approvals, Exp]</t>
  </si>
  <si>
    <t>Pre-construction Set</t>
  </si>
  <si>
    <t>Marketing &amp; sales</t>
  </si>
  <si>
    <t>Infra-Grading</t>
  </si>
  <si>
    <t>Infra-MEP</t>
  </si>
  <si>
    <t>[LOD 200,Exp home]</t>
  </si>
  <si>
    <t>Landscape pocket 1 | Infra MEP</t>
  </si>
  <si>
    <t>Landscape pocket 2 | Infra Coordinated</t>
  </si>
  <si>
    <t>Landscape pocket 3 | Security Cabin &amp; Entrance</t>
  </si>
  <si>
    <t xml:space="preserve">Shreegaon [70a] </t>
  </si>
  <si>
    <t>Package Release [ Complete the project by Q4]</t>
  </si>
  <si>
    <t>No commitment until payment</t>
  </si>
  <si>
    <t>Complete the project [Except Master Archives]</t>
  </si>
  <si>
    <t>Violet hill</t>
  </si>
  <si>
    <t>RERA by Jan 26</t>
  </si>
  <si>
    <t>Schematic Concept [Rework]</t>
  </si>
  <si>
    <t>Approvals [Rework]</t>
  </si>
  <si>
    <t>Structures - Security Cabin and Entrance [Rework]</t>
  </si>
  <si>
    <t>Clubhouse—Outdoor Spaces and pool</t>
  </si>
  <si>
    <t>Community spaces [Children play area, Open Park space]</t>
  </si>
  <si>
    <t>Appr</t>
  </si>
  <si>
    <t>Ambegaon</t>
  </si>
  <si>
    <t xml:space="preserve">                                                   </t>
  </si>
  <si>
    <t>Package Release [Dsgn Brf, LOD 200, Approvals]</t>
  </si>
  <si>
    <t>Dormant</t>
  </si>
  <si>
    <t>[LOD 200]</t>
  </si>
  <si>
    <t>Mall of Asia</t>
  </si>
  <si>
    <t>Package Release [Dsgn Brf, LOD 200, Approvals, Exp home]</t>
  </si>
  <si>
    <t>TSR wip</t>
  </si>
  <si>
    <t>[Dsgn Brf, LOD 200, Approvals, LOD 300]</t>
  </si>
  <si>
    <t>[ LOD 200, Approvals, LOD 300]</t>
  </si>
  <si>
    <t>TR Mills Chamarajpet</t>
  </si>
  <si>
    <t>TR Mills</t>
  </si>
  <si>
    <t xml:space="preserve">TR Mills </t>
  </si>
  <si>
    <t xml:space="preserve">Contract + Design Brief </t>
  </si>
  <si>
    <t>KIADB - Mys</t>
  </si>
  <si>
    <t>Complete the project by Q4</t>
  </si>
  <si>
    <t>LoD 350 - Building Envelope + Common Areas</t>
  </si>
  <si>
    <t>LoD 350 - Masterplan</t>
  </si>
  <si>
    <t>Imagine Campus</t>
  </si>
  <si>
    <t>Imgn</t>
  </si>
  <si>
    <t>LoD 350 - Foundation and Grade Slab</t>
  </si>
  <si>
    <t>LoD 350 - Parking Level-Sub grade</t>
  </si>
  <si>
    <t>OtR OOTA</t>
  </si>
  <si>
    <t>OTR OOTA</t>
  </si>
  <si>
    <t>Package Release [Complete LOD 100 by Q1]</t>
  </si>
  <si>
    <t>NH10a Sultanpet</t>
  </si>
  <si>
    <t>NH10a</t>
  </si>
  <si>
    <t>Package Release[Dsgn Brf, LOD 200, Approvals, LOD 300]</t>
  </si>
  <si>
    <t>Vaderahalli</t>
  </si>
  <si>
    <t>Vdrhl</t>
  </si>
  <si>
    <t>Package release [LoD 300 by Q4]</t>
  </si>
  <si>
    <t>Only CLU</t>
  </si>
  <si>
    <t>Vdrhl-Res</t>
  </si>
  <si>
    <t>[Dsgn Brf, LoD 200, Approvals, LoD 300]</t>
  </si>
  <si>
    <t>Vdrhl-Cmrcl</t>
  </si>
  <si>
    <t>[Dsgn Brf, LoD 200, LoD 300]</t>
  </si>
  <si>
    <t>[LoD 200, LoD 300]</t>
  </si>
  <si>
    <t>[LoD 200, Approvals, LoD 300]</t>
  </si>
  <si>
    <t>DonaPaula</t>
  </si>
  <si>
    <t>DP</t>
  </si>
  <si>
    <t>Package release [LOD 200, Approvals, LOD 300, Experience home by Q2]</t>
  </si>
  <si>
    <t>[ Approvals,LOD 300, Exp home, LOD350]</t>
  </si>
  <si>
    <t>Schematic Concept .v7 [Rework]</t>
  </si>
  <si>
    <t>Experience home</t>
  </si>
  <si>
    <t>Tower A - Foundation and Grade Slab</t>
  </si>
  <si>
    <t>Tower A - Parking Level-Sub grade</t>
  </si>
  <si>
    <t>Tower A - Building Envelope and Common Areas [Basement]</t>
  </si>
  <si>
    <t>Tower A - Habitable Level 01 + Tower MEP</t>
  </si>
  <si>
    <t>Tower A - Habitable Level - 2-10</t>
  </si>
  <si>
    <t>Tower A - Habitable Level - 11-20</t>
  </si>
  <si>
    <t>Tower B - Foundation and Grade Slab</t>
  </si>
  <si>
    <t>Tower B - Parking Level-Sub grade</t>
  </si>
  <si>
    <t>Tower B - Building Envelope and Common Areas [Basement]</t>
  </si>
  <si>
    <t>Tower B - Habitable Level 01 + Tower MEP</t>
  </si>
  <si>
    <t>Tower B - Habitable Level - 2-10</t>
  </si>
  <si>
    <t>Tower B - Habitable Level - 11-20</t>
  </si>
  <si>
    <t>Tower C - Foundation and Grade Slab</t>
  </si>
  <si>
    <t>Tower C - Parking Level-Sub grade</t>
  </si>
  <si>
    <t>Tower D - Foundation and Grade Slab</t>
  </si>
  <si>
    <t>Tower D - Parking Level-Sub grade</t>
  </si>
  <si>
    <t>D35v4 Default and it's variants</t>
  </si>
  <si>
    <t>R10 Default and it's variants</t>
  </si>
  <si>
    <t>R20 Default and it's variants</t>
  </si>
  <si>
    <t>ISS 1- Foundation and Grade Slab</t>
  </si>
  <si>
    <t>ISS 2- Foundation and Grade Slab</t>
  </si>
  <si>
    <t>Site MEP- 03 Utilities</t>
  </si>
  <si>
    <t>Site Development- 04 Site Structures</t>
  </si>
  <si>
    <t>LoD 200 - Schematic Concept - CH</t>
  </si>
  <si>
    <t>LoD 300 - Pre Construction set - CH</t>
  </si>
  <si>
    <t>ISS 1- Earthwork</t>
  </si>
  <si>
    <t>ISS 2- Earthwork</t>
  </si>
  <si>
    <t>Site Development- 05 Signages</t>
  </si>
  <si>
    <t>[LOD 200, LOD 300, Approvals]</t>
  </si>
  <si>
    <t>NH37a [Acharalahalli]</t>
  </si>
  <si>
    <t>NH37a Ach</t>
  </si>
  <si>
    <t>Package Release [Dsgn Brf, LOD 200]</t>
  </si>
  <si>
    <t>[Dsgn Brf, LOD 100]</t>
  </si>
  <si>
    <t>[LOD 200, Proj Exp, LOD 300]</t>
  </si>
  <si>
    <t>[LOD 200, Approvals,Proj Exp, LOD 300]</t>
  </si>
  <si>
    <t>NH30a [Madakuhosahalli]</t>
  </si>
  <si>
    <t>NH30a MH</t>
  </si>
  <si>
    <t>Package release [Dsgn Brf, LOD 200, Approvals, LOD 300]</t>
  </si>
  <si>
    <t>Varthur 52a</t>
  </si>
  <si>
    <t>Vijayapura</t>
  </si>
  <si>
    <t>Package Release [Dsgn Brf, LoD 100]</t>
  </si>
  <si>
    <t>Savakanahalli</t>
  </si>
  <si>
    <t>Svknhli</t>
  </si>
  <si>
    <t>Package Release [Dsgn Brf, LOD 100]</t>
  </si>
  <si>
    <t>Aundh 3a</t>
  </si>
  <si>
    <t>Aundh [3a]</t>
  </si>
  <si>
    <t>[Dsgn Brf]</t>
  </si>
  <si>
    <t>Yadgarpalle</t>
  </si>
  <si>
    <t>Lonavala</t>
  </si>
  <si>
    <t>Jhanjh Lake [Mayfair]</t>
  </si>
  <si>
    <t>JL - MF</t>
  </si>
  <si>
    <t>Tmk33a</t>
  </si>
  <si>
    <t>Sarjapur - Plotted</t>
  </si>
  <si>
    <t>Srjp-P</t>
  </si>
  <si>
    <t>On Hold</t>
  </si>
  <si>
    <t>Windmils, SftW</t>
  </si>
  <si>
    <t>TBD with Kamal</t>
  </si>
  <si>
    <t>Windmils, Sftw</t>
  </si>
  <si>
    <t>Saideep reddy Res,Hyd</t>
  </si>
  <si>
    <t>Saideep Res</t>
  </si>
  <si>
    <t>TBC</t>
  </si>
  <si>
    <t>Package Release [Complete the Project by Q4]</t>
  </si>
  <si>
    <t>Saideep reddy Res</t>
  </si>
  <si>
    <t>5a GTC Indrngr</t>
  </si>
  <si>
    <t>5a GTC</t>
  </si>
  <si>
    <t>Complete the project [except LoD 350 - Interiors]</t>
  </si>
  <si>
    <t>Pkgs [2026]</t>
  </si>
  <si>
    <t>Billing [2026]</t>
  </si>
  <si>
    <t>Total Packages</t>
  </si>
  <si>
    <t>NA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</si>
  <si>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</si>
  <si>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</si>
  <si>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</si>
  <si>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</si>
  <si>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</si>
  <si>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</si>
  <si>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</si>
  <si>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</si>
  <si>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</si>
  <si>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</si>
  <si>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</si>
  <si>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</si>
  <si>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</si>
  <si>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</si>
  <si>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</si>
  <si>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</si>
  <si>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</si>
  <si>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</si>
  <si>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</si>
  <si>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</si>
  <si>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</si>
  <si>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</si>
  <si>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</si>
  <si>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</si>
  <si>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</si>
  <si>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</si>
  <si>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</si>
  <si>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</si>
  <si>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</si>
  <si>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</si>
  <si>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</si>
  <si>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</si>
  <si>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</si>
  <si>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</si>
  <si>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</si>
  <si>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OtF [Clubhouse LOD 200 and Approvals] [Pkgs 3]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</si>
  <si>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</si>
  <si>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</si>
  <si>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</si>
  <si>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</si>
  <si>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</si>
  <si>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</si>
  <si>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</si>
  <si>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</si>
  <si>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</si>
  <si>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</si>
  <si>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</si>
  <si>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</si>
  <si>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</si>
  <si>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</si>
  <si>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</si>
  <si>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</si>
  <si>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</si>
  <si>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</si>
  <si>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</si>
  <si>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</si>
  <si>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</si>
  <si>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</si>
  <si>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</si>
  <si>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</si>
  <si>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</si>
  <si>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</si>
  <si>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</si>
  <si>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</si>
  <si>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</si>
  <si>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</si>
  <si>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</si>
  <si>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</si>
  <si>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</si>
  <si>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</si>
  <si>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</si>
  <si>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</si>
  <si>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</si>
  <si>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</si>
  <si>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</si>
  <si>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</si>
  <si>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</si>
  <si>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</si>
  <si>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</si>
  <si>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</si>
  <si>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</si>
  <si>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</si>
  <si>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</si>
  <si>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</si>
  <si>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</si>
  <si>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</si>
  <si>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</si>
  <si>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</si>
  <si>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</si>
  <si>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</si>
  <si>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</si>
  <si>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</si>
  <si>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</si>
  <si>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</si>
  <si>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</si>
  <si>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</si>
  <si>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</si>
  <si>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</si>
  <si>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</si>
  <si>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</si>
  <si>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</si>
  <si>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</si>
  <si>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</si>
  <si>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</si>
  <si>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</si>
  <si>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</si>
  <si>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</si>
  <si>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</si>
  <si>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</si>
  <si>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</si>
  <si>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</si>
  <si>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</si>
  <si>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</si>
  <si>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</si>
  <si>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</si>
  <si>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</si>
  <si>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</si>
  <si>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</si>
  <si>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</si>
  <si>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</si>
  <si>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</si>
  <si>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</si>
  <si>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</si>
  <si>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</si>
  <si>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</si>
  <si>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</si>
  <si>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</si>
  <si>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</si>
  <si>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</si>
  <si>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</si>
  <si>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</si>
  <si>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</si>
  <si>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</si>
  <si>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</si>
  <si>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</si>
  <si>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</si>
  <si>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</si>
  <si>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</si>
  <si>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</si>
  <si>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</si>
  <si>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</si>
  <si>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</si>
  <si>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</si>
  <si>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</si>
  <si>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</si>
  <si>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</si>
  <si>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Atul</t>
  </si>
  <si>
    <t>Design 
[FKH, Units]</t>
  </si>
  <si>
    <t>[Experience Homes]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</si>
  <si>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</si>
  <si>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</si>
  <si>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</si>
  <si>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</si>
  <si>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</si>
  <si>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</si>
  <si>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</si>
  <si>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</si>
  <si>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ITQE Ph 2b</t>
  </si>
  <si>
    <t>Tower—05 | Terrace Level</t>
  </si>
  <si>
    <t>Tower—06 | Terrace Level</t>
  </si>
  <si>
    <t>Tower—07 | Terrace Level</t>
  </si>
  <si>
    <t>ISS 5&amp;6 | Foundations &amp; Sub-Grade</t>
  </si>
  <si>
    <t>ISS 7 | Foundations &amp; Sub-Grade</t>
  </si>
  <si>
    <t>Master Plan | Landscaping</t>
  </si>
  <si>
    <t>ITQE Ph 2c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</si>
  <si>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</si>
  <si>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</si>
  <si>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</si>
  <si>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</si>
  <si>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</si>
  <si>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37a Nandi Hiils [V] Hoysala</t>
  </si>
  <si>
    <t>NH37a [V]</t>
  </si>
  <si>
    <t>36a Nandi Hills [V] Madukosanahalli</t>
  </si>
  <si>
    <t>NH36a [V]</t>
  </si>
  <si>
    <t>OtR</t>
  </si>
  <si>
    <t>OtR Ph1</t>
  </si>
  <si>
    <t xml:space="preserve">Master Plan </t>
  </si>
  <si>
    <t xml:space="preserve">Site Development </t>
  </si>
  <si>
    <t>Landscaping</t>
  </si>
  <si>
    <t>OtR Ph2</t>
  </si>
  <si>
    <t>Meena &amp; Krishnasai Residence</t>
  </si>
  <si>
    <t>10a Nandi Hills [V] Sltnpt</t>
  </si>
  <si>
    <t>NH10a [V]</t>
  </si>
  <si>
    <t>Foundation + Subgrade</t>
  </si>
  <si>
    <t>Building envelope + Plot development</t>
  </si>
  <si>
    <t>Interiors</t>
  </si>
  <si>
    <t>OtR -Museum</t>
  </si>
  <si>
    <t xml:space="preserve">Vaderahalli </t>
  </si>
  <si>
    <t>Units</t>
  </si>
  <si>
    <t>OtR | Villa -22- Personalised design</t>
  </si>
  <si>
    <t>Design 
[TMFT | SFTW | DBTW | TUIG]</t>
  </si>
  <si>
    <t>TMFT - Ph3</t>
  </si>
  <si>
    <t>SFTW</t>
  </si>
  <si>
    <t>Community spaces [Board Walk, Children play area,OAT]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</si>
  <si>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</si>
  <si>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</si>
  <si>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</si>
  <si>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</si>
  <si>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</si>
  <si>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</si>
  <si>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</si>
  <si>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</si>
  <si>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</si>
  <si>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</si>
  <si>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</si>
  <si>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</si>
  <si>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</si>
  <si>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</si>
  <si>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</si>
  <si>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</si>
  <si>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</si>
  <si>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</si>
  <si>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</si>
  <si>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</si>
  <si>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</si>
  <si>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</si>
  <si>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</si>
  <si>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</si>
  <si>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</si>
  <si>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</si>
  <si>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Savakanhli</t>
  </si>
  <si>
    <t>Schematic concept - CH</t>
  </si>
  <si>
    <t>Project Experience - Entrance portal</t>
  </si>
  <si>
    <t>37a Nandi Hills [V] Hoysala</t>
  </si>
  <si>
    <t>Approvals-CH</t>
  </si>
  <si>
    <t>OTF [Suntikoppa]</t>
  </si>
  <si>
    <t>Project Experience - Entrance Portal</t>
  </si>
  <si>
    <t>10a Nandi Hiils [V] Sltnpt</t>
  </si>
  <si>
    <t>LGCE</t>
  </si>
  <si>
    <t>Schematic concept</t>
  </si>
  <si>
    <t>Pre-construction set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</si>
  <si>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</si>
  <si>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</si>
  <si>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</si>
  <si>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</si>
  <si>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</si>
  <si>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</si>
  <si>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</si>
  <si>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</si>
  <si>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</si>
  <si>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</si>
  <si>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</si>
  <si>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</si>
  <si>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</si>
  <si>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</si>
  <si>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</si>
  <si>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</si>
  <si>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</si>
  <si>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</si>
  <si>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</si>
  <si>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</si>
  <si>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</si>
  <si>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</si>
  <si>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</si>
  <si>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</si>
  <si>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</si>
  <si>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</si>
  <si>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</si>
  <si>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</si>
  <si>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</si>
  <si>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</si>
  <si>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</si>
  <si>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</si>
  <si>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</si>
  <si>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PoaRR T08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</si>
  <si>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</si>
  <si>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</si>
  <si>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</si>
  <si>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</si>
  <si>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</si>
  <si>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</si>
  <si>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</si>
  <si>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</si>
  <si>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</si>
  <si>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</si>
  <si>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</si>
  <si>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</si>
  <si>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</si>
  <si>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</si>
  <si>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</si>
  <si>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</si>
  <si>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</si>
  <si>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</si>
  <si>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</si>
  <si>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</si>
  <si>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</si>
  <si>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</si>
  <si>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</si>
  <si>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</si>
  <si>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Approvals | v7</t>
  </si>
  <si>
    <t>OtF [Suntikoppa]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</si>
  <si>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</si>
  <si>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</si>
  <si>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</si>
  <si>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</si>
  <si>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</si>
  <si>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</si>
  <si>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</si>
  <si>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</si>
  <si>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</si>
  <si>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</si>
  <si>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</si>
  <si>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</si>
  <si>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</si>
  <si>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</si>
  <si>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</si>
  <si>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</si>
  <si>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</si>
  <si>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</si>
  <si>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</si>
  <si>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</si>
  <si>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</si>
  <si>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</si>
  <si>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</si>
  <si>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</si>
  <si>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</si>
  <si>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</si>
  <si>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</si>
  <si>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</si>
  <si>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</si>
  <si>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</si>
  <si>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</si>
  <si>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</si>
  <si>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</si>
  <si>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</si>
  <si>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</si>
  <si>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</si>
  <si>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</si>
  <si>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</si>
  <si>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</si>
  <si>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</si>
  <si>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</si>
  <si>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</si>
  <si>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</si>
  <si>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</si>
  <si>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</si>
  <si>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</si>
  <si>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</si>
  <si>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</si>
  <si>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</si>
  <si>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</si>
  <si>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</si>
  <si>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</si>
  <si>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</si>
  <si>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</si>
  <si>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</si>
  <si>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</si>
  <si>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</si>
  <si>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</si>
  <si>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</si>
  <si>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</si>
  <si>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</si>
  <si>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Design 
[MP+MEP+LS]</t>
  </si>
  <si>
    <t>[MP+MEP+LS]</t>
  </si>
  <si>
    <t>AtR Ph 1, 2a, 2b, 2c</t>
  </si>
  <si>
    <t>AtR-III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</si>
  <si>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</si>
  <si>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</si>
  <si>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</si>
  <si>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</si>
  <si>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</si>
  <si>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</si>
  <si>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</si>
  <si>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</si>
  <si>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</si>
  <si>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</si>
  <si>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</si>
  <si>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</si>
  <si>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</si>
  <si>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</si>
  <si>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</si>
  <si>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</si>
  <si>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</si>
  <si>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</si>
  <si>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Master Archives - Res</t>
  </si>
  <si>
    <t>T08 - ISS - Foundation and Gradeslab</t>
  </si>
  <si>
    <t>T08 - L20 Default and it's variants</t>
  </si>
  <si>
    <t>T08 - D35 Default and it's variants</t>
  </si>
  <si>
    <t>T08 Pre Construction</t>
  </si>
  <si>
    <t xml:space="preserve">Masterplan | Master Plan </t>
  </si>
  <si>
    <t>ISS -5 &amp; 6 | Podium Slab</t>
  </si>
  <si>
    <t>ISS -7 | Podium Slab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</si>
  <si>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</si>
  <si>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</si>
  <si>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</si>
  <si>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</si>
  <si>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</si>
  <si>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</si>
  <si>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</si>
  <si>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</si>
  <si>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</si>
  <si>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</si>
  <si>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</si>
  <si>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</si>
  <si>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</si>
  <si>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</si>
  <si>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NH-Homestay</t>
  </si>
  <si>
    <t>Constrcution GFC</t>
  </si>
  <si>
    <t>MT, Plano [Uma &amp; Kush]</t>
  </si>
  <si>
    <t>Tumkur</t>
  </si>
  <si>
    <t>Chamarajpet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</si>
  <si>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</si>
  <si>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</si>
  <si>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</si>
  <si>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</si>
  <si>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</si>
  <si>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</si>
  <si>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</si>
  <si>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</si>
  <si>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</si>
  <si>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</si>
  <si>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</si>
  <si>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</si>
  <si>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</si>
  <si>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</si>
  <si>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</si>
  <si>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</si>
  <si>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</si>
  <si>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</si>
  <si>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</si>
  <si>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</si>
  <si>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</si>
  <si>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</si>
  <si>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</si>
  <si>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</si>
  <si>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</si>
  <si>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</si>
  <si>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</si>
  <si>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</si>
  <si>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</si>
  <si>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</si>
  <si>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</si>
  <si>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</si>
  <si>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TMFT</t>
  </si>
  <si>
    <t>TMFT -2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</si>
  <si>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</si>
  <si>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</si>
  <si>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</si>
  <si>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</si>
  <si>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</si>
  <si>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</si>
  <si>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</si>
  <si>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</si>
  <si>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</si>
  <si>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</si>
  <si>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</si>
  <si>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</si>
  <si>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</si>
  <si>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</si>
  <si>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</si>
  <si>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</si>
  <si>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</si>
  <si>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</si>
  <si>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</si>
  <si>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</si>
  <si>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</si>
  <si>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</si>
  <si>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</si>
  <si>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</si>
  <si>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</si>
  <si>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</si>
  <si>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</si>
  <si>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</si>
  <si>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</si>
  <si>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</si>
  <si>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</si>
  <si>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</si>
  <si>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</si>
  <si>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</si>
  <si>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</si>
  <si>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</si>
  <si>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</si>
  <si>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</si>
  <si>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</si>
  <si>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</si>
  <si>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</si>
  <si>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</si>
  <si>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</si>
  <si>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</si>
  <si>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</si>
  <si>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</si>
  <si>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</si>
  <si>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</si>
  <si>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</si>
  <si>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</si>
  <si>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</si>
  <si>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</si>
  <si>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</si>
  <si>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</si>
  <si>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Talashet</t>
  </si>
  <si>
    <t>OTR - Museum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</si>
  <si>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</si>
  <si>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</si>
  <si>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</si>
  <si>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</si>
  <si>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</si>
  <si>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</si>
  <si>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</si>
  <si>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</si>
  <si>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</si>
  <si>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</si>
  <si>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</si>
  <si>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</si>
  <si>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</si>
  <si>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</si>
  <si>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</si>
  <si>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</si>
  <si>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</si>
  <si>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</si>
  <si>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</si>
  <si>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</si>
  <si>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</si>
  <si>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</si>
  <si>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</si>
  <si>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</si>
  <si>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</si>
  <si>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</si>
  <si>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</si>
  <si>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</si>
  <si>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</si>
  <si>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Leader</t>
  </si>
  <si>
    <t>Package</t>
  </si>
  <si>
    <t>Billing value</t>
  </si>
  <si>
    <t>Plan</t>
  </si>
  <si>
    <t>Actual</t>
  </si>
  <si>
    <t>Status</t>
  </si>
  <si>
    <t>GFC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</si>
  <si>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</si>
  <si>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</si>
  <si>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</si>
  <si>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</si>
  <si>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</si>
  <si>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</si>
  <si>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</si>
  <si>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</si>
  <si>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</si>
  <si>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</si>
  <si>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</si>
  <si>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</si>
  <si>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</si>
  <si>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</si>
  <si>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</si>
  <si>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</si>
  <si>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</si>
  <si>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</si>
  <si>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</si>
  <si>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</si>
  <si>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</si>
  <si>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</si>
  <si>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</si>
  <si>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</si>
  <si>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</si>
  <si>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</si>
  <si>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</si>
  <si>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</si>
  <si>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</si>
  <si>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</si>
  <si>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</si>
  <si>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</si>
  <si>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</si>
  <si>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</si>
  <si>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</si>
  <si>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</si>
  <si>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</si>
  <si>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</si>
  <si>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</si>
  <si>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</si>
  <si>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</si>
  <si>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</si>
  <si>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</si>
  <si>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</si>
  <si>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</si>
  <si>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</si>
  <si>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</si>
  <si>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</si>
  <si>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</si>
  <si>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</si>
  <si>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</si>
  <si>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</si>
  <si>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</si>
  <si>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</si>
  <si>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</si>
  <si>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</si>
  <si>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</si>
  <si>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</si>
  <si>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</si>
  <si>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</si>
  <si>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</si>
  <si>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</si>
  <si>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</si>
  <si>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</si>
  <si>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</si>
  <si>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</si>
  <si>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</si>
  <si>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</si>
  <si>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</si>
  <si>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Sarjapur [Koothaganahalli]</t>
  </si>
  <si>
    <t>Naya Raipur [Plots]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</si>
  <si>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</si>
  <si>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</si>
  <si>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</si>
  <si>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</si>
  <si>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</si>
  <si>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</si>
  <si>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</si>
  <si>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</si>
  <si>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</si>
  <si>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</si>
  <si>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</si>
  <si>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</si>
  <si>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</si>
  <si>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</si>
  <si>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</si>
  <si>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</si>
  <si>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</si>
  <si>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</si>
  <si>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</si>
  <si>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</si>
  <si>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</si>
  <si>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</si>
  <si>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</si>
  <si>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</si>
  <si>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</si>
  <si>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</si>
  <si>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</si>
  <si>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</si>
  <si>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</si>
  <si>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</si>
  <si>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</si>
  <si>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</si>
  <si>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</si>
  <si>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</si>
  <si>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</si>
  <si>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</si>
  <si>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</si>
  <si>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</si>
  <si>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</si>
  <si>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</si>
  <si>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</si>
  <si>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</si>
  <si>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</si>
  <si>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</si>
  <si>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</si>
  <si>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</si>
  <si>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</si>
  <si>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</si>
  <si>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</si>
  <si>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</si>
  <si>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</si>
  <si>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</si>
  <si>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</si>
  <si>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</si>
  <si>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</si>
  <si>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</si>
  <si>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</si>
  <si>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</si>
  <si>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</si>
  <si>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</si>
  <si>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</si>
  <si>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</si>
  <si>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</si>
  <si>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</si>
  <si>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</si>
  <si>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</si>
  <si>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</si>
  <si>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</si>
  <si>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</si>
  <si>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</si>
  <si>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</si>
  <si>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</si>
  <si>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</si>
  <si>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</si>
  <si>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</si>
  <si>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</si>
  <si>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</si>
  <si>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</si>
  <si>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</si>
  <si>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</si>
  <si>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</si>
  <si>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</si>
  <si>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</si>
  <si>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</si>
  <si>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</si>
  <si>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</si>
  <si>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</si>
  <si>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</si>
  <si>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</si>
  <si>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</si>
  <si>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</si>
  <si>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</si>
  <si>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</si>
  <si>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</si>
  <si>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</si>
  <si>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</si>
  <si>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</si>
  <si>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</si>
  <si>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</si>
  <si>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</si>
  <si>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</si>
  <si>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</si>
  <si>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</si>
  <si>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</si>
  <si>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</si>
  <si>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</si>
  <si>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</si>
  <si>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</si>
  <si>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</si>
  <si>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</si>
  <si>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</si>
  <si>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</si>
  <si>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</si>
  <si>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Sarj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</si>
  <si>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</si>
  <si>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</si>
  <si>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</si>
  <si>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</si>
  <si>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</si>
  <si>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</si>
  <si>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</si>
  <si>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</si>
  <si>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</si>
  <si>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</si>
  <si>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</si>
  <si>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</si>
  <si>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</si>
  <si>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</si>
  <si>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</si>
  <si>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</si>
  <si>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</si>
  <si>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</si>
  <si>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</si>
  <si>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</si>
  <si>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</si>
  <si>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</si>
  <si>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</si>
  <si>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</si>
  <si>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</si>
  <si>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</si>
  <si>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</si>
  <si>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</si>
  <si>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</si>
  <si>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</si>
  <si>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</si>
  <si>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</si>
  <si>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</si>
  <si>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</si>
  <si>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</si>
  <si>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</si>
  <si>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</si>
  <si>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</si>
  <si>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</si>
  <si>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</si>
  <si>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</si>
  <si>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</si>
  <si>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</si>
  <si>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</si>
  <si>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</si>
  <si>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 - 03</t>
  </si>
  <si>
    <t>PoaRR-T09</t>
  </si>
  <si>
    <t>PoaRR-Workcations</t>
  </si>
  <si>
    <t>ITQE-Ph2c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</si>
  <si>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</si>
  <si>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</si>
  <si>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</si>
  <si>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</si>
  <si>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</si>
  <si>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</si>
  <si>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</si>
  <si>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Tumkur 33a</t>
  </si>
  <si>
    <t>DsgnBld</t>
  </si>
  <si>
    <t>Swisstown</t>
  </si>
  <si>
    <t>New</t>
  </si>
  <si>
    <t>HPL</t>
  </si>
  <si>
    <t>Windmils, Hyd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</si>
  <si>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</si>
  <si>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</si>
  <si>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</si>
  <si>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</si>
  <si>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</si>
  <si>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</si>
  <si>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</si>
  <si>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</si>
  <si>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OTF | Design package release FY26-27 Q3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</si>
  <si>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</si>
  <si>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</si>
  <si>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</si>
  <si>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</si>
  <si>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</si>
  <si>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</si>
  <si>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</si>
  <si>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</si>
  <si>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</si>
  <si>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</si>
  <si>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</si>
  <si>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LOD 350 - MP Pkg 1, BB02 Pkg 1, Project Entrance</t>
  </si>
  <si>
    <t>LoD 100 - Contract + Design Brief [Commercial]</t>
  </si>
  <si>
    <t>Aswin J</t>
  </si>
  <si>
    <t xml:space="preserve">Step 1 </t>
  </si>
  <si>
    <t>Consultant contract- Site infrastructure (AUM)</t>
  </si>
  <si>
    <t>Advance Payment</t>
  </si>
  <si>
    <t>Step 2</t>
  </si>
  <si>
    <t xml:space="preserve">Sign off </t>
  </si>
  <si>
    <t>Step 3</t>
  </si>
  <si>
    <t>LoD 100 - Architectural Concept</t>
  </si>
  <si>
    <t>Site Grading, Traffic, Stormwater, Site infrastructure (PHE, Electrical) - Schematic design</t>
  </si>
  <si>
    <t>AUM Consultants</t>
  </si>
  <si>
    <t>Landscape - Irrigation plans, Planting layouts</t>
  </si>
  <si>
    <t>Lajja</t>
  </si>
  <si>
    <t xml:space="preserve">LoD 200 - Arch Schematic </t>
  </si>
  <si>
    <t>Coordinated Masterplan</t>
  </si>
  <si>
    <t>Mithoon</t>
  </si>
  <si>
    <t>Development Plan and CFE (Rework based on new ADLR Sketch)</t>
  </si>
  <si>
    <t>Aswin J/Bhavya / Eranna</t>
  </si>
  <si>
    <t>RERA (Based on CFE approvals)</t>
  </si>
  <si>
    <t>Aswin J/ Chandan</t>
  </si>
  <si>
    <t>LoD 300 - Pre Construction Set (Phase 1a &amp; Phase 1)</t>
  </si>
  <si>
    <t>Phase 1a- Project Entrance, Exp homes, Sales lounge, Site office
Phase 1- To be decided</t>
  </si>
  <si>
    <t>Phase 1- Phasing to be decided</t>
  </si>
  <si>
    <t>Paul</t>
  </si>
  <si>
    <t xml:space="preserve">Phase 1a- Site Infrastructure - Masterplan </t>
  </si>
  <si>
    <t xml:space="preserve">Road Grading, Retaining walls, Infra layouts, Chamber details, Storm drain network &amp; sewer layout and traffic circulations. </t>
  </si>
  <si>
    <t>Phase 1a- PHE and Electrical layout</t>
  </si>
  <si>
    <t>Eranna</t>
  </si>
  <si>
    <t>Equipement and cable routing layout, feeder pilars and earthing</t>
  </si>
  <si>
    <t>Step 4</t>
  </si>
  <si>
    <t xml:space="preserve">LoD 300 | Phase 1a - Masterplan </t>
  </si>
  <si>
    <t>Step 5</t>
  </si>
  <si>
    <t>LoD 300 | Phase 1a - General Arrangment plan</t>
  </si>
  <si>
    <t>Step 6</t>
  </si>
  <si>
    <t>LoD 300 | Phase 1a - Setting out plan</t>
  </si>
  <si>
    <t>Step 7</t>
  </si>
  <si>
    <t xml:space="preserve">LoD 300 | Phase 1a - Internal Signages, Street Fixtures </t>
  </si>
  <si>
    <t>Step 8</t>
  </si>
  <si>
    <t>LoD 300 | Phase 1a - Driveway Layouts</t>
  </si>
  <si>
    <t>LoD 200 - Marketing and Sales</t>
  </si>
  <si>
    <t>Rendered Masterplan based on new MP layout</t>
  </si>
  <si>
    <t xml:space="preserve">Visualization </t>
  </si>
  <si>
    <t>Sijo/Ashwin/ Aswin J</t>
  </si>
  <si>
    <t>Festival Street- 8 Views; Residential area- 5 views; Aerial Views- 3</t>
  </si>
  <si>
    <t>Walkthroughs</t>
  </si>
  <si>
    <t>LoD 350 - Project Entrance &amp; Phase 1a</t>
  </si>
  <si>
    <t>GFCs- Security cabin, Boundary wall, Project signage and Driveways (Phase 1a)</t>
  </si>
  <si>
    <t>Mithoon A/ Ojas V/ Aswin J</t>
  </si>
  <si>
    <t>GFC- MP Phase 1a (Setting out plans, signages, survey nos, setbacks and plot dimensions) - Dependency on AUM</t>
  </si>
  <si>
    <t>Aswin J/ AUM Consultants</t>
  </si>
  <si>
    <t>LoD 350 - BB02 | Festival Street - Retail Shops - Foundation and Structure</t>
  </si>
  <si>
    <t>Reviewing retail Module sketch with Shibanee ma'am (LoD100)</t>
  </si>
  <si>
    <t>Naveen Y/ Aswin J</t>
  </si>
  <si>
    <t xml:space="preserve">Structure Coordination </t>
  </si>
  <si>
    <t>Lincy R</t>
  </si>
  <si>
    <t>LoD 200- Developing the form, structure and internal layouts</t>
  </si>
  <si>
    <t xml:space="preserve">Lod 350- GFCs </t>
  </si>
  <si>
    <t>LoD 350 - Infra - Grading</t>
  </si>
  <si>
    <t>Coordinatiin with site infrastructure, MEP &amp; traffic circulation</t>
  </si>
  <si>
    <t xml:space="preserve">Coordinated GFCs based on shop drawings </t>
  </si>
  <si>
    <t>Aparna S</t>
  </si>
  <si>
    <t>Task Description</t>
  </si>
  <si>
    <t>User 1</t>
  </si>
  <si>
    <t>User 2</t>
  </si>
  <si>
    <t>Satish</t>
  </si>
  <si>
    <t>Alwin</t>
  </si>
  <si>
    <t>Raghav</t>
  </si>
  <si>
    <t>Darshan</t>
  </si>
  <si>
    <t>LoD 300 - Pre Construction Set</t>
  </si>
  <si>
    <t>LoD 350 - Project Entrance</t>
  </si>
  <si>
    <t>Lincy</t>
  </si>
  <si>
    <t>Charan</t>
  </si>
  <si>
    <t xml:space="preserve">Security cabin </t>
  </si>
  <si>
    <t>approval on drawings awaited (25 days for GFC)</t>
  </si>
  <si>
    <t>Sales lounge ?</t>
  </si>
  <si>
    <t>Standard drawings available (20 days GFC)</t>
  </si>
  <si>
    <t>Subrahmanya</t>
  </si>
  <si>
    <t>Modules - form and material to be finalised</t>
  </si>
  <si>
    <t>Details awaited (est duration after receving detials)</t>
  </si>
  <si>
    <t>LoD 350 - BB02 Pkg 1, Project Entrance</t>
  </si>
  <si>
    <t>Salomi</t>
  </si>
  <si>
    <t>Eranna
Bhavya
Hareesha</t>
  </si>
  <si>
    <t>Avinash
Prem
Matsarambabu</t>
  </si>
  <si>
    <t>Aproova</t>
  </si>
  <si>
    <t>Chetan</t>
  </si>
  <si>
    <t>Nihareeka</t>
  </si>
  <si>
    <t>Pre construction set</t>
  </si>
  <si>
    <t>OTF [V35]</t>
  </si>
  <si>
    <t>Shell + Interior GFC</t>
  </si>
  <si>
    <t>Design Specs + GFC</t>
  </si>
  <si>
    <t>Default Marketing BoQ</t>
  </si>
  <si>
    <t>OTF [V60]</t>
  </si>
  <si>
    <t>Blue in Green</t>
  </si>
  <si>
    <t>To be shared - Om Prakash</t>
  </si>
  <si>
    <t>BiG</t>
  </si>
  <si>
    <t>LoD 200 - Schematic Concept .v7 [Rework]</t>
  </si>
  <si>
    <t>Naveen KL</t>
  </si>
  <si>
    <t xml:space="preserve">Landlord to confirm </t>
  </si>
  <si>
    <t>Awaiting confirmation</t>
  </si>
  <si>
    <t>Arch LoD100 details required to initiate this package</t>
  </si>
  <si>
    <t>awaiting details from arch (estimated duration will be provided after checking the extent of works)</t>
  </si>
  <si>
    <t>Awaiting the AR details</t>
  </si>
  <si>
    <t>Master plan</t>
  </si>
  <si>
    <t>0099 | One Tiny Flower</t>
  </si>
  <si>
    <t>AR</t>
  </si>
  <si>
    <t>ST</t>
  </si>
  <si>
    <t>Completed</t>
  </si>
  <si>
    <t>Scope</t>
  </si>
  <si>
    <t>Pending</t>
  </si>
  <si>
    <t>DESIGN CONCEPT</t>
  </si>
  <si>
    <t>CONSTRUCTION DOCUMENTS</t>
  </si>
  <si>
    <t>GFC | Master Plan</t>
  </si>
  <si>
    <t>MP 01</t>
  </si>
  <si>
    <t>MP 02</t>
  </si>
  <si>
    <t>MP 03</t>
  </si>
  <si>
    <t>MP 04</t>
  </si>
  <si>
    <t>MP 05</t>
  </si>
  <si>
    <t>MP 06</t>
  </si>
  <si>
    <t>MP 07</t>
  </si>
  <si>
    <t>MP 08</t>
  </si>
  <si>
    <t>MP 09</t>
  </si>
  <si>
    <t>MP 10</t>
  </si>
  <si>
    <t>MP 11</t>
  </si>
  <si>
    <t>MP 12</t>
  </si>
  <si>
    <t>GFC | Home Products [FKH]</t>
  </si>
  <si>
    <t>AR-V35</t>
  </si>
  <si>
    <t>V35 - Product Package [FKH]</t>
  </si>
  <si>
    <t>AR-V60</t>
  </si>
  <si>
    <t>V60 - Product Package [FKH]</t>
  </si>
  <si>
    <t>GFC | F&amp;B Block</t>
  </si>
  <si>
    <t>AR-BB1-1</t>
  </si>
  <si>
    <t>Foundation and Structure</t>
  </si>
  <si>
    <t>AR-BB1-2</t>
  </si>
  <si>
    <t>Building Envelope + MEP</t>
  </si>
  <si>
    <t>AR-BB1-3</t>
  </si>
  <si>
    <t>GFC | Festival Street - Retail Shops</t>
  </si>
  <si>
    <t>AR-BB2-1</t>
  </si>
  <si>
    <t>AR-BB2-2</t>
  </si>
  <si>
    <t>AR-BB2-3</t>
  </si>
  <si>
    <t>GFC | Amenities &amp; Facilities</t>
  </si>
  <si>
    <t>AM 01</t>
  </si>
  <si>
    <t>AM 02</t>
  </si>
  <si>
    <t>AM 03</t>
  </si>
  <si>
    <t>AM 04</t>
  </si>
  <si>
    <t>AM 05</t>
  </si>
  <si>
    <t>POST-CONSTRUCTION</t>
  </si>
  <si>
    <t>MA</t>
  </si>
  <si>
    <t xml:space="preserve">Complete set of "As-Built" drawings, final BoQ and project costs, </t>
  </si>
  <si>
    <t>MAJOR REWORKS</t>
  </si>
  <si>
    <t>0098 | Blue in Green</t>
  </si>
  <si>
    <t xml:space="preserve">GFC | Tower -1 </t>
  </si>
  <si>
    <t>BB01-1</t>
  </si>
  <si>
    <t>BB01-2</t>
  </si>
  <si>
    <t>BB01-3</t>
  </si>
  <si>
    <t>BB01-4</t>
  </si>
  <si>
    <t>BB01-5</t>
  </si>
  <si>
    <t>BB01-6</t>
  </si>
  <si>
    <t>Habitable Level - 11-20</t>
  </si>
  <si>
    <t>BB01-7</t>
  </si>
  <si>
    <t>BB01-8</t>
  </si>
  <si>
    <t>BB01-9</t>
  </si>
  <si>
    <t>BB01-10</t>
  </si>
  <si>
    <t>GFC | Tower -2</t>
  </si>
  <si>
    <t>BB02-1</t>
  </si>
  <si>
    <t>BB02-2</t>
  </si>
  <si>
    <t>BB02-3</t>
  </si>
  <si>
    <t>BB02-4</t>
  </si>
  <si>
    <t>BB02-5</t>
  </si>
  <si>
    <t>BB02-6</t>
  </si>
  <si>
    <t>BB02-7</t>
  </si>
  <si>
    <t>BB02-8</t>
  </si>
  <si>
    <t>BB02-9</t>
  </si>
  <si>
    <t>BB02-10</t>
  </si>
  <si>
    <t>GFC | Tower -3</t>
  </si>
  <si>
    <t>BB03-1</t>
  </si>
  <si>
    <t>BB03-2</t>
  </si>
  <si>
    <t>BB03-3</t>
  </si>
  <si>
    <t>BB03-4</t>
  </si>
  <si>
    <t>BB03-5</t>
  </si>
  <si>
    <t>BB03-6</t>
  </si>
  <si>
    <t>BB03-7</t>
  </si>
  <si>
    <t>BB03-8</t>
  </si>
  <si>
    <t>BB03-9</t>
  </si>
  <si>
    <t>BB03-10</t>
  </si>
  <si>
    <t>GFC | Tower -4</t>
  </si>
  <si>
    <t>BB04-1</t>
  </si>
  <si>
    <t>BB04-2</t>
  </si>
  <si>
    <t>BB04-3</t>
  </si>
  <si>
    <t>BB04-4</t>
  </si>
  <si>
    <t>BB04-5</t>
  </si>
  <si>
    <t>BB04-6</t>
  </si>
  <si>
    <t>BB04-7</t>
  </si>
  <si>
    <t>BB04-8</t>
  </si>
  <si>
    <t>BB04-9</t>
  </si>
  <si>
    <t>BB04-10</t>
  </si>
  <si>
    <t>GFC | Tower -5</t>
  </si>
  <si>
    <t>BB05-1</t>
  </si>
  <si>
    <t>BB05-2</t>
  </si>
  <si>
    <t>BB05-3</t>
  </si>
  <si>
    <t>BB05-4</t>
  </si>
  <si>
    <t>BB05-5</t>
  </si>
  <si>
    <t>BB05-6</t>
  </si>
  <si>
    <t>BB05-7</t>
  </si>
  <si>
    <t>BB05-8</t>
  </si>
  <si>
    <t>BB05-9</t>
  </si>
  <si>
    <t>BB05-10</t>
  </si>
  <si>
    <t>GFC | Tower -6</t>
  </si>
  <si>
    <t>BB06-1</t>
  </si>
  <si>
    <t>BB06-2</t>
  </si>
  <si>
    <t>BB06-3</t>
  </si>
  <si>
    <t>BB06-4</t>
  </si>
  <si>
    <t>BB06-5</t>
  </si>
  <si>
    <t>BB06-6</t>
  </si>
  <si>
    <t>BB06-7</t>
  </si>
  <si>
    <t>BB06-8</t>
  </si>
  <si>
    <t>BB06-9</t>
  </si>
  <si>
    <t>BB06-10</t>
  </si>
  <si>
    <t>GFC | Independent Subgrade Structure - 1</t>
  </si>
  <si>
    <t>BB07-1</t>
  </si>
  <si>
    <t>Earthwork</t>
  </si>
  <si>
    <t>BB07-2</t>
  </si>
  <si>
    <t>BB07-3</t>
  </si>
  <si>
    <t xml:space="preserve">Parking Level Slab - Sub grade </t>
  </si>
  <si>
    <t>BB07-4</t>
  </si>
  <si>
    <t>BB07-5</t>
  </si>
  <si>
    <t>Building Envelope and Common Areas</t>
  </si>
  <si>
    <t>GFC | Independent Subgrade Structure - 2</t>
  </si>
  <si>
    <t>BB08-1</t>
  </si>
  <si>
    <t>BB08-2</t>
  </si>
  <si>
    <t>BB08-3</t>
  </si>
  <si>
    <t>BB08-4</t>
  </si>
  <si>
    <t>BB08-5</t>
  </si>
  <si>
    <t>Site Development- 06 Landscape</t>
  </si>
  <si>
    <t>GFC | Home Products</t>
  </si>
  <si>
    <t>D45-1</t>
  </si>
  <si>
    <t>D45 Default and it's variants</t>
  </si>
  <si>
    <t>R5-1</t>
  </si>
  <si>
    <t>R5 Default and it's variants</t>
  </si>
  <si>
    <t>R20-1</t>
  </si>
  <si>
    <t>D45P-1</t>
  </si>
  <si>
    <t>D45P Default and it's variants</t>
  </si>
  <si>
    <t>Plan 26Q1</t>
  </si>
  <si>
    <t>Actual 26Q1</t>
  </si>
  <si>
    <t>STR</t>
  </si>
  <si>
    <t>LDS</t>
  </si>
  <si>
    <t>Clubhouse—Interior &amp; Facilities</t>
  </si>
  <si>
    <t>LoD 350 - Clubhouse— Outdoor Spaces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</si>
  <si>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</si>
  <si>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</si>
  <si>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</si>
  <si>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</si>
  <si>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</si>
  <si>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</si>
  <si>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</si>
  <si>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</si>
  <si>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</si>
  <si>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</si>
  <si>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</si>
  <si>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</si>
  <si>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</si>
  <si>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</si>
  <si>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</si>
  <si>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</si>
  <si>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</si>
  <si>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</si>
  <si>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</si>
  <si>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</si>
  <si>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</si>
  <si>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</si>
  <si>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</si>
  <si>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</si>
  <si>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</si>
  <si>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</si>
  <si>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</si>
  <si>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</si>
  <si>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</si>
  <si>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</si>
  <si>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</si>
  <si>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</si>
  <si>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</si>
  <si>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</si>
  <si>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</si>
  <si>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</si>
  <si>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</si>
  <si>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</si>
  <si>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</si>
  <si>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</si>
  <si>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</si>
  <si>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</si>
  <si>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</si>
  <si>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</si>
  <si>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</si>
  <si>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</si>
  <si>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</si>
  <si>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</si>
  <si>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</si>
  <si>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</si>
  <si>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</si>
  <si>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</si>
  <si>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</si>
  <si>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</si>
  <si>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</si>
  <si>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</si>
  <si>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</si>
  <si>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</si>
  <si>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</si>
  <si>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</si>
  <si>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</si>
  <si>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</si>
  <si>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</si>
  <si>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</si>
  <si>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</si>
  <si>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</si>
  <si>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</si>
  <si>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</si>
  <si>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</si>
  <si>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</si>
  <si>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</si>
  <si>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</si>
  <si>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</si>
  <si>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</si>
  <si>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</si>
  <si>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</si>
  <si>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</si>
  <si>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</si>
  <si>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</si>
  <si>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</si>
  <si>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</si>
  <si>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</si>
  <si>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</si>
  <si>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</si>
  <si>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</si>
  <si>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</si>
  <si>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</si>
  <si>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</si>
  <si>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</si>
  <si>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</si>
  <si>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</si>
  <si>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</si>
  <si>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</si>
  <si>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</si>
  <si>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</si>
  <si>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</si>
  <si>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</si>
  <si>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PD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</si>
  <si>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</si>
  <si>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</si>
  <si>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</si>
  <si>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</si>
  <si>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</si>
  <si>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Personalised</t>
  </si>
  <si>
    <t>E-Design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</si>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</sst>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0.0000"/>
    <numFmt numFmtId="170" formatCode="_(* #,##0.0_);_(* \(#,##0.0\);_(* &quot;-&quot;??_);_(@_)"/>
    <numFmt numFmtId="171" formatCode="0%;\-0%;\-;@"/>
  </numFmts>
  <fonts count="127">
    <font>
      <sz val="10"/>
      <color theme="1"/>
      <name val="Meta-Normal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color rgb="FFFF000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b/>
      <sz val="10"/>
      <color rgb="FFFF0000"/>
      <name val="Meta-Normal"/>
      <family val="2"/>
    </font>
    <font>
      <b/>
      <sz val="10"/>
      <color theme="0"/>
      <name val="Meta-Normal"/>
    </font>
    <font>
      <b/>
      <sz val="10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sz val="10"/>
      <color theme="1"/>
      <name val="Helvetica Neue Light"/>
      <family val="2"/>
    </font>
    <font>
      <sz val="10"/>
      <name val="Meta-Normal"/>
      <family val="3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b/>
      <sz val="11"/>
      <color theme="1"/>
      <name val="Meta-Normal"/>
    </font>
    <font>
      <sz val="10"/>
      <color theme="4"/>
      <name val="Helvetica Neue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0">
    <xf numFmtId="0" fontId="0" fillId="0" borderId="0"/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844">
    <xf numFmtId="0" fontId="0" fillId="0" borderId="0" xfId="0"/>
    <xf numFmtId="0" fontId="90" fillId="3" borderId="1" xfId="0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right"/>
    </xf>
    <xf numFmtId="165" fontId="10" fillId="3" borderId="1" xfId="2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11" fillId="0" borderId="1" xfId="2" applyNumberFormat="1" applyFont="1" applyBorder="1" applyAlignment="1">
      <alignment horizontal="right"/>
    </xf>
    <xf numFmtId="0" fontId="8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0" borderId="4" xfId="0" applyFont="1" applyBorder="1"/>
    <xf numFmtId="0" fontId="11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3" fillId="0" borderId="1" xfId="0" applyFont="1" applyBorder="1"/>
    <xf numFmtId="0" fontId="11" fillId="4" borderId="1" xfId="0" applyFont="1" applyFill="1" applyBorder="1" applyAlignment="1">
      <alignment horizontal="left" vertical="center"/>
    </xf>
    <xf numFmtId="165" fontId="11" fillId="4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10" fillId="0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9" fillId="0" borderId="1" xfId="2" applyNumberFormat="1" applyFont="1" applyBorder="1" applyAlignment="1">
      <alignment horizontal="right"/>
    </xf>
    <xf numFmtId="165" fontId="8" fillId="0" borderId="1" xfId="2" applyNumberFormat="1" applyFont="1" applyFill="1" applyBorder="1" applyAlignment="1">
      <alignment horizontal="right"/>
    </xf>
    <xf numFmtId="0" fontId="10" fillId="0" borderId="8" xfId="11" applyFont="1" applyBorder="1" applyAlignment="1">
      <alignment vertical="center" wrapText="1"/>
    </xf>
    <xf numFmtId="165" fontId="10" fillId="0" borderId="1" xfId="2" applyNumberFormat="1" applyFont="1" applyBorder="1" applyAlignment="1">
      <alignment horizontal="center"/>
    </xf>
    <xf numFmtId="165" fontId="10" fillId="0" borderId="1" xfId="2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/>
    <xf numFmtId="165" fontId="8" fillId="0" borderId="1" xfId="2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10" fillId="0" borderId="0" xfId="11" applyFont="1" applyAlignment="1">
      <alignment vertical="center" wrapText="1"/>
    </xf>
    <xf numFmtId="49" fontId="8" fillId="0" borderId="1" xfId="0" applyNumberFormat="1" applyFont="1" applyBorder="1" applyAlignment="1">
      <alignment horizontal="left" wrapText="1"/>
    </xf>
    <xf numFmtId="0" fontId="17" fillId="2" borderId="4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 wrapText="1"/>
    </xf>
    <xf numFmtId="165" fontId="17" fillId="0" borderId="1" xfId="2" applyNumberFormat="1" applyFont="1" applyBorder="1" applyAlignment="1">
      <alignment horizontal="right"/>
    </xf>
    <xf numFmtId="165" fontId="18" fillId="3" borderId="1" xfId="2" applyNumberFormat="1" applyFont="1" applyFill="1" applyBorder="1" applyAlignment="1">
      <alignment horizontal="right"/>
    </xf>
    <xf numFmtId="165" fontId="17" fillId="2" borderId="1" xfId="2" applyNumberFormat="1" applyFont="1" applyFill="1" applyBorder="1" applyAlignment="1">
      <alignment horizontal="right"/>
    </xf>
    <xf numFmtId="0" fontId="16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right"/>
    </xf>
    <xf numFmtId="165" fontId="21" fillId="3" borderId="1" xfId="2" applyNumberFormat="1" applyFont="1" applyFill="1" applyBorder="1" applyAlignment="1">
      <alignment horizontal="right"/>
    </xf>
    <xf numFmtId="165" fontId="22" fillId="0" borderId="1" xfId="2" applyNumberFormat="1" applyFont="1" applyFill="1" applyBorder="1" applyAlignment="1">
      <alignment horizontal="right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0" fontId="19" fillId="0" borderId="3" xfId="0" applyFont="1" applyBorder="1"/>
    <xf numFmtId="0" fontId="20" fillId="0" borderId="5" xfId="0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23" fillId="3" borderId="2" xfId="0" applyFont="1" applyFill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23" fillId="0" borderId="5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right" wrapText="1"/>
    </xf>
    <xf numFmtId="165" fontId="22" fillId="0" borderId="5" xfId="2" applyNumberFormat="1" applyFont="1" applyBorder="1" applyAlignment="1">
      <alignment horizontal="right" wrapText="1"/>
    </xf>
    <xf numFmtId="0" fontId="12" fillId="0" borderId="5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165" fontId="17" fillId="2" borderId="1" xfId="2" applyNumberFormat="1" applyFont="1" applyFill="1" applyBorder="1" applyAlignment="1">
      <alignment horizontal="right" wrapText="1"/>
    </xf>
    <xf numFmtId="165" fontId="11" fillId="0" borderId="1" xfId="2" applyNumberFormat="1" applyFont="1" applyBorder="1" applyAlignment="1">
      <alignment horizontal="right" wrapText="1"/>
    </xf>
    <xf numFmtId="165" fontId="11" fillId="4" borderId="1" xfId="2" applyNumberFormat="1" applyFont="1" applyFill="1" applyBorder="1" applyAlignment="1">
      <alignment horizontal="right" wrapText="1"/>
    </xf>
    <xf numFmtId="0" fontId="14" fillId="0" borderId="6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5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right" wrapText="1"/>
    </xf>
    <xf numFmtId="0" fontId="14" fillId="0" borderId="0" xfId="0" applyFont="1" applyAlignment="1">
      <alignment wrapText="1"/>
    </xf>
    <xf numFmtId="0" fontId="23" fillId="3" borderId="2" xfId="0" applyFont="1" applyFill="1" applyBorder="1" applyAlignment="1">
      <alignment horizontal="center" vertical="center"/>
    </xf>
    <xf numFmtId="164" fontId="10" fillId="0" borderId="1" xfId="2" applyFont="1" applyBorder="1" applyAlignment="1">
      <alignment horizontal="left" wrapText="1"/>
    </xf>
    <xf numFmtId="164" fontId="11" fillId="4" borderId="1" xfId="2" applyFont="1" applyFill="1" applyBorder="1" applyAlignment="1">
      <alignment horizontal="right" wrapText="1"/>
    </xf>
    <xf numFmtId="164" fontId="11" fillId="4" borderId="1" xfId="2" applyFont="1" applyFill="1" applyBorder="1" applyAlignment="1">
      <alignment horizontal="right"/>
    </xf>
    <xf numFmtId="166" fontId="10" fillId="0" borderId="1" xfId="2" applyNumberFormat="1" applyFont="1" applyBorder="1" applyAlignment="1">
      <alignment horizontal="left" wrapText="1"/>
    </xf>
    <xf numFmtId="166" fontId="8" fillId="0" borderId="1" xfId="2" applyNumberFormat="1" applyFont="1" applyBorder="1" applyAlignment="1">
      <alignment horizontal="right" wrapText="1"/>
    </xf>
    <xf numFmtId="164" fontId="10" fillId="0" borderId="1" xfId="2" applyFont="1" applyFill="1" applyBorder="1" applyAlignment="1">
      <alignment horizontal="right" wrapText="1"/>
    </xf>
    <xf numFmtId="164" fontId="10" fillId="0" borderId="1" xfId="2" applyFont="1" applyBorder="1" applyAlignment="1">
      <alignment horizontal="right" wrapText="1"/>
    </xf>
    <xf numFmtId="164" fontId="8" fillId="0" borderId="7" xfId="2" applyFont="1" applyBorder="1" applyAlignment="1">
      <alignment horizontal="center" vertical="center"/>
    </xf>
    <xf numFmtId="166" fontId="8" fillId="0" borderId="1" xfId="2" applyNumberFormat="1" applyFont="1" applyBorder="1"/>
    <xf numFmtId="0" fontId="8" fillId="0" borderId="1" xfId="9" applyFont="1" applyBorder="1" applyAlignment="1">
      <alignment horizontal="left" vertical="center"/>
    </xf>
    <xf numFmtId="165" fontId="11" fillId="3" borderId="1" xfId="2" applyNumberFormat="1" applyFont="1" applyFill="1" applyBorder="1" applyAlignment="1">
      <alignment horizontal="right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2" applyFont="1" applyBorder="1"/>
    <xf numFmtId="164" fontId="8" fillId="0" borderId="1" xfId="2" applyFont="1" applyBorder="1" applyAlignment="1">
      <alignment horizontal="left" wrapText="1"/>
    </xf>
    <xf numFmtId="164" fontId="8" fillId="0" borderId="1" xfId="2" applyFont="1" applyBorder="1" applyAlignment="1">
      <alignment horizontal="right" wrapText="1"/>
    </xf>
    <xf numFmtId="164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right" wrapText="1"/>
    </xf>
    <xf numFmtId="0" fontId="14" fillId="0" borderId="6" xfId="0" applyFont="1" applyBorder="1" applyAlignment="1">
      <alignment vertical="center" wrapText="1"/>
    </xf>
    <xf numFmtId="164" fontId="14" fillId="0" borderId="6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horizontal="right" wrapText="1"/>
    </xf>
    <xf numFmtId="164" fontId="10" fillId="0" borderId="1" xfId="0" applyNumberFormat="1" applyFont="1" applyBorder="1" applyAlignment="1">
      <alignment horizontal="left" wrapText="1"/>
    </xf>
    <xf numFmtId="164" fontId="14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8" fillId="0" borderId="1" xfId="2" applyFont="1" applyBorder="1" applyAlignment="1">
      <alignment wrapText="1"/>
    </xf>
    <xf numFmtId="164" fontId="10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  <xf numFmtId="2" fontId="14" fillId="0" borderId="6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horizontal="left" wrapText="1"/>
    </xf>
    <xf numFmtId="164" fontId="8" fillId="0" borderId="8" xfId="0" applyNumberFormat="1" applyFont="1" applyBorder="1" applyAlignment="1">
      <alignment vertical="center" wrapText="1"/>
    </xf>
    <xf numFmtId="164" fontId="10" fillId="0" borderId="0" xfId="11" applyNumberFormat="1" applyFont="1" applyAlignment="1">
      <alignment vertical="center" wrapText="1"/>
    </xf>
    <xf numFmtId="0" fontId="10" fillId="0" borderId="0" xfId="0" applyFont="1" applyAlignment="1">
      <alignment horizontal="left" wrapText="1"/>
    </xf>
    <xf numFmtId="165" fontId="8" fillId="0" borderId="1" xfId="2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4" fontId="10" fillId="0" borderId="0" xfId="0" applyNumberFormat="1" applyFont="1" applyAlignment="1">
      <alignment horizontal="left" wrapText="1"/>
    </xf>
    <xf numFmtId="165" fontId="10" fillId="0" borderId="1" xfId="2" applyNumberFormat="1" applyFont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center" vertical="center"/>
    </xf>
    <xf numFmtId="165" fontId="8" fillId="0" borderId="1" xfId="2" applyNumberFormat="1" applyFont="1" applyFill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165" fontId="17" fillId="2" borderId="1" xfId="2" applyNumberFormat="1" applyFont="1" applyFill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165" fontId="11" fillId="4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wrapText="1"/>
    </xf>
    <xf numFmtId="0" fontId="14" fillId="0" borderId="6" xfId="0" applyFont="1" applyBorder="1" applyAlignment="1">
      <alignment horizontal="right" wrapText="1"/>
    </xf>
    <xf numFmtId="0" fontId="14" fillId="0" borderId="6" xfId="0" applyFont="1" applyBorder="1"/>
    <xf numFmtId="0" fontId="10" fillId="0" borderId="6" xfId="0" applyFont="1" applyBorder="1" applyAlignment="1">
      <alignment horizontal="left" wrapText="1"/>
    </xf>
    <xf numFmtId="0" fontId="10" fillId="5" borderId="6" xfId="0" applyFont="1" applyFill="1" applyBorder="1" applyAlignment="1">
      <alignment horizontal="left" wrapText="1"/>
    </xf>
    <xf numFmtId="0" fontId="10" fillId="6" borderId="6" xfId="0" applyFont="1" applyFill="1" applyBorder="1" applyAlignment="1">
      <alignment horizontal="left" wrapText="1"/>
    </xf>
    <xf numFmtId="0" fontId="10" fillId="0" borderId="6" xfId="0" applyFont="1" applyBorder="1" applyAlignment="1">
      <alignment horizontal="right" wrapText="1"/>
    </xf>
    <xf numFmtId="165" fontId="25" fillId="0" borderId="1" xfId="2" applyNumberFormat="1" applyFont="1" applyBorder="1" applyAlignment="1">
      <alignment horizontal="right"/>
    </xf>
    <xf numFmtId="0" fontId="26" fillId="0" borderId="1" xfId="0" applyFont="1" applyBorder="1" applyAlignment="1">
      <alignment horizontal="right"/>
    </xf>
    <xf numFmtId="2" fontId="10" fillId="0" borderId="1" xfId="0" applyNumberFormat="1" applyFont="1" applyBorder="1" applyAlignment="1">
      <alignment horizontal="right" wrapText="1"/>
    </xf>
    <xf numFmtId="2" fontId="14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49" fontId="8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14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vertical="center"/>
    </xf>
    <xf numFmtId="165" fontId="11" fillId="0" borderId="1" xfId="2" applyNumberFormat="1" applyFont="1" applyBorder="1" applyAlignment="1">
      <alignment horizontal="right" vertical="center"/>
    </xf>
    <xf numFmtId="165" fontId="11" fillId="3" borderId="1" xfId="2" applyNumberFormat="1" applyFont="1" applyFill="1" applyBorder="1" applyAlignment="1">
      <alignment horizontal="right" vertical="center"/>
    </xf>
    <xf numFmtId="167" fontId="10" fillId="0" borderId="1" xfId="0" applyNumberFormat="1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165" fontId="22" fillId="0" borderId="1" xfId="2" applyNumberFormat="1" applyFont="1" applyBorder="1" applyAlignment="1">
      <alignment horizontal="right"/>
    </xf>
    <xf numFmtId="164" fontId="11" fillId="0" borderId="1" xfId="2" applyFont="1" applyBorder="1" applyAlignment="1">
      <alignment horizontal="right"/>
    </xf>
    <xf numFmtId="164" fontId="10" fillId="3" borderId="1" xfId="2" applyFont="1" applyFill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0" fontId="16" fillId="0" borderId="4" xfId="0" applyFont="1" applyBorder="1"/>
    <xf numFmtId="2" fontId="10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right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0" fontId="17" fillId="2" borderId="4" xfId="0" applyFont="1" applyFill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8" fillId="0" borderId="6" xfId="0" applyFont="1" applyBorder="1" applyAlignment="1">
      <alignment vertical="top"/>
    </xf>
    <xf numFmtId="0" fontId="29" fillId="0" borderId="6" xfId="0" applyFont="1" applyBorder="1" applyAlignment="1">
      <alignment vertical="top"/>
    </xf>
    <xf numFmtId="0" fontId="30" fillId="7" borderId="6" xfId="0" applyFont="1" applyFill="1" applyBorder="1"/>
    <xf numFmtId="0" fontId="32" fillId="8" borderId="6" xfId="0" applyFont="1" applyFill="1" applyBorder="1"/>
    <xf numFmtId="0" fontId="33" fillId="8" borderId="6" xfId="0" applyFont="1" applyFill="1" applyBorder="1"/>
    <xf numFmtId="0" fontId="29" fillId="8" borderId="6" xfId="0" applyFont="1" applyFill="1" applyBorder="1"/>
    <xf numFmtId="0" fontId="34" fillId="8" borderId="9" xfId="0" applyFont="1" applyFill="1" applyBorder="1"/>
    <xf numFmtId="0" fontId="34" fillId="9" borderId="6" xfId="0" applyFont="1" applyFill="1" applyBorder="1"/>
    <xf numFmtId="0" fontId="35" fillId="8" borderId="6" xfId="0" applyFont="1" applyFill="1" applyBorder="1"/>
    <xf numFmtId="0" fontId="36" fillId="8" borderId="6" xfId="0" applyFont="1" applyFill="1" applyBorder="1"/>
    <xf numFmtId="3" fontId="34" fillId="8" borderId="9" xfId="0" applyNumberFormat="1" applyFont="1" applyFill="1" applyBorder="1"/>
    <xf numFmtId="0" fontId="34" fillId="8" borderId="6" xfId="0" applyFont="1" applyFill="1" applyBorder="1"/>
    <xf numFmtId="0" fontId="37" fillId="8" borderId="6" xfId="0" applyFont="1" applyFill="1" applyBorder="1"/>
    <xf numFmtId="0" fontId="28" fillId="8" borderId="6" xfId="0" applyFont="1" applyFill="1" applyBorder="1"/>
    <xf numFmtId="0" fontId="34" fillId="8" borderId="9" xfId="0" quotePrefix="1" applyFont="1" applyFill="1" applyBorder="1"/>
    <xf numFmtId="0" fontId="38" fillId="8" borderId="6" xfId="0" applyFont="1" applyFill="1" applyBorder="1"/>
    <xf numFmtId="0" fontId="39" fillId="8" borderId="6" xfId="0" applyFont="1" applyFill="1" applyBorder="1"/>
    <xf numFmtId="0" fontId="36" fillId="8" borderId="9" xfId="0" applyFont="1" applyFill="1" applyBorder="1"/>
    <xf numFmtId="3" fontId="36" fillId="8" borderId="9" xfId="0" applyNumberFormat="1" applyFont="1" applyFill="1" applyBorder="1"/>
    <xf numFmtId="0" fontId="36" fillId="9" borderId="6" xfId="0" applyFont="1" applyFill="1" applyBorder="1"/>
    <xf numFmtId="0" fontId="34" fillId="9" borderId="9" xfId="0" applyFont="1" applyFill="1" applyBorder="1"/>
    <xf numFmtId="3" fontId="37" fillId="8" borderId="9" xfId="0" applyNumberFormat="1" applyFont="1" applyFill="1" applyBorder="1"/>
    <xf numFmtId="0" fontId="36" fillId="9" borderId="9" xfId="0" applyFont="1" applyFill="1" applyBorder="1"/>
    <xf numFmtId="0" fontId="34" fillId="0" borderId="9" xfId="0" applyFont="1" applyBorder="1"/>
    <xf numFmtId="0" fontId="34" fillId="9" borderId="10" xfId="0" applyFont="1" applyFill="1" applyBorder="1"/>
    <xf numFmtId="0" fontId="40" fillId="0" borderId="6" xfId="0" applyFont="1" applyBorder="1" applyAlignment="1">
      <alignment vertical="top"/>
    </xf>
    <xf numFmtId="0" fontId="41" fillId="0" borderId="6" xfId="0" applyFont="1" applyBorder="1" applyAlignment="1">
      <alignment vertical="top"/>
    </xf>
    <xf numFmtId="0" fontId="42" fillId="0" borderId="1" xfId="0" applyFont="1" applyBorder="1"/>
    <xf numFmtId="0" fontId="42" fillId="0" borderId="1" xfId="0" applyFont="1" applyBorder="1" applyAlignment="1">
      <alignment horizontal="left"/>
    </xf>
    <xf numFmtId="0" fontId="43" fillId="0" borderId="1" xfId="0" applyFont="1" applyBorder="1" applyAlignment="1">
      <alignment horizontal="right"/>
    </xf>
    <xf numFmtId="165" fontId="44" fillId="3" borderId="1" xfId="2" applyNumberFormat="1" applyFont="1" applyFill="1" applyBorder="1" applyAlignment="1">
      <alignment horizontal="right"/>
    </xf>
    <xf numFmtId="0" fontId="42" fillId="0" borderId="1" xfId="0" applyFont="1" applyBorder="1" applyAlignment="1">
      <alignment horizontal="right" wrapText="1"/>
    </xf>
    <xf numFmtId="0" fontId="45" fillId="0" borderId="1" xfId="0" applyFont="1" applyBorder="1"/>
    <xf numFmtId="0" fontId="46" fillId="3" borderId="2" xfId="0" applyFont="1" applyFill="1" applyBorder="1" applyAlignment="1">
      <alignment vertical="center"/>
    </xf>
    <xf numFmtId="0" fontId="46" fillId="0" borderId="1" xfId="0" applyFont="1" applyBorder="1" applyAlignment="1">
      <alignment horizontal="right"/>
    </xf>
    <xf numFmtId="165" fontId="47" fillId="3" borderId="1" xfId="2" applyNumberFormat="1" applyFont="1" applyFill="1" applyBorder="1" applyAlignment="1">
      <alignment horizontal="right"/>
    </xf>
    <xf numFmtId="0" fontId="45" fillId="0" borderId="2" xfId="0" applyFont="1" applyBorder="1"/>
    <xf numFmtId="0" fontId="45" fillId="0" borderId="2" xfId="0" applyFont="1" applyBorder="1" applyAlignment="1">
      <alignment horizontal="left"/>
    </xf>
    <xf numFmtId="0" fontId="45" fillId="0" borderId="3" xfId="0" applyFont="1" applyBorder="1"/>
    <xf numFmtId="0" fontId="46" fillId="0" borderId="5" xfId="0" applyFont="1" applyBorder="1" applyAlignment="1">
      <alignment horizontal="right"/>
    </xf>
    <xf numFmtId="165" fontId="48" fillId="0" borderId="5" xfId="2" applyNumberFormat="1" applyFont="1" applyBorder="1" applyAlignment="1">
      <alignment horizontal="right" wrapText="1"/>
    </xf>
    <xf numFmtId="0" fontId="49" fillId="0" borderId="2" xfId="0" applyFont="1" applyBorder="1" applyAlignment="1">
      <alignment horizontal="center" vertical="center"/>
    </xf>
    <xf numFmtId="0" fontId="50" fillId="3" borderId="2" xfId="0" applyFont="1" applyFill="1" applyBorder="1" applyAlignment="1">
      <alignment vertical="center"/>
    </xf>
    <xf numFmtId="0" fontId="50" fillId="3" borderId="3" xfId="0" applyFont="1" applyFill="1" applyBorder="1" applyAlignment="1">
      <alignment vertical="center"/>
    </xf>
    <xf numFmtId="0" fontId="50" fillId="0" borderId="5" xfId="0" applyFont="1" applyBorder="1" applyAlignment="1">
      <alignment horizontal="center" vertical="center"/>
    </xf>
    <xf numFmtId="165" fontId="51" fillId="3" borderId="1" xfId="2" applyNumberFormat="1" applyFont="1" applyFill="1" applyBorder="1" applyAlignment="1">
      <alignment horizontal="right"/>
    </xf>
    <xf numFmtId="0" fontId="50" fillId="3" borderId="5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52" fillId="0" borderId="2" xfId="0" applyFont="1" applyBorder="1" applyAlignment="1">
      <alignment vertical="center"/>
    </xf>
    <xf numFmtId="0" fontId="52" fillId="0" borderId="3" xfId="0" applyFont="1" applyBorder="1" applyAlignment="1">
      <alignment vertical="center"/>
    </xf>
    <xf numFmtId="0" fontId="52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52" fillId="3" borderId="2" xfId="0" applyFont="1" applyFill="1" applyBorder="1" applyAlignment="1">
      <alignment vertical="center"/>
    </xf>
    <xf numFmtId="0" fontId="52" fillId="3" borderId="3" xfId="0" applyFont="1" applyFill="1" applyBorder="1" applyAlignment="1">
      <alignment vertical="center"/>
    </xf>
    <xf numFmtId="0" fontId="52" fillId="3" borderId="5" xfId="0" applyFont="1" applyFill="1" applyBorder="1" applyAlignment="1">
      <alignment horizontal="center" vertical="center" wrapText="1"/>
    </xf>
    <xf numFmtId="0" fontId="49" fillId="0" borderId="1" xfId="0" applyFont="1" applyBorder="1"/>
    <xf numFmtId="0" fontId="49" fillId="0" borderId="1" xfId="0" applyFont="1" applyBorder="1" applyAlignment="1">
      <alignment horizontal="left"/>
    </xf>
    <xf numFmtId="0" fontId="53" fillId="0" borderId="1" xfId="0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53" fillId="0" borderId="1" xfId="2" applyNumberFormat="1" applyFont="1" applyBorder="1" applyAlignment="1">
      <alignment horizontal="right"/>
    </xf>
    <xf numFmtId="165" fontId="46" fillId="0" borderId="5" xfId="2" applyNumberFormat="1" applyFont="1" applyBorder="1" applyAlignment="1">
      <alignment horizontal="right"/>
    </xf>
    <xf numFmtId="0" fontId="55" fillId="0" borderId="1" xfId="0" applyFont="1" applyBorder="1" applyAlignment="1">
      <alignment vertical="center"/>
    </xf>
    <xf numFmtId="0" fontId="54" fillId="2" borderId="4" xfId="0" applyFont="1" applyFill="1" applyBorder="1" applyAlignment="1">
      <alignment vertical="center"/>
    </xf>
    <xf numFmtId="0" fontId="51" fillId="2" borderId="4" xfId="0" applyFont="1" applyFill="1" applyBorder="1" applyAlignment="1">
      <alignment vertical="center"/>
    </xf>
    <xf numFmtId="0" fontId="51" fillId="2" borderId="4" xfId="0" applyFont="1" applyFill="1" applyBorder="1" applyAlignment="1">
      <alignment vertical="center" wrapText="1"/>
    </xf>
    <xf numFmtId="165" fontId="54" fillId="0" borderId="1" xfId="2" applyNumberFormat="1" applyFont="1" applyBorder="1" applyAlignment="1">
      <alignment horizontal="right" vertical="center"/>
    </xf>
    <xf numFmtId="165" fontId="51" fillId="3" borderId="1" xfId="2" applyNumberFormat="1" applyFont="1" applyFill="1" applyBorder="1" applyAlignment="1">
      <alignment horizontal="right" vertical="center"/>
    </xf>
    <xf numFmtId="165" fontId="54" fillId="2" borderId="1" xfId="2" applyNumberFormat="1" applyFont="1" applyFill="1" applyBorder="1" applyAlignment="1">
      <alignment horizontal="right" vertical="center" wrapText="1"/>
    </xf>
    <xf numFmtId="0" fontId="49" fillId="0" borderId="1" xfId="0" applyFont="1" applyBorder="1" applyAlignment="1">
      <alignment vertical="center"/>
    </xf>
    <xf numFmtId="0" fontId="56" fillId="0" borderId="4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44" fillId="0" borderId="4" xfId="0" applyFont="1" applyBorder="1" applyAlignment="1">
      <alignment vertical="center" wrapText="1"/>
    </xf>
    <xf numFmtId="165" fontId="56" fillId="0" borderId="1" xfId="2" applyNumberFormat="1" applyFont="1" applyBorder="1" applyAlignment="1">
      <alignment horizontal="right"/>
    </xf>
    <xf numFmtId="165" fontId="56" fillId="0" borderId="1" xfId="2" applyNumberFormat="1" applyFont="1" applyBorder="1" applyAlignment="1">
      <alignment horizontal="right" wrapText="1"/>
    </xf>
    <xf numFmtId="0" fontId="55" fillId="0" borderId="1" xfId="0" applyFont="1" applyBorder="1"/>
    <xf numFmtId="0" fontId="56" fillId="4" borderId="1" xfId="0" applyFont="1" applyFill="1" applyBorder="1" applyAlignment="1">
      <alignment horizontal="left" vertical="center"/>
    </xf>
    <xf numFmtId="165" fontId="56" fillId="4" borderId="1" xfId="2" applyNumberFormat="1" applyFont="1" applyFill="1" applyBorder="1" applyAlignment="1">
      <alignment horizontal="right" wrapText="1"/>
    </xf>
    <xf numFmtId="164" fontId="56" fillId="0" borderId="1" xfId="2" applyFont="1" applyBorder="1" applyAlignment="1">
      <alignment horizontal="right"/>
    </xf>
    <xf numFmtId="0" fontId="43" fillId="0" borderId="1" xfId="0" applyFont="1" applyBorder="1" applyAlignment="1">
      <alignment horizontal="left" vertical="center"/>
    </xf>
    <xf numFmtId="165" fontId="44" fillId="0" borderId="1" xfId="2" applyNumberFormat="1" applyFont="1" applyBorder="1" applyAlignment="1">
      <alignment horizontal="right"/>
    </xf>
    <xf numFmtId="165" fontId="44" fillId="0" borderId="1" xfId="2" applyNumberFormat="1" applyFont="1" applyFill="1" applyBorder="1" applyAlignment="1">
      <alignment horizontal="center" vertical="center"/>
    </xf>
    <xf numFmtId="165" fontId="44" fillId="0" borderId="1" xfId="2" applyNumberFormat="1" applyFont="1" applyBorder="1" applyAlignment="1">
      <alignment horizontal="right" wrapText="1"/>
    </xf>
    <xf numFmtId="0" fontId="44" fillId="0" borderId="1" xfId="0" applyFont="1" applyBorder="1" applyAlignment="1">
      <alignment horizontal="left" vertical="center"/>
    </xf>
    <xf numFmtId="165" fontId="44" fillId="0" borderId="1" xfId="2" applyNumberFormat="1" applyFont="1" applyFill="1" applyBorder="1" applyAlignment="1">
      <alignment horizontal="right"/>
    </xf>
    <xf numFmtId="0" fontId="57" fillId="0" borderId="6" xfId="0" applyFont="1" applyBorder="1" applyAlignment="1">
      <alignment wrapText="1"/>
    </xf>
    <xf numFmtId="0" fontId="44" fillId="0" borderId="1" xfId="0" applyFont="1" applyBorder="1" applyAlignment="1">
      <alignment horizontal="left" wrapText="1"/>
    </xf>
    <xf numFmtId="0" fontId="42" fillId="0" borderId="0" xfId="0" applyFont="1"/>
    <xf numFmtId="0" fontId="44" fillId="0" borderId="1" xfId="0" applyFont="1" applyBorder="1" applyAlignment="1">
      <alignment horizontal="right" wrapText="1"/>
    </xf>
    <xf numFmtId="165" fontId="43" fillId="0" borderId="1" xfId="2" applyNumberFormat="1" applyFont="1" applyBorder="1" applyAlignment="1">
      <alignment horizontal="right"/>
    </xf>
    <xf numFmtId="0" fontId="44" fillId="0" borderId="1" xfId="0" applyFont="1" applyBorder="1" applyAlignment="1">
      <alignment horizontal="left" vertical="center" wrapText="1"/>
    </xf>
    <xf numFmtId="165" fontId="56" fillId="3" borderId="1" xfId="2" applyNumberFormat="1" applyFont="1" applyFill="1" applyBorder="1" applyAlignment="1">
      <alignment horizontal="right"/>
    </xf>
    <xf numFmtId="165" fontId="44" fillId="0" borderId="1" xfId="2" applyNumberFormat="1" applyFont="1" applyBorder="1" applyAlignment="1">
      <alignment horizontal="center" vertical="center"/>
    </xf>
    <xf numFmtId="0" fontId="57" fillId="0" borderId="6" xfId="0" applyFont="1" applyBorder="1" applyAlignment="1">
      <alignment vertical="center" wrapText="1"/>
    </xf>
    <xf numFmtId="164" fontId="44" fillId="0" borderId="1" xfId="2" applyFont="1" applyBorder="1" applyAlignment="1">
      <alignment horizontal="right"/>
    </xf>
    <xf numFmtId="0" fontId="42" fillId="0" borderId="1" xfId="0" applyFont="1" applyBorder="1" applyAlignment="1">
      <alignment vertical="center"/>
    </xf>
    <xf numFmtId="0" fontId="57" fillId="0" borderId="6" xfId="0" applyFont="1" applyBorder="1" applyAlignment="1">
      <alignment horizontal="left" vertical="center" wrapText="1"/>
    </xf>
    <xf numFmtId="0" fontId="58" fillId="4" borderId="1" xfId="0" applyFont="1" applyFill="1" applyBorder="1" applyAlignment="1">
      <alignment horizontal="left" vertical="center"/>
    </xf>
    <xf numFmtId="0" fontId="57" fillId="0" borderId="1" xfId="0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center"/>
    </xf>
    <xf numFmtId="165" fontId="57" fillId="0" borderId="1" xfId="2" applyNumberFormat="1" applyFont="1" applyBorder="1" applyAlignment="1">
      <alignment horizontal="left" vertical="center" wrapText="1"/>
    </xf>
    <xf numFmtId="165" fontId="43" fillId="0" borderId="1" xfId="2" applyNumberFormat="1" applyFont="1" applyBorder="1" applyAlignment="1">
      <alignment horizontal="right" wrapText="1"/>
    </xf>
    <xf numFmtId="164" fontId="56" fillId="4" borderId="1" xfId="2" applyFont="1" applyFill="1" applyBorder="1" applyAlignment="1">
      <alignment horizontal="right" wrapText="1"/>
    </xf>
    <xf numFmtId="0" fontId="42" fillId="0" borderId="1" xfId="0" applyFont="1" applyBorder="1" applyAlignment="1">
      <alignment vertical="top"/>
    </xf>
    <xf numFmtId="0" fontId="43" fillId="0" borderId="1" xfId="0" applyFont="1" applyBorder="1" applyAlignment="1">
      <alignment horizontal="left" vertical="top"/>
    </xf>
    <xf numFmtId="0" fontId="44" fillId="0" borderId="1" xfId="0" applyFont="1" applyBorder="1" applyAlignment="1">
      <alignment horizontal="left" vertical="top"/>
    </xf>
    <xf numFmtId="165" fontId="44" fillId="0" borderId="1" xfId="2" applyNumberFormat="1" applyFont="1" applyBorder="1" applyAlignment="1">
      <alignment horizontal="right" vertical="top"/>
    </xf>
    <xf numFmtId="165" fontId="44" fillId="3" borderId="1" xfId="2" applyNumberFormat="1" applyFont="1" applyFill="1" applyBorder="1" applyAlignment="1">
      <alignment horizontal="right" vertical="top"/>
    </xf>
    <xf numFmtId="0" fontId="44" fillId="0" borderId="1" xfId="0" applyFont="1" applyBorder="1" applyAlignment="1">
      <alignment horizontal="left" vertical="top" wrapText="1"/>
    </xf>
    <xf numFmtId="164" fontId="44" fillId="0" borderId="1" xfId="2" applyFont="1" applyBorder="1" applyAlignment="1">
      <alignment horizontal="right" vertical="top"/>
    </xf>
    <xf numFmtId="0" fontId="59" fillId="4" borderId="1" xfId="0" applyFont="1" applyFill="1" applyBorder="1" applyAlignment="1">
      <alignment horizontal="left" vertical="center"/>
    </xf>
    <xf numFmtId="165" fontId="44" fillId="0" borderId="0" xfId="2" applyNumberFormat="1" applyFont="1" applyAlignment="1">
      <alignment vertical="center" wrapText="1"/>
    </xf>
    <xf numFmtId="165" fontId="56" fillId="0" borderId="1" xfId="2" applyNumberFormat="1" applyFont="1" applyBorder="1" applyAlignment="1">
      <alignment horizontal="right" vertical="center"/>
    </xf>
    <xf numFmtId="165" fontId="56" fillId="3" borderId="1" xfId="2" applyNumberFormat="1" applyFont="1" applyFill="1" applyBorder="1" applyAlignment="1">
      <alignment horizontal="right" vertical="center"/>
    </xf>
    <xf numFmtId="164" fontId="56" fillId="0" borderId="1" xfId="2" applyFont="1" applyBorder="1" applyAlignment="1">
      <alignment horizontal="right" vertical="center"/>
    </xf>
    <xf numFmtId="165" fontId="44" fillId="0" borderId="1" xfId="0" applyNumberFormat="1" applyFont="1" applyBorder="1" applyAlignment="1">
      <alignment horizontal="left" vertical="center" wrapText="1"/>
    </xf>
    <xf numFmtId="0" fontId="44" fillId="0" borderId="8" xfId="11" applyFont="1" applyBorder="1" applyAlignment="1">
      <alignment vertical="center" wrapText="1"/>
    </xf>
    <xf numFmtId="164" fontId="43" fillId="0" borderId="1" xfId="2" applyFont="1" applyBorder="1" applyAlignment="1">
      <alignment horizontal="right"/>
    </xf>
    <xf numFmtId="164" fontId="43" fillId="0" borderId="1" xfId="0" applyNumberFormat="1" applyFont="1" applyBorder="1" applyAlignment="1">
      <alignment horizontal="right"/>
    </xf>
    <xf numFmtId="0" fontId="55" fillId="0" borderId="1" xfId="1" applyFont="1" applyBorder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wrapText="1"/>
    </xf>
    <xf numFmtId="165" fontId="56" fillId="0" borderId="1" xfId="2" applyNumberFormat="1" applyFont="1" applyFill="1" applyBorder="1" applyAlignment="1">
      <alignment horizontal="right"/>
    </xf>
    <xf numFmtId="165" fontId="56" fillId="0" borderId="1" xfId="2" applyNumberFormat="1" applyFont="1" applyFill="1" applyBorder="1" applyAlignment="1">
      <alignment horizontal="right" wrapText="1"/>
    </xf>
    <xf numFmtId="0" fontId="44" fillId="0" borderId="1" xfId="0" applyFont="1" applyBorder="1" applyAlignment="1">
      <alignment vertical="center" wrapText="1"/>
    </xf>
    <xf numFmtId="164" fontId="57" fillId="0" borderId="1" xfId="0" applyNumberFormat="1" applyFont="1" applyBorder="1" applyAlignment="1">
      <alignment horizontal="left" vertical="center" wrapText="1"/>
    </xf>
    <xf numFmtId="0" fontId="44" fillId="0" borderId="1" xfId="0" applyFont="1" applyBorder="1" applyAlignment="1">
      <alignment wrapText="1"/>
    </xf>
    <xf numFmtId="0" fontId="57" fillId="0" borderId="1" xfId="0" applyFont="1" applyBorder="1"/>
    <xf numFmtId="0" fontId="57" fillId="0" borderId="6" xfId="0" applyFont="1" applyBorder="1" applyAlignment="1">
      <alignment horizontal="left" wrapText="1"/>
    </xf>
    <xf numFmtId="0" fontId="57" fillId="0" borderId="6" xfId="0" applyFont="1" applyBorder="1" applyAlignment="1">
      <alignment horizontal="right" wrapText="1"/>
    </xf>
    <xf numFmtId="0" fontId="57" fillId="0" borderId="6" xfId="0" applyFont="1" applyBorder="1"/>
    <xf numFmtId="0" fontId="57" fillId="0" borderId="0" xfId="0" applyFont="1" applyAlignment="1">
      <alignment wrapText="1"/>
    </xf>
    <xf numFmtId="0" fontId="57" fillId="0" borderId="1" xfId="0" applyFont="1" applyBorder="1" applyAlignment="1">
      <alignment horizontal="left" vertical="top" wrapText="1"/>
    </xf>
    <xf numFmtId="165" fontId="54" fillId="0" borderId="1" xfId="2" applyNumberFormat="1" applyFont="1" applyBorder="1" applyAlignment="1">
      <alignment horizontal="center" vertical="center"/>
    </xf>
    <xf numFmtId="165" fontId="51" fillId="3" borderId="1" xfId="2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left" vertical="top"/>
    </xf>
    <xf numFmtId="165" fontId="56" fillId="0" borderId="1" xfId="2" applyNumberFormat="1" applyFont="1" applyBorder="1" applyAlignment="1">
      <alignment horizontal="right" vertical="top"/>
    </xf>
    <xf numFmtId="165" fontId="56" fillId="3" borderId="1" xfId="2" applyNumberFormat="1" applyFont="1" applyFill="1" applyBorder="1" applyAlignment="1">
      <alignment horizontal="right" vertical="top"/>
    </xf>
    <xf numFmtId="0" fontId="45" fillId="0" borderId="2" xfId="0" applyFont="1" applyBorder="1" applyAlignment="1">
      <alignment horizontal="center" vertical="center"/>
    </xf>
    <xf numFmtId="0" fontId="60" fillId="3" borderId="2" xfId="0" applyFont="1" applyFill="1" applyBorder="1" applyAlignment="1">
      <alignment vertical="center"/>
    </xf>
    <xf numFmtId="0" fontId="60" fillId="3" borderId="3" xfId="0" applyFont="1" applyFill="1" applyBorder="1" applyAlignment="1">
      <alignment vertical="center"/>
    </xf>
    <xf numFmtId="0" fontId="60" fillId="0" borderId="5" xfId="0" applyFont="1" applyBorder="1" applyAlignment="1">
      <alignment horizontal="center" vertical="center"/>
    </xf>
    <xf numFmtId="165" fontId="60" fillId="0" borderId="5" xfId="2" applyNumberFormat="1" applyFont="1" applyBorder="1" applyAlignment="1">
      <alignment horizontal="center" vertical="center"/>
    </xf>
    <xf numFmtId="165" fontId="60" fillId="3" borderId="5" xfId="2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165" fontId="52" fillId="0" borderId="5" xfId="2" applyNumberFormat="1" applyFont="1" applyBorder="1" applyAlignment="1">
      <alignment horizontal="center" vertical="center"/>
    </xf>
    <xf numFmtId="165" fontId="52" fillId="0" borderId="5" xfId="2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/>
    </xf>
    <xf numFmtId="165" fontId="46" fillId="0" borderId="1" xfId="2" applyNumberFormat="1" applyFont="1" applyBorder="1" applyAlignment="1">
      <alignment horizontal="right"/>
    </xf>
    <xf numFmtId="165" fontId="48" fillId="0" borderId="1" xfId="2" applyNumberFormat="1" applyFont="1" applyBorder="1" applyAlignment="1">
      <alignment horizontal="right" wrapText="1"/>
    </xf>
    <xf numFmtId="165" fontId="56" fillId="4" borderId="1" xfId="2" applyNumberFormat="1" applyFont="1" applyFill="1" applyBorder="1" applyAlignment="1">
      <alignment horizontal="right" vertical="center"/>
    </xf>
    <xf numFmtId="0" fontId="43" fillId="0" borderId="1" xfId="0" applyFont="1" applyBorder="1" applyAlignment="1">
      <alignment horizontal="right" wrapText="1"/>
    </xf>
    <xf numFmtId="1" fontId="43" fillId="0" borderId="1" xfId="0" applyNumberFormat="1" applyFont="1" applyBorder="1" applyAlignment="1">
      <alignment horizontal="right" wrapText="1"/>
    </xf>
    <xf numFmtId="1" fontId="29" fillId="0" borderId="11" xfId="0" applyNumberFormat="1" applyFont="1" applyBorder="1" applyProtection="1">
      <protection locked="0"/>
    </xf>
    <xf numFmtId="1" fontId="29" fillId="0" borderId="0" xfId="0" applyNumberFormat="1" applyFont="1" applyProtection="1">
      <protection locked="0"/>
    </xf>
    <xf numFmtId="0" fontId="43" fillId="0" borderId="4" xfId="0" applyFont="1" applyBorder="1" applyAlignment="1">
      <alignment horizontal="right"/>
    </xf>
    <xf numFmtId="0" fontId="43" fillId="0" borderId="0" xfId="0" applyFont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57" fillId="0" borderId="1" xfId="0" applyNumberFormat="1" applyFont="1" applyBorder="1" applyAlignment="1">
      <alignment horizontal="right" vertical="center" wrapText="1"/>
    </xf>
    <xf numFmtId="164" fontId="42" fillId="0" borderId="1" xfId="0" applyNumberFormat="1" applyFont="1" applyBorder="1" applyAlignment="1">
      <alignment horizontal="right" wrapText="1"/>
    </xf>
    <xf numFmtId="165" fontId="59" fillId="4" borderId="1" xfId="2" applyNumberFormat="1" applyFont="1" applyFill="1" applyBorder="1" applyAlignment="1">
      <alignment horizontal="right" wrapText="1"/>
    </xf>
    <xf numFmtId="0" fontId="44" fillId="4" borderId="1" xfId="0" applyFont="1" applyFill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vertical="center" wrapText="1"/>
    </xf>
    <xf numFmtId="164" fontId="44" fillId="0" borderId="1" xfId="0" applyNumberFormat="1" applyFont="1" applyBorder="1" applyAlignment="1">
      <alignment vertical="center" wrapText="1"/>
    </xf>
    <xf numFmtId="0" fontId="61" fillId="0" borderId="1" xfId="0" applyFont="1" applyBorder="1"/>
    <xf numFmtId="0" fontId="62" fillId="0" borderId="1" xfId="0" applyFont="1" applyBorder="1"/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wrapText="1"/>
    </xf>
    <xf numFmtId="165" fontId="56" fillId="0" borderId="0" xfId="2" applyNumberFormat="1" applyFont="1" applyBorder="1" applyAlignment="1">
      <alignment horizontal="right"/>
    </xf>
    <xf numFmtId="165" fontId="56" fillId="3" borderId="0" xfId="2" applyNumberFormat="1" applyFont="1" applyFill="1" applyBorder="1" applyAlignment="1">
      <alignment horizontal="right"/>
    </xf>
    <xf numFmtId="165" fontId="56" fillId="0" borderId="0" xfId="2" applyNumberFormat="1" applyFont="1" applyAlignment="1">
      <alignment horizontal="right"/>
    </xf>
    <xf numFmtId="165" fontId="56" fillId="3" borderId="0" xfId="2" applyNumberFormat="1" applyFont="1" applyFill="1" applyAlignment="1">
      <alignment horizontal="right"/>
    </xf>
    <xf numFmtId="0" fontId="44" fillId="0" borderId="6" xfId="0" applyFont="1" applyBorder="1" applyAlignment="1">
      <alignment wrapText="1"/>
    </xf>
    <xf numFmtId="0" fontId="63" fillId="0" borderId="1" xfId="0" applyFont="1" applyBorder="1"/>
    <xf numFmtId="164" fontId="57" fillId="0" borderId="6" xfId="0" applyNumberFormat="1" applyFont="1" applyBorder="1" applyAlignment="1">
      <alignment vertical="center" wrapText="1"/>
    </xf>
    <xf numFmtId="0" fontId="65" fillId="0" borderId="1" xfId="0" applyFont="1" applyBorder="1"/>
    <xf numFmtId="164" fontId="44" fillId="0" borderId="1" xfId="0" applyNumberFormat="1" applyFont="1" applyBorder="1" applyAlignment="1">
      <alignment horizontal="right" vertical="center" wrapText="1"/>
    </xf>
    <xf numFmtId="0" fontId="66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 vertical="center" wrapText="1"/>
    </xf>
    <xf numFmtId="165" fontId="59" fillId="0" borderId="1" xfId="2" applyNumberFormat="1" applyFont="1" applyBorder="1" applyAlignment="1">
      <alignment horizontal="right"/>
    </xf>
    <xf numFmtId="165" fontId="59" fillId="3" borderId="1" xfId="2" applyNumberFormat="1" applyFont="1" applyFill="1" applyBorder="1" applyAlignment="1">
      <alignment horizontal="right"/>
    </xf>
    <xf numFmtId="0" fontId="66" fillId="0" borderId="1" xfId="0" applyFont="1" applyBorder="1"/>
    <xf numFmtId="164" fontId="46" fillId="3" borderId="5" xfId="0" applyNumberFormat="1" applyFont="1" applyFill="1" applyBorder="1" applyAlignment="1">
      <alignment horizontal="center" vertical="center"/>
    </xf>
    <xf numFmtId="164" fontId="48" fillId="0" borderId="5" xfId="2" applyFont="1" applyBorder="1" applyAlignment="1">
      <alignment horizontal="right" wrapText="1"/>
    </xf>
    <xf numFmtId="164" fontId="52" fillId="0" borderId="5" xfId="0" applyNumberFormat="1" applyFont="1" applyBorder="1" applyAlignment="1">
      <alignment horizontal="center" vertical="center" wrapText="1"/>
    </xf>
    <xf numFmtId="164" fontId="52" fillId="3" borderId="5" xfId="0" applyNumberFormat="1" applyFont="1" applyFill="1" applyBorder="1" applyAlignment="1">
      <alignment horizontal="center" vertical="center" wrapText="1"/>
    </xf>
    <xf numFmtId="164" fontId="54" fillId="2" borderId="1" xfId="2" applyFont="1" applyFill="1" applyBorder="1" applyAlignment="1">
      <alignment horizontal="right" vertical="center" wrapText="1"/>
    </xf>
    <xf numFmtId="164" fontId="56" fillId="0" borderId="1" xfId="2" applyFont="1" applyBorder="1" applyAlignment="1">
      <alignment horizontal="right" wrapText="1"/>
    </xf>
    <xf numFmtId="164" fontId="43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left" wrapText="1"/>
    </xf>
    <xf numFmtId="164" fontId="44" fillId="0" borderId="1" xfId="2" applyFont="1" applyBorder="1" applyAlignment="1">
      <alignment horizontal="left" vertical="top" wrapText="1"/>
    </xf>
    <xf numFmtId="164" fontId="44" fillId="0" borderId="0" xfId="2" applyFont="1" applyAlignment="1">
      <alignment vertical="center" wrapText="1"/>
    </xf>
    <xf numFmtId="164" fontId="44" fillId="0" borderId="8" xfId="11" applyNumberFormat="1" applyFont="1" applyBorder="1" applyAlignment="1">
      <alignment vertical="center" wrapText="1"/>
    </xf>
    <xf numFmtId="164" fontId="44" fillId="0" borderId="0" xfId="11" applyNumberFormat="1" applyFont="1" applyAlignment="1">
      <alignment vertical="center" wrapText="1"/>
    </xf>
    <xf numFmtId="164" fontId="56" fillId="0" borderId="1" xfId="2" applyFont="1" applyFill="1" applyBorder="1" applyAlignment="1">
      <alignment horizontal="right" wrapText="1"/>
    </xf>
    <xf numFmtId="164" fontId="57" fillId="0" borderId="1" xfId="2" applyFont="1" applyBorder="1" applyAlignment="1">
      <alignment horizontal="left" vertical="top" wrapText="1"/>
    </xf>
    <xf numFmtId="164" fontId="57" fillId="0" borderId="1" xfId="2" applyFont="1" applyBorder="1" applyAlignment="1">
      <alignment horizontal="left" vertical="center" wrapText="1"/>
    </xf>
    <xf numFmtId="164" fontId="60" fillId="3" borderId="5" xfId="2" applyFont="1" applyFill="1" applyBorder="1" applyAlignment="1">
      <alignment horizontal="center" vertical="center" wrapText="1"/>
    </xf>
    <xf numFmtId="164" fontId="52" fillId="0" borderId="5" xfId="2" applyFont="1" applyBorder="1" applyAlignment="1">
      <alignment horizontal="center" vertical="center" wrapText="1"/>
    </xf>
    <xf numFmtId="164" fontId="48" fillId="0" borderId="1" xfId="2" applyFont="1" applyBorder="1" applyAlignment="1">
      <alignment horizontal="right" wrapText="1"/>
    </xf>
    <xf numFmtId="164" fontId="56" fillId="4" borderId="1" xfId="2" applyFont="1" applyFill="1" applyBorder="1" applyAlignment="1">
      <alignment horizontal="right"/>
    </xf>
    <xf numFmtId="164" fontId="43" fillId="0" borderId="1" xfId="0" applyNumberFormat="1" applyFont="1" applyBorder="1" applyAlignment="1">
      <alignment horizontal="right" wrapText="1"/>
    </xf>
    <xf numFmtId="164" fontId="44" fillId="0" borderId="1" xfId="2" applyFont="1" applyBorder="1" applyAlignment="1">
      <alignment horizontal="center"/>
    </xf>
    <xf numFmtId="164" fontId="64" fillId="0" borderId="1" xfId="2" applyFont="1" applyBorder="1" applyAlignment="1">
      <alignment horizontal="right" wrapText="1" indent="1"/>
    </xf>
    <xf numFmtId="0" fontId="44" fillId="0" borderId="0" xfId="0" applyFont="1" applyAlignment="1">
      <alignment wrapText="1"/>
    </xf>
    <xf numFmtId="164" fontId="44" fillId="0" borderId="0" xfId="0" applyNumberFormat="1" applyFont="1" applyAlignment="1">
      <alignment horizontal="right" wrapText="1"/>
    </xf>
    <xf numFmtId="164" fontId="66" fillId="0" borderId="1" xfId="0" applyNumberFormat="1" applyFont="1" applyBorder="1" applyAlignment="1">
      <alignment horizontal="left" vertical="center" wrapText="1"/>
    </xf>
    <xf numFmtId="164" fontId="66" fillId="0" borderId="1" xfId="0" applyNumberFormat="1" applyFont="1" applyBorder="1"/>
    <xf numFmtId="166" fontId="56" fillId="4" borderId="1" xfId="2" applyNumberFormat="1" applyFont="1" applyFill="1" applyBorder="1" applyAlignment="1">
      <alignment horizontal="right" wrapText="1"/>
    </xf>
    <xf numFmtId="164" fontId="54" fillId="0" borderId="1" xfId="2" applyFont="1" applyBorder="1" applyAlignment="1">
      <alignment horizontal="right"/>
    </xf>
    <xf numFmtId="0" fontId="66" fillId="0" borderId="1" xfId="0" applyFont="1" applyBorder="1" applyAlignment="1">
      <alignment horizontal="left" vertical="top" wrapText="1"/>
    </xf>
    <xf numFmtId="0" fontId="66" fillId="0" borderId="1" xfId="0" applyFont="1" applyBorder="1" applyAlignment="1">
      <alignment horizontal="left" wrapText="1"/>
    </xf>
    <xf numFmtId="0" fontId="57" fillId="0" borderId="0" xfId="0" applyFont="1" applyAlignment="1">
      <alignment vertical="center" wrapText="1"/>
    </xf>
    <xf numFmtId="164" fontId="57" fillId="0" borderId="0" xfId="0" applyNumberFormat="1" applyFont="1" applyAlignment="1">
      <alignment horizontal="left" vertical="center" wrapText="1"/>
    </xf>
    <xf numFmtId="0" fontId="67" fillId="0" borderId="0" xfId="0" applyFont="1"/>
    <xf numFmtId="0" fontId="68" fillId="0" borderId="0" xfId="0" applyFont="1"/>
    <xf numFmtId="17" fontId="67" fillId="0" borderId="0" xfId="0" applyNumberFormat="1" applyFont="1"/>
    <xf numFmtId="0" fontId="67" fillId="0" borderId="8" xfId="3" applyFont="1" applyBorder="1"/>
    <xf numFmtId="0" fontId="67" fillId="0" borderId="0" xfId="3" applyFont="1"/>
    <xf numFmtId="0" fontId="67" fillId="0" borderId="8" xfId="3" applyFont="1" applyBorder="1" applyAlignment="1">
      <alignment horizontal="center"/>
    </xf>
    <xf numFmtId="0" fontId="67" fillId="0" borderId="0" xfId="3" applyFont="1" applyAlignment="1">
      <alignment horizontal="center"/>
    </xf>
    <xf numFmtId="0" fontId="67" fillId="0" borderId="8" xfId="3" applyFont="1" applyBorder="1" applyAlignment="1">
      <alignment vertical="center"/>
    </xf>
    <xf numFmtId="2" fontId="69" fillId="0" borderId="8" xfId="3" applyNumberFormat="1" applyFont="1" applyBorder="1"/>
    <xf numFmtId="1" fontId="69" fillId="0" borderId="8" xfId="3" applyNumberFormat="1" applyFont="1" applyBorder="1"/>
    <xf numFmtId="2" fontId="67" fillId="0" borderId="0" xfId="3" applyNumberFormat="1" applyFont="1"/>
    <xf numFmtId="0" fontId="68" fillId="0" borderId="8" xfId="3" applyFont="1" applyBorder="1" applyAlignment="1">
      <alignment vertical="center"/>
    </xf>
    <xf numFmtId="2" fontId="67" fillId="0" borderId="0" xfId="25" applyNumberFormat="1" applyFont="1"/>
    <xf numFmtId="0" fontId="67" fillId="0" borderId="1" xfId="3" applyFont="1" applyBorder="1"/>
    <xf numFmtId="2" fontId="67" fillId="0" borderId="1" xfId="3" applyNumberFormat="1" applyFont="1" applyBorder="1"/>
    <xf numFmtId="0" fontId="69" fillId="0" borderId="8" xfId="3" applyFont="1" applyBorder="1"/>
    <xf numFmtId="0" fontId="68" fillId="0" borderId="8" xfId="3" applyFont="1" applyBorder="1"/>
    <xf numFmtId="0" fontId="70" fillId="0" borderId="8" xfId="3" applyFont="1" applyBorder="1" applyAlignment="1">
      <alignment vertical="center"/>
    </xf>
    <xf numFmtId="0" fontId="71" fillId="0" borderId="8" xfId="3" applyFont="1" applyBorder="1" applyAlignment="1">
      <alignment vertical="center"/>
    </xf>
    <xf numFmtId="2" fontId="34" fillId="0" borderId="8" xfId="3" applyNumberFormat="1" applyFont="1" applyBorder="1"/>
    <xf numFmtId="1" fontId="34" fillId="0" borderId="8" xfId="3" applyNumberFormat="1" applyFont="1" applyBorder="1"/>
    <xf numFmtId="2" fontId="68" fillId="0" borderId="0" xfId="3" applyNumberFormat="1" applyFont="1"/>
    <xf numFmtId="0" fontId="68" fillId="0" borderId="0" xfId="3" applyFont="1"/>
    <xf numFmtId="2" fontId="67" fillId="0" borderId="0" xfId="26" applyNumberFormat="1" applyFont="1"/>
    <xf numFmtId="0" fontId="72" fillId="0" borderId="8" xfId="3" applyFont="1" applyBorder="1" applyAlignment="1">
      <alignment vertical="center"/>
    </xf>
    <xf numFmtId="0" fontId="73" fillId="0" borderId="8" xfId="3" applyFont="1" applyBorder="1" applyAlignment="1">
      <alignment vertical="center"/>
    </xf>
    <xf numFmtId="0" fontId="73" fillId="0" borderId="8" xfId="3" applyFont="1" applyBorder="1"/>
    <xf numFmtId="2" fontId="69" fillId="0" borderId="8" xfId="3" applyNumberFormat="1" applyFont="1" applyBorder="1" applyAlignment="1">
      <alignment horizontal="right"/>
    </xf>
    <xf numFmtId="1" fontId="67" fillId="0" borderId="0" xfId="3" applyNumberFormat="1" applyFont="1"/>
    <xf numFmtId="1" fontId="74" fillId="0" borderId="8" xfId="3" applyNumberFormat="1" applyFont="1" applyBorder="1"/>
    <xf numFmtId="1" fontId="0" fillId="0" borderId="8" xfId="3" applyNumberFormat="1" applyFont="1" applyBorder="1"/>
    <xf numFmtId="2" fontId="75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76" fillId="0" borderId="0" xfId="3" applyFont="1"/>
    <xf numFmtId="0" fontId="67" fillId="0" borderId="0" xfId="0" applyFont="1" applyAlignment="1">
      <alignment horizontal="center"/>
    </xf>
    <xf numFmtId="2" fontId="37" fillId="0" borderId="8" xfId="3" applyNumberFormat="1" applyFont="1" applyBorder="1"/>
    <xf numFmtId="1" fontId="37" fillId="0" borderId="8" xfId="3" applyNumberFormat="1" applyFont="1" applyBorder="1"/>
    <xf numFmtId="1" fontId="7" fillId="0" borderId="8" xfId="3" applyNumberFormat="1" applyFont="1" applyBorder="1"/>
    <xf numFmtId="2" fontId="7" fillId="0" borderId="8" xfId="3" applyNumberFormat="1" applyFont="1" applyBorder="1"/>
    <xf numFmtId="0" fontId="67" fillId="10" borderId="8" xfId="3" applyFont="1" applyFill="1" applyBorder="1"/>
    <xf numFmtId="0" fontId="27" fillId="0" borderId="6" xfId="0" applyFont="1" applyBorder="1" applyAlignment="1">
      <alignment horizontal="left" vertical="center" wrapText="1"/>
    </xf>
    <xf numFmtId="0" fontId="70" fillId="0" borderId="8" xfId="3" applyFont="1" applyBorder="1"/>
    <xf numFmtId="2" fontId="77" fillId="0" borderId="8" xfId="3" applyNumberFormat="1" applyFont="1" applyBorder="1"/>
    <xf numFmtId="1" fontId="77" fillId="0" borderId="8" xfId="3" applyNumberFormat="1" applyFont="1" applyBorder="1"/>
    <xf numFmtId="2" fontId="74" fillId="0" borderId="8" xfId="3" applyNumberFormat="1" applyFont="1" applyBorder="1"/>
    <xf numFmtId="0" fontId="72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2" fontId="71" fillId="0" borderId="0" xfId="3" applyNumberFormat="1" applyFont="1"/>
    <xf numFmtId="2" fontId="70" fillId="0" borderId="0" xfId="3" applyNumberFormat="1" applyFont="1"/>
    <xf numFmtId="0" fontId="70" fillId="0" borderId="0" xfId="3" applyFont="1"/>
    <xf numFmtId="0" fontId="67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7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8" fillId="0" borderId="8" xfId="3" applyFont="1" applyBorder="1" applyAlignment="1">
      <alignment wrapText="1"/>
    </xf>
    <xf numFmtId="0" fontId="72" fillId="0" borderId="8" xfId="3" applyFont="1" applyBorder="1" applyAlignment="1">
      <alignment wrapText="1"/>
    </xf>
    <xf numFmtId="0" fontId="27" fillId="0" borderId="8" xfId="3" applyFont="1" applyBorder="1" applyAlignment="1">
      <alignment wrapText="1"/>
    </xf>
    <xf numFmtId="0" fontId="70" fillId="0" borderId="8" xfId="3" applyFont="1" applyBorder="1" applyAlignment="1">
      <alignment wrapText="1"/>
    </xf>
    <xf numFmtId="0" fontId="67" fillId="0" borderId="0" xfId="3" applyFont="1" applyAlignment="1">
      <alignment wrapText="1"/>
    </xf>
    <xf numFmtId="0" fontId="71" fillId="0" borderId="8" xfId="3" applyFont="1" applyBorder="1" applyAlignment="1">
      <alignment wrapText="1"/>
    </xf>
    <xf numFmtId="0" fontId="73" fillId="0" borderId="8" xfId="3" applyFont="1" applyBorder="1" applyAlignment="1">
      <alignment wrapText="1"/>
    </xf>
    <xf numFmtId="0" fontId="82" fillId="11" borderId="8" xfId="3" applyFont="1" applyFill="1" applyBorder="1" applyAlignment="1">
      <alignment vertical="center"/>
    </xf>
    <xf numFmtId="0" fontId="82" fillId="11" borderId="8" xfId="3" applyFont="1" applyFill="1" applyBorder="1"/>
    <xf numFmtId="0" fontId="82" fillId="11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1" borderId="8" xfId="3" applyNumberFormat="1" applyFont="1" applyFill="1" applyBorder="1"/>
    <xf numFmtId="1" fontId="86" fillId="0" borderId="8" xfId="3" applyNumberFormat="1" applyFont="1" applyBorder="1"/>
    <xf numFmtId="2" fontId="86" fillId="0" borderId="8" xfId="3" applyNumberFormat="1" applyFont="1" applyBorder="1"/>
    <xf numFmtId="0" fontId="71" fillId="0" borderId="0" xfId="3" applyFont="1" applyAlignment="1">
      <alignment horizontal="center"/>
    </xf>
    <xf numFmtId="0" fontId="71" fillId="0" borderId="1" xfId="3" applyFont="1" applyBorder="1"/>
    <xf numFmtId="2" fontId="71" fillId="0" borderId="1" xfId="3" applyNumberFormat="1" applyFont="1" applyBorder="1"/>
    <xf numFmtId="165" fontId="7" fillId="0" borderId="8" xfId="2" applyNumberFormat="1" applyFont="1" applyBorder="1"/>
    <xf numFmtId="2" fontId="87" fillId="0" borderId="8" xfId="3" applyNumberFormat="1" applyFont="1" applyBorder="1"/>
    <xf numFmtId="1" fontId="87" fillId="0" borderId="8" xfId="3" applyNumberFormat="1" applyFont="1" applyBorder="1"/>
    <xf numFmtId="1" fontId="73" fillId="0" borderId="0" xfId="3" applyNumberFormat="1" applyFont="1"/>
    <xf numFmtId="2" fontId="86" fillId="0" borderId="8" xfId="3" applyNumberFormat="1" applyFont="1" applyBorder="1" applyAlignment="1">
      <alignment horizontal="right"/>
    </xf>
    <xf numFmtId="1" fontId="86" fillId="0" borderId="8" xfId="3" applyNumberFormat="1" applyFont="1" applyBorder="1" applyAlignment="1">
      <alignment horizontal="right"/>
    </xf>
    <xf numFmtId="2" fontId="87" fillId="0" borderId="8" xfId="3" applyNumberFormat="1" applyFont="1" applyBorder="1" applyAlignment="1">
      <alignment horizontal="right"/>
    </xf>
    <xf numFmtId="1" fontId="87" fillId="0" borderId="8" xfId="3" applyNumberFormat="1" applyFont="1" applyBorder="1" applyAlignment="1">
      <alignment horizontal="right"/>
    </xf>
    <xf numFmtId="2" fontId="88" fillId="0" borderId="8" xfId="3" applyNumberFormat="1" applyFont="1" applyBorder="1"/>
    <xf numFmtId="1" fontId="88" fillId="0" borderId="8" xfId="3" applyNumberFormat="1" applyFont="1" applyBorder="1"/>
    <xf numFmtId="0" fontId="73" fillId="0" borderId="0" xfId="3" applyFont="1" applyAlignment="1">
      <alignment horizontal="center"/>
    </xf>
    <xf numFmtId="2" fontId="73" fillId="0" borderId="0" xfId="3" applyNumberFormat="1" applyFont="1"/>
    <xf numFmtId="0" fontId="73" fillId="0" borderId="0" xfId="3" applyFont="1"/>
    <xf numFmtId="165" fontId="67" fillId="0" borderId="0" xfId="3" applyNumberFormat="1" applyFont="1" applyAlignment="1">
      <alignment vertical="center"/>
    </xf>
    <xf numFmtId="0" fontId="71" fillId="0" borderId="8" xfId="3" applyFont="1" applyBorder="1"/>
    <xf numFmtId="0" fontId="0" fillId="0" borderId="0" xfId="0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72" fillId="0" borderId="0" xfId="3" applyFont="1" applyAlignment="1">
      <alignment horizontal="center" vertical="center"/>
    </xf>
    <xf numFmtId="0" fontId="82" fillId="0" borderId="0" xfId="3" applyFont="1" applyAlignment="1">
      <alignment horizontal="center" vertical="center"/>
    </xf>
    <xf numFmtId="0" fontId="0" fillId="0" borderId="1" xfId="0" applyBorder="1"/>
    <xf numFmtId="0" fontId="82" fillId="13" borderId="1" xfId="3" applyFont="1" applyFill="1" applyBorder="1" applyAlignment="1">
      <alignment horizontal="center" vertical="center"/>
    </xf>
    <xf numFmtId="0" fontId="72" fillId="0" borderId="1" xfId="3" applyFont="1" applyBorder="1" applyAlignment="1">
      <alignment horizontal="center" vertical="center"/>
    </xf>
    <xf numFmtId="0" fontId="67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2" fillId="2" borderId="1" xfId="3" applyFont="1" applyFill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82" fillId="0" borderId="1" xfId="3" applyFont="1" applyBorder="1" applyAlignment="1">
      <alignment horizontal="center" vertical="center"/>
    </xf>
    <xf numFmtId="0" fontId="82" fillId="0" borderId="1" xfId="3" applyFont="1" applyBorder="1" applyAlignment="1">
      <alignment horizontal="center"/>
    </xf>
    <xf numFmtId="0" fontId="90" fillId="3" borderId="1" xfId="0" applyFont="1" applyFill="1" applyBorder="1"/>
    <xf numFmtId="0" fontId="89" fillId="3" borderId="1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0" fillId="0" borderId="1" xfId="0" applyFont="1" applyBorder="1"/>
    <xf numFmtId="0" fontId="89" fillId="0" borderId="1" xfId="0" applyFont="1" applyBorder="1" applyAlignment="1">
      <alignment horizontal="center" vertical="center"/>
    </xf>
    <xf numFmtId="0" fontId="68" fillId="12" borderId="1" xfId="3" applyFont="1" applyFill="1" applyBorder="1" applyAlignment="1">
      <alignment horizontal="center" vertical="center"/>
    </xf>
    <xf numFmtId="0" fontId="68" fillId="12" borderId="1" xfId="3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/>
    <xf numFmtId="0" fontId="7" fillId="12" borderId="1" xfId="0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68" fillId="0" borderId="1" xfId="3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71" fillId="0" borderId="1" xfId="3" applyFont="1" applyBorder="1" applyAlignment="1">
      <alignment horizontal="center" vertical="center"/>
    </xf>
    <xf numFmtId="0" fontId="71" fillId="0" borderId="1" xfId="3" applyFont="1" applyBorder="1" applyAlignment="1">
      <alignment vertical="center"/>
    </xf>
    <xf numFmtId="165" fontId="88" fillId="0" borderId="8" xfId="2" applyNumberFormat="1" applyFont="1" applyBorder="1"/>
    <xf numFmtId="0" fontId="72" fillId="0" borderId="0" xfId="3" applyFont="1" applyAlignment="1">
      <alignment horizontal="center"/>
    </xf>
    <xf numFmtId="2" fontId="72" fillId="0" borderId="0" xfId="3" applyNumberFormat="1" applyFont="1"/>
    <xf numFmtId="0" fontId="72" fillId="0" borderId="0" xfId="3" applyFont="1"/>
    <xf numFmtId="43" fontId="67" fillId="0" borderId="0" xfId="3" applyNumberFormat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90" fillId="3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1" fillId="0" borderId="0" xfId="3" applyFont="1"/>
    <xf numFmtId="0" fontId="92" fillId="0" borderId="8" xfId="3" applyFont="1" applyBorder="1" applyAlignment="1">
      <alignment vertical="center"/>
    </xf>
    <xf numFmtId="0" fontId="92" fillId="0" borderId="8" xfId="3" applyFont="1" applyBorder="1"/>
    <xf numFmtId="0" fontId="92" fillId="0" borderId="8" xfId="3" applyFont="1" applyBorder="1" applyAlignment="1">
      <alignment wrapText="1"/>
    </xf>
    <xf numFmtId="2" fontId="93" fillId="0" borderId="8" xfId="3" applyNumberFormat="1" applyFont="1" applyBorder="1"/>
    <xf numFmtId="1" fontId="93" fillId="0" borderId="8" xfId="3" applyNumberFormat="1" applyFont="1" applyBorder="1"/>
    <xf numFmtId="1" fontId="36" fillId="0" borderId="8" xfId="3" applyNumberFormat="1" applyFont="1" applyBorder="1"/>
    <xf numFmtId="0" fontId="27" fillId="0" borderId="8" xfId="3" applyFont="1" applyBorder="1" applyAlignment="1">
      <alignment vertical="center"/>
    </xf>
    <xf numFmtId="0" fontId="27" fillId="0" borderId="8" xfId="3" applyFont="1" applyBorder="1"/>
    <xf numFmtId="2" fontId="36" fillId="0" borderId="8" xfId="3" applyNumberFormat="1" applyFont="1" applyBorder="1"/>
    <xf numFmtId="9" fontId="68" fillId="0" borderId="0" xfId="27" applyFont="1"/>
    <xf numFmtId="1" fontId="94" fillId="11" borderId="8" xfId="3" applyNumberFormat="1" applyFont="1" applyFill="1" applyBorder="1"/>
    <xf numFmtId="1" fontId="90" fillId="3" borderId="1" xfId="0" applyNumberFormat="1" applyFont="1" applyFill="1" applyBorder="1" applyAlignment="1">
      <alignment horizontal="center" vertical="center"/>
    </xf>
    <xf numFmtId="0" fontId="27" fillId="0" borderId="6" xfId="0" applyFont="1" applyBorder="1"/>
    <xf numFmtId="0" fontId="27" fillId="0" borderId="13" xfId="0" applyFont="1" applyBorder="1"/>
    <xf numFmtId="0" fontId="27" fillId="0" borderId="13" xfId="0" applyFont="1" applyBorder="1" applyAlignment="1">
      <alignment wrapText="1"/>
    </xf>
    <xf numFmtId="0" fontId="33" fillId="0" borderId="13" xfId="0" applyFont="1" applyBorder="1"/>
    <xf numFmtId="0" fontId="36" fillId="0" borderId="13" xfId="0" applyFont="1" applyBorder="1"/>
    <xf numFmtId="0" fontId="27" fillId="0" borderId="0" xfId="0" applyFont="1"/>
    <xf numFmtId="2" fontId="82" fillId="0" borderId="1" xfId="3" applyNumberFormat="1" applyFont="1" applyBorder="1" applyAlignment="1">
      <alignment horizontal="center" vertical="center"/>
    </xf>
    <xf numFmtId="2" fontId="82" fillId="0" borderId="0" xfId="3" applyNumberFormat="1" applyFont="1" applyAlignment="1">
      <alignment horizontal="center" vertical="center"/>
    </xf>
    <xf numFmtId="0" fontId="95" fillId="0" borderId="0" xfId="3" applyFont="1"/>
    <xf numFmtId="164" fontId="7" fillId="0" borderId="8" xfId="2" applyFont="1" applyBorder="1"/>
    <xf numFmtId="2" fontId="7" fillId="0" borderId="8" xfId="2" applyNumberFormat="1" applyFont="1" applyBorder="1"/>
    <xf numFmtId="164" fontId="7" fillId="0" borderId="8" xfId="3" applyNumberFormat="1" applyFont="1" applyBorder="1"/>
    <xf numFmtId="2" fontId="0" fillId="0" borderId="0" xfId="3" applyNumberFormat="1" applyFont="1"/>
    <xf numFmtId="168" fontId="69" fillId="0" borderId="8" xfId="3" applyNumberFormat="1" applyFont="1" applyBorder="1"/>
    <xf numFmtId="2" fontId="94" fillId="11" borderId="8" xfId="3" applyNumberFormat="1" applyFont="1" applyFill="1" applyBorder="1"/>
    <xf numFmtId="43" fontId="67" fillId="0" borderId="0" xfId="3" applyNumberFormat="1" applyFont="1"/>
    <xf numFmtId="168" fontId="74" fillId="0" borderId="8" xfId="3" applyNumberFormat="1" applyFont="1" applyBorder="1"/>
    <xf numFmtId="168" fontId="0" fillId="0" borderId="8" xfId="3" applyNumberFormat="1" applyFont="1" applyBorder="1"/>
    <xf numFmtId="168" fontId="77" fillId="0" borderId="8" xfId="3" applyNumberFormat="1" applyFont="1" applyBorder="1"/>
    <xf numFmtId="169" fontId="67" fillId="0" borderId="0" xfId="3" applyNumberFormat="1" applyFont="1"/>
    <xf numFmtId="164" fontId="74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1" fontId="33" fillId="0" borderId="13" xfId="0" applyNumberFormat="1" applyFont="1" applyBorder="1"/>
    <xf numFmtId="2" fontId="27" fillId="0" borderId="0" xfId="0" applyNumberFormat="1" applyFont="1"/>
    <xf numFmtId="0" fontId="70" fillId="0" borderId="6" xfId="0" applyFont="1" applyBorder="1" applyAlignment="1">
      <alignment vertical="center" wrapText="1"/>
    </xf>
    <xf numFmtId="0" fontId="27" fillId="0" borderId="0" xfId="3" applyFont="1" applyAlignment="1">
      <alignment horizontal="center"/>
    </xf>
    <xf numFmtId="2" fontId="27" fillId="0" borderId="0" xfId="3" applyNumberFormat="1" applyFont="1"/>
    <xf numFmtId="0" fontId="27" fillId="0" borderId="0" xfId="3" applyFont="1"/>
    <xf numFmtId="0" fontId="96" fillId="14" borderId="14" xfId="0" applyFont="1" applyFill="1" applyBorder="1"/>
    <xf numFmtId="164" fontId="84" fillId="2" borderId="8" xfId="2" applyFont="1" applyFill="1" applyBorder="1"/>
    <xf numFmtId="169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67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3" fillId="3" borderId="8" xfId="3" applyFont="1" applyFill="1" applyBorder="1" applyAlignment="1">
      <alignment vertical="center"/>
    </xf>
    <xf numFmtId="0" fontId="97" fillId="3" borderId="8" xfId="3" applyFont="1" applyFill="1" applyBorder="1" applyAlignment="1">
      <alignment vertical="center"/>
    </xf>
    <xf numFmtId="0" fontId="97" fillId="3" borderId="8" xfId="3" applyFont="1" applyFill="1" applyBorder="1" applyAlignment="1">
      <alignment horizontal="left" vertical="center" wrapText="1"/>
    </xf>
    <xf numFmtId="2" fontId="98" fillId="3" borderId="8" xfId="3" applyNumberFormat="1" applyFont="1" applyFill="1" applyBorder="1" applyAlignment="1">
      <alignment horizontal="center" vertical="center"/>
    </xf>
    <xf numFmtId="2" fontId="99" fillId="0" borderId="8" xfId="3" applyNumberFormat="1" applyFont="1" applyBorder="1"/>
    <xf numFmtId="0" fontId="68" fillId="0" borderId="1" xfId="3" applyFont="1" applyBorder="1" applyAlignment="1">
      <alignment horizontal="left" vertical="center"/>
    </xf>
    <xf numFmtId="2" fontId="100" fillId="0" borderId="1" xfId="0" applyNumberFormat="1" applyFont="1" applyBorder="1" applyAlignment="1">
      <alignment horizontal="center" vertical="center"/>
    </xf>
    <xf numFmtId="0" fontId="67" fillId="0" borderId="1" xfId="3" applyFont="1" applyBorder="1" applyAlignment="1">
      <alignment horizontal="left" vertical="center"/>
    </xf>
    <xf numFmtId="2" fontId="99" fillId="0" borderId="1" xfId="0" applyNumberFormat="1" applyFont="1" applyBorder="1" applyAlignment="1">
      <alignment horizontal="center" vertical="center"/>
    </xf>
    <xf numFmtId="0" fontId="68" fillId="0" borderId="1" xfId="3" applyFont="1" applyBorder="1"/>
    <xf numFmtId="2" fontId="99" fillId="0" borderId="8" xfId="3" applyNumberFormat="1" applyFont="1" applyBorder="1" applyAlignment="1">
      <alignment horizontal="center"/>
    </xf>
    <xf numFmtId="0" fontId="70" fillId="0" borderId="1" xfId="3" applyFont="1" applyBorder="1" applyAlignment="1">
      <alignment vertical="center"/>
    </xf>
    <xf numFmtId="0" fontId="71" fillId="0" borderId="8" xfId="3" applyFont="1" applyBorder="1" applyAlignment="1">
      <alignment horizontal="left" wrapText="1"/>
    </xf>
    <xf numFmtId="2" fontId="101" fillId="0" borderId="8" xfId="3" applyNumberFormat="1" applyFont="1" applyBorder="1" applyAlignment="1">
      <alignment horizontal="center"/>
    </xf>
    <xf numFmtId="0" fontId="73" fillId="0" borderId="1" xfId="3" applyFont="1" applyBorder="1" applyAlignment="1">
      <alignment vertical="center"/>
    </xf>
    <xf numFmtId="0" fontId="73" fillId="0" borderId="1" xfId="3" applyFont="1" applyBorder="1" applyAlignment="1">
      <alignment horizontal="center" vertical="center"/>
    </xf>
    <xf numFmtId="0" fontId="73" fillId="0" borderId="1" xfId="3" applyFont="1" applyBorder="1" applyAlignment="1">
      <alignment horizontal="left" vertical="center"/>
    </xf>
    <xf numFmtId="2" fontId="102" fillId="0" borderId="1" xfId="0" applyNumberFormat="1" applyFont="1" applyBorder="1" applyAlignment="1">
      <alignment horizontal="center" vertical="center"/>
    </xf>
    <xf numFmtId="0" fontId="67" fillId="0" borderId="0" xfId="3" applyFont="1" applyAlignment="1">
      <alignment horizontal="left" vertical="center"/>
    </xf>
    <xf numFmtId="2" fontId="99" fillId="0" borderId="0" xfId="0" applyNumberFormat="1" applyFont="1" applyAlignment="1">
      <alignment horizontal="center" vertical="center"/>
    </xf>
    <xf numFmtId="2" fontId="100" fillId="0" borderId="0" xfId="3" applyNumberFormat="1" applyFont="1"/>
    <xf numFmtId="0" fontId="67" fillId="0" borderId="0" xfId="3" applyFont="1" applyAlignment="1">
      <alignment horizontal="left" wrapText="1"/>
    </xf>
    <xf numFmtId="2" fontId="99" fillId="0" borderId="0" xfId="3" applyNumberFormat="1" applyFont="1"/>
    <xf numFmtId="2" fontId="99" fillId="0" borderId="0" xfId="3" applyNumberFormat="1" applyFont="1" applyAlignment="1">
      <alignment horizontal="center"/>
    </xf>
    <xf numFmtId="0" fontId="67" fillId="0" borderId="0" xfId="3" applyFont="1" applyAlignment="1">
      <alignment horizontal="left"/>
    </xf>
    <xf numFmtId="0" fontId="103" fillId="0" borderId="0" xfId="3" applyFont="1"/>
    <xf numFmtId="0" fontId="103" fillId="0" borderId="0" xfId="3" applyFont="1" applyAlignment="1">
      <alignment vertical="center"/>
    </xf>
    <xf numFmtId="0" fontId="103" fillId="0" borderId="0" xfId="3" applyFont="1" applyAlignment="1">
      <alignment horizontal="center"/>
    </xf>
    <xf numFmtId="0" fontId="103" fillId="0" borderId="0" xfId="3" applyFont="1" applyAlignment="1">
      <alignment horizontal="left" wrapText="1"/>
    </xf>
    <xf numFmtId="0" fontId="55" fillId="0" borderId="1" xfId="3" applyFont="1" applyBorder="1" applyAlignment="1">
      <alignment horizontal="center" vertical="center"/>
    </xf>
    <xf numFmtId="0" fontId="42" fillId="0" borderId="0" xfId="3" applyFont="1" applyAlignment="1">
      <alignment horizontal="center" vertical="center"/>
    </xf>
    <xf numFmtId="2" fontId="104" fillId="0" borderId="1" xfId="3" applyNumberFormat="1" applyFont="1" applyBorder="1" applyAlignment="1">
      <alignment horizontal="center" vertical="center"/>
    </xf>
    <xf numFmtId="1" fontId="104" fillId="0" borderId="1" xfId="3" applyNumberFormat="1" applyFont="1" applyBorder="1" applyAlignment="1">
      <alignment horizontal="center" vertical="center"/>
    </xf>
    <xf numFmtId="2" fontId="105" fillId="0" borderId="1" xfId="3" applyNumberFormat="1" applyFont="1" applyBorder="1" applyAlignment="1">
      <alignment horizontal="center"/>
    </xf>
    <xf numFmtId="1" fontId="105" fillId="0" borderId="1" xfId="3" applyNumberFormat="1" applyFont="1" applyBorder="1" applyAlignment="1">
      <alignment horizontal="center"/>
    </xf>
    <xf numFmtId="2" fontId="105" fillId="0" borderId="1" xfId="3" applyNumberFormat="1" applyFont="1" applyBorder="1" applyAlignment="1">
      <alignment horizontal="center" vertical="center"/>
    </xf>
    <xf numFmtId="0" fontId="42" fillId="0" borderId="0" xfId="3" applyFont="1"/>
    <xf numFmtId="2" fontId="106" fillId="0" borderId="1" xfId="3" applyNumberFormat="1" applyFont="1" applyBorder="1" applyAlignment="1">
      <alignment horizontal="center"/>
    </xf>
    <xf numFmtId="1" fontId="106" fillId="0" borderId="1" xfId="3" applyNumberFormat="1" applyFont="1" applyBorder="1" applyAlignment="1">
      <alignment horizontal="center"/>
    </xf>
    <xf numFmtId="1" fontId="105" fillId="0" borderId="1" xfId="3" applyNumberFormat="1" applyFont="1" applyBorder="1" applyAlignment="1">
      <alignment horizontal="center" wrapText="1"/>
    </xf>
    <xf numFmtId="2" fontId="105" fillId="0" borderId="1" xfId="3" applyNumberFormat="1" applyFont="1" applyBorder="1" applyAlignment="1">
      <alignment horizontal="center" vertical="center" wrapText="1"/>
    </xf>
    <xf numFmtId="2" fontId="105" fillId="0" borderId="1" xfId="3" applyNumberFormat="1" applyFont="1" applyBorder="1" applyAlignment="1">
      <alignment horizontal="center" wrapText="1"/>
    </xf>
    <xf numFmtId="0" fontId="66" fillId="0" borderId="1" xfId="3" applyFont="1" applyBorder="1" applyAlignment="1">
      <alignment vertical="center" wrapText="1"/>
    </xf>
    <xf numFmtId="0" fontId="55" fillId="0" borderId="1" xfId="3" applyFont="1" applyBorder="1"/>
    <xf numFmtId="2" fontId="104" fillId="0" borderId="1" xfId="3" applyNumberFormat="1" applyFont="1" applyBorder="1" applyAlignment="1">
      <alignment horizontal="center"/>
    </xf>
    <xf numFmtId="0" fontId="2" fillId="0" borderId="1" xfId="3" applyBorder="1"/>
    <xf numFmtId="2" fontId="106" fillId="0" borderId="1" xfId="3" applyNumberFormat="1" applyFont="1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2" fontId="2" fillId="0" borderId="1" xfId="3" applyNumberFormat="1" applyBorder="1" applyAlignment="1">
      <alignment horizontal="center" vertical="center"/>
    </xf>
    <xf numFmtId="0" fontId="2" fillId="0" borderId="0" xfId="3"/>
    <xf numFmtId="2" fontId="107" fillId="0" borderId="1" xfId="3" applyNumberFormat="1" applyFont="1" applyBorder="1" applyAlignment="1">
      <alignment horizontal="center" vertical="center"/>
    </xf>
    <xf numFmtId="168" fontId="2" fillId="0" borderId="1" xfId="3" applyNumberFormat="1" applyBorder="1" applyAlignment="1">
      <alignment horizontal="center" vertical="center"/>
    </xf>
    <xf numFmtId="0" fontId="66" fillId="0" borderId="1" xfId="3" applyFont="1" applyBorder="1" applyAlignment="1">
      <alignment vertical="center"/>
    </xf>
    <xf numFmtId="0" fontId="42" fillId="0" borderId="0" xfId="3" applyFont="1" applyAlignment="1">
      <alignment horizontal="center"/>
    </xf>
    <xf numFmtId="2" fontId="105" fillId="0" borderId="1" xfId="3" applyNumberFormat="1" applyFont="1" applyBorder="1" applyAlignment="1">
      <alignment horizontal="left" vertical="center"/>
    </xf>
    <xf numFmtId="1" fontId="105" fillId="0" borderId="1" xfId="3" applyNumberFormat="1" applyFont="1" applyBorder="1" applyAlignment="1">
      <alignment horizontal="left" vertical="center"/>
    </xf>
    <xf numFmtId="0" fontId="42" fillId="0" borderId="0" xfId="3" applyFont="1" applyAlignment="1">
      <alignment horizontal="left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100" fillId="0" borderId="8" xfId="0" applyNumberFormat="1" applyFont="1" applyBorder="1" applyAlignment="1">
      <alignment horizontal="center" vertical="center"/>
    </xf>
    <xf numFmtId="0" fontId="67" fillId="0" borderId="8" xfId="3" applyFont="1" applyBorder="1" applyAlignment="1">
      <alignment horizontal="center" vertical="center"/>
    </xf>
    <xf numFmtId="0" fontId="67" fillId="0" borderId="8" xfId="3" applyFont="1" applyBorder="1" applyAlignment="1">
      <alignment horizontal="left" vertical="center"/>
    </xf>
    <xf numFmtId="2" fontId="99" fillId="0" borderId="8" xfId="0" applyNumberFormat="1" applyFont="1" applyBorder="1" applyAlignment="1">
      <alignment horizontal="center" vertical="center"/>
    </xf>
    <xf numFmtId="0" fontId="71" fillId="0" borderId="8" xfId="3" applyFont="1" applyBorder="1" applyAlignment="1">
      <alignment horizontal="center" vertical="center"/>
    </xf>
    <xf numFmtId="0" fontId="71" fillId="0" borderId="8" xfId="3" applyFont="1" applyBorder="1" applyAlignment="1">
      <alignment horizontal="left" vertical="center"/>
    </xf>
    <xf numFmtId="2" fontId="101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100" fillId="0" borderId="8" xfId="3" applyNumberFormat="1" applyFont="1" applyBorder="1"/>
    <xf numFmtId="0" fontId="1" fillId="0" borderId="1" xfId="3" applyFont="1" applyBorder="1"/>
    <xf numFmtId="1" fontId="104" fillId="0" borderId="1" xfId="3" applyNumberFormat="1" applyFont="1" applyBorder="1" applyAlignment="1">
      <alignment horizontal="center"/>
    </xf>
    <xf numFmtId="1" fontId="99" fillId="0" borderId="1" xfId="0" applyNumberFormat="1" applyFont="1" applyBorder="1" applyAlignment="1">
      <alignment horizontal="center" vertical="center"/>
    </xf>
    <xf numFmtId="1" fontId="99" fillId="0" borderId="8" xfId="3" applyNumberFormat="1" applyFont="1" applyBorder="1"/>
    <xf numFmtId="1" fontId="100" fillId="0" borderId="1" xfId="0" applyNumberFormat="1" applyFont="1" applyBorder="1" applyAlignment="1">
      <alignment horizontal="center" vertical="center"/>
    </xf>
    <xf numFmtId="0" fontId="67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7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69" fillId="0" borderId="1" xfId="3" applyNumberFormat="1" applyFont="1" applyBorder="1"/>
    <xf numFmtId="2" fontId="99" fillId="0" borderId="1" xfId="3" applyNumberFormat="1" applyFont="1" applyBorder="1"/>
    <xf numFmtId="0" fontId="53" fillId="3" borderId="1" xfId="3" applyFont="1" applyFill="1" applyBorder="1" applyAlignment="1">
      <alignment vertical="center"/>
    </xf>
    <xf numFmtId="0" fontId="97" fillId="3" borderId="1" xfId="3" applyFont="1" applyFill="1" applyBorder="1" applyAlignment="1">
      <alignment vertical="center"/>
    </xf>
    <xf numFmtId="0" fontId="97" fillId="3" borderId="1" xfId="3" applyFont="1" applyFill="1" applyBorder="1" applyAlignment="1">
      <alignment horizontal="left" vertical="center" wrapText="1"/>
    </xf>
    <xf numFmtId="2" fontId="98" fillId="3" borderId="1" xfId="3" applyNumberFormat="1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vertical="center" wrapText="1"/>
    </xf>
    <xf numFmtId="0" fontId="1" fillId="0" borderId="1" xfId="3" applyFont="1" applyBorder="1" applyAlignment="1">
      <alignment horizontal="left" vertical="center"/>
    </xf>
    <xf numFmtId="0" fontId="1" fillId="0" borderId="1" xfId="3" applyFont="1" applyBorder="1" applyAlignment="1">
      <alignment horizontal="left" vertical="center" wrapText="1"/>
    </xf>
    <xf numFmtId="0" fontId="1" fillId="0" borderId="0" xfId="3" applyFont="1"/>
    <xf numFmtId="0" fontId="1" fillId="0" borderId="1" xfId="3" applyFont="1" applyBorder="1" applyAlignment="1">
      <alignment vertical="center"/>
    </xf>
    <xf numFmtId="0" fontId="1" fillId="0" borderId="0" xfId="3" applyFont="1" applyAlignment="1">
      <alignment horizontal="center"/>
    </xf>
    <xf numFmtId="2" fontId="1" fillId="0" borderId="1" xfId="3" applyNumberFormat="1" applyFont="1" applyBorder="1" applyAlignment="1">
      <alignment horizontal="center"/>
    </xf>
    <xf numFmtId="2" fontId="1" fillId="0" borderId="1" xfId="3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/>
    <xf numFmtId="0" fontId="1" fillId="0" borderId="1" xfId="0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left" wrapText="1"/>
    </xf>
    <xf numFmtId="165" fontId="1" fillId="0" borderId="1" xfId="2" applyNumberFormat="1" applyFont="1" applyBorder="1" applyAlignment="1">
      <alignment horizontal="right" wrapText="1"/>
    </xf>
    <xf numFmtId="164" fontId="1" fillId="0" borderId="1" xfId="2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7" xfId="2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7" xfId="2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top"/>
    </xf>
    <xf numFmtId="164" fontId="1" fillId="0" borderId="1" xfId="2" applyFont="1" applyBorder="1"/>
    <xf numFmtId="0" fontId="1" fillId="0" borderId="1" xfId="0" applyFont="1" applyBorder="1" applyAlignment="1">
      <alignment horizontal="left" vertical="top" wrapText="1"/>
    </xf>
    <xf numFmtId="164" fontId="1" fillId="0" borderId="1" xfId="2" applyFont="1" applyBorder="1" applyAlignment="1">
      <alignment horizontal="left" wrapText="1"/>
    </xf>
    <xf numFmtId="165" fontId="1" fillId="0" borderId="1" xfId="2" applyNumberFormat="1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/>
    <xf numFmtId="43" fontId="1" fillId="0" borderId="1" xfId="0" applyNumberFormat="1" applyFont="1" applyBorder="1"/>
    <xf numFmtId="165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9" applyFont="1" applyBorder="1" applyAlignment="1">
      <alignment horizontal="left" vertical="center"/>
    </xf>
    <xf numFmtId="165" fontId="1" fillId="0" borderId="1" xfId="2" applyNumberFormat="1" applyFont="1" applyBorder="1" applyAlignment="1">
      <alignment horizontal="center" vertical="center"/>
    </xf>
    <xf numFmtId="164" fontId="1" fillId="0" borderId="1" xfId="2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165" fontId="1" fillId="0" borderId="0" xfId="0" applyNumberFormat="1" applyFont="1"/>
    <xf numFmtId="164" fontId="1" fillId="0" borderId="0" xfId="0" applyNumberFormat="1" applyFont="1"/>
    <xf numFmtId="165" fontId="1" fillId="0" borderId="1" xfId="2" applyNumberFormat="1" applyFont="1" applyBorder="1" applyAlignment="1">
      <alignment wrapText="1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166" fontId="1" fillId="0" borderId="1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67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7" fillId="0" borderId="0" xfId="3" applyNumberFormat="1" applyFont="1" applyAlignment="1">
      <alignment vertical="center"/>
    </xf>
    <xf numFmtId="1" fontId="0" fillId="0" borderId="0" xfId="0" applyNumberFormat="1"/>
    <xf numFmtId="1" fontId="7" fillId="0" borderId="8" xfId="2" applyNumberFormat="1" applyFont="1" applyBorder="1"/>
    <xf numFmtId="165" fontId="67" fillId="0" borderId="0" xfId="3" applyNumberFormat="1" applyFont="1" applyAlignment="1">
      <alignment horizontal="center" vertical="center"/>
    </xf>
    <xf numFmtId="165" fontId="69" fillId="0" borderId="0" xfId="2" applyNumberFormat="1" applyFont="1" applyAlignment="1">
      <alignment vertical="center"/>
    </xf>
    <xf numFmtId="165" fontId="69" fillId="0" borderId="0" xfId="2" applyNumberFormat="1" applyFont="1"/>
    <xf numFmtId="165" fontId="69" fillId="0" borderId="0" xfId="2" applyNumberFormat="1" applyFont="1" applyAlignment="1">
      <alignment horizontal="center"/>
    </xf>
    <xf numFmtId="165" fontId="69" fillId="0" borderId="0" xfId="3" applyNumberFormat="1" applyFont="1" applyAlignment="1">
      <alignment vertical="center"/>
    </xf>
    <xf numFmtId="0" fontId="69" fillId="0" borderId="0" xfId="3" applyFont="1"/>
    <xf numFmtId="0" fontId="82" fillId="2" borderId="8" xfId="3" applyFont="1" applyFill="1" applyBorder="1" applyAlignment="1">
      <alignment horizontal="center" vertical="center"/>
    </xf>
    <xf numFmtId="0" fontId="67" fillId="0" borderId="18" xfId="3" applyFont="1" applyBorder="1" applyAlignment="1">
      <alignment vertical="center"/>
    </xf>
    <xf numFmtId="0" fontId="27" fillId="0" borderId="8" xfId="0" applyFont="1" applyBorder="1" applyAlignment="1">
      <alignment horizontal="left" vertical="center" wrapText="1"/>
    </xf>
    <xf numFmtId="0" fontId="71" fillId="0" borderId="8" xfId="0" applyFont="1" applyBorder="1" applyAlignment="1">
      <alignment vertical="center" wrapText="1"/>
    </xf>
    <xf numFmtId="0" fontId="67" fillId="0" borderId="8" xfId="3" applyFont="1" applyBorder="1" applyAlignment="1">
      <alignment horizontal="left" vertical="center" wrapText="1"/>
    </xf>
    <xf numFmtId="0" fontId="57" fillId="0" borderId="0" xfId="0" applyFont="1"/>
    <xf numFmtId="0" fontId="70" fillId="2" borderId="8" xfId="3" applyFont="1" applyFill="1" applyBorder="1" applyAlignment="1">
      <alignment vertical="center"/>
    </xf>
    <xf numFmtId="0" fontId="68" fillId="2" borderId="8" xfId="3" applyFont="1" applyFill="1" applyBorder="1" applyAlignment="1">
      <alignment vertical="center" wrapText="1"/>
    </xf>
    <xf numFmtId="170" fontId="108" fillId="3" borderId="8" xfId="2" applyNumberFormat="1" applyFont="1" applyFill="1" applyBorder="1" applyAlignment="1">
      <alignment horizontal="center" vertical="center"/>
    </xf>
    <xf numFmtId="165" fontId="109" fillId="3" borderId="8" xfId="2" applyNumberFormat="1" applyFont="1" applyFill="1" applyBorder="1" applyAlignment="1">
      <alignment horizontal="center"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7" fillId="0" borderId="18" xfId="3" applyFont="1" applyBorder="1" applyAlignment="1">
      <alignment horizontal="center" vertical="center"/>
    </xf>
    <xf numFmtId="2" fontId="69" fillId="0" borderId="8" xfId="3" applyNumberFormat="1" applyFont="1" applyBorder="1" applyAlignment="1">
      <alignment vertical="center"/>
    </xf>
    <xf numFmtId="1" fontId="69" fillId="0" borderId="8" xfId="3" applyNumberFormat="1" applyFont="1" applyBorder="1" applyAlignment="1">
      <alignment vertical="center"/>
    </xf>
    <xf numFmtId="0" fontId="82" fillId="11" borderId="8" xfId="3" applyFont="1" applyFill="1" applyBorder="1" applyAlignment="1">
      <alignment vertical="center" wrapText="1"/>
    </xf>
    <xf numFmtId="165" fontId="81" fillId="11" borderId="8" xfId="2" applyNumberFormat="1" applyFont="1" applyFill="1" applyBorder="1" applyAlignment="1">
      <alignment vertical="center"/>
    </xf>
    <xf numFmtId="0" fontId="71" fillId="0" borderId="8" xfId="3" applyFont="1" applyBorder="1" applyAlignment="1">
      <alignment vertical="center" wrapText="1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0" fillId="0" borderId="18" xfId="3" applyFont="1" applyBorder="1" applyAlignment="1">
      <alignment vertical="center"/>
    </xf>
    <xf numFmtId="0" fontId="70" fillId="0" borderId="0" xfId="3" applyFont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67" fillId="0" borderId="0" xfId="3" applyFont="1" applyAlignment="1">
      <alignment vertical="center" wrapText="1"/>
    </xf>
    <xf numFmtId="0" fontId="67" fillId="15" borderId="0" xfId="3" applyFont="1" applyFill="1" applyAlignment="1">
      <alignment vertical="center"/>
    </xf>
    <xf numFmtId="0" fontId="67" fillId="15" borderId="0" xfId="3" applyFont="1" applyFill="1" applyAlignment="1">
      <alignment horizontal="center" vertical="center"/>
    </xf>
    <xf numFmtId="0" fontId="70" fillId="15" borderId="0" xfId="3" applyFont="1" applyFill="1" applyAlignment="1">
      <alignment vertical="center"/>
    </xf>
    <xf numFmtId="165" fontId="109" fillId="3" borderId="8" xfId="2" applyNumberFormat="1" applyFont="1" applyFill="1" applyBorder="1" applyAlignment="1">
      <alignment horizontal="right" vertical="center"/>
    </xf>
    <xf numFmtId="165" fontId="0" fillId="0" borderId="8" xfId="3" applyNumberFormat="1" applyFont="1" applyBorder="1" applyAlignment="1">
      <alignment vertical="center"/>
    </xf>
    <xf numFmtId="0" fontId="67" fillId="0" borderId="8" xfId="3" applyFont="1" applyBorder="1" applyAlignment="1">
      <alignment horizontal="center" vertical="center" wrapText="1"/>
    </xf>
    <xf numFmtId="2" fontId="81" fillId="11" borderId="8" xfId="3" applyNumberFormat="1" applyFont="1" applyFill="1" applyBorder="1" applyAlignment="1">
      <alignment horizontal="center" vertical="center"/>
    </xf>
    <xf numFmtId="2" fontId="79" fillId="2" borderId="8" xfId="3" applyNumberFormat="1" applyFont="1" applyFill="1" applyBorder="1" applyAlignment="1">
      <alignment horizontal="center" vertical="center"/>
    </xf>
    <xf numFmtId="15" fontId="0" fillId="0" borderId="8" xfId="3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71" fillId="0" borderId="8" xfId="3" applyFont="1" applyBorder="1" applyAlignment="1">
      <alignment horizontal="center" vertical="center" wrapText="1"/>
    </xf>
    <xf numFmtId="0" fontId="67" fillId="0" borderId="0" xfId="3" applyFont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/>
    </xf>
    <xf numFmtId="0" fontId="68" fillId="0" borderId="1" xfId="0" applyFont="1" applyBorder="1" applyAlignment="1">
      <alignment horizontal="right" vertical="center"/>
    </xf>
    <xf numFmtId="0" fontId="111" fillId="0" borderId="1" xfId="0" applyFont="1" applyBorder="1" applyAlignment="1">
      <alignment horizontal="right" vertical="center"/>
    </xf>
    <xf numFmtId="0" fontId="110" fillId="0" borderId="1" xfId="0" applyFont="1" applyBorder="1" applyAlignment="1">
      <alignment vertical="center" wrapText="1"/>
    </xf>
    <xf numFmtId="171" fontId="110" fillId="0" borderId="1" xfId="0" applyNumberFormat="1" applyFont="1" applyBorder="1" applyAlignment="1">
      <alignment horizontal="center" vertical="center"/>
    </xf>
    <xf numFmtId="171" fontId="110" fillId="0" borderId="1" xfId="0" applyNumberFormat="1" applyFont="1" applyBorder="1" applyAlignment="1">
      <alignment vertical="center"/>
    </xf>
    <xf numFmtId="0" fontId="110" fillId="0" borderId="0" xfId="0" applyFont="1" applyAlignment="1">
      <alignment vertical="center"/>
    </xf>
    <xf numFmtId="0" fontId="110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171" fontId="113" fillId="3" borderId="1" xfId="0" applyNumberFormat="1" applyFont="1" applyFill="1" applyBorder="1" applyAlignment="1">
      <alignment horizontal="center" vertical="center"/>
    </xf>
    <xf numFmtId="171" fontId="112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165" fontId="67" fillId="0" borderId="1" xfId="29" applyNumberFormat="1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right" wrapText="1"/>
    </xf>
    <xf numFmtId="0" fontId="114" fillId="0" borderId="0" xfId="0" applyFont="1" applyAlignment="1">
      <alignment horizontal="center" vertical="center"/>
    </xf>
    <xf numFmtId="0" fontId="112" fillId="0" borderId="1" xfId="0" applyFont="1" applyBorder="1" applyAlignment="1">
      <alignment vertical="center" wrapText="1"/>
    </xf>
    <xf numFmtId="0" fontId="112" fillId="0" borderId="1" xfId="0" applyFont="1" applyBorder="1" applyAlignment="1">
      <alignment vertical="center"/>
    </xf>
    <xf numFmtId="171" fontId="112" fillId="0" borderId="1" xfId="0" applyNumberFormat="1" applyFont="1" applyBorder="1" applyAlignment="1">
      <alignment vertical="center"/>
    </xf>
    <xf numFmtId="0" fontId="68" fillId="16" borderId="1" xfId="0" applyFont="1" applyFill="1" applyBorder="1" applyAlignment="1">
      <alignment horizontal="right" vertical="center"/>
    </xf>
    <xf numFmtId="0" fontId="111" fillId="16" borderId="1" xfId="0" applyFont="1" applyFill="1" applyBorder="1" applyAlignment="1">
      <alignment horizontal="right" vertical="center"/>
    </xf>
    <xf numFmtId="0" fontId="112" fillId="16" borderId="1" xfId="0" applyFont="1" applyFill="1" applyBorder="1" applyAlignment="1">
      <alignment vertical="center" wrapText="1"/>
    </xf>
    <xf numFmtId="0" fontId="112" fillId="16" borderId="1" xfId="0" applyFont="1" applyFill="1" applyBorder="1" applyAlignment="1">
      <alignment vertical="center"/>
    </xf>
    <xf numFmtId="171" fontId="110" fillId="16" borderId="1" xfId="0" applyNumberFormat="1" applyFont="1" applyFill="1" applyBorder="1" applyAlignment="1">
      <alignment horizontal="center" vertical="center"/>
    </xf>
    <xf numFmtId="171" fontId="117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vertical="center"/>
    </xf>
    <xf numFmtId="171" fontId="118" fillId="0" borderId="1" xfId="0" applyNumberFormat="1" applyFont="1" applyBorder="1" applyAlignment="1">
      <alignment horizontal="center" vertical="center"/>
    </xf>
    <xf numFmtId="171" fontId="119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171" fontId="120" fillId="0" borderId="1" xfId="0" applyNumberFormat="1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vertical="center"/>
    </xf>
    <xf numFmtId="0" fontId="110" fillId="2" borderId="1" xfId="0" applyFont="1" applyFill="1" applyBorder="1" applyAlignment="1">
      <alignment vertical="center"/>
    </xf>
    <xf numFmtId="165" fontId="114" fillId="0" borderId="1" xfId="29" applyNumberFormat="1" applyFont="1" applyFill="1" applyBorder="1" applyAlignment="1">
      <alignment horizontal="center" vertical="center"/>
    </xf>
    <xf numFmtId="171" fontId="114" fillId="0" borderId="1" xfId="0" applyNumberFormat="1" applyFont="1" applyBorder="1" applyAlignment="1">
      <alignment horizontal="center" vertical="center"/>
    </xf>
    <xf numFmtId="171" fontId="114" fillId="2" borderId="1" xfId="0" applyNumberFormat="1" applyFont="1" applyFill="1" applyBorder="1" applyAlignment="1">
      <alignment horizontal="center" vertical="center"/>
    </xf>
    <xf numFmtId="171" fontId="121" fillId="0" borderId="1" xfId="0" applyNumberFormat="1" applyFont="1" applyBorder="1" applyAlignment="1">
      <alignment horizontal="center" vertical="center"/>
    </xf>
    <xf numFmtId="171" fontId="121" fillId="2" borderId="1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right" vertical="center"/>
    </xf>
    <xf numFmtId="0" fontId="67" fillId="0" borderId="0" xfId="0" applyFont="1" applyAlignment="1">
      <alignment vertical="center" wrapText="1"/>
    </xf>
    <xf numFmtId="171" fontId="110" fillId="0" borderId="0" xfId="0" applyNumberFormat="1" applyFont="1" applyAlignment="1">
      <alignment horizontal="center" vertical="center"/>
    </xf>
    <xf numFmtId="171" fontId="110" fillId="0" borderId="0" xfId="0" applyNumberFormat="1" applyFont="1" applyAlignment="1">
      <alignment vertical="center"/>
    </xf>
    <xf numFmtId="1" fontId="67" fillId="0" borderId="1" xfId="0" applyNumberFormat="1" applyFont="1" applyBorder="1" applyAlignment="1">
      <alignment horizontal="right" vertical="center"/>
    </xf>
    <xf numFmtId="171" fontId="122" fillId="0" borderId="1" xfId="0" applyNumberFormat="1" applyFont="1" applyBorder="1" applyAlignment="1">
      <alignment vertical="center"/>
    </xf>
    <xf numFmtId="171" fontId="122" fillId="0" borderId="1" xfId="0" applyNumberFormat="1" applyFont="1" applyBorder="1" applyAlignment="1">
      <alignment horizontal="center" vertical="center"/>
    </xf>
    <xf numFmtId="0" fontId="71" fillId="0" borderId="1" xfId="0" applyFont="1" applyBorder="1" applyAlignment="1">
      <alignment vertical="center"/>
    </xf>
    <xf numFmtId="0" fontId="123" fillId="0" borderId="1" xfId="0" applyFont="1" applyBorder="1" applyAlignment="1">
      <alignment vertical="center"/>
    </xf>
    <xf numFmtId="171" fontId="124" fillId="0" borderId="1" xfId="0" applyNumberFormat="1" applyFont="1" applyBorder="1" applyAlignment="1">
      <alignment vertical="center"/>
    </xf>
    <xf numFmtId="0" fontId="123" fillId="0" borderId="0" xfId="0" applyFont="1" applyAlignment="1">
      <alignment vertical="center"/>
    </xf>
    <xf numFmtId="0" fontId="46" fillId="0" borderId="1" xfId="0" applyFont="1" applyBorder="1" applyAlignment="1">
      <alignment vertical="center" wrapText="1"/>
    </xf>
    <xf numFmtId="0" fontId="67" fillId="0" borderId="1" xfId="0" applyFont="1" applyBorder="1" applyAlignment="1">
      <alignment vertical="center" wrapText="1"/>
    </xf>
    <xf numFmtId="171" fontId="122" fillId="0" borderId="1" xfId="0" applyNumberFormat="1" applyFont="1" applyBorder="1" applyAlignment="1">
      <alignment vertical="center" wrapText="1"/>
    </xf>
    <xf numFmtId="0" fontId="111" fillId="0" borderId="0" xfId="0" applyFont="1" applyAlignment="1">
      <alignment horizontal="right" vertical="center"/>
    </xf>
    <xf numFmtId="0" fontId="110" fillId="0" borderId="0" xfId="0" applyFont="1" applyAlignment="1">
      <alignment vertical="center" wrapText="1"/>
    </xf>
    <xf numFmtId="165" fontId="69" fillId="0" borderId="1" xfId="29" applyNumberFormat="1" applyFont="1" applyFill="1" applyBorder="1" applyAlignment="1">
      <alignment horizontal="center" vertical="center"/>
    </xf>
    <xf numFmtId="171" fontId="69" fillId="0" borderId="1" xfId="0" applyNumberFormat="1" applyFont="1" applyBorder="1" applyAlignment="1">
      <alignment horizontal="center" vertical="center"/>
    </xf>
    <xf numFmtId="1" fontId="67" fillId="0" borderId="1" xfId="0" applyNumberFormat="1" applyFont="1" applyBorder="1" applyAlignment="1">
      <alignment horizontal="left" vertical="center"/>
    </xf>
    <xf numFmtId="165" fontId="94" fillId="11" borderId="8" xfId="2" applyNumberFormat="1" applyFont="1" applyFill="1" applyBorder="1" applyAlignment="1">
      <alignment vertical="center"/>
    </xf>
    <xf numFmtId="0" fontId="92" fillId="2" borderId="8" xfId="3" applyFont="1" applyFill="1" applyBorder="1" applyAlignment="1">
      <alignment vertical="center"/>
    </xf>
    <xf numFmtId="0" fontId="27" fillId="0" borderId="0" xfId="3" applyFont="1" applyAlignment="1">
      <alignment vertical="center"/>
    </xf>
    <xf numFmtId="0" fontId="27" fillId="15" borderId="0" xfId="3" applyFont="1" applyFill="1" applyAlignment="1">
      <alignment vertical="center"/>
    </xf>
    <xf numFmtId="2" fontId="77" fillId="2" borderId="8" xfId="3" applyNumberFormat="1" applyFont="1" applyFill="1" applyBorder="1" applyAlignment="1">
      <alignment vertical="center"/>
    </xf>
    <xf numFmtId="165" fontId="77" fillId="2" borderId="8" xfId="2" applyNumberFormat="1" applyFont="1" applyFill="1" applyBorder="1" applyAlignment="1">
      <alignment vertical="center"/>
    </xf>
    <xf numFmtId="0" fontId="27" fillId="0" borderId="18" xfId="3" applyFont="1" applyBorder="1" applyAlignment="1">
      <alignment vertical="center"/>
    </xf>
    <xf numFmtId="2" fontId="125" fillId="11" borderId="8" xfId="3" applyNumberFormat="1" applyFont="1" applyFill="1" applyBorder="1" applyAlignment="1">
      <alignment vertical="center"/>
    </xf>
    <xf numFmtId="165" fontId="125" fillId="11" borderId="8" xfId="2" applyNumberFormat="1" applyFont="1" applyFill="1" applyBorder="1" applyAlignment="1">
      <alignment vertical="center"/>
    </xf>
    <xf numFmtId="0" fontId="126" fillId="0" borderId="8" xfId="3" applyFont="1" applyBorder="1" applyAlignment="1">
      <alignment vertical="center"/>
    </xf>
    <xf numFmtId="0" fontId="126" fillId="0" borderId="8" xfId="3" applyFont="1" applyBorder="1" applyAlignment="1">
      <alignment vertical="center" wrapText="1"/>
    </xf>
    <xf numFmtId="0" fontId="126" fillId="0" borderId="8" xfId="3" applyFont="1" applyBorder="1" applyAlignment="1">
      <alignment horizontal="center" vertical="center" wrapText="1"/>
    </xf>
    <xf numFmtId="0" fontId="82" fillId="11" borderId="8" xfId="3" applyFont="1" applyFill="1" applyBorder="1" applyAlignment="1">
      <alignment horizontal="center" vertical="center" wrapText="1"/>
    </xf>
    <xf numFmtId="0" fontId="68" fillId="2" borderId="8" xfId="3" applyFont="1" applyFill="1" applyBorder="1" applyAlignment="1">
      <alignment horizontal="center" vertical="center" wrapText="1"/>
    </xf>
    <xf numFmtId="0" fontId="92" fillId="2" borderId="8" xfId="3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 wrapText="1"/>
    </xf>
    <xf numFmtId="0" fontId="46" fillId="17" borderId="1" xfId="0" applyFont="1" applyFill="1" applyBorder="1" applyAlignment="1">
      <alignment horizontal="left" vertical="center"/>
    </xf>
    <xf numFmtId="0" fontId="46" fillId="17" borderId="1" xfId="0" applyFont="1" applyFill="1" applyBorder="1" applyAlignment="1">
      <alignment horizontal="left" vertical="center" wrapText="1"/>
    </xf>
    <xf numFmtId="0" fontId="83" fillId="3" borderId="16" xfId="3" applyFont="1" applyFill="1" applyBorder="1" applyAlignment="1">
      <alignment horizontal="center" vertical="center"/>
    </xf>
    <xf numFmtId="0" fontId="83" fillId="3" borderId="17" xfId="3" applyFont="1" applyFill="1" applyBorder="1" applyAlignment="1">
      <alignment horizontal="center" vertical="center"/>
    </xf>
  </cellXfs>
  <cellStyles count="30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29" xr:uid="{26E092DB-0132-40D7-A72D-E80515A30BC6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2" xfId="9" xr:uid="{9E5C3A08-B208-402D-8FFE-828530A336D4}"/>
    <cellStyle name="Normal 2 111" xfId="28" xr:uid="{703911C2-512B-4F43-9619-3169A2D17515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3FC90EA-02A2-45F1-963B-435846AF64A7}">
    <nsvFilter filterId="{25E166A6-C630-4B04-85AE-3B4522A0FD1E}" ref="A5:AK1637" tableId="0"/>
  </namedSheetView>
  <namedSheetView name="View2" id="{270F3F62-E77C-4573-B2D8-FD89F0276085}">
    <nsvFilter filterId="{25E166A6-C630-4B04-85AE-3B4522A0FD1E}" ref="A5:AK1637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6B54C31-78F0-4C78-95BB-923C420C544E}">
    <nsvFilter filterId="{D6673FD6-EF5F-486D-890F-8D10F379A878}" ref="B4:L157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5EAEA62-1C8B-414A-ACD4-055D95884FA7}"/>
  <namedSheetView name="View2" id="{E371F2B7-9E78-4856-B510-45B3E8EA7829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  <person displayName="Paul Chungath" id="{CADDFDA5-9856-4174-BFE2-7C2D2DB066F9}" userId="S::paulchungath.joy@total-environment.com::11931198-a6b1-4e6c-8c8d-75a49a686e20" providerId="AD"/>
</personList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3" dT="2025-11-27T06:37:27.70" personId="{AA016EAC-4E38-46F6-8C64-E9600C4565EA}" id="{1ACF72F6-3471-488D-BC15-56B8CEFF7A0F}">
    <text>Package is closed</text>
  </threadedComment>
  <threadedComment ref="G94" dT="2025-11-27T06:35:13.62" personId="{AA016EAC-4E38-46F6-8C64-E9600C4565EA}" id="{7F4B8E54-23FB-4AA6-B8F5-406A633F91FF}">
    <text>Package is closed</text>
  </threadedComment>
  <threadedComment ref="F1146" dT="2025-10-06T06:28:48.98" personId="{AA016EAC-4E38-46F6-8C64-E9600C4565EA}" id="{F58FE0D1-DAA3-4590-88A4-0A2CF91386F6}">
    <text>Based on MOU signoff</text>
  </threadedComment>
  <threadedComment ref="F1171" dT="2025-10-06T06:28:48.98" personId="{AA016EAC-4E38-46F6-8C64-E9600C4565EA}" id="{9495A7E7-6073-4D2E-B614-FFD6D6445810}">
    <text>Based on MOU signoff</text>
  </threadedComment>
  <threadedComment ref="L1194" dT="2025-10-07T15:01:07.44" personId="{56F157AF-845F-450E-A7BB-92D4E105C2E5}" id="{44F33B88-CF6B-4C42-A075-73BE7113270B}">
    <text>Dsgn brf, LOD 200 in MP, AR</text>
  </threadedComment>
  <threadedComment ref="L1199" dT="2025-10-07T15:01:07.44" personId="{56F157AF-845F-450E-A7BB-92D4E105C2E5}" id="{7C174196-8C21-4037-BD11-4693FE16E1E4}">
    <text>Dsgn brf, LOD 200 in MP, AR</text>
  </threadedComment>
  <threadedComment ref="F1520" dT="2025-10-06T06:28:48.98" personId="{AA016EAC-4E38-46F6-8C64-E9600C4565EA}" id="{893BC628-65F7-4D58-829C-1FA329A1031E}">
    <text>Based on MOU signoff</text>
  </threadedComment>
  <threadedComment ref="F1526" dT="2025-10-06T06:28:48.98" personId="{AA016EAC-4E38-46F6-8C64-E9600C4565EA}" id="{7707ABA9-C35B-4DC2-9265-393CC1C34043}">
    <text>Based on MOU signoff</text>
  </threadedComment>
  <threadedComment ref="F1532" dT="2025-10-06T06:28:48.98" personId="{AA016EAC-4E38-46F6-8C64-E9600C4565EA}" id="{B73A28C0-7DE5-4603-8877-CE85061BBF9E}">
    <text>Based on MOU signoff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2" dT="2026-08-31T13:19:21.33" personId="{CADDFDA5-9856-4174-BFE2-7C2D2DB066F9}" id="{FEF128B2-1875-4654-975A-F564A4A7CD18}">
    <text>Security cabin AR GFC released on 11Aug'26, Project entrance area &amp; boundary wall design work in progress</text>
  </threadedComment>
  <threadedComment ref="C89" dT="2026-09-16T10:18:05.44" personId="{CADDFDA5-9856-4174-BFE2-7C2D2DB066F9}" id="{B9826CE9-4E83-49B9-8789-2652372E63A6}">
    <text>Product name - yet to be finalised</text>
  </threadedComment>
  <threadedComment ref="C99" dT="2026-08-31T07:09:56.77" personId="{CADDFDA5-9856-4174-BFE2-7C2D2DB066F9}" id="{6A6C49CD-E752-4B4F-B752-C369497BD411}">
    <text>V60 Product reintroduced in OTF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3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microsoft.com/office/2019/04/relationships/namedSheetView" Target="../namedSheetViews/namedSheetView4.x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5.x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5" Type="http://schemas.microsoft.com/office/2019/04/relationships/namedSheetView" Target="../namedSheetViews/namedSheetView6.xml"/><Relationship Id="rId4" Type="http://schemas.microsoft.com/office/2017/10/relationships/threadedComment" Target="../threadedComments/threadedComment6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9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11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mailto:TEHPL@various%20locations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2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4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7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66A6-C630-4B04-85AE-3B4522A0FD1E}">
  <sheetPr codeName="Sheet4">
    <outlinePr summaryBelow="0" summaryRight="0"/>
    <pageSetUpPr fitToPage="1"/>
  </sheetPr>
  <dimension ref="A1:AK1644"/>
  <sheetViews>
    <sheetView zoomScale="91" zoomScaleNormal="100" workbookViewId="0">
      <pane xSplit="2" ySplit="4" topLeftCell="C1036" activePane="bottomRight" state="frozen"/>
      <selection pane="bottomRight" activeCell="E804" sqref="E804"/>
      <selection pane="bottomLeft" activeCell="E804" sqref="E804"/>
      <selection pane="topRight" activeCell="E804" sqref="E804"/>
    </sheetView>
  </sheetViews>
  <sheetFormatPr defaultColWidth="9.42578125" defaultRowHeight="13.15" outlineLevelRow="4" outlineLevelCol="1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4.42578125" style="383" customWidth="1"/>
    <col min="6" max="6" width="51.5703125" style="446" customWidth="1"/>
    <col min="7" max="7" width="11" style="383" customWidth="1"/>
    <col min="8" max="8" width="9.42578125" style="383" customWidth="1" outlineLevel="1"/>
    <col min="9" max="11" width="7.5703125" style="383" customWidth="1" outlineLevel="1"/>
    <col min="12" max="12" width="11" style="383" customWidth="1"/>
    <col min="13" max="13" width="9.42578125" style="383" customWidth="1" outlineLevel="1"/>
    <col min="14" max="16" width="7.5703125" style="383" customWidth="1" outlineLevel="1"/>
    <col min="17" max="17" width="0.5703125" style="383" customWidth="1"/>
    <col min="18" max="20" width="9.42578125" style="383"/>
    <col min="21" max="22" width="9.5703125" style="383" bestFit="1" customWidth="1"/>
    <col min="23" max="23" width="7" style="383" bestFit="1" customWidth="1"/>
    <col min="24" max="24" width="8.5703125" style="383" bestFit="1" customWidth="1"/>
    <col min="25" max="25" width="12.5703125" style="383" customWidth="1"/>
    <col min="26" max="26" width="7.5703125" style="383" bestFit="1" customWidth="1"/>
    <col min="27" max="27" width="5.5703125" style="383" bestFit="1" customWidth="1"/>
    <col min="28" max="28" width="9.42578125" style="383" bestFit="1" customWidth="1"/>
    <col min="29" max="32" width="9.42578125" style="383"/>
    <col min="33" max="33" width="9.42578125" style="383" bestFit="1" customWidth="1"/>
    <col min="34" max="16384" width="9.42578125" style="383"/>
  </cols>
  <sheetData>
    <row r="1" spans="1:37" ht="17.100000000000001" customHeight="1">
      <c r="A1" s="382"/>
      <c r="B1" s="382"/>
      <c r="C1" s="382"/>
      <c r="D1" s="382"/>
      <c r="E1" s="382"/>
      <c r="F1" s="440"/>
      <c r="G1" s="382"/>
      <c r="L1" s="382">
        <f>SUBTOTAL(3,L19:L1192)</f>
        <v>1169</v>
      </c>
      <c r="Q1" s="382"/>
    </row>
    <row r="2" spans="1:37" s="434" customFormat="1" ht="17.45">
      <c r="A2" s="386"/>
      <c r="B2" s="436" t="s">
        <v>0</v>
      </c>
      <c r="C2" s="436"/>
      <c r="D2" s="436"/>
      <c r="E2" s="436"/>
      <c r="F2" s="441"/>
      <c r="G2" s="437" t="s">
        <v>1</v>
      </c>
      <c r="H2" s="438" t="s">
        <v>2</v>
      </c>
      <c r="I2" s="439" t="s">
        <v>3</v>
      </c>
      <c r="J2" s="439" t="s">
        <v>4</v>
      </c>
      <c r="K2" s="439" t="s">
        <v>5</v>
      </c>
      <c r="L2" s="437" t="s">
        <v>6</v>
      </c>
      <c r="M2" s="438" t="s">
        <v>2</v>
      </c>
      <c r="N2" s="439" t="s">
        <v>3</v>
      </c>
      <c r="O2" s="439" t="s">
        <v>4</v>
      </c>
      <c r="P2" s="439" t="s">
        <v>5</v>
      </c>
      <c r="Q2" s="386"/>
      <c r="T2" s="439" t="s">
        <v>7</v>
      </c>
      <c r="U2" s="474">
        <f>213-O4</f>
        <v>-62</v>
      </c>
      <c r="V2" s="434">
        <v>237</v>
      </c>
    </row>
    <row r="3" spans="1:37" ht="3" customHeight="1">
      <c r="A3" s="382"/>
      <c r="B3" s="382"/>
      <c r="C3" s="382"/>
      <c r="D3" s="382"/>
      <c r="E3" s="382"/>
      <c r="F3" s="440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</row>
    <row r="4" spans="1:37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453">
        <f>SUM(G6+G579)</f>
        <v>286.58550751926794</v>
      </c>
      <c r="H4" s="453">
        <f>SUM(H8,H20,H78,H95,H115,H173,H182,H192,H232,H261,H581,H1219,H305,H638,H308,H373,H758,H824,H851,H402,H432,H458,H1315,H877,H484,H508,H538, H528,H1242,H1581,H1193,H1294,H1415,H1437,H1272,H277,H947,H991,H1036,H1481,H1119,H1487,H1514,H1520,H1146,H1459,H1171,H1526,H1532,H1543,H1549,H1576,H1607,H568+H575+H674)</f>
        <v>115.4564709932263</v>
      </c>
      <c r="I4" s="453">
        <f>SUM(I8,I20,I78,I95,I115,I173,I182,I192,I232,I261,I581,I1219,I305,I638,I308,I373,I758,I824,I851,I402,I432,I458,I1315,I877,I484,I508,I538, I528,I1242,I1581,I1193,I1294,I1415,I1437,I1272,I277,I947,I991,I1036,I1481,I1119,I1487,I1514,I1520,I1146,I1459,I1171,I1526,I1532,I1543,I1549,I1576,I1607,I568+I575+I674)</f>
        <v>60.026290745500134</v>
      </c>
      <c r="J4" s="453">
        <f>SUM(J8,J20,J78,J95,J115,J173,J182,J192,J232,J261,J581,J1219,J305,J638,J308,J373,J758,J824,J851,J402,J432,J458,J1315,J877,J484,J508,J538, J528,J1242,J1581,J1193,J1294,J1415,J1437,J1272,J277,J947,J991,J1036,J1481,J1119,J1487,J1514,J1520,J1146,J1459,J1171,J1526,J1532,J1543,J1549,J1576,J1607,J568+J575+J674)</f>
        <v>56.52840589676034</v>
      </c>
      <c r="K4" s="453">
        <f>SUM(K8,K20,K78,K95,K115,K173,K182,K192,K232,K261,K581,K1219,K305,K638,K308,K373,K758,K824,K851,K402,K432,K458,K1315,K877,K484,K508,K538, K528,K1242,K1581,K1193,K1294,K1415,K1437,K1272,K277,K947,K991,K1036,K1481,K1119,K1487,K1514,K1520,K1146,K1459,K1171,K1526,K1532,K1543,K1549,K1576,K1607,K568+K575+K674)</f>
        <v>54.840693663781217</v>
      </c>
      <c r="L4" s="453">
        <f>SUM(L8,L20,L78,L95,L115,L173,L182,L192,L232,L261,L581,L1219,L305,L638,L308,L373,L758,L824,L851,L402,L432,L458,L1315,L877,L484,L508,L538, L528,L1242,L1581,L1193,L1294,L1415,L1437,L1272,L277,L947,L991,L1036,L1481,L1119,L1487,L1514,L1520,L1146,L1459,L1171,L1526,L1532,L1543,L1549,L1576,L1607,L568,L575,L674)</f>
        <v>1143</v>
      </c>
      <c r="M4" s="453">
        <f>SUM(M8,M20,M78,M93,M95,M115,M173,M182,M192,M232,M261,M581,M1219,M305,M638,M308,M373,M758,M824,M851,M402,M432,M458,M1315,M877,M484,M508,M538, M528,M1242,M1581,M1193,M1294,M1415,M1437,M1272,M277,M947,M991,M1036,M1481,M1119,M1487,M1514,M1520,M1146,M1459,M1171,M1526,M1532,M1543,M1549,M1576,M1607,M568+M575+M674)</f>
        <v>403</v>
      </c>
      <c r="N4" s="453">
        <f>SUM(N8,N20,N78,N95,N115,N173,N182,N192,N232,N261,N581,N1219,N305,N638,N308,N373,N758,N824,N851,N402,N432,N458,N1315,N877,N484,N508,N538, N528,N1242,N1581,N1193,N1294,N1415,N1437,N1272,N277,N947,N991,N1036,N1481,N1119,N1487,N1514,N1520,N1146,N1459,N1171,N1526,N1532,N1543,N1549,N1576,N1607,N568+N575+N674)</f>
        <v>235</v>
      </c>
      <c r="O4" s="453">
        <f>SUM(O8,O20,O78,O95,O115,O173,O182,O192,O232,O261,O581,O1219,O305,O638,O308,O373,O758,O824,O851,O402,O432,O458,O1315,O877,O484,O508,O538, O528,O1242,O1581,O1193,O1294,O1415,O1437,O1272,O277,O947,O991,O1036,O1481,O1119,O1487,O1514,O1520,O1146,O1459,O1171,O1526,O1532,O1543,O1549,O1576,O1607,O568+O575+O674)</f>
        <v>275</v>
      </c>
      <c r="P4" s="453">
        <f>SUM(P8,P20,P78,P95,P115,P173,P182,P192,P232,P261,P581,P1219,P305,P638,P308,P373,P758,P824,P851,P402,P432,P458,P1315,P877,P484,P508,P538, P528,P1242,P1581,P1193,P1294,P1415,P1437,P1272,P277,P947,P991,P1036,P1481,P1119,P1487,P1514,P1520,P1146,P1459,P1171,P1526,P1532,P1543,P1549,P1576,P1607,P568+P575+P674)</f>
        <v>230</v>
      </c>
      <c r="Q4" s="384"/>
      <c r="R4" s="385" t="str">
        <f>IF(SUM(M4:P4)=L4,"T","F")</f>
        <v>T</v>
      </c>
      <c r="X4" s="509">
        <f>M4/(22*3)</f>
        <v>6.1060606060606064</v>
      </c>
      <c r="AD4" s="383"/>
      <c r="AE4" s="383"/>
      <c r="AF4" s="383"/>
    </row>
    <row r="5" spans="1:37" ht="10.35" customHeight="1">
      <c r="A5" s="382"/>
      <c r="B5" s="386"/>
      <c r="C5" s="382"/>
      <c r="D5" s="386"/>
      <c r="E5" s="386" t="s">
        <v>13</v>
      </c>
      <c r="F5" s="440"/>
      <c r="G5" s="387"/>
      <c r="H5" s="388"/>
      <c r="I5" s="388"/>
      <c r="J5" s="388"/>
      <c r="K5" s="388"/>
      <c r="L5" s="387"/>
      <c r="M5" s="388"/>
      <c r="N5" s="388"/>
      <c r="O5" s="388"/>
      <c r="P5" s="388"/>
      <c r="Q5" s="382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89"/>
      <c r="AF5" s="389"/>
      <c r="AG5" s="389"/>
    </row>
    <row r="6" spans="1:37" ht="15">
      <c r="A6" s="382"/>
      <c r="B6" s="449" t="s">
        <v>14</v>
      </c>
      <c r="C6" s="450"/>
      <c r="D6" s="449"/>
      <c r="E6" s="449"/>
      <c r="F6" s="451"/>
      <c r="G6" s="455">
        <f t="shared" ref="G6:P6" si="0">SUM(G8,G20,G78,G95,G115,G173,G182,G192,G232,G261,G277,G305,G308,G373,G402,,G432,G458,G484,G508,G528,G538,G568,G575,G93)</f>
        <v>56.614311870014674</v>
      </c>
      <c r="H6" s="527">
        <f t="shared" si="0"/>
        <v>38.309869497625193</v>
      </c>
      <c r="I6" s="527">
        <f t="shared" si="0"/>
        <v>13.314981752285838</v>
      </c>
      <c r="J6" s="527">
        <f t="shared" si="0"/>
        <v>4.4936783850610986</v>
      </c>
      <c r="K6" s="527">
        <f t="shared" si="0"/>
        <v>0.49578223504255181</v>
      </c>
      <c r="L6" s="455">
        <f t="shared" si="0"/>
        <v>445</v>
      </c>
      <c r="M6" s="527">
        <f t="shared" si="0"/>
        <v>253</v>
      </c>
      <c r="N6" s="527">
        <f t="shared" si="0"/>
        <v>120</v>
      </c>
      <c r="O6" s="527">
        <f t="shared" si="0"/>
        <v>62</v>
      </c>
      <c r="P6" s="527">
        <f t="shared" si="0"/>
        <v>10</v>
      </c>
      <c r="Q6" s="382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</row>
    <row r="7" spans="1:37" ht="2.1" customHeight="1" outlineLevel="1">
      <c r="A7" s="382"/>
      <c r="B7" s="386"/>
      <c r="C7" s="382"/>
      <c r="D7" s="386"/>
      <c r="E7" s="386"/>
      <c r="F7" s="440"/>
      <c r="G7" s="387"/>
      <c r="H7" s="388"/>
      <c r="I7" s="388"/>
      <c r="J7" s="388"/>
      <c r="K7" s="388"/>
      <c r="L7" s="387"/>
      <c r="M7" s="388"/>
      <c r="N7" s="388"/>
      <c r="O7" s="388"/>
      <c r="P7" s="388"/>
      <c r="Q7" s="382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</row>
    <row r="8" spans="1:37" outlineLevel="1" collapsed="1">
      <c r="A8" s="382"/>
      <c r="B8" s="390" t="s">
        <v>15</v>
      </c>
      <c r="C8" s="395" t="s">
        <v>16</v>
      </c>
      <c r="D8" s="395"/>
      <c r="E8" s="390"/>
      <c r="F8" s="442" t="s">
        <v>17</v>
      </c>
      <c r="G8" s="424">
        <f>SUM(G9,G14,G18)</f>
        <v>0.43271940249580965</v>
      </c>
      <c r="H8" s="424">
        <f>SUM(H9,H14,H18)</f>
        <v>0.43271940249580965</v>
      </c>
      <c r="I8" s="424">
        <f>SUM(I9,I14,I18)</f>
        <v>0</v>
      </c>
      <c r="J8" s="424">
        <f>SUM(J9,J14,J18)</f>
        <v>0</v>
      </c>
      <c r="K8" s="424">
        <f>SUM(K9,K14,K18)</f>
        <v>0</v>
      </c>
      <c r="L8" s="424">
        <f t="shared" ref="L8:L26" si="1">SUM(M8:P8)</f>
        <v>8</v>
      </c>
      <c r="M8" s="408">
        <f>SUM(M9,M14,M18)</f>
        <v>8</v>
      </c>
      <c r="N8" s="408">
        <f>SUM(N9,N14,N18)</f>
        <v>0</v>
      </c>
      <c r="O8" s="408">
        <f>SUM(O9,O14,O18)</f>
        <v>0</v>
      </c>
      <c r="P8" s="408">
        <f>SUM(P9,P14,P18)</f>
        <v>0</v>
      </c>
      <c r="Q8" s="382"/>
      <c r="R8" s="385" t="str">
        <f t="shared" ref="R8:R26" si="2">IF(SUM(M8:P8)=L8,"T","F")</f>
        <v>T</v>
      </c>
      <c r="T8" s="383">
        <v>1014</v>
      </c>
      <c r="U8" s="383">
        <f>T8-1077</f>
        <v>-63</v>
      </c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</row>
    <row r="9" spans="1:37" hidden="1" outlineLevel="2" collapsed="1">
      <c r="A9" s="382"/>
      <c r="B9" s="382" t="s">
        <v>15</v>
      </c>
      <c r="C9" s="382" t="s">
        <v>16</v>
      </c>
      <c r="D9" s="382" t="s">
        <v>18</v>
      </c>
      <c r="E9" s="386"/>
      <c r="F9" s="440" t="s">
        <v>17</v>
      </c>
      <c r="G9" s="411">
        <f>SUM(G10:G13)</f>
        <v>0.39703158217785306</v>
      </c>
      <c r="H9" s="387">
        <f>SUM(H10:H13)</f>
        <v>0.39703158217785306</v>
      </c>
      <c r="I9" s="387">
        <f>SUM(I10:I13)</f>
        <v>0</v>
      </c>
      <c r="J9" s="387">
        <f>SUM(J10:J13)</f>
        <v>0</v>
      </c>
      <c r="K9" s="387">
        <f>SUM(K10:K13)</f>
        <v>0</v>
      </c>
      <c r="L9" s="411">
        <f t="shared" si="1"/>
        <v>4</v>
      </c>
      <c r="M9" s="388">
        <f>SUM(M10:M13)</f>
        <v>4</v>
      </c>
      <c r="N9" s="388">
        <f>SUM(N10:N13)</f>
        <v>0</v>
      </c>
      <c r="O9" s="388">
        <f>SUM(O10:O13)</f>
        <v>0</v>
      </c>
      <c r="P9" s="388">
        <f>SUM(P10:P13)</f>
        <v>0</v>
      </c>
      <c r="Q9" s="382"/>
      <c r="R9" s="385" t="str">
        <f t="shared" si="2"/>
        <v>T</v>
      </c>
      <c r="S9" s="389"/>
      <c r="T9" s="389"/>
      <c r="U9" s="389"/>
      <c r="V9" s="391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J9" s="392"/>
      <c r="AK9" s="393"/>
    </row>
    <row r="10" spans="1:37" hidden="1" outlineLevel="3">
      <c r="A10" s="382"/>
      <c r="B10" s="382" t="s">
        <v>15</v>
      </c>
      <c r="C10" s="382" t="s">
        <v>19</v>
      </c>
      <c r="D10" s="382" t="s">
        <v>18</v>
      </c>
      <c r="E10" s="386" t="s">
        <v>20</v>
      </c>
      <c r="F10" s="440" t="s">
        <v>21</v>
      </c>
      <c r="G10" s="411">
        <v>0.27</v>
      </c>
      <c r="H10" s="411">
        <f t="shared" ref="H10:K13" si="3">IF(M10=1,$G10,"")</f>
        <v>0.27</v>
      </c>
      <c r="I10" s="387" t="str">
        <f t="shared" si="3"/>
        <v/>
      </c>
      <c r="J10" s="387" t="str">
        <f t="shared" si="3"/>
        <v/>
      </c>
      <c r="K10" s="387" t="str">
        <f t="shared" si="3"/>
        <v/>
      </c>
      <c r="L10" s="411">
        <f t="shared" si="1"/>
        <v>1</v>
      </c>
      <c r="M10" s="388">
        <v>1</v>
      </c>
      <c r="N10" s="388"/>
      <c r="O10" s="388"/>
      <c r="P10" s="388"/>
      <c r="Q10" s="382"/>
      <c r="R10" s="385" t="str">
        <f t="shared" si="2"/>
        <v>T</v>
      </c>
      <c r="S10" s="389"/>
      <c r="T10" s="389"/>
      <c r="U10" s="389"/>
      <c r="V10" s="391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J10" s="392"/>
      <c r="AK10" s="393"/>
    </row>
    <row r="11" spans="1:37" ht="26.45" hidden="1" outlineLevel="3">
      <c r="A11" s="382"/>
      <c r="B11" s="382" t="s">
        <v>15</v>
      </c>
      <c r="C11" s="382" t="s">
        <v>19</v>
      </c>
      <c r="D11" s="382" t="s">
        <v>18</v>
      </c>
      <c r="E11" s="386" t="s">
        <v>20</v>
      </c>
      <c r="F11" s="440" t="s">
        <v>22</v>
      </c>
      <c r="G11" s="387">
        <v>4.5377035860000005E-2</v>
      </c>
      <c r="H11" s="411">
        <f t="shared" si="3"/>
        <v>4.5377035860000005E-2</v>
      </c>
      <c r="I11" s="387" t="str">
        <f t="shared" si="3"/>
        <v/>
      </c>
      <c r="J11" s="387" t="str">
        <f t="shared" si="3"/>
        <v/>
      </c>
      <c r="K11" s="387" t="str">
        <f t="shared" si="3"/>
        <v/>
      </c>
      <c r="L11" s="387">
        <f t="shared" si="1"/>
        <v>1</v>
      </c>
      <c r="M11" s="388">
        <v>1</v>
      </c>
      <c r="N11" s="388"/>
      <c r="O11" s="388"/>
      <c r="P11" s="388"/>
      <c r="Q11" s="382"/>
      <c r="R11" s="385" t="str">
        <f t="shared" si="2"/>
        <v>T</v>
      </c>
      <c r="S11" s="389"/>
      <c r="T11" s="389"/>
      <c r="U11" s="389"/>
      <c r="V11" s="391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J11" s="392"/>
      <c r="AK11" s="393"/>
    </row>
    <row r="12" spans="1:37" hidden="1" outlineLevel="3">
      <c r="A12" s="382"/>
      <c r="B12" s="382" t="s">
        <v>15</v>
      </c>
      <c r="C12" s="382" t="s">
        <v>23</v>
      </c>
      <c r="D12" s="382" t="s">
        <v>18</v>
      </c>
      <c r="E12" s="386" t="s">
        <v>20</v>
      </c>
      <c r="F12" s="440" t="s">
        <v>24</v>
      </c>
      <c r="G12" s="411">
        <v>4.2238262499999998E-2</v>
      </c>
      <c r="H12" s="411">
        <f t="shared" si="3"/>
        <v>4.2238262499999998E-2</v>
      </c>
      <c r="I12" s="387" t="str">
        <f t="shared" si="3"/>
        <v/>
      </c>
      <c r="J12" s="387" t="str">
        <f t="shared" si="3"/>
        <v/>
      </c>
      <c r="K12" s="387" t="str">
        <f t="shared" si="3"/>
        <v/>
      </c>
      <c r="L12" s="411">
        <f t="shared" si="1"/>
        <v>1</v>
      </c>
      <c r="M12" s="409">
        <v>1</v>
      </c>
      <c r="N12" s="409"/>
      <c r="O12" s="409"/>
      <c r="P12" s="409"/>
      <c r="Q12" s="382"/>
      <c r="R12" s="385" t="str">
        <f t="shared" si="2"/>
        <v>T</v>
      </c>
      <c r="S12" s="389"/>
      <c r="T12" s="389"/>
      <c r="U12" s="389"/>
      <c r="V12" s="391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J12" s="392"/>
      <c r="AK12" s="393"/>
    </row>
    <row r="13" spans="1:37" hidden="1" outlineLevel="3">
      <c r="A13" s="382"/>
      <c r="B13" s="382" t="s">
        <v>15</v>
      </c>
      <c r="C13" s="382" t="s">
        <v>23</v>
      </c>
      <c r="D13" s="382" t="s">
        <v>18</v>
      </c>
      <c r="E13" s="386" t="s">
        <v>20</v>
      </c>
      <c r="F13" s="440" t="s">
        <v>25</v>
      </c>
      <c r="G13" s="387">
        <v>3.9416283817853004E-2</v>
      </c>
      <c r="H13" s="411">
        <f t="shared" si="3"/>
        <v>3.9416283817853004E-2</v>
      </c>
      <c r="I13" s="387" t="str">
        <f t="shared" si="3"/>
        <v/>
      </c>
      <c r="J13" s="387" t="str">
        <f t="shared" si="3"/>
        <v/>
      </c>
      <c r="K13" s="387" t="str">
        <f t="shared" si="3"/>
        <v/>
      </c>
      <c r="L13" s="387">
        <f t="shared" si="1"/>
        <v>1</v>
      </c>
      <c r="M13" s="388">
        <v>1</v>
      </c>
      <c r="N13" s="388"/>
      <c r="O13" s="388"/>
      <c r="P13" s="388"/>
      <c r="Q13" s="382"/>
      <c r="R13" s="385" t="str">
        <f t="shared" si="2"/>
        <v>T</v>
      </c>
      <c r="S13" s="389"/>
      <c r="T13" s="389"/>
      <c r="U13" s="389"/>
      <c r="V13" s="391"/>
      <c r="W13" s="389"/>
      <c r="X13" s="389"/>
      <c r="Y13" s="389"/>
      <c r="Z13" s="389"/>
      <c r="AA13" s="389"/>
      <c r="AB13" s="389"/>
      <c r="AC13" s="389"/>
      <c r="AD13" s="389"/>
      <c r="AE13" s="389"/>
      <c r="AF13" s="389"/>
      <c r="AJ13" s="392"/>
      <c r="AK13" s="393"/>
    </row>
    <row r="14" spans="1:37" hidden="1" outlineLevel="2" collapsed="1">
      <c r="A14" s="382"/>
      <c r="B14" s="382" t="s">
        <v>15</v>
      </c>
      <c r="C14" s="382" t="s">
        <v>16</v>
      </c>
      <c r="D14" s="382" t="s">
        <v>26</v>
      </c>
      <c r="E14" s="382"/>
      <c r="F14" s="440" t="s">
        <v>17</v>
      </c>
      <c r="G14" s="411">
        <f>SUM(G15:G17)</f>
        <v>2.1350947217956596E-2</v>
      </c>
      <c r="H14" s="387">
        <f>SUM(H15:H17)</f>
        <v>2.1350947217956596E-2</v>
      </c>
      <c r="I14" s="387">
        <f>SUM(I15:I18)</f>
        <v>0</v>
      </c>
      <c r="J14" s="387">
        <f>SUM(J15:J18)</f>
        <v>0</v>
      </c>
      <c r="K14" s="387">
        <f>SUM(K15:K18)</f>
        <v>0</v>
      </c>
      <c r="L14" s="411">
        <f t="shared" si="1"/>
        <v>3</v>
      </c>
      <c r="M14" s="388">
        <f>SUM(M15:M17)</f>
        <v>3</v>
      </c>
      <c r="N14" s="388">
        <f>SUM(N15:N17)</f>
        <v>0</v>
      </c>
      <c r="O14" s="388">
        <f>SUM(O15:O17)</f>
        <v>0</v>
      </c>
      <c r="P14" s="388">
        <f>SUM(P15:P17)</f>
        <v>0</v>
      </c>
      <c r="Q14" s="382"/>
      <c r="R14" s="385" t="str">
        <f t="shared" si="2"/>
        <v>T</v>
      </c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89"/>
      <c r="AD14" s="389"/>
      <c r="AE14" s="389"/>
      <c r="AF14" s="389"/>
      <c r="AJ14" s="392"/>
      <c r="AK14" s="393"/>
    </row>
    <row r="15" spans="1:37" ht="26.45" hidden="1" outlineLevel="3">
      <c r="A15" s="382"/>
      <c r="B15" s="382" t="s">
        <v>15</v>
      </c>
      <c r="C15" s="382" t="s">
        <v>19</v>
      </c>
      <c r="D15" s="382" t="s">
        <v>26</v>
      </c>
      <c r="E15" s="382" t="s">
        <v>27</v>
      </c>
      <c r="F15" s="440" t="s">
        <v>22</v>
      </c>
      <c r="G15" s="411">
        <v>5.2867302539999998E-3</v>
      </c>
      <c r="H15" s="411">
        <f t="shared" ref="H15:K17" si="4">IF(M15=1,$G15,"")</f>
        <v>5.2867302539999998E-3</v>
      </c>
      <c r="I15" s="387" t="str">
        <f t="shared" si="4"/>
        <v/>
      </c>
      <c r="J15" s="387" t="str">
        <f t="shared" si="4"/>
        <v/>
      </c>
      <c r="K15" s="387" t="str">
        <f t="shared" si="4"/>
        <v/>
      </c>
      <c r="L15" s="411">
        <f t="shared" si="1"/>
        <v>1</v>
      </c>
      <c r="M15" s="388">
        <v>1</v>
      </c>
      <c r="N15" s="388"/>
      <c r="O15" s="388"/>
      <c r="P15" s="388"/>
      <c r="Q15" s="382"/>
      <c r="R15" s="385" t="str">
        <f t="shared" si="2"/>
        <v>T</v>
      </c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J15" s="392"/>
      <c r="AK15" s="393"/>
    </row>
    <row r="16" spans="1:37" hidden="1" outlineLevel="3">
      <c r="A16" s="382"/>
      <c r="B16" s="382" t="s">
        <v>15</v>
      </c>
      <c r="C16" s="382" t="s">
        <v>23</v>
      </c>
      <c r="D16" s="382" t="s">
        <v>26</v>
      </c>
      <c r="E16" s="382" t="s">
        <v>27</v>
      </c>
      <c r="F16" s="440" t="s">
        <v>24</v>
      </c>
      <c r="G16" s="411">
        <v>1.0861267500000001E-2</v>
      </c>
      <c r="H16" s="411">
        <f t="shared" si="4"/>
        <v>1.0861267500000001E-2</v>
      </c>
      <c r="I16" s="387" t="str">
        <f t="shared" si="4"/>
        <v/>
      </c>
      <c r="J16" s="387" t="str">
        <f t="shared" si="4"/>
        <v/>
      </c>
      <c r="K16" s="387" t="str">
        <f t="shared" si="4"/>
        <v/>
      </c>
      <c r="L16" s="411">
        <f t="shared" si="1"/>
        <v>1</v>
      </c>
      <c r="M16" s="409">
        <v>1</v>
      </c>
      <c r="N16" s="409"/>
      <c r="O16" s="409"/>
      <c r="P16" s="409"/>
      <c r="Q16" s="382"/>
      <c r="R16" s="385" t="str">
        <f t="shared" si="2"/>
        <v>T</v>
      </c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J16" s="392"/>
      <c r="AK16" s="393"/>
    </row>
    <row r="17" spans="1:37" hidden="1" outlineLevel="3">
      <c r="A17" s="382"/>
      <c r="B17" s="382" t="s">
        <v>15</v>
      </c>
      <c r="C17" s="382" t="s">
        <v>23</v>
      </c>
      <c r="D17" s="382" t="s">
        <v>26</v>
      </c>
      <c r="E17" s="382" t="s">
        <v>27</v>
      </c>
      <c r="F17" s="440" t="s">
        <v>25</v>
      </c>
      <c r="G17" s="411">
        <v>5.2029494639565963E-3</v>
      </c>
      <c r="H17" s="411">
        <f t="shared" si="4"/>
        <v>5.2029494639565963E-3</v>
      </c>
      <c r="I17" s="387" t="str">
        <f t="shared" si="4"/>
        <v/>
      </c>
      <c r="J17" s="387" t="str">
        <f t="shared" si="4"/>
        <v/>
      </c>
      <c r="K17" s="387" t="str">
        <f t="shared" si="4"/>
        <v/>
      </c>
      <c r="L17" s="411">
        <f t="shared" si="1"/>
        <v>1</v>
      </c>
      <c r="M17" s="388">
        <v>1</v>
      </c>
      <c r="N17" s="388"/>
      <c r="O17" s="388"/>
      <c r="P17" s="388"/>
      <c r="Q17" s="382"/>
      <c r="R17" s="385" t="str">
        <f t="shared" si="2"/>
        <v>T</v>
      </c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J17" s="392"/>
      <c r="AK17" s="393"/>
    </row>
    <row r="18" spans="1:37" hidden="1" outlineLevel="2" collapsed="1">
      <c r="A18" s="382"/>
      <c r="B18" s="382" t="s">
        <v>15</v>
      </c>
      <c r="C18" s="382" t="s">
        <v>16</v>
      </c>
      <c r="D18" s="382" t="s">
        <v>28</v>
      </c>
      <c r="E18" s="382"/>
      <c r="F18" s="440" t="s">
        <v>17</v>
      </c>
      <c r="G18" s="411">
        <f>SUM(G19:G19)</f>
        <v>1.4336873100000001E-2</v>
      </c>
      <c r="H18" s="418">
        <f>SUM(H19:H19)</f>
        <v>1.4336873100000001E-2</v>
      </c>
      <c r="I18" s="424">
        <f>SUM(I19:I19)</f>
        <v>0</v>
      </c>
      <c r="J18" s="424">
        <f>SUM(J19:J19)</f>
        <v>0</v>
      </c>
      <c r="K18" s="424">
        <f>SUM(K19:K19)</f>
        <v>0</v>
      </c>
      <c r="L18" s="411">
        <f t="shared" si="1"/>
        <v>1</v>
      </c>
      <c r="M18" s="408">
        <f>SUM(M19:M19)</f>
        <v>1</v>
      </c>
      <c r="N18" s="408">
        <f>SUM(N19:N19)</f>
        <v>0</v>
      </c>
      <c r="O18" s="408">
        <f>SUM(O19:O19)</f>
        <v>0</v>
      </c>
      <c r="P18" s="408">
        <f>SUM(P19:P19)</f>
        <v>0</v>
      </c>
      <c r="Q18" s="382"/>
      <c r="R18" s="385" t="str">
        <f t="shared" si="2"/>
        <v>T</v>
      </c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J18" s="392"/>
      <c r="AK18" s="393"/>
    </row>
    <row r="19" spans="1:37" hidden="1" outlineLevel="3">
      <c r="A19" s="382"/>
      <c r="B19" s="382" t="s">
        <v>15</v>
      </c>
      <c r="C19" s="382" t="s">
        <v>23</v>
      </c>
      <c r="D19" s="382" t="s">
        <v>28</v>
      </c>
      <c r="E19" s="382" t="s">
        <v>29</v>
      </c>
      <c r="F19" s="440" t="s">
        <v>24</v>
      </c>
      <c r="G19" s="411">
        <v>1.4336873100000001E-2</v>
      </c>
      <c r="H19" s="411">
        <f>IF(M19=1,$G19,"")</f>
        <v>1.4336873100000001E-2</v>
      </c>
      <c r="I19" s="387" t="str">
        <f>IF(N19=1,$G19,"")</f>
        <v/>
      </c>
      <c r="J19" s="387" t="str">
        <f>IF(O19=1,$G19,"")</f>
        <v/>
      </c>
      <c r="K19" s="387" t="str">
        <f>IF(P19=1,$G19,"")</f>
        <v/>
      </c>
      <c r="L19" s="411">
        <f t="shared" si="1"/>
        <v>1</v>
      </c>
      <c r="M19" s="388">
        <v>1</v>
      </c>
      <c r="N19" s="388"/>
      <c r="O19" s="388"/>
      <c r="P19" s="388"/>
      <c r="Q19" s="382"/>
      <c r="R19" s="385" t="str">
        <f t="shared" si="2"/>
        <v>T</v>
      </c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J19" s="392"/>
      <c r="AK19" s="393"/>
    </row>
    <row r="20" spans="1:37" s="401" customFormat="1" outlineLevel="1" collapsed="1">
      <c r="A20" s="395"/>
      <c r="B20" s="390" t="s">
        <v>15</v>
      </c>
      <c r="C20" s="395" t="s">
        <v>30</v>
      </c>
      <c r="D20" s="395"/>
      <c r="E20" s="390"/>
      <c r="F20" s="442" t="s">
        <v>17</v>
      </c>
      <c r="G20" s="418">
        <f>SUM(G21,G41,G61,G71)</f>
        <v>3.213341641746295</v>
      </c>
      <c r="H20" s="418">
        <f>SUM(H21,H41,H61,H71)</f>
        <v>2.5304736483581025</v>
      </c>
      <c r="I20" s="418">
        <f>SUM(I21,I41,I61,I71)</f>
        <v>0.68286799338819304</v>
      </c>
      <c r="J20" s="418">
        <f>SUM(J21,J41,J61,J71)</f>
        <v>0</v>
      </c>
      <c r="K20" s="418">
        <f>SUM(K21,K41,K61,K71)</f>
        <v>0</v>
      </c>
      <c r="L20" s="418">
        <f t="shared" si="1"/>
        <v>53</v>
      </c>
      <c r="M20" s="417">
        <f>SUM(M21,M41,M61,M71)</f>
        <v>42</v>
      </c>
      <c r="N20" s="417">
        <f>SUM(N21,N41,N61,N71)</f>
        <v>11</v>
      </c>
      <c r="O20" s="417">
        <f>SUM(O21,O41,O61,O71)</f>
        <v>0</v>
      </c>
      <c r="P20" s="417">
        <f>SUM(P21,P41,P61,P71)</f>
        <v>0</v>
      </c>
      <c r="Q20" s="395"/>
      <c r="R20" s="385" t="str">
        <f t="shared" si="2"/>
        <v>T</v>
      </c>
      <c r="S20" s="389"/>
      <c r="T20" s="389"/>
      <c r="U20" s="389"/>
      <c r="V20" s="400"/>
      <c r="W20" s="400"/>
      <c r="X20" s="400"/>
      <c r="Y20" s="400"/>
      <c r="Z20" s="400"/>
      <c r="AA20" s="400"/>
      <c r="AB20" s="400"/>
      <c r="AC20" s="389"/>
      <c r="AD20" s="400"/>
      <c r="AE20" s="400"/>
      <c r="AF20" s="400"/>
      <c r="AJ20" s="392"/>
      <c r="AK20" s="393"/>
    </row>
    <row r="21" spans="1:37" s="413" customFormat="1" hidden="1" outlineLevel="2" collapsed="1">
      <c r="A21" s="382"/>
      <c r="B21" s="386" t="s">
        <v>15</v>
      </c>
      <c r="C21" s="382" t="s">
        <v>30</v>
      </c>
      <c r="D21" s="382" t="s">
        <v>18</v>
      </c>
      <c r="E21" s="386"/>
      <c r="F21" s="440" t="s">
        <v>17</v>
      </c>
      <c r="G21" s="411">
        <f>SUM(G22:G40)</f>
        <v>2.2814902880200982</v>
      </c>
      <c r="H21" s="411">
        <f>SUM(H22:H40)</f>
        <v>1.8087697963035858</v>
      </c>
      <c r="I21" s="411">
        <f>SUM(I22:I40)</f>
        <v>0.47272049171651287</v>
      </c>
      <c r="J21" s="411">
        <f>SUM(J22:J40)</f>
        <v>0</v>
      </c>
      <c r="K21" s="411">
        <f>SUM(K22:K40)</f>
        <v>0</v>
      </c>
      <c r="L21" s="411">
        <f t="shared" si="1"/>
        <v>19</v>
      </c>
      <c r="M21" s="409">
        <f>SUM(M22:M40)</f>
        <v>15</v>
      </c>
      <c r="N21" s="409">
        <f>SUM(N22:N40)</f>
        <v>4</v>
      </c>
      <c r="O21" s="409">
        <f>SUM(O22:O40)</f>
        <v>0</v>
      </c>
      <c r="P21" s="409">
        <f>SUM(P22:P40)</f>
        <v>0</v>
      </c>
      <c r="Q21" s="409">
        <f>SUM(Q22:Q40)</f>
        <v>0</v>
      </c>
      <c r="R21" s="385" t="str">
        <f t="shared" si="2"/>
        <v>T</v>
      </c>
      <c r="S21" s="389"/>
      <c r="T21" s="389"/>
      <c r="U21" s="389"/>
      <c r="V21" s="391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3"/>
      <c r="AH21" s="383"/>
      <c r="AI21" s="383"/>
      <c r="AJ21" s="392"/>
      <c r="AK21" s="393"/>
    </row>
    <row r="22" spans="1:37" s="413" customFormat="1" hidden="1" outlineLevel="3">
      <c r="A22" s="382"/>
      <c r="B22" s="382" t="s">
        <v>15</v>
      </c>
      <c r="C22" s="382" t="s">
        <v>30</v>
      </c>
      <c r="D22" s="382" t="s">
        <v>18</v>
      </c>
      <c r="E22" s="397" t="s">
        <v>20</v>
      </c>
      <c r="F22" s="440" t="s">
        <v>31</v>
      </c>
      <c r="G22" s="411">
        <v>0.27398366869616486</v>
      </c>
      <c r="H22" s="411">
        <f t="shared" ref="H22:K29" si="5">IF(M22=1,$G22,"")</f>
        <v>0.27398366869616486</v>
      </c>
      <c r="I22" s="387" t="str">
        <f t="shared" si="5"/>
        <v/>
      </c>
      <c r="J22" s="387" t="str">
        <f t="shared" si="5"/>
        <v/>
      </c>
      <c r="K22" s="387" t="str">
        <f t="shared" si="5"/>
        <v/>
      </c>
      <c r="L22" s="411">
        <f t="shared" si="1"/>
        <v>1</v>
      </c>
      <c r="M22" s="409">
        <v>1</v>
      </c>
      <c r="N22" s="409"/>
      <c r="O22" s="409"/>
      <c r="P22" s="409"/>
      <c r="Q22" s="382"/>
      <c r="R22" s="385" t="str">
        <f t="shared" si="2"/>
        <v>T</v>
      </c>
      <c r="S22" s="389"/>
      <c r="T22" s="389"/>
      <c r="U22" s="389"/>
      <c r="V22" s="391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3"/>
      <c r="AH22" s="383"/>
      <c r="AI22" s="383"/>
      <c r="AJ22" s="392"/>
      <c r="AK22" s="393"/>
    </row>
    <row r="23" spans="1:37" s="413" customFormat="1" hidden="1" outlineLevel="3">
      <c r="A23" s="382"/>
      <c r="B23" s="382" t="s">
        <v>15</v>
      </c>
      <c r="C23" s="382" t="s">
        <v>30</v>
      </c>
      <c r="D23" s="382" t="s">
        <v>18</v>
      </c>
      <c r="E23" s="397" t="s">
        <v>20</v>
      </c>
      <c r="F23" s="440" t="s">
        <v>32</v>
      </c>
      <c r="G23" s="411">
        <v>0.27398366869616486</v>
      </c>
      <c r="H23" s="411">
        <f t="shared" si="5"/>
        <v>0.27398366869616486</v>
      </c>
      <c r="I23" s="387" t="str">
        <f t="shared" si="5"/>
        <v/>
      </c>
      <c r="J23" s="387" t="str">
        <f t="shared" si="5"/>
        <v/>
      </c>
      <c r="K23" s="387" t="str">
        <f t="shared" si="5"/>
        <v/>
      </c>
      <c r="L23" s="411">
        <f t="shared" si="1"/>
        <v>1</v>
      </c>
      <c r="M23" s="409">
        <v>1</v>
      </c>
      <c r="N23" s="409"/>
      <c r="O23" s="409"/>
      <c r="P23" s="409"/>
      <c r="Q23" s="382"/>
      <c r="R23" s="385" t="str">
        <f t="shared" si="2"/>
        <v>T</v>
      </c>
      <c r="S23" s="389"/>
      <c r="T23" s="389"/>
      <c r="U23" s="389"/>
      <c r="V23" s="391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3"/>
      <c r="AH23" s="383"/>
      <c r="AI23" s="383"/>
      <c r="AJ23" s="392"/>
      <c r="AK23" s="393"/>
    </row>
    <row r="24" spans="1:37" s="413" customFormat="1" hidden="1" outlineLevel="3">
      <c r="A24" s="382"/>
      <c r="B24" s="382" t="s">
        <v>15</v>
      </c>
      <c r="C24" s="382" t="s">
        <v>30</v>
      </c>
      <c r="D24" s="382" t="s">
        <v>18</v>
      </c>
      <c r="E24" s="397" t="s">
        <v>20</v>
      </c>
      <c r="F24" s="440" t="s">
        <v>33</v>
      </c>
      <c r="G24" s="411">
        <v>0.13699183434808243</v>
      </c>
      <c r="H24" s="411">
        <f t="shared" si="5"/>
        <v>0.13699183434808243</v>
      </c>
      <c r="I24" s="387" t="str">
        <f t="shared" si="5"/>
        <v/>
      </c>
      <c r="J24" s="387" t="str">
        <f t="shared" si="5"/>
        <v/>
      </c>
      <c r="K24" s="387" t="str">
        <f t="shared" si="5"/>
        <v/>
      </c>
      <c r="L24" s="411">
        <f t="shared" si="1"/>
        <v>1</v>
      </c>
      <c r="M24" s="409">
        <v>1</v>
      </c>
      <c r="N24" s="409"/>
      <c r="O24" s="409"/>
      <c r="P24" s="409"/>
      <c r="Q24" s="382"/>
      <c r="R24" s="385" t="str">
        <f t="shared" si="2"/>
        <v>T</v>
      </c>
      <c r="S24" s="389"/>
      <c r="T24" s="389"/>
      <c r="U24" s="389"/>
      <c r="V24" s="391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3"/>
      <c r="AH24" s="383"/>
      <c r="AI24" s="383"/>
      <c r="AJ24" s="392"/>
      <c r="AK24" s="393"/>
    </row>
    <row r="25" spans="1:37" s="413" customFormat="1" hidden="1" outlineLevel="3">
      <c r="A25" s="382"/>
      <c r="B25" s="382" t="s">
        <v>15</v>
      </c>
      <c r="C25" s="382" t="s">
        <v>30</v>
      </c>
      <c r="D25" s="382" t="s">
        <v>18</v>
      </c>
      <c r="E25" s="397" t="s">
        <v>20</v>
      </c>
      <c r="F25" s="440" t="s">
        <v>34</v>
      </c>
      <c r="G25" s="411">
        <v>0.27398366869616486</v>
      </c>
      <c r="H25" s="411">
        <f t="shared" si="5"/>
        <v>0.27398366869616486</v>
      </c>
      <c r="I25" s="387" t="str">
        <f t="shared" si="5"/>
        <v/>
      </c>
      <c r="J25" s="387" t="str">
        <f t="shared" si="5"/>
        <v/>
      </c>
      <c r="K25" s="387" t="str">
        <f t="shared" si="5"/>
        <v/>
      </c>
      <c r="L25" s="411">
        <f t="shared" si="1"/>
        <v>1</v>
      </c>
      <c r="M25" s="409">
        <v>1</v>
      </c>
      <c r="N25" s="409"/>
      <c r="O25" s="409"/>
      <c r="P25" s="409"/>
      <c r="Q25" s="382"/>
      <c r="R25" s="385" t="str">
        <f t="shared" si="2"/>
        <v>T</v>
      </c>
      <c r="S25" s="389"/>
      <c r="T25" s="389"/>
      <c r="U25" s="389"/>
      <c r="V25" s="391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3"/>
      <c r="AH25" s="383"/>
      <c r="AI25" s="383"/>
      <c r="AJ25" s="392"/>
      <c r="AK25" s="393"/>
    </row>
    <row r="26" spans="1:37" s="413" customFormat="1" hidden="1" outlineLevel="3">
      <c r="A26" s="382"/>
      <c r="B26" s="382" t="s">
        <v>15</v>
      </c>
      <c r="C26" s="382" t="s">
        <v>30</v>
      </c>
      <c r="D26" s="382" t="s">
        <v>18</v>
      </c>
      <c r="E26" s="397" t="s">
        <v>20</v>
      </c>
      <c r="F26" s="440" t="s">
        <v>35</v>
      </c>
      <c r="G26" s="411">
        <v>0.36</v>
      </c>
      <c r="H26" s="411">
        <f t="shared" si="5"/>
        <v>0.36</v>
      </c>
      <c r="I26" s="387" t="str">
        <f t="shared" si="5"/>
        <v/>
      </c>
      <c r="J26" s="387" t="str">
        <f t="shared" si="5"/>
        <v/>
      </c>
      <c r="K26" s="387" t="str">
        <f t="shared" si="5"/>
        <v/>
      </c>
      <c r="L26" s="411">
        <f t="shared" si="1"/>
        <v>1</v>
      </c>
      <c r="M26" s="409">
        <v>1</v>
      </c>
      <c r="N26" s="409"/>
      <c r="O26" s="409"/>
      <c r="P26" s="409"/>
      <c r="Q26" s="382"/>
      <c r="R26" s="385" t="str">
        <f t="shared" si="2"/>
        <v>T</v>
      </c>
      <c r="S26" s="389"/>
      <c r="T26" s="389"/>
      <c r="U26" s="389"/>
      <c r="V26" s="391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3"/>
      <c r="AH26" s="383"/>
      <c r="AI26" s="383"/>
      <c r="AJ26" s="392"/>
      <c r="AK26" s="393"/>
    </row>
    <row r="27" spans="1:37" s="413" customFormat="1" hidden="1" outlineLevel="3">
      <c r="A27" s="382"/>
      <c r="B27" s="382" t="s">
        <v>15</v>
      </c>
      <c r="C27" s="382" t="s">
        <v>30</v>
      </c>
      <c r="D27" s="382" t="s">
        <v>18</v>
      </c>
      <c r="E27" s="397" t="s">
        <v>20</v>
      </c>
      <c r="F27" s="440" t="s">
        <v>36</v>
      </c>
      <c r="G27" s="411">
        <v>0.36</v>
      </c>
      <c r="H27" s="411" t="str">
        <f t="shared" si="5"/>
        <v/>
      </c>
      <c r="I27" s="387">
        <f t="shared" si="5"/>
        <v>0.36</v>
      </c>
      <c r="J27" s="387" t="str">
        <f t="shared" si="5"/>
        <v/>
      </c>
      <c r="K27" s="387" t="str">
        <f t="shared" si="5"/>
        <v/>
      </c>
      <c r="L27" s="411">
        <f>SUM(N27:P27)</f>
        <v>1</v>
      </c>
      <c r="M27" s="383"/>
      <c r="N27" s="409">
        <v>1</v>
      </c>
      <c r="O27" s="409"/>
      <c r="P27" s="409"/>
      <c r="Q27" s="382"/>
      <c r="R27" s="385" t="str">
        <f>IF(SUM(N27:P27)=L27,"T","F")</f>
        <v>T</v>
      </c>
      <c r="S27" s="389"/>
      <c r="T27" s="389"/>
      <c r="U27" s="389"/>
      <c r="V27" s="391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3"/>
      <c r="AH27" s="383"/>
      <c r="AI27" s="383"/>
      <c r="AJ27" s="392"/>
      <c r="AK27" s="393"/>
    </row>
    <row r="28" spans="1:37" s="413" customFormat="1" hidden="1" outlineLevel="3">
      <c r="A28" s="382"/>
      <c r="B28" s="382" t="s">
        <v>15</v>
      </c>
      <c r="C28" s="382" t="s">
        <v>30</v>
      </c>
      <c r="D28" s="382" t="s">
        <v>18</v>
      </c>
      <c r="E28" s="397" t="s">
        <v>20</v>
      </c>
      <c r="F28" s="440" t="s">
        <v>37</v>
      </c>
      <c r="G28" s="411">
        <v>4.3982695586700871E-2</v>
      </c>
      <c r="H28" s="411">
        <f t="shared" si="5"/>
        <v>4.3982695586700871E-2</v>
      </c>
      <c r="I28" s="387" t="str">
        <f t="shared" si="5"/>
        <v/>
      </c>
      <c r="J28" s="387" t="str">
        <f t="shared" si="5"/>
        <v/>
      </c>
      <c r="K28" s="387" t="str">
        <f t="shared" si="5"/>
        <v/>
      </c>
      <c r="L28" s="411">
        <f t="shared" ref="L28:L59" si="6">SUM(M28:P28)</f>
        <v>1</v>
      </c>
      <c r="M28" s="409">
        <v>1</v>
      </c>
      <c r="N28" s="409"/>
      <c r="O28" s="409"/>
      <c r="P28" s="409"/>
      <c r="Q28" s="382"/>
      <c r="R28" s="385" t="str">
        <f>IF(SUM(M28:P28)=L28,"T","F")</f>
        <v>T</v>
      </c>
      <c r="S28" s="389"/>
      <c r="T28" s="389"/>
      <c r="U28" s="389"/>
      <c r="V28" s="391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3"/>
      <c r="AH28" s="383"/>
      <c r="AI28" s="383"/>
      <c r="AJ28" s="392"/>
      <c r="AK28" s="393"/>
    </row>
    <row r="29" spans="1:37" s="413" customFormat="1" hidden="1" outlineLevel="3">
      <c r="A29" s="382"/>
      <c r="B29" s="382" t="s">
        <v>15</v>
      </c>
      <c r="C29" s="382" t="s">
        <v>30</v>
      </c>
      <c r="D29" s="382" t="s">
        <v>18</v>
      </c>
      <c r="E29" s="397" t="s">
        <v>20</v>
      </c>
      <c r="F29" s="440" t="s">
        <v>38</v>
      </c>
      <c r="G29" s="411">
        <v>4.3982695586700871E-2</v>
      </c>
      <c r="H29" s="411">
        <f t="shared" si="5"/>
        <v>4.3982695586700871E-2</v>
      </c>
      <c r="I29" s="387" t="str">
        <f t="shared" si="5"/>
        <v/>
      </c>
      <c r="J29" s="387" t="str">
        <f t="shared" si="5"/>
        <v/>
      </c>
      <c r="K29" s="387" t="str">
        <f t="shared" si="5"/>
        <v/>
      </c>
      <c r="L29" s="411">
        <f t="shared" si="6"/>
        <v>1</v>
      </c>
      <c r="M29" s="409">
        <v>1</v>
      </c>
      <c r="N29" s="409"/>
      <c r="O29" s="409"/>
      <c r="P29" s="409"/>
      <c r="Q29" s="382"/>
      <c r="R29" s="385" t="str">
        <f>IF(SUM(M29:P29)=L29,"T","F")</f>
        <v>T</v>
      </c>
      <c r="S29" s="389"/>
      <c r="T29" s="389"/>
      <c r="U29" s="389"/>
      <c r="V29" s="391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3"/>
      <c r="AH29" s="383"/>
      <c r="AI29" s="383"/>
      <c r="AJ29" s="392"/>
      <c r="AK29" s="393"/>
    </row>
    <row r="30" spans="1:37" s="413" customFormat="1" hidden="1" outlineLevel="3">
      <c r="A30" s="382"/>
      <c r="B30" s="382" t="s">
        <v>15</v>
      </c>
      <c r="C30" s="382" t="s">
        <v>30</v>
      </c>
      <c r="D30" s="382" t="s">
        <v>18</v>
      </c>
      <c r="E30" s="397" t="s">
        <v>20</v>
      </c>
      <c r="F30" s="440" t="s">
        <v>39</v>
      </c>
      <c r="G30" s="411">
        <v>6.5974043380051306E-2</v>
      </c>
      <c r="H30" s="411">
        <f t="shared" ref="H30:H40" si="7">IF(M30=1,$G30,"")</f>
        <v>6.5974043380051306E-2</v>
      </c>
      <c r="I30" s="387"/>
      <c r="J30" s="387"/>
      <c r="K30" s="387"/>
      <c r="L30" s="411">
        <f t="shared" si="6"/>
        <v>1</v>
      </c>
      <c r="M30" s="409">
        <v>1</v>
      </c>
      <c r="N30" s="409"/>
      <c r="O30" s="409"/>
      <c r="P30" s="409"/>
      <c r="Q30" s="382"/>
      <c r="R30" s="385"/>
      <c r="S30" s="389"/>
      <c r="T30" s="389"/>
      <c r="U30" s="389"/>
      <c r="V30" s="391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3"/>
      <c r="AH30" s="383"/>
      <c r="AI30" s="383"/>
      <c r="AJ30" s="392"/>
      <c r="AK30" s="393"/>
    </row>
    <row r="31" spans="1:37" s="413" customFormat="1" hidden="1" outlineLevel="3">
      <c r="A31" s="382"/>
      <c r="B31" s="382" t="s">
        <v>15</v>
      </c>
      <c r="C31" s="382" t="s">
        <v>30</v>
      </c>
      <c r="D31" s="382" t="s">
        <v>18</v>
      </c>
      <c r="E31" s="397" t="s">
        <v>20</v>
      </c>
      <c r="F31" s="440" t="s">
        <v>40</v>
      </c>
      <c r="G31" s="411">
        <v>6.5974043380051306E-2</v>
      </c>
      <c r="H31" s="411">
        <f t="shared" si="7"/>
        <v>6.5974043380051306E-2</v>
      </c>
      <c r="I31" s="387" t="str">
        <f>IF(N31=1,$G31,"")</f>
        <v/>
      </c>
      <c r="J31" s="387" t="str">
        <f>IF(O31=1,$G31,"")</f>
        <v/>
      </c>
      <c r="K31" s="387" t="str">
        <f>IF(P31=1,$G31,"")</f>
        <v/>
      </c>
      <c r="L31" s="411">
        <f t="shared" si="6"/>
        <v>1</v>
      </c>
      <c r="M31" s="409">
        <v>1</v>
      </c>
      <c r="N31" s="409"/>
      <c r="O31" s="409"/>
      <c r="P31" s="409"/>
      <c r="Q31" s="382"/>
      <c r="R31" s="385" t="str">
        <f>IF(SUM(M31:P31)=L31,"T","F")</f>
        <v>T</v>
      </c>
      <c r="S31" s="389"/>
      <c r="T31" s="389"/>
      <c r="U31" s="389"/>
      <c r="V31" s="391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3"/>
      <c r="AH31" s="383"/>
      <c r="AI31" s="383"/>
      <c r="AJ31" s="392"/>
      <c r="AK31" s="393"/>
    </row>
    <row r="32" spans="1:37" s="413" customFormat="1" hidden="1" outlineLevel="3">
      <c r="A32" s="382"/>
      <c r="B32" s="382" t="s">
        <v>15</v>
      </c>
      <c r="C32" s="382" t="s">
        <v>30</v>
      </c>
      <c r="D32" s="382" t="s">
        <v>18</v>
      </c>
      <c r="E32" s="397" t="s">
        <v>20</v>
      </c>
      <c r="F32" s="440" t="s">
        <v>41</v>
      </c>
      <c r="G32" s="411">
        <v>6.5974043380051306E-2</v>
      </c>
      <c r="H32" s="411">
        <f t="shared" si="7"/>
        <v>6.5974043380051306E-2</v>
      </c>
      <c r="I32" s="387"/>
      <c r="J32" s="387"/>
      <c r="K32" s="387"/>
      <c r="L32" s="411">
        <f t="shared" si="6"/>
        <v>1</v>
      </c>
      <c r="M32" s="409">
        <v>1</v>
      </c>
      <c r="N32" s="409"/>
      <c r="O32" s="409"/>
      <c r="P32" s="409"/>
      <c r="Q32" s="382"/>
      <c r="R32" s="385"/>
      <c r="S32" s="389"/>
      <c r="T32" s="389"/>
      <c r="U32" s="389"/>
      <c r="V32" s="391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3"/>
      <c r="AH32" s="383"/>
      <c r="AI32" s="383"/>
      <c r="AJ32" s="392"/>
      <c r="AK32" s="393"/>
    </row>
    <row r="33" spans="1:37" s="413" customFormat="1" hidden="1" outlineLevel="3">
      <c r="A33" s="382"/>
      <c r="B33" s="382" t="s">
        <v>15</v>
      </c>
      <c r="C33" s="382" t="s">
        <v>30</v>
      </c>
      <c r="D33" s="382" t="s">
        <v>18</v>
      </c>
      <c r="E33" s="397" t="s">
        <v>20</v>
      </c>
      <c r="F33" s="440" t="s">
        <v>42</v>
      </c>
      <c r="G33" s="411">
        <v>6.5974043380051306E-2</v>
      </c>
      <c r="H33" s="411">
        <f t="shared" si="7"/>
        <v>6.5974043380051306E-2</v>
      </c>
      <c r="I33" s="387" t="str">
        <f t="shared" ref="I33:K40" si="8">IF(N33=1,$G33,"")</f>
        <v/>
      </c>
      <c r="J33" s="387" t="str">
        <f t="shared" si="8"/>
        <v/>
      </c>
      <c r="K33" s="387" t="str">
        <f t="shared" si="8"/>
        <v/>
      </c>
      <c r="L33" s="411">
        <f t="shared" si="6"/>
        <v>1</v>
      </c>
      <c r="M33" s="409">
        <v>1</v>
      </c>
      <c r="N33" s="409"/>
      <c r="O33" s="409"/>
      <c r="P33" s="409"/>
      <c r="Q33" s="382"/>
      <c r="R33" s="385" t="str">
        <f t="shared" ref="R33:R64" si="9">IF(SUM(M33:P33)=L33,"T","F")</f>
        <v>T</v>
      </c>
      <c r="S33" s="389"/>
      <c r="T33" s="389"/>
      <c r="U33" s="389"/>
      <c r="V33" s="391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3"/>
      <c r="AH33" s="383"/>
      <c r="AI33" s="383"/>
      <c r="AJ33" s="392"/>
      <c r="AK33" s="393"/>
    </row>
    <row r="34" spans="1:37" s="413" customFormat="1" hidden="1" outlineLevel="3">
      <c r="A34" s="382"/>
      <c r="B34" s="382" t="s">
        <v>15</v>
      </c>
      <c r="C34" s="382" t="s">
        <v>30</v>
      </c>
      <c r="D34" s="382" t="s">
        <v>18</v>
      </c>
      <c r="E34" s="397" t="s">
        <v>20</v>
      </c>
      <c r="F34" s="440" t="s">
        <v>43</v>
      </c>
      <c r="G34" s="411">
        <v>1.466089852890029E-2</v>
      </c>
      <c r="H34" s="411">
        <f t="shared" si="7"/>
        <v>1.466089852890029E-2</v>
      </c>
      <c r="I34" s="387" t="str">
        <f t="shared" si="8"/>
        <v/>
      </c>
      <c r="J34" s="387" t="str">
        <f t="shared" si="8"/>
        <v/>
      </c>
      <c r="K34" s="387" t="str">
        <f t="shared" si="8"/>
        <v/>
      </c>
      <c r="L34" s="411">
        <f t="shared" si="6"/>
        <v>1</v>
      </c>
      <c r="M34" s="409">
        <v>1</v>
      </c>
      <c r="N34" s="409"/>
      <c r="O34" s="409"/>
      <c r="P34" s="409"/>
      <c r="Q34" s="382"/>
      <c r="R34" s="385" t="str">
        <f t="shared" si="9"/>
        <v>T</v>
      </c>
      <c r="S34" s="389"/>
      <c r="T34" s="389"/>
      <c r="U34" s="389"/>
      <c r="V34" s="391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3"/>
      <c r="AH34" s="383"/>
      <c r="AI34" s="383"/>
      <c r="AJ34" s="392"/>
      <c r="AK34" s="393"/>
    </row>
    <row r="35" spans="1:37" s="413" customFormat="1" hidden="1" outlineLevel="3">
      <c r="A35" s="382"/>
      <c r="B35" s="382" t="s">
        <v>15</v>
      </c>
      <c r="C35" s="382" t="s">
        <v>30</v>
      </c>
      <c r="D35" s="382" t="s">
        <v>18</v>
      </c>
      <c r="E35" s="397" t="s">
        <v>20</v>
      </c>
      <c r="F35" s="440" t="s">
        <v>44</v>
      </c>
      <c r="G35" s="411">
        <v>2.932179705780058E-2</v>
      </c>
      <c r="H35" s="411">
        <f t="shared" si="7"/>
        <v>2.932179705780058E-2</v>
      </c>
      <c r="I35" s="387" t="str">
        <f t="shared" si="8"/>
        <v/>
      </c>
      <c r="J35" s="387" t="str">
        <f t="shared" si="8"/>
        <v/>
      </c>
      <c r="K35" s="387" t="str">
        <f t="shared" si="8"/>
        <v/>
      </c>
      <c r="L35" s="411">
        <f t="shared" si="6"/>
        <v>1</v>
      </c>
      <c r="M35" s="409">
        <v>1</v>
      </c>
      <c r="N35" s="409"/>
      <c r="O35" s="409"/>
      <c r="P35" s="409"/>
      <c r="Q35" s="382"/>
      <c r="R35" s="385" t="str">
        <f t="shared" si="9"/>
        <v>T</v>
      </c>
      <c r="S35" s="389"/>
      <c r="T35" s="389"/>
      <c r="U35" s="389"/>
      <c r="V35" s="391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3"/>
      <c r="AH35" s="383"/>
      <c r="AI35" s="383"/>
      <c r="AJ35" s="392"/>
      <c r="AK35" s="393"/>
    </row>
    <row r="36" spans="1:37" s="413" customFormat="1" hidden="1" outlineLevel="3">
      <c r="A36" s="382"/>
      <c r="B36" s="382" t="s">
        <v>15</v>
      </c>
      <c r="C36" s="382" t="s">
        <v>30</v>
      </c>
      <c r="D36" s="382" t="s">
        <v>18</v>
      </c>
      <c r="E36" s="397" t="s">
        <v>20</v>
      </c>
      <c r="F36" s="440" t="s">
        <v>45</v>
      </c>
      <c r="G36" s="411">
        <v>4.3982695586700871E-2</v>
      </c>
      <c r="H36" s="411" t="str">
        <f t="shared" si="7"/>
        <v/>
      </c>
      <c r="I36" s="387">
        <f t="shared" si="8"/>
        <v>4.3982695586700871E-2</v>
      </c>
      <c r="J36" s="387" t="str">
        <f t="shared" si="8"/>
        <v/>
      </c>
      <c r="K36" s="387" t="str">
        <f t="shared" si="8"/>
        <v/>
      </c>
      <c r="L36" s="411">
        <f t="shared" si="6"/>
        <v>1</v>
      </c>
      <c r="M36" s="409"/>
      <c r="N36" s="409">
        <v>1</v>
      </c>
      <c r="O36" s="409"/>
      <c r="P36" s="409"/>
      <c r="Q36" s="382"/>
      <c r="R36" s="385" t="str">
        <f t="shared" si="9"/>
        <v>T</v>
      </c>
      <c r="S36" s="389"/>
      <c r="T36" s="389"/>
      <c r="U36" s="389"/>
      <c r="V36" s="391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3"/>
      <c r="AH36" s="383"/>
      <c r="AI36" s="383"/>
      <c r="AJ36" s="392"/>
      <c r="AK36" s="393"/>
    </row>
    <row r="37" spans="1:37" s="413" customFormat="1" hidden="1" outlineLevel="3">
      <c r="A37" s="382"/>
      <c r="B37" s="382" t="s">
        <v>15</v>
      </c>
      <c r="C37" s="382" t="s">
        <v>30</v>
      </c>
      <c r="D37" s="382" t="s">
        <v>18</v>
      </c>
      <c r="E37" s="397" t="s">
        <v>20</v>
      </c>
      <c r="F37" s="440" t="s">
        <v>46</v>
      </c>
      <c r="G37" s="411">
        <v>4.3982695586700871E-2</v>
      </c>
      <c r="H37" s="411">
        <f t="shared" si="7"/>
        <v>4.3982695586700871E-2</v>
      </c>
      <c r="I37" s="387" t="str">
        <f t="shared" si="8"/>
        <v/>
      </c>
      <c r="J37" s="387" t="str">
        <f t="shared" si="8"/>
        <v/>
      </c>
      <c r="K37" s="387" t="str">
        <f t="shared" si="8"/>
        <v/>
      </c>
      <c r="L37" s="411">
        <f t="shared" si="6"/>
        <v>1</v>
      </c>
      <c r="M37" s="409">
        <v>1</v>
      </c>
      <c r="N37" s="409"/>
      <c r="O37" s="409"/>
      <c r="P37" s="409"/>
      <c r="Q37" s="382"/>
      <c r="R37" s="385" t="str">
        <f t="shared" si="9"/>
        <v>T</v>
      </c>
      <c r="S37" s="389"/>
      <c r="T37" s="389"/>
      <c r="U37" s="389"/>
      <c r="V37" s="391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3"/>
      <c r="AH37" s="383"/>
      <c r="AI37" s="383"/>
      <c r="AJ37" s="392"/>
      <c r="AK37" s="393"/>
    </row>
    <row r="38" spans="1:37" s="413" customFormat="1" hidden="1" outlineLevel="3">
      <c r="A38" s="382"/>
      <c r="B38" s="382" t="s">
        <v>15</v>
      </c>
      <c r="C38" s="382" t="s">
        <v>30</v>
      </c>
      <c r="D38" s="382" t="s">
        <v>18</v>
      </c>
      <c r="E38" s="397" t="s">
        <v>20</v>
      </c>
      <c r="F38" s="440" t="s">
        <v>47</v>
      </c>
      <c r="G38" s="411">
        <v>0.05</v>
      </c>
      <c r="H38" s="411">
        <f t="shared" si="7"/>
        <v>0.05</v>
      </c>
      <c r="I38" s="387" t="str">
        <f t="shared" si="8"/>
        <v/>
      </c>
      <c r="J38" s="387" t="str">
        <f t="shared" si="8"/>
        <v/>
      </c>
      <c r="K38" s="387" t="str">
        <f t="shared" si="8"/>
        <v/>
      </c>
      <c r="L38" s="411">
        <f t="shared" si="6"/>
        <v>1</v>
      </c>
      <c r="M38" s="409">
        <v>1</v>
      </c>
      <c r="N38" s="409"/>
      <c r="O38" s="409"/>
      <c r="P38" s="409"/>
      <c r="Q38" s="382"/>
      <c r="R38" s="385" t="str">
        <f t="shared" si="9"/>
        <v>T</v>
      </c>
      <c r="S38" s="389"/>
      <c r="T38" s="389"/>
      <c r="U38" s="389"/>
      <c r="V38" s="391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3"/>
      <c r="AH38" s="383"/>
      <c r="AI38" s="383"/>
      <c r="AJ38" s="392"/>
      <c r="AK38" s="393"/>
    </row>
    <row r="39" spans="1:37" s="413" customFormat="1" hidden="1" outlineLevel="3">
      <c r="A39" s="382"/>
      <c r="B39" s="382" t="s">
        <v>15</v>
      </c>
      <c r="C39" s="382" t="s">
        <v>30</v>
      </c>
      <c r="D39" s="382" t="s">
        <v>18</v>
      </c>
      <c r="E39" s="397" t="s">
        <v>20</v>
      </c>
      <c r="F39" s="440" t="s">
        <v>48</v>
      </c>
      <c r="G39" s="411">
        <v>0.05</v>
      </c>
      <c r="H39" s="411" t="str">
        <f t="shared" si="7"/>
        <v/>
      </c>
      <c r="I39" s="387">
        <f t="shared" si="8"/>
        <v>0.05</v>
      </c>
      <c r="J39" s="387" t="str">
        <f t="shared" si="8"/>
        <v/>
      </c>
      <c r="K39" s="387" t="str">
        <f t="shared" si="8"/>
        <v/>
      </c>
      <c r="L39" s="411">
        <f t="shared" si="6"/>
        <v>1</v>
      </c>
      <c r="M39" s="409"/>
      <c r="N39" s="409">
        <v>1</v>
      </c>
      <c r="O39" s="409"/>
      <c r="P39" s="409"/>
      <c r="Q39" s="382"/>
      <c r="R39" s="385" t="str">
        <f t="shared" si="9"/>
        <v>T</v>
      </c>
      <c r="S39" s="389"/>
      <c r="T39" s="389"/>
      <c r="U39" s="389"/>
      <c r="V39" s="391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3"/>
      <c r="AH39" s="383"/>
      <c r="AI39" s="383"/>
      <c r="AJ39" s="392"/>
      <c r="AK39" s="393"/>
    </row>
    <row r="40" spans="1:37" s="413" customFormat="1" hidden="1" outlineLevel="3">
      <c r="A40" s="382"/>
      <c r="B40" s="382" t="s">
        <v>15</v>
      </c>
      <c r="C40" s="382" t="s">
        <v>30</v>
      </c>
      <c r="D40" s="382" t="s">
        <v>18</v>
      </c>
      <c r="E40" s="397" t="s">
        <v>20</v>
      </c>
      <c r="F40" s="440" t="s">
        <v>49</v>
      </c>
      <c r="G40" s="411">
        <v>1.8737796129812034E-2</v>
      </c>
      <c r="H40" s="411" t="str">
        <f t="shared" si="7"/>
        <v/>
      </c>
      <c r="I40" s="387">
        <f t="shared" si="8"/>
        <v>1.8737796129812034E-2</v>
      </c>
      <c r="J40" s="387" t="str">
        <f t="shared" si="8"/>
        <v/>
      </c>
      <c r="K40" s="387" t="str">
        <f t="shared" si="8"/>
        <v/>
      </c>
      <c r="L40" s="411">
        <f t="shared" si="6"/>
        <v>1</v>
      </c>
      <c r="M40" s="409"/>
      <c r="N40" s="409">
        <v>1</v>
      </c>
      <c r="O40" s="409"/>
      <c r="P40" s="409"/>
      <c r="Q40" s="382"/>
      <c r="R40" s="385" t="str">
        <f t="shared" si="9"/>
        <v>T</v>
      </c>
      <c r="S40" s="389"/>
      <c r="T40" s="389"/>
      <c r="U40" s="389"/>
      <c r="V40" s="391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3"/>
      <c r="AH40" s="383"/>
      <c r="AI40" s="383"/>
      <c r="AJ40" s="392"/>
      <c r="AK40" s="393"/>
    </row>
    <row r="41" spans="1:37" hidden="1" outlineLevel="2" collapsed="1">
      <c r="A41" s="382"/>
      <c r="B41" s="382" t="s">
        <v>15</v>
      </c>
      <c r="C41" s="382" t="s">
        <v>30</v>
      </c>
      <c r="D41" s="382" t="s">
        <v>26</v>
      </c>
      <c r="E41" s="382"/>
      <c r="F41" s="440" t="s">
        <v>17</v>
      </c>
      <c r="G41" s="411">
        <f>SUM(G42:G60)</f>
        <v>0.43466801489009571</v>
      </c>
      <c r="H41" s="387">
        <f>SUM(H42:H60)</f>
        <v>0.35597209492231208</v>
      </c>
      <c r="I41" s="387">
        <f>SUM(I42:I60)</f>
        <v>7.8695919967783634E-2</v>
      </c>
      <c r="J41" s="387">
        <f>SUM(J42:J60)</f>
        <v>0</v>
      </c>
      <c r="K41" s="387">
        <f>SUM(K42:K60)</f>
        <v>0</v>
      </c>
      <c r="L41" s="411">
        <f t="shared" si="6"/>
        <v>19</v>
      </c>
      <c r="M41" s="388">
        <f>SUM(M42:M60)</f>
        <v>15</v>
      </c>
      <c r="N41" s="388">
        <f>SUM(N42:N60)</f>
        <v>4</v>
      </c>
      <c r="O41" s="388">
        <f>SUM(O42:O60)</f>
        <v>0</v>
      </c>
      <c r="P41" s="388">
        <f>SUM(P42:P60)</f>
        <v>0</v>
      </c>
      <c r="Q41" s="382"/>
      <c r="R41" s="385" t="str">
        <f t="shared" si="9"/>
        <v>T</v>
      </c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J41" s="392"/>
      <c r="AK41" s="393"/>
    </row>
    <row r="42" spans="1:37" hidden="1" outlineLevel="3">
      <c r="A42" s="382"/>
      <c r="B42" s="382" t="s">
        <v>15</v>
      </c>
      <c r="C42" s="382" t="s">
        <v>30</v>
      </c>
      <c r="D42" s="382" t="s">
        <v>26</v>
      </c>
      <c r="E42" s="382" t="s">
        <v>27</v>
      </c>
      <c r="F42" s="440" t="s">
        <v>32</v>
      </c>
      <c r="G42" s="411">
        <v>9.3421603890201377E-2</v>
      </c>
      <c r="H42" s="411">
        <f t="shared" ref="H42:H60" si="10">IF(M42=1,$G42,"")</f>
        <v>9.3421603890201377E-2</v>
      </c>
      <c r="I42" s="387" t="str">
        <f t="shared" ref="I42:I60" si="11">IF(N42=1,$G42,"")</f>
        <v/>
      </c>
      <c r="J42" s="387" t="str">
        <f t="shared" ref="J42:J60" si="12">IF(O42=1,$G42,"")</f>
        <v/>
      </c>
      <c r="K42" s="387" t="str">
        <f t="shared" ref="K42:K60" si="13">IF(P42=1,$G42,"")</f>
        <v/>
      </c>
      <c r="L42" s="411">
        <f t="shared" si="6"/>
        <v>1</v>
      </c>
      <c r="M42" s="388">
        <v>1</v>
      </c>
      <c r="N42" s="388"/>
      <c r="O42" s="388"/>
      <c r="P42" s="388"/>
      <c r="Q42" s="382"/>
      <c r="R42" s="385" t="str">
        <f t="shared" si="9"/>
        <v>T</v>
      </c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J42" s="392"/>
      <c r="AK42" s="393"/>
    </row>
    <row r="43" spans="1:37" hidden="1" outlineLevel="3">
      <c r="A43" s="382"/>
      <c r="B43" s="382" t="s">
        <v>15</v>
      </c>
      <c r="C43" s="382" t="s">
        <v>30</v>
      </c>
      <c r="D43" s="382" t="s">
        <v>26</v>
      </c>
      <c r="E43" s="382" t="s">
        <v>27</v>
      </c>
      <c r="F43" s="440" t="s">
        <v>34</v>
      </c>
      <c r="G43" s="411">
        <v>9.3421603890201377E-2</v>
      </c>
      <c r="H43" s="411">
        <f t="shared" si="10"/>
        <v>9.3421603890201377E-2</v>
      </c>
      <c r="I43" s="387" t="str">
        <f t="shared" si="11"/>
        <v/>
      </c>
      <c r="J43" s="387" t="str">
        <f t="shared" si="12"/>
        <v/>
      </c>
      <c r="K43" s="387" t="str">
        <f t="shared" si="13"/>
        <v/>
      </c>
      <c r="L43" s="411">
        <f t="shared" si="6"/>
        <v>1</v>
      </c>
      <c r="M43" s="388">
        <v>1</v>
      </c>
      <c r="N43" s="388"/>
      <c r="O43" s="388"/>
      <c r="P43" s="388"/>
      <c r="Q43" s="382"/>
      <c r="R43" s="385" t="str">
        <f t="shared" si="9"/>
        <v>T</v>
      </c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J43" s="392"/>
      <c r="AK43" s="393"/>
    </row>
    <row r="44" spans="1:37" hidden="1" outlineLevel="3">
      <c r="A44" s="382"/>
      <c r="B44" s="382" t="s">
        <v>15</v>
      </c>
      <c r="C44" s="382" t="s">
        <v>30</v>
      </c>
      <c r="D44" s="382" t="s">
        <v>26</v>
      </c>
      <c r="E44" s="382" t="s">
        <v>27</v>
      </c>
      <c r="F44" s="440" t="s">
        <v>50</v>
      </c>
      <c r="G44" s="411">
        <v>2.1106865436972901E-2</v>
      </c>
      <c r="H44" s="411">
        <f t="shared" si="10"/>
        <v>2.1106865436972901E-2</v>
      </c>
      <c r="I44" s="387" t="str">
        <f t="shared" si="11"/>
        <v/>
      </c>
      <c r="J44" s="387" t="str">
        <f t="shared" si="12"/>
        <v/>
      </c>
      <c r="K44" s="387" t="str">
        <f t="shared" si="13"/>
        <v/>
      </c>
      <c r="L44" s="411">
        <f t="shared" si="6"/>
        <v>1</v>
      </c>
      <c r="M44" s="388">
        <v>1</v>
      </c>
      <c r="N44" s="388"/>
      <c r="O44" s="388"/>
      <c r="P44" s="388"/>
      <c r="Q44" s="382"/>
      <c r="R44" s="385" t="str">
        <f t="shared" si="9"/>
        <v>T</v>
      </c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J44" s="392"/>
      <c r="AK44" s="393"/>
    </row>
    <row r="45" spans="1:37" hidden="1" outlineLevel="3">
      <c r="A45" s="382"/>
      <c r="B45" s="382" t="s">
        <v>15</v>
      </c>
      <c r="C45" s="382" t="s">
        <v>30</v>
      </c>
      <c r="D45" s="382" t="s">
        <v>26</v>
      </c>
      <c r="E45" s="382" t="s">
        <v>27</v>
      </c>
      <c r="F45" s="440" t="s">
        <v>51</v>
      </c>
      <c r="G45" s="411">
        <v>3.166029815545935E-2</v>
      </c>
      <c r="H45" s="411">
        <f t="shared" si="10"/>
        <v>3.166029815545935E-2</v>
      </c>
      <c r="I45" s="387" t="str">
        <f t="shared" si="11"/>
        <v/>
      </c>
      <c r="J45" s="387" t="str">
        <f t="shared" si="12"/>
        <v/>
      </c>
      <c r="K45" s="387" t="str">
        <f t="shared" si="13"/>
        <v/>
      </c>
      <c r="L45" s="411">
        <f t="shared" si="6"/>
        <v>1</v>
      </c>
      <c r="M45" s="388">
        <v>1</v>
      </c>
      <c r="N45" s="388"/>
      <c r="O45" s="388"/>
      <c r="P45" s="388"/>
      <c r="Q45" s="382"/>
      <c r="R45" s="385" t="str">
        <f t="shared" si="9"/>
        <v>T</v>
      </c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J45" s="392"/>
      <c r="AK45" s="393"/>
    </row>
    <row r="46" spans="1:37" hidden="1" outlineLevel="3">
      <c r="A46" s="382"/>
      <c r="B46" s="382" t="s">
        <v>15</v>
      </c>
      <c r="C46" s="382" t="s">
        <v>30</v>
      </c>
      <c r="D46" s="382" t="s">
        <v>26</v>
      </c>
      <c r="E46" s="382" t="s">
        <v>27</v>
      </c>
      <c r="F46" s="440" t="s">
        <v>40</v>
      </c>
      <c r="G46" s="411">
        <v>5.2767163592432253E-3</v>
      </c>
      <c r="H46" s="411">
        <f t="shared" si="10"/>
        <v>5.2767163592432253E-3</v>
      </c>
      <c r="I46" s="387" t="str">
        <f t="shared" si="11"/>
        <v/>
      </c>
      <c r="J46" s="387" t="str">
        <f t="shared" si="12"/>
        <v/>
      </c>
      <c r="K46" s="387" t="str">
        <f t="shared" si="13"/>
        <v/>
      </c>
      <c r="L46" s="411">
        <f t="shared" si="6"/>
        <v>1</v>
      </c>
      <c r="M46" s="388">
        <v>1</v>
      </c>
      <c r="N46" s="388"/>
      <c r="O46" s="388"/>
      <c r="P46" s="388"/>
      <c r="Q46" s="382"/>
      <c r="R46" s="385" t="str">
        <f t="shared" si="9"/>
        <v>T</v>
      </c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J46" s="392"/>
      <c r="AK46" s="393"/>
    </row>
    <row r="47" spans="1:37" hidden="1" outlineLevel="3">
      <c r="A47" s="382"/>
      <c r="B47" s="382" t="s">
        <v>15</v>
      </c>
      <c r="C47" s="382" t="s">
        <v>30</v>
      </c>
      <c r="D47" s="382" t="s">
        <v>26</v>
      </c>
      <c r="E47" s="382" t="s">
        <v>27</v>
      </c>
      <c r="F47" s="440" t="s">
        <v>52</v>
      </c>
      <c r="G47" s="411">
        <v>2.1106865436972901E-2</v>
      </c>
      <c r="H47" s="411">
        <f t="shared" si="10"/>
        <v>2.1106865436972901E-2</v>
      </c>
      <c r="I47" s="387" t="str">
        <f t="shared" si="11"/>
        <v/>
      </c>
      <c r="J47" s="387" t="str">
        <f t="shared" si="12"/>
        <v/>
      </c>
      <c r="K47" s="387" t="str">
        <f t="shared" si="13"/>
        <v/>
      </c>
      <c r="L47" s="411">
        <f t="shared" si="6"/>
        <v>1</v>
      </c>
      <c r="M47" s="388">
        <v>1</v>
      </c>
      <c r="N47" s="388"/>
      <c r="O47" s="388"/>
      <c r="P47" s="388"/>
      <c r="Q47" s="382"/>
      <c r="R47" s="385" t="str">
        <f t="shared" si="9"/>
        <v>T</v>
      </c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J47" s="392"/>
      <c r="AK47" s="393"/>
    </row>
    <row r="48" spans="1:37" hidden="1" outlineLevel="3">
      <c r="A48" s="382"/>
      <c r="B48" s="382" t="s">
        <v>15</v>
      </c>
      <c r="C48" s="382" t="s">
        <v>30</v>
      </c>
      <c r="D48" s="382" t="s">
        <v>26</v>
      </c>
      <c r="E48" s="382" t="s">
        <v>27</v>
      </c>
      <c r="F48" s="440" t="s">
        <v>53</v>
      </c>
      <c r="G48" s="411">
        <v>3.166029815545935E-2</v>
      </c>
      <c r="H48" s="411">
        <f t="shared" si="10"/>
        <v>3.166029815545935E-2</v>
      </c>
      <c r="I48" s="387" t="str">
        <f t="shared" si="11"/>
        <v/>
      </c>
      <c r="J48" s="387" t="str">
        <f t="shared" si="12"/>
        <v/>
      </c>
      <c r="K48" s="387" t="str">
        <f t="shared" si="13"/>
        <v/>
      </c>
      <c r="L48" s="411">
        <f t="shared" si="6"/>
        <v>1</v>
      </c>
      <c r="M48" s="388">
        <v>1</v>
      </c>
      <c r="N48" s="388"/>
      <c r="O48" s="388"/>
      <c r="P48" s="388"/>
      <c r="Q48" s="382"/>
      <c r="R48" s="385" t="str">
        <f t="shared" si="9"/>
        <v>T</v>
      </c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J48" s="392"/>
      <c r="AK48" s="393"/>
    </row>
    <row r="49" spans="1:37" hidden="1" outlineLevel="3">
      <c r="A49" s="382"/>
      <c r="B49" s="382" t="s">
        <v>15</v>
      </c>
      <c r="C49" s="382" t="s">
        <v>30</v>
      </c>
      <c r="D49" s="382" t="s">
        <v>26</v>
      </c>
      <c r="E49" s="382" t="s">
        <v>27</v>
      </c>
      <c r="F49" s="440" t="s">
        <v>42</v>
      </c>
      <c r="G49" s="411">
        <v>5.2767163592432253E-3</v>
      </c>
      <c r="H49" s="411">
        <f t="shared" si="10"/>
        <v>5.2767163592432253E-3</v>
      </c>
      <c r="I49" s="387" t="str">
        <f t="shared" si="11"/>
        <v/>
      </c>
      <c r="J49" s="387" t="str">
        <f t="shared" si="12"/>
        <v/>
      </c>
      <c r="K49" s="387" t="str">
        <f t="shared" si="13"/>
        <v/>
      </c>
      <c r="L49" s="411">
        <f t="shared" si="6"/>
        <v>1</v>
      </c>
      <c r="M49" s="388">
        <v>1</v>
      </c>
      <c r="N49" s="388"/>
      <c r="O49" s="388"/>
      <c r="P49" s="388"/>
      <c r="Q49" s="382"/>
      <c r="R49" s="385" t="str">
        <f t="shared" si="9"/>
        <v>T</v>
      </c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J49" s="392"/>
      <c r="AK49" s="393"/>
    </row>
    <row r="50" spans="1:37" hidden="1" outlineLevel="3">
      <c r="A50" s="382"/>
      <c r="B50" s="382" t="s">
        <v>15</v>
      </c>
      <c r="C50" s="382" t="s">
        <v>30</v>
      </c>
      <c r="D50" s="382" t="s">
        <v>26</v>
      </c>
      <c r="E50" s="382" t="s">
        <v>27</v>
      </c>
      <c r="F50" s="440" t="s">
        <v>54</v>
      </c>
      <c r="G50" s="411">
        <v>4.0000000000000001E-3</v>
      </c>
      <c r="H50" s="411">
        <f t="shared" si="10"/>
        <v>4.0000000000000001E-3</v>
      </c>
      <c r="I50" s="387" t="str">
        <f t="shared" si="11"/>
        <v/>
      </c>
      <c r="J50" s="387" t="str">
        <f t="shared" si="12"/>
        <v/>
      </c>
      <c r="K50" s="387" t="str">
        <f t="shared" si="13"/>
        <v/>
      </c>
      <c r="L50" s="411">
        <f t="shared" si="6"/>
        <v>1</v>
      </c>
      <c r="M50" s="388">
        <v>1</v>
      </c>
      <c r="N50" s="388"/>
      <c r="O50" s="388"/>
      <c r="P50" s="388"/>
      <c r="Q50" s="382"/>
      <c r="R50" s="385" t="str">
        <f t="shared" si="9"/>
        <v>T</v>
      </c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J50" s="392"/>
      <c r="AK50" s="393"/>
    </row>
    <row r="51" spans="1:37" hidden="1" outlineLevel="3">
      <c r="A51" s="382"/>
      <c r="B51" s="382" t="s">
        <v>15</v>
      </c>
      <c r="C51" s="382" t="s">
        <v>30</v>
      </c>
      <c r="D51" s="382" t="s">
        <v>26</v>
      </c>
      <c r="E51" s="382" t="s">
        <v>27</v>
      </c>
      <c r="F51" s="440" t="s">
        <v>55</v>
      </c>
      <c r="G51" s="411">
        <v>7.0000000000000001E-3</v>
      </c>
      <c r="H51" s="411">
        <f t="shared" si="10"/>
        <v>7.0000000000000001E-3</v>
      </c>
      <c r="I51" s="387" t="str">
        <f t="shared" si="11"/>
        <v/>
      </c>
      <c r="J51" s="387" t="str">
        <f t="shared" si="12"/>
        <v/>
      </c>
      <c r="K51" s="387" t="str">
        <f t="shared" si="13"/>
        <v/>
      </c>
      <c r="L51" s="411">
        <f t="shared" si="6"/>
        <v>1</v>
      </c>
      <c r="M51" s="388">
        <v>1</v>
      </c>
      <c r="N51" s="388"/>
      <c r="O51" s="388"/>
      <c r="P51" s="388"/>
      <c r="Q51" s="382"/>
      <c r="R51" s="385" t="str">
        <f t="shared" si="9"/>
        <v>T</v>
      </c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J51" s="392"/>
      <c r="AK51" s="393"/>
    </row>
    <row r="52" spans="1:37" hidden="1" outlineLevel="3">
      <c r="A52" s="382"/>
      <c r="B52" s="382" t="s">
        <v>15</v>
      </c>
      <c r="C52" s="382" t="s">
        <v>30</v>
      </c>
      <c r="D52" s="382" t="s">
        <v>26</v>
      </c>
      <c r="E52" s="382" t="s">
        <v>27</v>
      </c>
      <c r="F52" s="440" t="s">
        <v>43</v>
      </c>
      <c r="G52" s="411">
        <v>1E-3</v>
      </c>
      <c r="H52" s="411">
        <f t="shared" si="10"/>
        <v>1E-3</v>
      </c>
      <c r="I52" s="387" t="str">
        <f t="shared" si="11"/>
        <v/>
      </c>
      <c r="J52" s="387" t="str">
        <f t="shared" si="12"/>
        <v/>
      </c>
      <c r="K52" s="387" t="str">
        <f t="shared" si="13"/>
        <v/>
      </c>
      <c r="L52" s="411">
        <f t="shared" si="6"/>
        <v>1</v>
      </c>
      <c r="M52" s="388">
        <v>1</v>
      </c>
      <c r="N52" s="388"/>
      <c r="O52" s="388"/>
      <c r="P52" s="388"/>
      <c r="Q52" s="382"/>
      <c r="R52" s="385" t="str">
        <f t="shared" si="9"/>
        <v>T</v>
      </c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J52" s="392"/>
      <c r="AK52" s="393"/>
    </row>
    <row r="53" spans="1:37" hidden="1" outlineLevel="3">
      <c r="A53" s="382"/>
      <c r="B53" s="382" t="s">
        <v>15</v>
      </c>
      <c r="C53" s="382" t="s">
        <v>30</v>
      </c>
      <c r="D53" s="382" t="s">
        <v>26</v>
      </c>
      <c r="E53" s="382" t="s">
        <v>27</v>
      </c>
      <c r="F53" s="440" t="s">
        <v>44</v>
      </c>
      <c r="G53" s="411">
        <v>2.3452072707747665E-3</v>
      </c>
      <c r="H53" s="411">
        <f t="shared" si="10"/>
        <v>2.3452072707747665E-3</v>
      </c>
      <c r="I53" s="387" t="str">
        <f t="shared" si="11"/>
        <v/>
      </c>
      <c r="J53" s="387" t="str">
        <f t="shared" si="12"/>
        <v/>
      </c>
      <c r="K53" s="387" t="str">
        <f t="shared" si="13"/>
        <v/>
      </c>
      <c r="L53" s="411">
        <f t="shared" si="6"/>
        <v>1</v>
      </c>
      <c r="M53" s="388">
        <v>1</v>
      </c>
      <c r="N53" s="388"/>
      <c r="O53" s="388"/>
      <c r="P53" s="388"/>
      <c r="Q53" s="382"/>
      <c r="R53" s="385" t="str">
        <f t="shared" si="9"/>
        <v>T</v>
      </c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J53" s="392"/>
      <c r="AK53" s="393"/>
    </row>
    <row r="54" spans="1:37" hidden="1" outlineLevel="3">
      <c r="A54" s="382"/>
      <c r="B54" s="382" t="s">
        <v>15</v>
      </c>
      <c r="C54" s="382" t="s">
        <v>30</v>
      </c>
      <c r="D54" s="382" t="s">
        <v>26</v>
      </c>
      <c r="E54" s="382" t="s">
        <v>27</v>
      </c>
      <c r="F54" s="440" t="s">
        <v>56</v>
      </c>
      <c r="G54" s="411">
        <v>1.4071243624648597E-2</v>
      </c>
      <c r="H54" s="411" t="str">
        <f t="shared" si="10"/>
        <v/>
      </c>
      <c r="I54" s="387">
        <f t="shared" si="11"/>
        <v>1.4071243624648597E-2</v>
      </c>
      <c r="J54" s="387" t="str">
        <f t="shared" si="12"/>
        <v/>
      </c>
      <c r="K54" s="387" t="str">
        <f t="shared" si="13"/>
        <v/>
      </c>
      <c r="L54" s="411">
        <f t="shared" si="6"/>
        <v>1</v>
      </c>
      <c r="M54" s="409"/>
      <c r="N54" s="409">
        <v>1</v>
      </c>
      <c r="O54" s="409"/>
      <c r="P54" s="409"/>
      <c r="Q54" s="382"/>
      <c r="R54" s="385" t="str">
        <f t="shared" si="9"/>
        <v>T</v>
      </c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J54" s="392"/>
      <c r="AK54" s="393"/>
    </row>
    <row r="55" spans="1:37" hidden="1" outlineLevel="3">
      <c r="A55" s="382"/>
      <c r="B55" s="382" t="s">
        <v>15</v>
      </c>
      <c r="C55" s="382" t="s">
        <v>30</v>
      </c>
      <c r="D55" s="382" t="s">
        <v>26</v>
      </c>
      <c r="E55" s="382" t="s">
        <v>27</v>
      </c>
      <c r="F55" s="440" t="s">
        <v>57</v>
      </c>
      <c r="G55" s="411">
        <v>2.1106865436972894E-2</v>
      </c>
      <c r="H55" s="411" t="str">
        <f t="shared" si="10"/>
        <v/>
      </c>
      <c r="I55" s="387">
        <f t="shared" si="11"/>
        <v>2.1106865436972894E-2</v>
      </c>
      <c r="J55" s="387" t="str">
        <f t="shared" si="12"/>
        <v/>
      </c>
      <c r="K55" s="387" t="str">
        <f t="shared" si="13"/>
        <v/>
      </c>
      <c r="L55" s="411">
        <f t="shared" si="6"/>
        <v>1</v>
      </c>
      <c r="M55" s="409"/>
      <c r="N55" s="409">
        <v>1</v>
      </c>
      <c r="O55" s="409"/>
      <c r="P55" s="409"/>
      <c r="Q55" s="382"/>
      <c r="R55" s="385" t="str">
        <f t="shared" si="9"/>
        <v>T</v>
      </c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J55" s="392"/>
      <c r="AK55" s="393"/>
    </row>
    <row r="56" spans="1:37" hidden="1" outlineLevel="3">
      <c r="A56" s="382"/>
      <c r="B56" s="382" t="s">
        <v>15</v>
      </c>
      <c r="C56" s="382" t="s">
        <v>30</v>
      </c>
      <c r="D56" s="382" t="s">
        <v>26</v>
      </c>
      <c r="E56" s="382" t="s">
        <v>27</v>
      </c>
      <c r="F56" s="440" t="s">
        <v>45</v>
      </c>
      <c r="G56" s="411">
        <v>3.5178109061621493E-3</v>
      </c>
      <c r="H56" s="411" t="str">
        <f t="shared" si="10"/>
        <v/>
      </c>
      <c r="I56" s="387">
        <f t="shared" si="11"/>
        <v>3.5178109061621493E-3</v>
      </c>
      <c r="J56" s="387" t="str">
        <f t="shared" si="12"/>
        <v/>
      </c>
      <c r="K56" s="387" t="str">
        <f t="shared" si="13"/>
        <v/>
      </c>
      <c r="L56" s="411">
        <f t="shared" si="6"/>
        <v>1</v>
      </c>
      <c r="M56" s="409"/>
      <c r="N56" s="409">
        <v>1</v>
      </c>
      <c r="O56" s="409"/>
      <c r="P56" s="409"/>
      <c r="Q56" s="382"/>
      <c r="R56" s="385" t="str">
        <f t="shared" si="9"/>
        <v>T</v>
      </c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J56" s="392"/>
      <c r="AK56" s="393"/>
    </row>
    <row r="57" spans="1:37" s="413" customFormat="1" hidden="1" outlineLevel="3">
      <c r="A57" s="382"/>
      <c r="B57" s="382" t="s">
        <v>15</v>
      </c>
      <c r="C57" s="382" t="s">
        <v>30</v>
      </c>
      <c r="D57" s="382" t="s">
        <v>26</v>
      </c>
      <c r="E57" s="382" t="s">
        <v>27</v>
      </c>
      <c r="F57" s="440" t="s">
        <v>58</v>
      </c>
      <c r="G57" s="411">
        <v>1.4071243624648597E-2</v>
      </c>
      <c r="H57" s="411">
        <f t="shared" si="10"/>
        <v>1.4071243624648597E-2</v>
      </c>
      <c r="I57" s="387" t="str">
        <f t="shared" si="11"/>
        <v/>
      </c>
      <c r="J57" s="387" t="str">
        <f t="shared" si="12"/>
        <v/>
      </c>
      <c r="K57" s="387" t="str">
        <f t="shared" si="13"/>
        <v/>
      </c>
      <c r="L57" s="411">
        <f t="shared" si="6"/>
        <v>1</v>
      </c>
      <c r="M57" s="409">
        <v>1</v>
      </c>
      <c r="N57" s="409"/>
      <c r="O57" s="409"/>
      <c r="P57" s="409"/>
      <c r="Q57" s="382"/>
      <c r="R57" s="385" t="str">
        <f t="shared" si="9"/>
        <v>T</v>
      </c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3"/>
      <c r="AH57" s="383"/>
      <c r="AI57" s="383"/>
      <c r="AJ57" s="392"/>
      <c r="AK57" s="393"/>
    </row>
    <row r="58" spans="1:37" hidden="1" outlineLevel="3">
      <c r="A58" s="382"/>
      <c r="B58" s="382" t="s">
        <v>15</v>
      </c>
      <c r="C58" s="382" t="s">
        <v>30</v>
      </c>
      <c r="D58" s="382" t="s">
        <v>26</v>
      </c>
      <c r="E58" s="382" t="s">
        <v>27</v>
      </c>
      <c r="F58" s="440" t="s">
        <v>59</v>
      </c>
      <c r="G58" s="411">
        <v>2.1106865436972894E-2</v>
      </c>
      <c r="H58" s="411">
        <f t="shared" si="10"/>
        <v>2.1106865436972894E-2</v>
      </c>
      <c r="I58" s="387" t="str">
        <f t="shared" si="11"/>
        <v/>
      </c>
      <c r="J58" s="387" t="str">
        <f t="shared" si="12"/>
        <v/>
      </c>
      <c r="K58" s="387" t="str">
        <f t="shared" si="13"/>
        <v/>
      </c>
      <c r="L58" s="411">
        <f t="shared" si="6"/>
        <v>1</v>
      </c>
      <c r="M58" s="388">
        <v>1</v>
      </c>
      <c r="N58" s="388"/>
      <c r="O58" s="388"/>
      <c r="P58" s="388"/>
      <c r="Q58" s="382"/>
      <c r="R58" s="385" t="str">
        <f t="shared" si="9"/>
        <v>T</v>
      </c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J58" s="392"/>
      <c r="AK58" s="393"/>
    </row>
    <row r="59" spans="1:37" hidden="1" outlineLevel="3">
      <c r="A59" s="382"/>
      <c r="B59" s="382" t="s">
        <v>15</v>
      </c>
      <c r="C59" s="382" t="s">
        <v>30</v>
      </c>
      <c r="D59" s="382" t="s">
        <v>26</v>
      </c>
      <c r="E59" s="382" t="s">
        <v>27</v>
      </c>
      <c r="F59" s="440" t="s">
        <v>46</v>
      </c>
      <c r="G59" s="411">
        <v>3.5178109061621493E-3</v>
      </c>
      <c r="H59" s="411">
        <f t="shared" si="10"/>
        <v>3.5178109061621493E-3</v>
      </c>
      <c r="I59" s="387" t="str">
        <f t="shared" si="11"/>
        <v/>
      </c>
      <c r="J59" s="387" t="str">
        <f t="shared" si="12"/>
        <v/>
      </c>
      <c r="K59" s="387" t="str">
        <f t="shared" si="13"/>
        <v/>
      </c>
      <c r="L59" s="411">
        <f t="shared" si="6"/>
        <v>1</v>
      </c>
      <c r="M59" s="388">
        <v>1</v>
      </c>
      <c r="N59" s="388"/>
      <c r="O59" s="388"/>
      <c r="P59" s="388"/>
      <c r="Q59" s="382"/>
      <c r="R59" s="385" t="str">
        <f t="shared" si="9"/>
        <v>T</v>
      </c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J59" s="392"/>
      <c r="AK59" s="393"/>
    </row>
    <row r="60" spans="1:37" hidden="1" outlineLevel="3">
      <c r="A60" s="382"/>
      <c r="B60" s="382" t="s">
        <v>15</v>
      </c>
      <c r="C60" s="382" t="s">
        <v>30</v>
      </c>
      <c r="D60" s="382" t="s">
        <v>26</v>
      </c>
      <c r="E60" s="382" t="s">
        <v>27</v>
      </c>
      <c r="F60" s="440" t="s">
        <v>48</v>
      </c>
      <c r="G60" s="411">
        <v>0.04</v>
      </c>
      <c r="H60" s="411" t="str">
        <f t="shared" si="10"/>
        <v/>
      </c>
      <c r="I60" s="387">
        <f t="shared" si="11"/>
        <v>0.04</v>
      </c>
      <c r="J60" s="387" t="str">
        <f t="shared" si="12"/>
        <v/>
      </c>
      <c r="K60" s="387" t="str">
        <f t="shared" si="13"/>
        <v/>
      </c>
      <c r="L60" s="411">
        <f t="shared" ref="L60:L91" si="14">SUM(M60:P60)</f>
        <v>1</v>
      </c>
      <c r="M60" s="388"/>
      <c r="N60" s="388">
        <v>1</v>
      </c>
      <c r="O60" s="388"/>
      <c r="P60" s="388"/>
      <c r="Q60" s="382"/>
      <c r="R60" s="385" t="str">
        <f t="shared" si="9"/>
        <v>T</v>
      </c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J60" s="392"/>
      <c r="AK60" s="393"/>
    </row>
    <row r="61" spans="1:37" hidden="1" outlineLevel="2" collapsed="1">
      <c r="A61" s="382"/>
      <c r="B61" s="382" t="s">
        <v>15</v>
      </c>
      <c r="C61" s="382" t="s">
        <v>30</v>
      </c>
      <c r="D61" s="382" t="s">
        <v>28</v>
      </c>
      <c r="E61" s="382"/>
      <c r="F61" s="440" t="s">
        <v>17</v>
      </c>
      <c r="G61" s="411">
        <f>SUM(G62:G70)</f>
        <v>0.28638111529981181</v>
      </c>
      <c r="H61" s="387">
        <f>SUM(H62:H70)</f>
        <v>0.19360007160811712</v>
      </c>
      <c r="I61" s="387">
        <f>SUM(I62:I70)</f>
        <v>9.2781043691694681E-2</v>
      </c>
      <c r="J61" s="387">
        <f>SUM(J62:J70)</f>
        <v>0</v>
      </c>
      <c r="K61" s="387">
        <f>SUM(K62:K70)</f>
        <v>0</v>
      </c>
      <c r="L61" s="411">
        <f t="shared" si="14"/>
        <v>9</v>
      </c>
      <c r="M61" s="388">
        <f>SUM(M62:M70)</f>
        <v>7</v>
      </c>
      <c r="N61" s="388">
        <f>SUM(N62:N70)</f>
        <v>2</v>
      </c>
      <c r="O61" s="388">
        <f>SUM(O62:O70)</f>
        <v>0</v>
      </c>
      <c r="P61" s="388">
        <f>SUM(P62:P70)</f>
        <v>0</v>
      </c>
      <c r="Q61" s="382"/>
      <c r="R61" s="385" t="str">
        <f t="shared" si="9"/>
        <v>T</v>
      </c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J61" s="392"/>
      <c r="AK61" s="393"/>
    </row>
    <row r="62" spans="1:37" hidden="1" outlineLevel="3">
      <c r="A62" s="382"/>
      <c r="B62" s="382" t="s">
        <v>15</v>
      </c>
      <c r="C62" s="382" t="s">
        <v>30</v>
      </c>
      <c r="D62" s="382" t="s">
        <v>28</v>
      </c>
      <c r="E62" s="382" t="s">
        <v>29</v>
      </c>
      <c r="F62" s="440" t="s">
        <v>60</v>
      </c>
      <c r="G62" s="411">
        <v>2.1499694035440806E-2</v>
      </c>
      <c r="H62" s="411">
        <f t="shared" ref="H62:H70" si="15">IF(M62=1,$G62,"")</f>
        <v>2.1499694035440806E-2</v>
      </c>
      <c r="I62" s="387" t="str">
        <f t="shared" ref="I62:I70" si="16">IF(N62=1,$G62,"")</f>
        <v/>
      </c>
      <c r="J62" s="387" t="str">
        <f t="shared" ref="J62:J70" si="17">IF(O62=1,$G62,"")</f>
        <v/>
      </c>
      <c r="K62" s="387" t="str">
        <f t="shared" ref="K62:K70" si="18">IF(P62=1,$G62,"")</f>
        <v/>
      </c>
      <c r="L62" s="411">
        <f t="shared" si="14"/>
        <v>1</v>
      </c>
      <c r="M62" s="388">
        <v>1</v>
      </c>
      <c r="N62" s="388"/>
      <c r="O62" s="388"/>
      <c r="P62" s="388"/>
      <c r="Q62" s="382"/>
      <c r="R62" s="385" t="str">
        <f t="shared" si="9"/>
        <v>T</v>
      </c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J62" s="392"/>
      <c r="AK62" s="393"/>
    </row>
    <row r="63" spans="1:37" hidden="1" outlineLevel="3">
      <c r="A63" s="382"/>
      <c r="B63" s="382" t="s">
        <v>15</v>
      </c>
      <c r="C63" s="382" t="s">
        <v>30</v>
      </c>
      <c r="D63" s="382" t="s">
        <v>28</v>
      </c>
      <c r="E63" s="382" t="s">
        <v>29</v>
      </c>
      <c r="F63" s="440" t="s">
        <v>61</v>
      </c>
      <c r="G63" s="411">
        <v>2.1499694035440806E-2</v>
      </c>
      <c r="H63" s="411">
        <f t="shared" si="15"/>
        <v>2.1499694035440806E-2</v>
      </c>
      <c r="I63" s="387" t="str">
        <f t="shared" si="16"/>
        <v/>
      </c>
      <c r="J63" s="387" t="str">
        <f t="shared" si="17"/>
        <v/>
      </c>
      <c r="K63" s="387" t="str">
        <f t="shared" si="18"/>
        <v/>
      </c>
      <c r="L63" s="411">
        <f t="shared" si="14"/>
        <v>1</v>
      </c>
      <c r="M63" s="388">
        <v>1</v>
      </c>
      <c r="N63" s="388"/>
      <c r="O63" s="388"/>
      <c r="P63" s="388"/>
      <c r="Q63" s="382"/>
      <c r="R63" s="385" t="str">
        <f t="shared" si="9"/>
        <v>T</v>
      </c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J63" s="392"/>
      <c r="AK63" s="393"/>
    </row>
    <row r="64" spans="1:37" hidden="1" outlineLevel="3">
      <c r="A64" s="382"/>
      <c r="B64" s="382" t="s">
        <v>15</v>
      </c>
      <c r="C64" s="382" t="s">
        <v>30</v>
      </c>
      <c r="D64" s="382" t="s">
        <v>28</v>
      </c>
      <c r="E64" s="382" t="s">
        <v>29</v>
      </c>
      <c r="F64" s="440" t="s">
        <v>62</v>
      </c>
      <c r="G64" s="411">
        <v>9.4245302543668119E-4</v>
      </c>
      <c r="H64" s="411">
        <f t="shared" si="15"/>
        <v>9.4245302543668119E-4</v>
      </c>
      <c r="I64" s="387" t="str">
        <f t="shared" si="16"/>
        <v/>
      </c>
      <c r="J64" s="387" t="str">
        <f t="shared" si="17"/>
        <v/>
      </c>
      <c r="K64" s="387" t="str">
        <f t="shared" si="18"/>
        <v/>
      </c>
      <c r="L64" s="411">
        <f t="shared" si="14"/>
        <v>1</v>
      </c>
      <c r="M64" s="388">
        <v>1</v>
      </c>
      <c r="N64" s="388"/>
      <c r="O64" s="388"/>
      <c r="P64" s="388"/>
      <c r="Q64" s="382"/>
      <c r="R64" s="385" t="str">
        <f t="shared" si="9"/>
        <v>T</v>
      </c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J64" s="392"/>
      <c r="AK64" s="393"/>
    </row>
    <row r="65" spans="1:37" hidden="1" outlineLevel="3">
      <c r="A65" s="382"/>
      <c r="B65" s="382" t="s">
        <v>15</v>
      </c>
      <c r="C65" s="382" t="s">
        <v>30</v>
      </c>
      <c r="D65" s="382" t="s">
        <v>28</v>
      </c>
      <c r="E65" s="382" t="s">
        <v>29</v>
      </c>
      <c r="F65" s="440" t="s">
        <v>63</v>
      </c>
      <c r="G65" s="411">
        <v>1.8849060508733624E-3</v>
      </c>
      <c r="H65" s="411">
        <f t="shared" si="15"/>
        <v>1.8849060508733624E-3</v>
      </c>
      <c r="I65" s="387" t="str">
        <f t="shared" si="16"/>
        <v/>
      </c>
      <c r="J65" s="387" t="str">
        <f t="shared" si="17"/>
        <v/>
      </c>
      <c r="K65" s="387" t="str">
        <f t="shared" si="18"/>
        <v/>
      </c>
      <c r="L65" s="411">
        <f t="shared" si="14"/>
        <v>1</v>
      </c>
      <c r="M65" s="388">
        <v>1</v>
      </c>
      <c r="N65" s="388"/>
      <c r="O65" s="388"/>
      <c r="P65" s="388"/>
      <c r="Q65" s="382"/>
      <c r="R65" s="385" t="str">
        <f t="shared" ref="R65:R93" si="19">IF(SUM(M65:P65)=L65,"T","F")</f>
        <v>T</v>
      </c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J65" s="392"/>
      <c r="AK65" s="393"/>
    </row>
    <row r="66" spans="1:37" hidden="1" outlineLevel="3">
      <c r="A66" s="382"/>
      <c r="B66" s="382" t="s">
        <v>15</v>
      </c>
      <c r="C66" s="382" t="s">
        <v>30</v>
      </c>
      <c r="D66" s="382" t="s">
        <v>28</v>
      </c>
      <c r="E66" s="382" t="s">
        <v>29</v>
      </c>
      <c r="F66" s="440" t="s">
        <v>37</v>
      </c>
      <c r="G66" s="411">
        <v>2.8273590763100436E-3</v>
      </c>
      <c r="H66" s="411" t="str">
        <f t="shared" si="15"/>
        <v/>
      </c>
      <c r="I66" s="387">
        <f t="shared" si="16"/>
        <v>2.8273590763100436E-3</v>
      </c>
      <c r="J66" s="387" t="str">
        <f t="shared" si="17"/>
        <v/>
      </c>
      <c r="K66" s="387" t="str">
        <f t="shared" si="18"/>
        <v/>
      </c>
      <c r="L66" s="411">
        <f t="shared" si="14"/>
        <v>1</v>
      </c>
      <c r="M66" s="409"/>
      <c r="N66" s="409">
        <v>1</v>
      </c>
      <c r="O66" s="409"/>
      <c r="P66" s="409"/>
      <c r="Q66" s="382"/>
      <c r="R66" s="385" t="str">
        <f t="shared" si="19"/>
        <v>T</v>
      </c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J66" s="392"/>
      <c r="AK66" s="393"/>
    </row>
    <row r="67" spans="1:37" hidden="1" outlineLevel="3">
      <c r="A67" s="382"/>
      <c r="B67" s="382" t="s">
        <v>15</v>
      </c>
      <c r="C67" s="382" t="s">
        <v>30</v>
      </c>
      <c r="D67" s="382" t="s">
        <v>28</v>
      </c>
      <c r="E67" s="382" t="s">
        <v>29</v>
      </c>
      <c r="F67" s="440" t="s">
        <v>38</v>
      </c>
      <c r="G67" s="411">
        <v>2.8273590763100436E-3</v>
      </c>
      <c r="H67" s="411">
        <f t="shared" si="15"/>
        <v>2.8273590763100436E-3</v>
      </c>
      <c r="I67" s="387" t="str">
        <f t="shared" si="16"/>
        <v/>
      </c>
      <c r="J67" s="387" t="str">
        <f t="shared" si="17"/>
        <v/>
      </c>
      <c r="K67" s="387" t="str">
        <f t="shared" si="18"/>
        <v/>
      </c>
      <c r="L67" s="411">
        <f t="shared" si="14"/>
        <v>1</v>
      </c>
      <c r="M67" s="388">
        <v>1</v>
      </c>
      <c r="N67" s="388"/>
      <c r="O67" s="388"/>
      <c r="P67" s="388"/>
      <c r="Q67" s="382"/>
      <c r="R67" s="385" t="str">
        <f t="shared" si="19"/>
        <v>T</v>
      </c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J67" s="392"/>
      <c r="AK67" s="393"/>
    </row>
    <row r="68" spans="1:37" hidden="1" outlineLevel="3">
      <c r="A68" s="382"/>
      <c r="B68" s="382" t="s">
        <v>15</v>
      </c>
      <c r="C68" s="382" t="s">
        <v>30</v>
      </c>
      <c r="D68" s="382" t="s">
        <v>28</v>
      </c>
      <c r="E68" s="382" t="s">
        <v>29</v>
      </c>
      <c r="F68" s="440" t="s">
        <v>35</v>
      </c>
      <c r="G68" s="411">
        <v>0.10494596538461541</v>
      </c>
      <c r="H68" s="411">
        <f t="shared" si="15"/>
        <v>0.10494596538461541</v>
      </c>
      <c r="I68" s="387" t="str">
        <f t="shared" si="16"/>
        <v/>
      </c>
      <c r="J68" s="387" t="str">
        <f t="shared" si="17"/>
        <v/>
      </c>
      <c r="K68" s="387" t="str">
        <f t="shared" si="18"/>
        <v/>
      </c>
      <c r="L68" s="411">
        <f t="shared" si="14"/>
        <v>1</v>
      </c>
      <c r="M68" s="388">
        <v>1</v>
      </c>
      <c r="N68" s="388"/>
      <c r="O68" s="388"/>
      <c r="P68" s="388"/>
      <c r="Q68" s="382"/>
      <c r="R68" s="385" t="str">
        <f t="shared" si="19"/>
        <v>T</v>
      </c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J68" s="392"/>
      <c r="AK68" s="393"/>
    </row>
    <row r="69" spans="1:37" hidden="1" outlineLevel="3">
      <c r="A69" s="382"/>
      <c r="B69" s="382" t="s">
        <v>15</v>
      </c>
      <c r="C69" s="382" t="s">
        <v>30</v>
      </c>
      <c r="D69" s="382" t="s">
        <v>28</v>
      </c>
      <c r="E69" s="382" t="s">
        <v>29</v>
      </c>
      <c r="F69" s="440" t="s">
        <v>36</v>
      </c>
      <c r="G69" s="411">
        <v>8.9953684615384638E-2</v>
      </c>
      <c r="H69" s="411" t="str">
        <f t="shared" si="15"/>
        <v/>
      </c>
      <c r="I69" s="387">
        <f t="shared" si="16"/>
        <v>8.9953684615384638E-2</v>
      </c>
      <c r="J69" s="387" t="str">
        <f t="shared" si="17"/>
        <v/>
      </c>
      <c r="K69" s="387" t="str">
        <f t="shared" si="18"/>
        <v/>
      </c>
      <c r="L69" s="411">
        <f t="shared" si="14"/>
        <v>1</v>
      </c>
      <c r="M69" s="409"/>
      <c r="N69" s="409">
        <v>1</v>
      </c>
      <c r="O69" s="409"/>
      <c r="P69" s="409"/>
      <c r="Q69" s="382"/>
      <c r="R69" s="385" t="str">
        <f t="shared" si="19"/>
        <v>T</v>
      </c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J69" s="392"/>
      <c r="AK69" s="393"/>
    </row>
    <row r="70" spans="1:37" hidden="1" outlineLevel="3">
      <c r="A70" s="382"/>
      <c r="B70" s="382" t="s">
        <v>15</v>
      </c>
      <c r="C70" s="382" t="s">
        <v>30</v>
      </c>
      <c r="D70" s="382" t="s">
        <v>28</v>
      </c>
      <c r="E70" s="382" t="s">
        <v>29</v>
      </c>
      <c r="F70" s="440" t="s">
        <v>47</v>
      </c>
      <c r="G70" s="411">
        <v>0.04</v>
      </c>
      <c r="H70" s="411">
        <f t="shared" si="15"/>
        <v>0.04</v>
      </c>
      <c r="I70" s="387" t="str">
        <f t="shared" si="16"/>
        <v/>
      </c>
      <c r="J70" s="387" t="str">
        <f t="shared" si="17"/>
        <v/>
      </c>
      <c r="K70" s="387" t="str">
        <f t="shared" si="18"/>
        <v/>
      </c>
      <c r="L70" s="411">
        <f t="shared" si="14"/>
        <v>1</v>
      </c>
      <c r="M70" s="388">
        <v>1</v>
      </c>
      <c r="N70" s="388"/>
      <c r="O70" s="388"/>
      <c r="P70" s="388"/>
      <c r="Q70" s="382"/>
      <c r="R70" s="385" t="str">
        <f t="shared" si="19"/>
        <v>T</v>
      </c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J70" s="392"/>
      <c r="AK70" s="393"/>
    </row>
    <row r="71" spans="1:37" hidden="1" outlineLevel="2" collapsed="1">
      <c r="A71" s="382"/>
      <c r="B71" s="382" t="s">
        <v>15</v>
      </c>
      <c r="C71" s="382" t="s">
        <v>30</v>
      </c>
      <c r="D71" s="382" t="s">
        <v>64</v>
      </c>
      <c r="E71" s="382"/>
      <c r="F71" s="440" t="s">
        <v>17</v>
      </c>
      <c r="G71" s="411">
        <f>SUM(G72:G77)</f>
        <v>0.21080222353628936</v>
      </c>
      <c r="H71" s="387">
        <f>SUM(H72:H77)</f>
        <v>0.17213168552408753</v>
      </c>
      <c r="I71" s="387">
        <f>SUM(I72:I77)</f>
        <v>3.867053801220182E-2</v>
      </c>
      <c r="J71" s="387">
        <f>SUM(J72:J77)</f>
        <v>0</v>
      </c>
      <c r="K71" s="387">
        <f>SUM(K72:K77)</f>
        <v>0</v>
      </c>
      <c r="L71" s="411">
        <f t="shared" si="14"/>
        <v>6</v>
      </c>
      <c r="M71" s="388">
        <f>SUM(M72:M77)</f>
        <v>5</v>
      </c>
      <c r="N71" s="388">
        <f>SUM(N72:N77)</f>
        <v>1</v>
      </c>
      <c r="O71" s="388">
        <f>SUM(O72:O77)</f>
        <v>0</v>
      </c>
      <c r="P71" s="388">
        <f>SUM(P72:P77)</f>
        <v>0</v>
      </c>
      <c r="Q71" s="382"/>
      <c r="R71" s="385" t="str">
        <f t="shared" si="19"/>
        <v>T</v>
      </c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J71" s="392"/>
      <c r="AK71" s="393"/>
    </row>
    <row r="72" spans="1:37" hidden="1" outlineLevel="3">
      <c r="A72" s="382"/>
      <c r="B72" s="382" t="s">
        <v>15</v>
      </c>
      <c r="C72" s="382" t="s">
        <v>30</v>
      </c>
      <c r="D72" s="382" t="s">
        <v>64</v>
      </c>
      <c r="E72" s="382" t="s">
        <v>29</v>
      </c>
      <c r="F72" s="440" t="s">
        <v>32</v>
      </c>
      <c r="G72" s="411">
        <v>4.7863519954722676E-2</v>
      </c>
      <c r="H72" s="411">
        <f t="shared" ref="H72:K77" si="20">IF(M72=1,$G72,"")</f>
        <v>4.7863519954722676E-2</v>
      </c>
      <c r="I72" s="387" t="str">
        <f t="shared" si="20"/>
        <v/>
      </c>
      <c r="J72" s="387" t="str">
        <f t="shared" si="20"/>
        <v/>
      </c>
      <c r="K72" s="387" t="str">
        <f t="shared" si="20"/>
        <v/>
      </c>
      <c r="L72" s="411">
        <f t="shared" si="14"/>
        <v>1</v>
      </c>
      <c r="M72" s="388">
        <v>1</v>
      </c>
      <c r="N72" s="388"/>
      <c r="O72" s="388"/>
      <c r="P72" s="388"/>
      <c r="Q72" s="382"/>
      <c r="R72" s="385" t="str">
        <f t="shared" si="19"/>
        <v>T</v>
      </c>
      <c r="S72" s="389" t="s">
        <v>65</v>
      </c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J72" s="392"/>
      <c r="AK72" s="393"/>
    </row>
    <row r="73" spans="1:37" hidden="1" outlineLevel="3">
      <c r="A73" s="382"/>
      <c r="B73" s="382" t="s">
        <v>15</v>
      </c>
      <c r="C73" s="382" t="s">
        <v>30</v>
      </c>
      <c r="D73" s="382" t="s">
        <v>64</v>
      </c>
      <c r="E73" s="382" t="s">
        <v>29</v>
      </c>
      <c r="F73" s="440" t="s">
        <v>66</v>
      </c>
      <c r="G73" s="411">
        <v>4.7863519954722676E-2</v>
      </c>
      <c r="H73" s="411">
        <f t="shared" si="20"/>
        <v>4.7863519954722676E-2</v>
      </c>
      <c r="I73" s="387" t="str">
        <f t="shared" si="20"/>
        <v/>
      </c>
      <c r="J73" s="387" t="str">
        <f t="shared" si="20"/>
        <v/>
      </c>
      <c r="K73" s="387" t="str">
        <f t="shared" si="20"/>
        <v/>
      </c>
      <c r="L73" s="411">
        <f t="shared" si="14"/>
        <v>1</v>
      </c>
      <c r="M73" s="388">
        <v>1</v>
      </c>
      <c r="N73" s="388"/>
      <c r="O73" s="388"/>
      <c r="P73" s="388"/>
      <c r="Q73" s="382"/>
      <c r="R73" s="385" t="str">
        <f t="shared" si="19"/>
        <v>T</v>
      </c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J73" s="392"/>
      <c r="AK73" s="393"/>
    </row>
    <row r="74" spans="1:37" hidden="1" outlineLevel="3">
      <c r="A74" s="382"/>
      <c r="B74" s="382" t="s">
        <v>15</v>
      </c>
      <c r="C74" s="382" t="s">
        <v>30</v>
      </c>
      <c r="D74" s="382" t="s">
        <v>64</v>
      </c>
      <c r="E74" s="382" t="s">
        <v>29</v>
      </c>
      <c r="F74" s="440" t="s">
        <v>67</v>
      </c>
      <c r="G74" s="411">
        <v>4.6404645614642186E-2</v>
      </c>
      <c r="H74" s="411">
        <f t="shared" si="20"/>
        <v>4.6404645614642186E-2</v>
      </c>
      <c r="I74" s="387" t="str">
        <f t="shared" si="20"/>
        <v/>
      </c>
      <c r="J74" s="387" t="str">
        <f t="shared" si="20"/>
        <v/>
      </c>
      <c r="K74" s="387" t="str">
        <f t="shared" si="20"/>
        <v/>
      </c>
      <c r="L74" s="411">
        <f t="shared" si="14"/>
        <v>1</v>
      </c>
      <c r="M74" s="388">
        <v>1</v>
      </c>
      <c r="N74" s="388"/>
      <c r="O74" s="388"/>
      <c r="P74" s="388"/>
      <c r="Q74" s="382"/>
      <c r="R74" s="385" t="str">
        <f t="shared" si="19"/>
        <v>T</v>
      </c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J74" s="392"/>
      <c r="AK74" s="393"/>
    </row>
    <row r="75" spans="1:37" hidden="1" outlineLevel="3">
      <c r="A75" s="382"/>
      <c r="B75" s="382" t="s">
        <v>15</v>
      </c>
      <c r="C75" s="382" t="s">
        <v>30</v>
      </c>
      <c r="D75" s="382" t="s">
        <v>64</v>
      </c>
      <c r="E75" s="382" t="s">
        <v>29</v>
      </c>
      <c r="F75" s="440" t="s">
        <v>68</v>
      </c>
      <c r="G75" s="411">
        <v>3.867053801220182E-2</v>
      </c>
      <c r="H75" s="411" t="str">
        <f t="shared" si="20"/>
        <v/>
      </c>
      <c r="I75" s="387">
        <f t="shared" si="20"/>
        <v>3.867053801220182E-2</v>
      </c>
      <c r="J75" s="387" t="str">
        <f t="shared" si="20"/>
        <v/>
      </c>
      <c r="K75" s="387" t="str">
        <f t="shared" si="20"/>
        <v/>
      </c>
      <c r="L75" s="411">
        <f t="shared" si="14"/>
        <v>1</v>
      </c>
      <c r="M75" s="409"/>
      <c r="N75" s="409">
        <v>1</v>
      </c>
      <c r="O75" s="409"/>
      <c r="P75" s="409"/>
      <c r="Q75" s="382"/>
      <c r="R75" s="385" t="str">
        <f t="shared" si="19"/>
        <v>T</v>
      </c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J75" s="392"/>
      <c r="AK75" s="393"/>
    </row>
    <row r="76" spans="1:37" hidden="1" outlineLevel="3">
      <c r="A76" s="382"/>
      <c r="B76" s="382" t="s">
        <v>15</v>
      </c>
      <c r="C76" s="382" t="s">
        <v>30</v>
      </c>
      <c r="D76" s="382" t="s">
        <v>64</v>
      </c>
      <c r="E76" s="382" t="s">
        <v>29</v>
      </c>
      <c r="F76" s="440" t="s">
        <v>69</v>
      </c>
      <c r="G76" s="411">
        <v>0.02</v>
      </c>
      <c r="H76" s="411">
        <f t="shared" si="20"/>
        <v>0.02</v>
      </c>
      <c r="I76" s="387" t="str">
        <f t="shared" si="20"/>
        <v/>
      </c>
      <c r="J76" s="387" t="str">
        <f t="shared" si="20"/>
        <v/>
      </c>
      <c r="K76" s="387" t="str">
        <f t="shared" si="20"/>
        <v/>
      </c>
      <c r="L76" s="411">
        <f t="shared" si="14"/>
        <v>1</v>
      </c>
      <c r="M76" s="388">
        <v>1</v>
      </c>
      <c r="N76" s="388"/>
      <c r="O76" s="388"/>
      <c r="P76" s="388"/>
      <c r="Q76" s="382"/>
      <c r="R76" s="385" t="str">
        <f t="shared" si="19"/>
        <v>T</v>
      </c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J76" s="392"/>
      <c r="AK76" s="393"/>
    </row>
    <row r="77" spans="1:37" hidden="1" outlineLevel="3">
      <c r="A77" s="382"/>
      <c r="B77" s="382" t="s">
        <v>15</v>
      </c>
      <c r="C77" s="382" t="s">
        <v>30</v>
      </c>
      <c r="D77" s="382" t="s">
        <v>64</v>
      </c>
      <c r="E77" s="382" t="s">
        <v>29</v>
      </c>
      <c r="F77" s="440" t="s">
        <v>49</v>
      </c>
      <c r="G77" s="411">
        <v>0.01</v>
      </c>
      <c r="H77" s="411">
        <f t="shared" si="20"/>
        <v>0.01</v>
      </c>
      <c r="I77" s="387" t="str">
        <f t="shared" si="20"/>
        <v/>
      </c>
      <c r="J77" s="387" t="str">
        <f t="shared" si="20"/>
        <v/>
      </c>
      <c r="K77" s="387" t="str">
        <f t="shared" si="20"/>
        <v/>
      </c>
      <c r="L77" s="411">
        <f t="shared" si="14"/>
        <v>1</v>
      </c>
      <c r="M77" s="388">
        <v>1</v>
      </c>
      <c r="N77" s="388"/>
      <c r="O77" s="388"/>
      <c r="P77" s="388"/>
      <c r="Q77" s="382"/>
      <c r="R77" s="385" t="str">
        <f t="shared" si="19"/>
        <v>T</v>
      </c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J77" s="392"/>
      <c r="AK77" s="393"/>
    </row>
    <row r="78" spans="1:37" s="433" customFormat="1" outlineLevel="1" collapsed="1">
      <c r="A78" s="421"/>
      <c r="B78" s="396" t="s">
        <v>70</v>
      </c>
      <c r="C78" s="421" t="s">
        <v>71</v>
      </c>
      <c r="D78" s="396"/>
      <c r="E78" s="396"/>
      <c r="F78" s="445" t="s">
        <v>17</v>
      </c>
      <c r="G78" s="428">
        <f>SUM(G79,G83,G90)</f>
        <v>1.3329594248000749</v>
      </c>
      <c r="H78" s="428">
        <f>SUM(H79,H83,H90)</f>
        <v>0.94561875883591229</v>
      </c>
      <c r="I78" s="428">
        <f>SUM(I79,I83,I90)</f>
        <v>0.25822711064277509</v>
      </c>
      <c r="J78" s="428">
        <f>SUM(J79,J83,J90)</f>
        <v>0.12911355532138755</v>
      </c>
      <c r="K78" s="428">
        <f>SUM(K79,K83,K90)</f>
        <v>0</v>
      </c>
      <c r="L78" s="428">
        <f t="shared" si="14"/>
        <v>11</v>
      </c>
      <c r="M78" s="429">
        <f>SUM(M79,M83,M90)</f>
        <v>9</v>
      </c>
      <c r="N78" s="429">
        <f>SUM(N79,N83,N90)</f>
        <v>1</v>
      </c>
      <c r="O78" s="429">
        <f>SUM(O79,O83,O90)</f>
        <v>1</v>
      </c>
      <c r="P78" s="429">
        <f>SUM(P79,P83,P90)</f>
        <v>0</v>
      </c>
      <c r="Q78" s="421"/>
      <c r="R78" s="458" t="str">
        <f t="shared" si="19"/>
        <v>T</v>
      </c>
      <c r="S78" s="431"/>
      <c r="T78" s="431"/>
      <c r="U78" s="431"/>
      <c r="V78" s="432"/>
      <c r="W78" s="432"/>
      <c r="X78" s="432"/>
      <c r="Y78" s="432"/>
      <c r="Z78" s="432"/>
      <c r="AA78" s="432"/>
      <c r="AB78" s="432"/>
      <c r="AC78" s="431"/>
      <c r="AD78" s="432"/>
      <c r="AE78" s="432"/>
      <c r="AF78" s="432"/>
      <c r="AJ78" s="459"/>
      <c r="AK78" s="460"/>
    </row>
    <row r="79" spans="1:37" hidden="1" outlineLevel="2" collapsed="1">
      <c r="A79" s="382"/>
      <c r="B79" s="382" t="s">
        <v>70</v>
      </c>
      <c r="C79" s="382" t="s">
        <v>71</v>
      </c>
      <c r="D79" s="382" t="s">
        <v>18</v>
      </c>
      <c r="E79" s="386"/>
      <c r="F79" s="444" t="s">
        <v>17</v>
      </c>
      <c r="G79" s="387">
        <f>SUM(G80:G82)</f>
        <v>0.3642147722995997</v>
      </c>
      <c r="H79" s="387">
        <f>SUM(H80:H82)</f>
        <v>0.3642147722995997</v>
      </c>
      <c r="I79" s="387">
        <f>SUM(I80:I82)</f>
        <v>0</v>
      </c>
      <c r="J79" s="387">
        <f>SUM(J80:J82)</f>
        <v>0</v>
      </c>
      <c r="K79" s="387">
        <f>SUM(K80:K82)</f>
        <v>0</v>
      </c>
      <c r="L79" s="387">
        <f t="shared" si="14"/>
        <v>3</v>
      </c>
      <c r="M79" s="388">
        <f>SUM(M80:M82)</f>
        <v>3</v>
      </c>
      <c r="N79" s="388">
        <f>SUM(N80:N82)</f>
        <v>0</v>
      </c>
      <c r="O79" s="388">
        <f>SUM(O80:O82)</f>
        <v>0</v>
      </c>
      <c r="P79" s="388">
        <f>SUM(P80:P82)</f>
        <v>0</v>
      </c>
      <c r="Q79" s="382"/>
      <c r="R79" s="385" t="str">
        <f t="shared" si="19"/>
        <v>T</v>
      </c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</row>
    <row r="80" spans="1:37" hidden="1" outlineLevel="3">
      <c r="A80" s="382"/>
      <c r="B80" s="382" t="s">
        <v>70</v>
      </c>
      <c r="C80" s="382" t="s">
        <v>71</v>
      </c>
      <c r="D80" s="382" t="s">
        <v>18</v>
      </c>
      <c r="E80" s="386" t="s">
        <v>72</v>
      </c>
      <c r="F80" s="440" t="s">
        <v>73</v>
      </c>
      <c r="G80" s="387">
        <v>0.13658053961234987</v>
      </c>
      <c r="H80" s="411">
        <f t="shared" ref="H80:K82" si="21">IF(M80=1,$G80,"")</f>
        <v>0.13658053961234987</v>
      </c>
      <c r="I80" s="387" t="str">
        <f t="shared" si="21"/>
        <v/>
      </c>
      <c r="J80" s="387" t="str">
        <f t="shared" si="21"/>
        <v/>
      </c>
      <c r="K80" s="387" t="str">
        <f t="shared" si="21"/>
        <v/>
      </c>
      <c r="L80" s="387">
        <f t="shared" si="14"/>
        <v>1</v>
      </c>
      <c r="M80" s="388">
        <v>1</v>
      </c>
      <c r="N80" s="388"/>
      <c r="O80" s="388"/>
      <c r="P80" s="388"/>
      <c r="Q80" s="382"/>
      <c r="R80" s="385" t="str">
        <f t="shared" si="19"/>
        <v>T</v>
      </c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</row>
    <row r="81" spans="1:37" hidden="1" outlineLevel="3">
      <c r="A81" s="382"/>
      <c r="B81" s="382" t="s">
        <v>70</v>
      </c>
      <c r="C81" s="382" t="s">
        <v>71</v>
      </c>
      <c r="D81" s="382" t="s">
        <v>18</v>
      </c>
      <c r="E81" s="386" t="s">
        <v>72</v>
      </c>
      <c r="F81" s="444" t="s">
        <v>24</v>
      </c>
      <c r="G81" s="387">
        <v>0.18210738614979985</v>
      </c>
      <c r="H81" s="411">
        <f t="shared" si="21"/>
        <v>0.18210738614979985</v>
      </c>
      <c r="I81" s="387" t="str">
        <f t="shared" si="21"/>
        <v/>
      </c>
      <c r="J81" s="387" t="str">
        <f t="shared" si="21"/>
        <v/>
      </c>
      <c r="K81" s="387" t="str">
        <f t="shared" si="21"/>
        <v/>
      </c>
      <c r="L81" s="387">
        <f t="shared" si="14"/>
        <v>1</v>
      </c>
      <c r="M81" s="388">
        <v>1</v>
      </c>
      <c r="N81" s="388"/>
      <c r="O81" s="388"/>
      <c r="P81" s="388"/>
      <c r="Q81" s="382"/>
      <c r="R81" s="385" t="str">
        <f t="shared" si="19"/>
        <v>T</v>
      </c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</row>
    <row r="82" spans="1:37" hidden="1" outlineLevel="3">
      <c r="A82" s="382"/>
      <c r="B82" s="382" t="s">
        <v>70</v>
      </c>
      <c r="C82" s="382" t="s">
        <v>71</v>
      </c>
      <c r="D82" s="382" t="s">
        <v>18</v>
      </c>
      <c r="E82" s="386" t="s">
        <v>72</v>
      </c>
      <c r="F82" s="444" t="s">
        <v>74</v>
      </c>
      <c r="G82" s="387">
        <v>4.5526846537449962E-2</v>
      </c>
      <c r="H82" s="411">
        <f t="shared" si="21"/>
        <v>4.5526846537449962E-2</v>
      </c>
      <c r="I82" s="387" t="str">
        <f t="shared" si="21"/>
        <v/>
      </c>
      <c r="J82" s="387" t="str">
        <f t="shared" si="21"/>
        <v/>
      </c>
      <c r="K82" s="387" t="str">
        <f t="shared" si="21"/>
        <v/>
      </c>
      <c r="L82" s="387">
        <f t="shared" si="14"/>
        <v>1</v>
      </c>
      <c r="M82" s="388">
        <v>1</v>
      </c>
      <c r="N82" s="388"/>
      <c r="O82" s="388"/>
      <c r="P82" s="388"/>
      <c r="Q82" s="382"/>
      <c r="R82" s="385" t="str">
        <f t="shared" si="19"/>
        <v>T</v>
      </c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</row>
    <row r="83" spans="1:37" hidden="1" outlineLevel="2" collapsed="1">
      <c r="A83" s="382"/>
      <c r="B83" s="382" t="s">
        <v>70</v>
      </c>
      <c r="C83" s="382" t="s">
        <v>71</v>
      </c>
      <c r="D83" s="382" t="s">
        <v>26</v>
      </c>
      <c r="E83" s="382"/>
      <c r="F83" s="440" t="s">
        <v>17</v>
      </c>
      <c r="G83" s="411">
        <f>SUM(G84:G89)</f>
        <v>0.8012391689004752</v>
      </c>
      <c r="H83" s="387">
        <f>SUM(H84:H89)</f>
        <v>0.41389850293631264</v>
      </c>
      <c r="I83" s="387">
        <f>SUM(I84:I89)</f>
        <v>0.25822711064277509</v>
      </c>
      <c r="J83" s="387">
        <f>SUM(J84:J89)</f>
        <v>0.12911355532138755</v>
      </c>
      <c r="K83" s="387">
        <f>SUM(K84:K89)</f>
        <v>0</v>
      </c>
      <c r="L83" s="411">
        <f t="shared" si="14"/>
        <v>6</v>
      </c>
      <c r="M83" s="388">
        <f>SUM(M84:M89)</f>
        <v>4</v>
      </c>
      <c r="N83" s="388">
        <f>SUM(N84:N89)</f>
        <v>1</v>
      </c>
      <c r="O83" s="388">
        <f>SUM(O84:O89)</f>
        <v>1</v>
      </c>
      <c r="P83" s="388">
        <f>SUM(P84:P89)</f>
        <v>0</v>
      </c>
      <c r="Q83" s="382"/>
      <c r="R83" s="385" t="str">
        <f t="shared" si="19"/>
        <v>T</v>
      </c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</row>
    <row r="84" spans="1:37" hidden="1" outlineLevel="3">
      <c r="A84" s="382"/>
      <c r="B84" s="382" t="s">
        <v>70</v>
      </c>
      <c r="C84" s="382" t="s">
        <v>71</v>
      </c>
      <c r="D84" s="382" t="s">
        <v>26</v>
      </c>
      <c r="E84" s="382" t="s">
        <v>27</v>
      </c>
      <c r="F84" s="440" t="s">
        <v>75</v>
      </c>
      <c r="G84" s="411">
        <v>0.12911355532138755</v>
      </c>
      <c r="H84" s="411">
        <f t="shared" ref="H84:K89" si="22">IF(M84=1,$G84,"")</f>
        <v>0.12911355532138755</v>
      </c>
      <c r="I84" s="387" t="str">
        <f t="shared" si="22"/>
        <v/>
      </c>
      <c r="J84" s="387" t="str">
        <f t="shared" si="22"/>
        <v/>
      </c>
      <c r="K84" s="387" t="str">
        <f t="shared" si="22"/>
        <v/>
      </c>
      <c r="L84" s="411">
        <f t="shared" si="14"/>
        <v>1</v>
      </c>
      <c r="M84" s="388">
        <v>1</v>
      </c>
      <c r="N84" s="388"/>
      <c r="O84" s="388"/>
      <c r="P84" s="388"/>
      <c r="Q84" s="382"/>
      <c r="R84" s="385" t="str">
        <f t="shared" si="19"/>
        <v>T</v>
      </c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</row>
    <row r="85" spans="1:37" hidden="1" outlineLevel="3">
      <c r="A85" s="382"/>
      <c r="B85" s="382" t="s">
        <v>70</v>
      </c>
      <c r="C85" s="382" t="s">
        <v>71</v>
      </c>
      <c r="D85" s="382" t="s">
        <v>26</v>
      </c>
      <c r="E85" s="382" t="s">
        <v>27</v>
      </c>
      <c r="F85" s="440" t="s">
        <v>76</v>
      </c>
      <c r="G85" s="411">
        <v>0.25822711064277509</v>
      </c>
      <c r="H85" s="411">
        <f t="shared" si="22"/>
        <v>0.25822711064277509</v>
      </c>
      <c r="I85" s="387" t="str">
        <f t="shared" si="22"/>
        <v/>
      </c>
      <c r="J85" s="387" t="str">
        <f t="shared" si="22"/>
        <v/>
      </c>
      <c r="K85" s="387" t="str">
        <f t="shared" si="22"/>
        <v/>
      </c>
      <c r="L85" s="411">
        <f t="shared" si="14"/>
        <v>1</v>
      </c>
      <c r="M85" s="388">
        <v>1</v>
      </c>
      <c r="N85" s="388"/>
      <c r="O85" s="388"/>
      <c r="P85" s="388"/>
      <c r="Q85" s="382"/>
      <c r="R85" s="385" t="str">
        <f t="shared" si="19"/>
        <v>T</v>
      </c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</row>
    <row r="86" spans="1:37" hidden="1" outlineLevel="3">
      <c r="A86" s="382"/>
      <c r="B86" s="382" t="s">
        <v>70</v>
      </c>
      <c r="C86" s="382" t="s">
        <v>71</v>
      </c>
      <c r="D86" s="382" t="s">
        <v>26</v>
      </c>
      <c r="E86" s="382" t="s">
        <v>27</v>
      </c>
      <c r="F86" s="440" t="s">
        <v>77</v>
      </c>
      <c r="G86" s="411">
        <v>0.25822711064277509</v>
      </c>
      <c r="H86" s="411" t="str">
        <f t="shared" si="22"/>
        <v/>
      </c>
      <c r="I86" s="387">
        <f t="shared" si="22"/>
        <v>0.25822711064277509</v>
      </c>
      <c r="J86" s="387" t="str">
        <f t="shared" si="22"/>
        <v/>
      </c>
      <c r="K86" s="387" t="str">
        <f t="shared" si="22"/>
        <v/>
      </c>
      <c r="L86" s="411">
        <f t="shared" si="14"/>
        <v>1</v>
      </c>
      <c r="M86" s="388"/>
      <c r="N86" s="388">
        <v>1</v>
      </c>
      <c r="O86" s="388"/>
      <c r="P86" s="388"/>
      <c r="Q86" s="382"/>
      <c r="R86" s="385" t="str">
        <f t="shared" si="19"/>
        <v>T</v>
      </c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</row>
    <row r="87" spans="1:37" hidden="1" outlineLevel="3">
      <c r="A87" s="382"/>
      <c r="B87" s="382" t="s">
        <v>70</v>
      </c>
      <c r="C87" s="382" t="s">
        <v>71</v>
      </c>
      <c r="D87" s="382" t="s">
        <v>26</v>
      </c>
      <c r="E87" s="382" t="s">
        <v>27</v>
      </c>
      <c r="F87" s="440" t="s">
        <v>78</v>
      </c>
      <c r="G87" s="411">
        <v>0.12911355532138755</v>
      </c>
      <c r="H87" s="411" t="str">
        <f t="shared" si="22"/>
        <v/>
      </c>
      <c r="I87" s="387" t="str">
        <f t="shared" si="22"/>
        <v/>
      </c>
      <c r="J87" s="387">
        <f t="shared" si="22"/>
        <v>0.12911355532138755</v>
      </c>
      <c r="K87" s="387" t="str">
        <f t="shared" si="22"/>
        <v/>
      </c>
      <c r="L87" s="411">
        <f t="shared" si="14"/>
        <v>1</v>
      </c>
      <c r="M87" s="388"/>
      <c r="N87" s="388"/>
      <c r="O87" s="388">
        <v>1</v>
      </c>
      <c r="P87" s="388"/>
      <c r="Q87" s="382"/>
      <c r="R87" s="385" t="str">
        <f t="shared" si="19"/>
        <v>T</v>
      </c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</row>
    <row r="88" spans="1:37" hidden="1" outlineLevel="3">
      <c r="A88" s="382"/>
      <c r="B88" s="382" t="s">
        <v>70</v>
      </c>
      <c r="C88" s="382" t="s">
        <v>71</v>
      </c>
      <c r="D88" s="382" t="s">
        <v>26</v>
      </c>
      <c r="E88" s="382" t="s">
        <v>27</v>
      </c>
      <c r="F88" s="440" t="s">
        <v>73</v>
      </c>
      <c r="G88" s="411">
        <v>1.4486092893899998E-2</v>
      </c>
      <c r="H88" s="411">
        <f t="shared" si="22"/>
        <v>1.4486092893899998E-2</v>
      </c>
      <c r="I88" s="387" t="str">
        <f t="shared" si="22"/>
        <v/>
      </c>
      <c r="J88" s="387" t="str">
        <f t="shared" si="22"/>
        <v/>
      </c>
      <c r="K88" s="387" t="str">
        <f t="shared" si="22"/>
        <v/>
      </c>
      <c r="L88" s="411">
        <f t="shared" si="14"/>
        <v>1</v>
      </c>
      <c r="M88" s="388">
        <v>1</v>
      </c>
      <c r="N88" s="388"/>
      <c r="O88" s="388"/>
      <c r="P88" s="388"/>
      <c r="Q88" s="382"/>
      <c r="R88" s="385" t="str">
        <f t="shared" si="19"/>
        <v>T</v>
      </c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</row>
    <row r="89" spans="1:37" hidden="1" outlineLevel="3">
      <c r="A89" s="382"/>
      <c r="B89" s="382" t="s">
        <v>70</v>
      </c>
      <c r="C89" s="382" t="s">
        <v>71</v>
      </c>
      <c r="D89" s="382" t="s">
        <v>26</v>
      </c>
      <c r="E89" s="382" t="s">
        <v>27</v>
      </c>
      <c r="F89" s="440" t="s">
        <v>24</v>
      </c>
      <c r="G89" s="411">
        <v>1.2071744078249999E-2</v>
      </c>
      <c r="H89" s="411">
        <f t="shared" si="22"/>
        <v>1.2071744078249999E-2</v>
      </c>
      <c r="I89" s="387" t="str">
        <f t="shared" si="22"/>
        <v/>
      </c>
      <c r="J89" s="387" t="str">
        <f t="shared" si="22"/>
        <v/>
      </c>
      <c r="K89" s="387" t="str">
        <f t="shared" si="22"/>
        <v/>
      </c>
      <c r="L89" s="411">
        <f t="shared" si="14"/>
        <v>1</v>
      </c>
      <c r="M89" s="388">
        <v>1</v>
      </c>
      <c r="N89" s="388"/>
      <c r="O89" s="388"/>
      <c r="P89" s="388"/>
      <c r="Q89" s="382"/>
      <c r="R89" s="385" t="str">
        <f t="shared" si="19"/>
        <v>T</v>
      </c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</row>
    <row r="90" spans="1:37" hidden="1" outlineLevel="2" collapsed="1">
      <c r="A90" s="382"/>
      <c r="B90" s="382" t="s">
        <v>70</v>
      </c>
      <c r="C90" s="382" t="s">
        <v>71</v>
      </c>
      <c r="D90" s="382" t="s">
        <v>28</v>
      </c>
      <c r="E90" s="382"/>
      <c r="F90" s="444" t="s">
        <v>17</v>
      </c>
      <c r="G90" s="411">
        <f>SUM(G91:G92)</f>
        <v>0.16750548359999998</v>
      </c>
      <c r="H90" s="387">
        <f>SUM(H91:H92)</f>
        <v>0.16750548359999998</v>
      </c>
      <c r="I90" s="387">
        <f>SUM(I91:I92)</f>
        <v>0</v>
      </c>
      <c r="J90" s="387">
        <f>SUM(J91:J92)</f>
        <v>0</v>
      </c>
      <c r="K90" s="387">
        <f>SUM(K91:K92)</f>
        <v>0</v>
      </c>
      <c r="L90" s="411">
        <f t="shared" si="14"/>
        <v>2</v>
      </c>
      <c r="M90" s="388">
        <f>SUM(M91:M92)</f>
        <v>2</v>
      </c>
      <c r="N90" s="388">
        <f>SUM(N91:N92)</f>
        <v>0</v>
      </c>
      <c r="O90" s="388">
        <f>SUM(O91:O92)</f>
        <v>0</v>
      </c>
      <c r="P90" s="388">
        <f>SUM(P91:P92)</f>
        <v>0</v>
      </c>
      <c r="Q90" s="382"/>
      <c r="R90" s="385" t="str">
        <f t="shared" si="19"/>
        <v>T</v>
      </c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</row>
    <row r="91" spans="1:37" hidden="1" outlineLevel="3">
      <c r="A91" s="382"/>
      <c r="B91" s="382" t="s">
        <v>70</v>
      </c>
      <c r="C91" s="382" t="s">
        <v>71</v>
      </c>
      <c r="D91" s="382" t="s">
        <v>28</v>
      </c>
      <c r="E91" s="382" t="s">
        <v>29</v>
      </c>
      <c r="F91" s="444" t="s">
        <v>47</v>
      </c>
      <c r="G91" s="411">
        <v>3.8655111599999993E-2</v>
      </c>
      <c r="H91" s="411">
        <f t="shared" ref="H91:K92" si="23">IF(M91=1,$G91,"")</f>
        <v>3.8655111599999993E-2</v>
      </c>
      <c r="I91" s="387" t="str">
        <f t="shared" si="23"/>
        <v/>
      </c>
      <c r="J91" s="387" t="str">
        <f t="shared" si="23"/>
        <v/>
      </c>
      <c r="K91" s="387" t="str">
        <f t="shared" si="23"/>
        <v/>
      </c>
      <c r="L91" s="411">
        <f t="shared" si="14"/>
        <v>1</v>
      </c>
      <c r="M91" s="388">
        <v>1</v>
      </c>
      <c r="N91" s="388"/>
      <c r="O91" s="388"/>
      <c r="P91" s="388"/>
      <c r="Q91" s="382"/>
      <c r="R91" s="385" t="str">
        <f t="shared" si="19"/>
        <v>T</v>
      </c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</row>
    <row r="92" spans="1:37" hidden="1" outlineLevel="3">
      <c r="A92" s="382"/>
      <c r="B92" s="382" t="s">
        <v>70</v>
      </c>
      <c r="C92" s="382" t="s">
        <v>71</v>
      </c>
      <c r="D92" s="382" t="s">
        <v>28</v>
      </c>
      <c r="E92" s="382" t="s">
        <v>29</v>
      </c>
      <c r="F92" s="444" t="s">
        <v>24</v>
      </c>
      <c r="G92" s="411">
        <v>0.12885037199999999</v>
      </c>
      <c r="H92" s="411">
        <f t="shared" si="23"/>
        <v>0.12885037199999999</v>
      </c>
      <c r="I92" s="387" t="str">
        <f t="shared" si="23"/>
        <v/>
      </c>
      <c r="J92" s="387" t="str">
        <f t="shared" si="23"/>
        <v/>
      </c>
      <c r="K92" s="387" t="str">
        <f t="shared" si="23"/>
        <v/>
      </c>
      <c r="L92" s="411">
        <f t="shared" ref="L92:L93" si="24">SUM(M92:P92)</f>
        <v>1</v>
      </c>
      <c r="M92" s="388">
        <v>1</v>
      </c>
      <c r="N92" s="388"/>
      <c r="O92" s="388"/>
      <c r="P92" s="388"/>
      <c r="Q92" s="382"/>
      <c r="R92" s="385" t="str">
        <f t="shared" si="19"/>
        <v>T</v>
      </c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</row>
    <row r="93" spans="1:37" s="433" customFormat="1" outlineLevel="1" collapsed="1">
      <c r="A93" s="421"/>
      <c r="B93" s="396" t="s">
        <v>79</v>
      </c>
      <c r="C93" s="421" t="s">
        <v>80</v>
      </c>
      <c r="D93" s="396"/>
      <c r="E93" s="396"/>
      <c r="F93" s="445" t="s">
        <v>81</v>
      </c>
      <c r="G93" s="550" t="s">
        <v>82</v>
      </c>
      <c r="H93" s="428">
        <f>SUM(H94)</f>
        <v>0</v>
      </c>
      <c r="I93" s="428">
        <f>SUM(I94)</f>
        <v>0</v>
      </c>
      <c r="J93" s="428">
        <f>SUM(J94)</f>
        <v>0</v>
      </c>
      <c r="K93" s="428">
        <f>SUM(K94)</f>
        <v>0</v>
      </c>
      <c r="L93" s="550">
        <f t="shared" si="24"/>
        <v>0</v>
      </c>
      <c r="M93" s="429">
        <f>SUM(M94)</f>
        <v>0</v>
      </c>
      <c r="N93" s="429">
        <f>SUM(N94)</f>
        <v>0</v>
      </c>
      <c r="O93" s="429">
        <f>SUM(O94)</f>
        <v>0</v>
      </c>
      <c r="P93" s="429">
        <f>SUM(P94)</f>
        <v>0</v>
      </c>
      <c r="Q93" s="421"/>
      <c r="R93" s="385" t="str">
        <f t="shared" si="19"/>
        <v>T</v>
      </c>
      <c r="S93" s="431"/>
      <c r="T93" s="431"/>
      <c r="U93" s="431"/>
      <c r="V93" s="432"/>
      <c r="W93" s="432"/>
      <c r="X93" s="432"/>
      <c r="Y93" s="432"/>
      <c r="Z93" s="432"/>
      <c r="AA93" s="432"/>
      <c r="AB93" s="432"/>
      <c r="AC93" s="431"/>
      <c r="AD93" s="432"/>
      <c r="AE93" s="432"/>
      <c r="AF93" s="432"/>
      <c r="AJ93" s="459"/>
      <c r="AK93" s="460"/>
    </row>
    <row r="94" spans="1:37" hidden="1" outlineLevel="2">
      <c r="A94" s="382"/>
      <c r="B94" s="397" t="s">
        <v>79</v>
      </c>
      <c r="C94" s="397" t="s">
        <v>80</v>
      </c>
      <c r="D94" s="382"/>
      <c r="E94" s="382"/>
      <c r="F94" s="447" t="s">
        <v>83</v>
      </c>
      <c r="G94" s="411" t="s">
        <v>82</v>
      </c>
      <c r="H94" s="387"/>
      <c r="I94" s="387"/>
      <c r="J94" s="387"/>
      <c r="K94" s="387"/>
      <c r="L94" s="411"/>
      <c r="M94" s="388"/>
      <c r="N94" s="388"/>
      <c r="O94" s="388"/>
      <c r="P94" s="388"/>
      <c r="Q94" s="382"/>
      <c r="R94" s="385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</row>
    <row r="95" spans="1:37" s="433" customFormat="1" outlineLevel="1" collapsed="1">
      <c r="A95" s="421"/>
      <c r="B95" s="396" t="s">
        <v>84</v>
      </c>
      <c r="C95" s="421" t="s">
        <v>85</v>
      </c>
      <c r="D95" s="396"/>
      <c r="E95" s="396"/>
      <c r="F95" s="445" t="s">
        <v>86</v>
      </c>
      <c r="G95" s="428">
        <f>SUM(G96+G105+G109+G113)</f>
        <v>3.7669914999999996</v>
      </c>
      <c r="H95" s="422">
        <f>SUM(H96,H105,H109,H113)</f>
        <v>3.7669914999999996</v>
      </c>
      <c r="I95" s="422">
        <f>SUM(I96,I105,I109,I113)</f>
        <v>0</v>
      </c>
      <c r="J95" s="422">
        <f>SUM(J96,J105,J109,J113)</f>
        <v>0</v>
      </c>
      <c r="K95" s="422">
        <f>SUM(K96,K105,K109,K113)</f>
        <v>0</v>
      </c>
      <c r="L95" s="428">
        <f t="shared" ref="L95:L126" si="25">SUM(M95:P95)</f>
        <v>15</v>
      </c>
      <c r="M95" s="423">
        <f>SUM(M96,M105,M109,M113)</f>
        <v>15</v>
      </c>
      <c r="N95" s="423">
        <f>SUM(N96,N105,N109,N113)</f>
        <v>0</v>
      </c>
      <c r="O95" s="423">
        <f>SUM(O96,O105,O109,O113)</f>
        <v>0</v>
      </c>
      <c r="P95" s="423">
        <f>SUM(P96,P105,P109,P113)</f>
        <v>0</v>
      </c>
      <c r="Q95" s="421"/>
      <c r="R95" s="385" t="str">
        <f t="shared" ref="R95:R158" si="26">IF(SUM(M95:P95)=L95,"T","F")</f>
        <v>T</v>
      </c>
      <c r="S95" s="431"/>
      <c r="T95" s="431"/>
      <c r="U95" s="431"/>
      <c r="V95" s="432"/>
      <c r="W95" s="432"/>
      <c r="X95" s="432"/>
      <c r="Y95" s="432"/>
      <c r="Z95" s="432"/>
      <c r="AA95" s="432"/>
      <c r="AB95" s="432"/>
      <c r="AC95" s="431"/>
      <c r="AD95" s="432"/>
      <c r="AE95" s="432"/>
      <c r="AF95" s="432"/>
    </row>
    <row r="96" spans="1:37" hidden="1" outlineLevel="2" collapsed="1">
      <c r="A96" s="382"/>
      <c r="B96" s="382" t="s">
        <v>84</v>
      </c>
      <c r="C96" s="382" t="s">
        <v>85</v>
      </c>
      <c r="D96" s="382" t="s">
        <v>18</v>
      </c>
      <c r="E96" s="386"/>
      <c r="F96" s="444" t="s">
        <v>87</v>
      </c>
      <c r="G96" s="387">
        <f>SUM(G97:G104)</f>
        <v>3.3658999999999999</v>
      </c>
      <c r="H96" s="387">
        <f>SUM(H97:H104)</f>
        <v>3.3658999999999999</v>
      </c>
      <c r="I96" s="387">
        <f>SUM(I97:I104)</f>
        <v>0</v>
      </c>
      <c r="J96" s="387">
        <f>SUM(J97:J104)</f>
        <v>0</v>
      </c>
      <c r="K96" s="387">
        <f>SUM(K97:K104)</f>
        <v>0</v>
      </c>
      <c r="L96" s="387">
        <f t="shared" si="25"/>
        <v>8</v>
      </c>
      <c r="M96" s="388">
        <f>SUM(M97:M104)</f>
        <v>8</v>
      </c>
      <c r="N96" s="388">
        <f>SUM(N97:N104)</f>
        <v>0</v>
      </c>
      <c r="O96" s="388">
        <f>SUM(O97:O104)</f>
        <v>0</v>
      </c>
      <c r="P96" s="388">
        <f>SUM(P97:P104)</f>
        <v>0</v>
      </c>
      <c r="Q96" s="382"/>
      <c r="R96" s="385" t="str">
        <f t="shared" si="26"/>
        <v>T</v>
      </c>
      <c r="S96" s="389"/>
      <c r="T96" s="389"/>
      <c r="U96" s="389"/>
      <c r="V96" s="391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</row>
    <row r="97" spans="1:32" hidden="1" outlineLevel="3">
      <c r="A97" s="382"/>
      <c r="B97" s="382" t="s">
        <v>84</v>
      </c>
      <c r="C97" s="382" t="s">
        <v>85</v>
      </c>
      <c r="D97" s="382" t="s">
        <v>18</v>
      </c>
      <c r="E97" s="386" t="s">
        <v>20</v>
      </c>
      <c r="F97" s="444" t="s">
        <v>88</v>
      </c>
      <c r="G97" s="410">
        <v>0.17</v>
      </c>
      <c r="H97" s="387">
        <f t="shared" ref="H97:K104" si="27">IF(M97=1,$G97,"")</f>
        <v>0.17</v>
      </c>
      <c r="I97" s="387" t="str">
        <f t="shared" si="27"/>
        <v/>
      </c>
      <c r="J97" s="387" t="str">
        <f t="shared" si="27"/>
        <v/>
      </c>
      <c r="K97" s="387" t="str">
        <f t="shared" si="27"/>
        <v/>
      </c>
      <c r="L97" s="410">
        <f t="shared" si="25"/>
        <v>1</v>
      </c>
      <c r="M97" s="388">
        <v>1</v>
      </c>
      <c r="N97" s="388"/>
      <c r="O97" s="388"/>
      <c r="P97" s="388"/>
      <c r="Q97" s="382"/>
      <c r="R97" s="385" t="str">
        <f t="shared" si="26"/>
        <v>T</v>
      </c>
      <c r="S97" s="389"/>
      <c r="T97" s="389"/>
      <c r="U97" s="389"/>
      <c r="V97" s="391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</row>
    <row r="98" spans="1:32" hidden="1" outlineLevel="3">
      <c r="A98" s="382"/>
      <c r="B98" s="382" t="s">
        <v>84</v>
      </c>
      <c r="C98" s="382" t="s">
        <v>85</v>
      </c>
      <c r="D98" s="382" t="s">
        <v>18</v>
      </c>
      <c r="E98" s="386" t="s">
        <v>20</v>
      </c>
      <c r="F98" s="444" t="s">
        <v>89</v>
      </c>
      <c r="G98" s="410">
        <v>0.17</v>
      </c>
      <c r="H98" s="387">
        <f t="shared" si="27"/>
        <v>0.17</v>
      </c>
      <c r="I98" s="387" t="str">
        <f t="shared" si="27"/>
        <v/>
      </c>
      <c r="J98" s="387" t="str">
        <f t="shared" si="27"/>
        <v/>
      </c>
      <c r="K98" s="387" t="str">
        <f t="shared" si="27"/>
        <v/>
      </c>
      <c r="L98" s="410">
        <f t="shared" si="25"/>
        <v>1</v>
      </c>
      <c r="M98" s="388">
        <v>1</v>
      </c>
      <c r="N98" s="388"/>
      <c r="O98" s="388"/>
      <c r="P98" s="388"/>
      <c r="Q98" s="382"/>
      <c r="R98" s="385" t="str">
        <f t="shared" si="26"/>
        <v>T</v>
      </c>
      <c r="S98" s="389"/>
      <c r="T98" s="389"/>
      <c r="U98" s="389"/>
      <c r="V98" s="391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</row>
    <row r="99" spans="1:32" hidden="1" outlineLevel="3">
      <c r="A99" s="382"/>
      <c r="B99" s="382" t="s">
        <v>84</v>
      </c>
      <c r="C99" s="382" t="s">
        <v>85</v>
      </c>
      <c r="D99" s="382" t="s">
        <v>18</v>
      </c>
      <c r="E99" s="386" t="s">
        <v>20</v>
      </c>
      <c r="F99" s="444" t="s">
        <v>90</v>
      </c>
      <c r="G99" s="410">
        <v>1.18</v>
      </c>
      <c r="H99" s="387">
        <f t="shared" si="27"/>
        <v>1.18</v>
      </c>
      <c r="I99" s="387" t="str">
        <f t="shared" si="27"/>
        <v/>
      </c>
      <c r="J99" s="387" t="str">
        <f t="shared" si="27"/>
        <v/>
      </c>
      <c r="K99" s="387" t="str">
        <f t="shared" si="27"/>
        <v/>
      </c>
      <c r="L99" s="410">
        <f t="shared" si="25"/>
        <v>1</v>
      </c>
      <c r="M99" s="388">
        <v>1</v>
      </c>
      <c r="N99" s="388"/>
      <c r="O99" s="388"/>
      <c r="P99" s="388"/>
      <c r="Q99" s="382"/>
      <c r="R99" s="385" t="str">
        <f t="shared" si="26"/>
        <v>T</v>
      </c>
      <c r="S99" s="389"/>
      <c r="T99" s="389"/>
      <c r="U99" s="389"/>
      <c r="V99" s="391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</row>
    <row r="100" spans="1:32" hidden="1" outlineLevel="3">
      <c r="A100" s="382"/>
      <c r="B100" s="382" t="s">
        <v>84</v>
      </c>
      <c r="C100" s="382" t="s">
        <v>85</v>
      </c>
      <c r="D100" s="382" t="s">
        <v>18</v>
      </c>
      <c r="E100" s="386" t="s">
        <v>20</v>
      </c>
      <c r="F100" s="444" t="s">
        <v>91</v>
      </c>
      <c r="G100" s="410">
        <f>10659000/10^7</f>
        <v>1.0659000000000001</v>
      </c>
      <c r="H100" s="387">
        <f t="shared" si="27"/>
        <v>1.0659000000000001</v>
      </c>
      <c r="I100" s="387" t="str">
        <f t="shared" si="27"/>
        <v/>
      </c>
      <c r="J100" s="387" t="str">
        <f t="shared" si="27"/>
        <v/>
      </c>
      <c r="K100" s="387" t="str">
        <f t="shared" si="27"/>
        <v/>
      </c>
      <c r="L100" s="410">
        <f t="shared" si="25"/>
        <v>1</v>
      </c>
      <c r="M100" s="388">
        <v>1</v>
      </c>
      <c r="N100" s="388"/>
      <c r="O100" s="388"/>
      <c r="P100" s="388"/>
      <c r="Q100" s="382"/>
      <c r="R100" s="385" t="str">
        <f t="shared" si="26"/>
        <v>T</v>
      </c>
      <c r="S100" s="389"/>
      <c r="T100" s="389"/>
      <c r="U100" s="389"/>
      <c r="V100" s="391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</row>
    <row r="101" spans="1:32" hidden="1" outlineLevel="3">
      <c r="A101" s="382"/>
      <c r="B101" s="382" t="s">
        <v>84</v>
      </c>
      <c r="C101" s="382" t="s">
        <v>85</v>
      </c>
      <c r="D101" s="382" t="s">
        <v>18</v>
      </c>
      <c r="E101" s="386" t="s">
        <v>20</v>
      </c>
      <c r="F101" s="444" t="s">
        <v>92</v>
      </c>
      <c r="G101" s="410">
        <v>0.45</v>
      </c>
      <c r="H101" s="387">
        <f t="shared" si="27"/>
        <v>0.45</v>
      </c>
      <c r="I101" s="387" t="str">
        <f t="shared" si="27"/>
        <v/>
      </c>
      <c r="J101" s="387" t="str">
        <f t="shared" si="27"/>
        <v/>
      </c>
      <c r="K101" s="387" t="str">
        <f t="shared" si="27"/>
        <v/>
      </c>
      <c r="L101" s="410">
        <f t="shared" si="25"/>
        <v>1</v>
      </c>
      <c r="M101" s="388">
        <v>1</v>
      </c>
      <c r="N101" s="388"/>
      <c r="O101" s="388"/>
      <c r="P101" s="388"/>
      <c r="Q101" s="382"/>
      <c r="R101" s="385" t="str">
        <f t="shared" si="26"/>
        <v>T</v>
      </c>
      <c r="S101" s="389"/>
      <c r="T101" s="389"/>
      <c r="U101" s="389"/>
      <c r="V101" s="391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</row>
    <row r="102" spans="1:32" hidden="1" outlineLevel="3">
      <c r="A102" s="382"/>
      <c r="B102" s="382" t="s">
        <v>84</v>
      </c>
      <c r="C102" s="382" t="s">
        <v>85</v>
      </c>
      <c r="D102" s="382" t="s">
        <v>18</v>
      </c>
      <c r="E102" s="386" t="s">
        <v>20</v>
      </c>
      <c r="F102" s="444" t="s">
        <v>93</v>
      </c>
      <c r="G102" s="410">
        <v>0.15</v>
      </c>
      <c r="H102" s="387">
        <f t="shared" si="27"/>
        <v>0.15</v>
      </c>
      <c r="I102" s="387" t="str">
        <f t="shared" si="27"/>
        <v/>
      </c>
      <c r="J102" s="387" t="str">
        <f t="shared" si="27"/>
        <v/>
      </c>
      <c r="K102" s="387" t="str">
        <f t="shared" si="27"/>
        <v/>
      </c>
      <c r="L102" s="410">
        <f t="shared" si="25"/>
        <v>1</v>
      </c>
      <c r="M102" s="388">
        <v>1</v>
      </c>
      <c r="N102" s="388"/>
      <c r="O102" s="388"/>
      <c r="P102" s="388"/>
      <c r="Q102" s="382"/>
      <c r="R102" s="385" t="str">
        <f t="shared" si="26"/>
        <v>T</v>
      </c>
      <c r="S102" s="389"/>
      <c r="T102" s="389"/>
      <c r="U102" s="389"/>
      <c r="V102" s="391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</row>
    <row r="103" spans="1:32" hidden="1" outlineLevel="3">
      <c r="A103" s="382"/>
      <c r="B103" s="382" t="s">
        <v>84</v>
      </c>
      <c r="C103" s="382" t="s">
        <v>85</v>
      </c>
      <c r="D103" s="382" t="s">
        <v>18</v>
      </c>
      <c r="E103" s="386" t="s">
        <v>20</v>
      </c>
      <c r="F103" s="444" t="s">
        <v>94</v>
      </c>
      <c r="G103" s="410">
        <v>0.15</v>
      </c>
      <c r="H103" s="387">
        <f t="shared" si="27"/>
        <v>0.15</v>
      </c>
      <c r="I103" s="387" t="str">
        <f t="shared" si="27"/>
        <v/>
      </c>
      <c r="J103" s="387" t="str">
        <f t="shared" si="27"/>
        <v/>
      </c>
      <c r="K103" s="387" t="str">
        <f t="shared" si="27"/>
        <v/>
      </c>
      <c r="L103" s="410">
        <f t="shared" si="25"/>
        <v>1</v>
      </c>
      <c r="M103" s="388">
        <v>1</v>
      </c>
      <c r="N103" s="388"/>
      <c r="O103" s="388"/>
      <c r="P103" s="388"/>
      <c r="Q103" s="382"/>
      <c r="R103" s="385" t="str">
        <f t="shared" si="26"/>
        <v>T</v>
      </c>
      <c r="S103" s="389"/>
      <c r="T103" s="389"/>
      <c r="U103" s="389"/>
      <c r="V103" s="391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</row>
    <row r="104" spans="1:32" hidden="1" outlineLevel="3">
      <c r="A104" s="382"/>
      <c r="B104" s="382" t="s">
        <v>84</v>
      </c>
      <c r="C104" s="382" t="s">
        <v>85</v>
      </c>
      <c r="D104" s="382" t="s">
        <v>18</v>
      </c>
      <c r="E104" s="386" t="s">
        <v>20</v>
      </c>
      <c r="F104" s="444" t="s">
        <v>95</v>
      </c>
      <c r="G104" s="410">
        <v>0.03</v>
      </c>
      <c r="H104" s="387">
        <f t="shared" si="27"/>
        <v>0.03</v>
      </c>
      <c r="I104" s="387" t="str">
        <f t="shared" si="27"/>
        <v/>
      </c>
      <c r="J104" s="387" t="str">
        <f t="shared" si="27"/>
        <v/>
      </c>
      <c r="K104" s="387" t="str">
        <f t="shared" si="27"/>
        <v/>
      </c>
      <c r="L104" s="410">
        <f t="shared" si="25"/>
        <v>1</v>
      </c>
      <c r="M104" s="388">
        <v>1</v>
      </c>
      <c r="N104" s="388"/>
      <c r="O104" s="388"/>
      <c r="P104" s="388"/>
      <c r="Q104" s="382"/>
      <c r="R104" s="385" t="str">
        <f t="shared" si="26"/>
        <v>T</v>
      </c>
      <c r="S104" s="389"/>
      <c r="T104" s="389"/>
      <c r="U104" s="389"/>
      <c r="V104" s="391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</row>
    <row r="105" spans="1:32" hidden="1" outlineLevel="2" collapsed="1">
      <c r="A105" s="382"/>
      <c r="B105" s="382" t="s">
        <v>84</v>
      </c>
      <c r="C105" s="382" t="s">
        <v>85</v>
      </c>
      <c r="D105" s="382" t="s">
        <v>26</v>
      </c>
      <c r="E105" s="382"/>
      <c r="F105" s="444" t="s">
        <v>87</v>
      </c>
      <c r="G105" s="387">
        <f>SUM(G106:G108)</f>
        <v>0.36</v>
      </c>
      <c r="H105" s="387">
        <f>SUM(H106:H108)</f>
        <v>0.36</v>
      </c>
      <c r="I105" s="387">
        <f>SUM(I106:I108)</f>
        <v>0</v>
      </c>
      <c r="J105" s="387">
        <f>SUM(J106:J108)</f>
        <v>0</v>
      </c>
      <c r="K105" s="387">
        <f>SUM(K106:K108)</f>
        <v>0</v>
      </c>
      <c r="L105" s="387">
        <f t="shared" si="25"/>
        <v>3</v>
      </c>
      <c r="M105" s="388">
        <f>SUM(M106:M108)</f>
        <v>3</v>
      </c>
      <c r="N105" s="388">
        <f>SUM(N106:N108)</f>
        <v>0</v>
      </c>
      <c r="O105" s="388">
        <f>SUM(O106:O108)</f>
        <v>0</v>
      </c>
      <c r="P105" s="388">
        <f>SUM(P106:P108)</f>
        <v>0</v>
      </c>
      <c r="Q105" s="382"/>
      <c r="R105" s="385" t="str">
        <f t="shared" si="26"/>
        <v>T</v>
      </c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</row>
    <row r="106" spans="1:32" hidden="1" outlineLevel="3">
      <c r="A106" s="382"/>
      <c r="B106" s="382" t="s">
        <v>84</v>
      </c>
      <c r="C106" s="382" t="s">
        <v>85</v>
      </c>
      <c r="D106" s="382" t="s">
        <v>26</v>
      </c>
      <c r="E106" s="382" t="s">
        <v>27</v>
      </c>
      <c r="F106" s="444" t="s">
        <v>96</v>
      </c>
      <c r="G106" s="410">
        <v>0.19</v>
      </c>
      <c r="H106" s="387">
        <f t="shared" ref="H106:K108" si="28">IF(M106=1,$G106,"")</f>
        <v>0.19</v>
      </c>
      <c r="I106" s="387" t="str">
        <f t="shared" si="28"/>
        <v/>
      </c>
      <c r="J106" s="387" t="str">
        <f t="shared" si="28"/>
        <v/>
      </c>
      <c r="K106" s="387" t="str">
        <f t="shared" si="28"/>
        <v/>
      </c>
      <c r="L106" s="410">
        <f t="shared" si="25"/>
        <v>1</v>
      </c>
      <c r="M106" s="388">
        <v>1</v>
      </c>
      <c r="N106" s="388"/>
      <c r="O106" s="388"/>
      <c r="P106" s="388"/>
      <c r="Q106" s="382"/>
      <c r="R106" s="385" t="str">
        <f t="shared" si="26"/>
        <v>T</v>
      </c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</row>
    <row r="107" spans="1:32" hidden="1" outlineLevel="3">
      <c r="A107" s="382"/>
      <c r="B107" s="382" t="s">
        <v>84</v>
      </c>
      <c r="C107" s="382" t="s">
        <v>85</v>
      </c>
      <c r="D107" s="382" t="s">
        <v>26</v>
      </c>
      <c r="E107" s="382" t="s">
        <v>27</v>
      </c>
      <c r="F107" s="444" t="s">
        <v>97</v>
      </c>
      <c r="G107" s="410">
        <v>0.16</v>
      </c>
      <c r="H107" s="387">
        <f t="shared" si="28"/>
        <v>0.16</v>
      </c>
      <c r="I107" s="387" t="str">
        <f t="shared" si="28"/>
        <v/>
      </c>
      <c r="J107" s="387" t="str">
        <f t="shared" si="28"/>
        <v/>
      </c>
      <c r="K107" s="387" t="str">
        <f t="shared" si="28"/>
        <v/>
      </c>
      <c r="L107" s="410">
        <f t="shared" si="25"/>
        <v>1</v>
      </c>
      <c r="M107" s="388">
        <v>1</v>
      </c>
      <c r="N107" s="388"/>
      <c r="O107" s="388"/>
      <c r="P107" s="388"/>
      <c r="Q107" s="382"/>
      <c r="R107" s="385" t="str">
        <f t="shared" si="26"/>
        <v>T</v>
      </c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</row>
    <row r="108" spans="1:32" hidden="1" outlineLevel="3">
      <c r="A108" s="382"/>
      <c r="B108" s="382" t="s">
        <v>84</v>
      </c>
      <c r="C108" s="382" t="s">
        <v>85</v>
      </c>
      <c r="D108" s="382" t="s">
        <v>26</v>
      </c>
      <c r="E108" s="382" t="s">
        <v>27</v>
      </c>
      <c r="F108" s="444" t="s">
        <v>98</v>
      </c>
      <c r="G108" s="410">
        <v>0.01</v>
      </c>
      <c r="H108" s="387">
        <f t="shared" si="28"/>
        <v>0.01</v>
      </c>
      <c r="I108" s="387" t="str">
        <f t="shared" si="28"/>
        <v/>
      </c>
      <c r="J108" s="387" t="str">
        <f t="shared" si="28"/>
        <v/>
      </c>
      <c r="K108" s="387" t="str">
        <f t="shared" si="28"/>
        <v/>
      </c>
      <c r="L108" s="410">
        <f t="shared" si="25"/>
        <v>1</v>
      </c>
      <c r="M108" s="388">
        <v>1</v>
      </c>
      <c r="N108" s="388"/>
      <c r="O108" s="388"/>
      <c r="P108" s="388"/>
      <c r="Q108" s="382"/>
      <c r="R108" s="385" t="str">
        <f t="shared" si="26"/>
        <v>T</v>
      </c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</row>
    <row r="109" spans="1:32" hidden="1" outlineLevel="2" collapsed="1">
      <c r="A109" s="382"/>
      <c r="B109" s="382" t="s">
        <v>84</v>
      </c>
      <c r="C109" s="382" t="s">
        <v>85</v>
      </c>
      <c r="D109" s="382" t="s">
        <v>28</v>
      </c>
      <c r="E109" s="382"/>
      <c r="F109" s="444" t="s">
        <v>87</v>
      </c>
      <c r="G109" s="387">
        <f>SUM(G112:G112)</f>
        <v>1.0915E-3</v>
      </c>
      <c r="H109" s="387">
        <f>SUM(H112:H112)</f>
        <v>1.0915E-3</v>
      </c>
      <c r="I109" s="387">
        <f>SUM(I112:I112)</f>
        <v>0</v>
      </c>
      <c r="J109" s="387">
        <f>SUM(J112:J112)</f>
        <v>0</v>
      </c>
      <c r="K109" s="387">
        <f>SUM(K112:K112)</f>
        <v>0</v>
      </c>
      <c r="L109" s="387">
        <f t="shared" si="25"/>
        <v>3</v>
      </c>
      <c r="M109" s="388">
        <f>SUM(M110:M112)</f>
        <v>3</v>
      </c>
      <c r="N109" s="388">
        <f>SUM(N110:N112)</f>
        <v>0</v>
      </c>
      <c r="O109" s="388">
        <f>SUM(O110:O112)</f>
        <v>0</v>
      </c>
      <c r="P109" s="388">
        <f>SUM(P110:P112)</f>
        <v>0</v>
      </c>
      <c r="Q109" s="382"/>
      <c r="R109" s="385" t="str">
        <f t="shared" si="26"/>
        <v>T</v>
      </c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</row>
    <row r="110" spans="1:32" hidden="1" outlineLevel="3">
      <c r="A110" s="382"/>
      <c r="B110" s="382" t="s">
        <v>84</v>
      </c>
      <c r="C110" s="382" t="s">
        <v>85</v>
      </c>
      <c r="D110" s="382" t="s">
        <v>28</v>
      </c>
      <c r="E110" s="382" t="s">
        <v>29</v>
      </c>
      <c r="F110" s="444" t="s">
        <v>97</v>
      </c>
      <c r="G110" s="430">
        <v>0.36</v>
      </c>
      <c r="H110" s="411">
        <f t="shared" ref="H110:K112" si="29">IF(M110=1,$G110,"")</f>
        <v>0.36</v>
      </c>
      <c r="I110" s="411" t="str">
        <f t="shared" si="29"/>
        <v/>
      </c>
      <c r="J110" s="411" t="str">
        <f t="shared" si="29"/>
        <v/>
      </c>
      <c r="K110" s="411" t="str">
        <f t="shared" si="29"/>
        <v/>
      </c>
      <c r="L110" s="430">
        <f t="shared" si="25"/>
        <v>1</v>
      </c>
      <c r="M110" s="409">
        <v>1</v>
      </c>
      <c r="N110" s="409"/>
      <c r="O110" s="409"/>
      <c r="P110" s="409"/>
      <c r="Q110" s="382"/>
      <c r="R110" s="385" t="str">
        <f t="shared" si="26"/>
        <v>T</v>
      </c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</row>
    <row r="111" spans="1:32" hidden="1" outlineLevel="3" collapsed="1">
      <c r="A111" s="382"/>
      <c r="B111" s="382" t="s">
        <v>84</v>
      </c>
      <c r="C111" s="382" t="s">
        <v>85</v>
      </c>
      <c r="D111" s="382" t="s">
        <v>28</v>
      </c>
      <c r="E111" s="382" t="s">
        <v>29</v>
      </c>
      <c r="F111" s="444" t="s">
        <v>99</v>
      </c>
      <c r="G111" s="430">
        <v>2.183E-3</v>
      </c>
      <c r="H111" s="411">
        <f t="shared" si="29"/>
        <v>2.183E-3</v>
      </c>
      <c r="I111" s="411" t="str">
        <f t="shared" si="29"/>
        <v/>
      </c>
      <c r="J111" s="411" t="str">
        <f t="shared" si="29"/>
        <v/>
      </c>
      <c r="K111" s="411" t="str">
        <f t="shared" si="29"/>
        <v/>
      </c>
      <c r="L111" s="430">
        <f t="shared" si="25"/>
        <v>1</v>
      </c>
      <c r="M111" s="409">
        <v>1</v>
      </c>
      <c r="N111" s="409"/>
      <c r="O111" s="409"/>
      <c r="P111" s="409"/>
      <c r="Q111" s="382"/>
      <c r="R111" s="385" t="str">
        <f t="shared" si="26"/>
        <v>T</v>
      </c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</row>
    <row r="112" spans="1:32" hidden="1" outlineLevel="3">
      <c r="A112" s="382"/>
      <c r="B112" s="382" t="s">
        <v>84</v>
      </c>
      <c r="C112" s="382" t="s">
        <v>85</v>
      </c>
      <c r="D112" s="382" t="s">
        <v>28</v>
      </c>
      <c r="E112" s="382" t="s">
        <v>29</v>
      </c>
      <c r="F112" s="444" t="s">
        <v>98</v>
      </c>
      <c r="G112" s="410">
        <v>1.0915E-3</v>
      </c>
      <c r="H112" s="387">
        <f t="shared" si="29"/>
        <v>1.0915E-3</v>
      </c>
      <c r="I112" s="387" t="str">
        <f t="shared" si="29"/>
        <v/>
      </c>
      <c r="J112" s="387" t="str">
        <f t="shared" si="29"/>
        <v/>
      </c>
      <c r="K112" s="387" t="str">
        <f t="shared" si="29"/>
        <v/>
      </c>
      <c r="L112" s="410">
        <f t="shared" si="25"/>
        <v>1</v>
      </c>
      <c r="M112" s="388">
        <v>1</v>
      </c>
      <c r="N112" s="388"/>
      <c r="O112" s="388"/>
      <c r="P112" s="388"/>
      <c r="Q112" s="382"/>
      <c r="R112" s="385" t="str">
        <f t="shared" si="26"/>
        <v>T</v>
      </c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</row>
    <row r="113" spans="1:32" hidden="1" outlineLevel="2" collapsed="1">
      <c r="A113" s="382"/>
      <c r="B113" s="382" t="s">
        <v>84</v>
      </c>
      <c r="C113" s="382" t="s">
        <v>85</v>
      </c>
      <c r="D113" s="382" t="s">
        <v>64</v>
      </c>
      <c r="E113" s="382"/>
      <c r="F113" s="444" t="s">
        <v>87</v>
      </c>
      <c r="G113" s="387">
        <f>SUM(G114)</f>
        <v>0.04</v>
      </c>
      <c r="H113" s="387">
        <f>SUM(H114)</f>
        <v>0.04</v>
      </c>
      <c r="I113" s="387">
        <f>SUM(I114)</f>
        <v>0</v>
      </c>
      <c r="J113" s="387">
        <f>SUM(J114)</f>
        <v>0</v>
      </c>
      <c r="K113" s="387">
        <f>SUM(K114)</f>
        <v>0</v>
      </c>
      <c r="L113" s="387">
        <f t="shared" si="25"/>
        <v>1</v>
      </c>
      <c r="M113" s="388">
        <f>SUM(M114)</f>
        <v>1</v>
      </c>
      <c r="N113" s="388">
        <f>SUM(N114)</f>
        <v>0</v>
      </c>
      <c r="O113" s="388">
        <f>SUM(O114)</f>
        <v>0</v>
      </c>
      <c r="P113" s="388">
        <f>SUM(P114)</f>
        <v>0</v>
      </c>
      <c r="Q113" s="382"/>
      <c r="R113" s="385" t="str">
        <f t="shared" si="26"/>
        <v>T</v>
      </c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</row>
    <row r="114" spans="1:32" ht="26.45" hidden="1" outlineLevel="3">
      <c r="A114" s="382"/>
      <c r="B114" s="382" t="s">
        <v>84</v>
      </c>
      <c r="C114" s="382" t="s">
        <v>85</v>
      </c>
      <c r="D114" s="382" t="s">
        <v>64</v>
      </c>
      <c r="E114" s="382" t="s">
        <v>29</v>
      </c>
      <c r="F114" s="444" t="s">
        <v>100</v>
      </c>
      <c r="G114" s="410">
        <v>0.04</v>
      </c>
      <c r="H114" s="387">
        <f>IF(M114=1,$G114,"")</f>
        <v>0.04</v>
      </c>
      <c r="I114" s="387" t="str">
        <f>IF(N114=1,$G114,"")</f>
        <v/>
      </c>
      <c r="J114" s="387" t="str">
        <f>IF(O114=1,$G114,"")</f>
        <v/>
      </c>
      <c r="K114" s="387" t="str">
        <f>IF(P114=1,$G114,"")</f>
        <v/>
      </c>
      <c r="L114" s="410">
        <f t="shared" si="25"/>
        <v>1</v>
      </c>
      <c r="M114" s="388">
        <v>1</v>
      </c>
      <c r="N114" s="388"/>
      <c r="O114" s="388"/>
      <c r="P114" s="388"/>
      <c r="Q114" s="382"/>
      <c r="R114" s="385" t="str">
        <f t="shared" si="26"/>
        <v>T</v>
      </c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</row>
    <row r="115" spans="1:32" s="401" customFormat="1" outlineLevel="1" collapsed="1">
      <c r="A115" s="395"/>
      <c r="B115" s="396" t="s">
        <v>101</v>
      </c>
      <c r="C115" s="421" t="s">
        <v>102</v>
      </c>
      <c r="D115" s="396"/>
      <c r="E115" s="396"/>
      <c r="F115" s="445" t="s">
        <v>86</v>
      </c>
      <c r="G115" s="422">
        <f>SUM(G116+G140+G148+G163)</f>
        <v>10.292129999999998</v>
      </c>
      <c r="H115" s="422">
        <f>SUM(H116,H140,H148,H163)</f>
        <v>8.9238499999999998</v>
      </c>
      <c r="I115" s="422">
        <f>SUM(I116,I140,I148,I163)</f>
        <v>0.77547999999999995</v>
      </c>
      <c r="J115" s="422">
        <f>SUM(J116,J140,J148,J163)</f>
        <v>0.59279999999999999</v>
      </c>
      <c r="K115" s="422">
        <f>SUM(K116,K140,K148,K163)</f>
        <v>0</v>
      </c>
      <c r="L115" s="422">
        <f t="shared" si="25"/>
        <v>53</v>
      </c>
      <c r="M115" s="423">
        <f>SUM(M116,M140,M148,M163)</f>
        <v>28</v>
      </c>
      <c r="N115" s="423">
        <f>SUM(N116,N140,N148,N163)</f>
        <v>11</v>
      </c>
      <c r="O115" s="423">
        <f>SUM(O116,O140,O148,O163)</f>
        <v>14</v>
      </c>
      <c r="P115" s="423">
        <f>SUM(P116,P140,P148,P163)</f>
        <v>0</v>
      </c>
      <c r="Q115" s="395"/>
      <c r="R115" s="385" t="str">
        <f t="shared" si="26"/>
        <v>T</v>
      </c>
      <c r="S115" s="389"/>
      <c r="T115" s="389"/>
      <c r="U115" s="389"/>
      <c r="V115" s="400"/>
      <c r="W115" s="400"/>
      <c r="X115" s="400"/>
      <c r="Y115" s="400"/>
      <c r="Z115" s="400"/>
      <c r="AA115" s="400"/>
      <c r="AB115" s="400"/>
      <c r="AC115" s="389"/>
      <c r="AD115" s="400"/>
      <c r="AE115" s="400"/>
      <c r="AF115" s="400"/>
    </row>
    <row r="116" spans="1:32" ht="26.45" hidden="1" outlineLevel="2" collapsed="1">
      <c r="A116" s="382"/>
      <c r="B116" s="382" t="s">
        <v>101</v>
      </c>
      <c r="C116" s="382" t="s">
        <v>102</v>
      </c>
      <c r="D116" s="382" t="s">
        <v>18</v>
      </c>
      <c r="E116" s="397"/>
      <c r="F116" s="440" t="s">
        <v>103</v>
      </c>
      <c r="G116" s="387">
        <f>SUM(G117:G139)</f>
        <v>7.303849999999998</v>
      </c>
      <c r="H116" s="387">
        <f>SUM(H117:H139)</f>
        <v>7.0838499999999991</v>
      </c>
      <c r="I116" s="387">
        <f>SUM(I117:I139)</f>
        <v>0.12000000000000001</v>
      </c>
      <c r="J116" s="387">
        <f>SUM(J117:J139)</f>
        <v>0.1</v>
      </c>
      <c r="K116" s="387">
        <f>SUM(K117:K139)</f>
        <v>0</v>
      </c>
      <c r="L116" s="387">
        <f t="shared" si="25"/>
        <v>23</v>
      </c>
      <c r="M116" s="388">
        <f>SUM(M117:M139)</f>
        <v>18</v>
      </c>
      <c r="N116" s="388">
        <f>SUM(N117:N139)</f>
        <v>2</v>
      </c>
      <c r="O116" s="388">
        <f>SUM(O117:O139)</f>
        <v>3</v>
      </c>
      <c r="P116" s="388">
        <f>SUM(P117:P139)</f>
        <v>0</v>
      </c>
      <c r="Q116" s="382"/>
      <c r="R116" s="385" t="str">
        <f t="shared" si="26"/>
        <v>T</v>
      </c>
      <c r="S116" s="389"/>
      <c r="T116" s="389"/>
      <c r="U116" s="389"/>
      <c r="V116" s="391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</row>
    <row r="117" spans="1:32" hidden="1" outlineLevel="3">
      <c r="A117" s="382"/>
      <c r="B117" s="382" t="s">
        <v>101</v>
      </c>
      <c r="C117" s="382" t="s">
        <v>102</v>
      </c>
      <c r="D117" s="382" t="s">
        <v>18</v>
      </c>
      <c r="E117" s="397" t="s">
        <v>20</v>
      </c>
      <c r="F117" s="444" t="s">
        <v>104</v>
      </c>
      <c r="G117" s="387">
        <v>0.2</v>
      </c>
      <c r="H117" s="387">
        <f t="shared" ref="H117:H139" si="30">IF(M117=1,$G117,"")</f>
        <v>0.2</v>
      </c>
      <c r="I117" s="387" t="str">
        <f t="shared" ref="I117:I139" si="31">IF(N117=1,$G117,"")</f>
        <v/>
      </c>
      <c r="J117" s="387" t="str">
        <f t="shared" ref="J117:J139" si="32">IF(O117=1,$G117,"")</f>
        <v/>
      </c>
      <c r="K117" s="387" t="str">
        <f t="shared" ref="K117:K139" si="33">IF(P117=1,$G117,"")</f>
        <v/>
      </c>
      <c r="L117" s="387">
        <f t="shared" si="25"/>
        <v>1</v>
      </c>
      <c r="M117" s="388">
        <v>1</v>
      </c>
      <c r="N117" s="388"/>
      <c r="O117" s="388"/>
      <c r="P117" s="388"/>
      <c r="Q117" s="382"/>
      <c r="R117" s="385" t="str">
        <f t="shared" si="26"/>
        <v>T</v>
      </c>
      <c r="S117" s="389"/>
      <c r="T117" s="389"/>
      <c r="U117" s="389"/>
      <c r="V117" s="391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</row>
    <row r="118" spans="1:32" hidden="1" outlineLevel="3">
      <c r="A118" s="382"/>
      <c r="B118" s="382" t="s">
        <v>101</v>
      </c>
      <c r="C118" s="382" t="s">
        <v>102</v>
      </c>
      <c r="D118" s="382" t="s">
        <v>18</v>
      </c>
      <c r="E118" s="397" t="s">
        <v>20</v>
      </c>
      <c r="F118" s="444" t="s">
        <v>105</v>
      </c>
      <c r="G118" s="387">
        <v>0.41</v>
      </c>
      <c r="H118" s="387">
        <f t="shared" si="30"/>
        <v>0.41</v>
      </c>
      <c r="I118" s="387" t="str">
        <f t="shared" si="31"/>
        <v/>
      </c>
      <c r="J118" s="387" t="str">
        <f t="shared" si="32"/>
        <v/>
      </c>
      <c r="K118" s="387" t="str">
        <f t="shared" si="33"/>
        <v/>
      </c>
      <c r="L118" s="387">
        <f t="shared" si="25"/>
        <v>1</v>
      </c>
      <c r="M118" s="388">
        <v>1</v>
      </c>
      <c r="N118" s="388"/>
      <c r="O118" s="388"/>
      <c r="P118" s="388"/>
      <c r="Q118" s="382"/>
      <c r="R118" s="385" t="str">
        <f t="shared" si="26"/>
        <v>T</v>
      </c>
      <c r="S118" s="389"/>
      <c r="T118" s="389"/>
      <c r="U118" s="389"/>
      <c r="V118" s="391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</row>
    <row r="119" spans="1:32" hidden="1" outlineLevel="3">
      <c r="A119" s="382"/>
      <c r="B119" s="382" t="s">
        <v>101</v>
      </c>
      <c r="C119" s="382" t="s">
        <v>102</v>
      </c>
      <c r="D119" s="382" t="s">
        <v>18</v>
      </c>
      <c r="E119" s="397" t="s">
        <v>20</v>
      </c>
      <c r="F119" s="444" t="s">
        <v>106</v>
      </c>
      <c r="G119" s="387">
        <v>0.61</v>
      </c>
      <c r="H119" s="387">
        <f t="shared" si="30"/>
        <v>0.61</v>
      </c>
      <c r="I119" s="387" t="str">
        <f t="shared" si="31"/>
        <v/>
      </c>
      <c r="J119" s="387" t="str">
        <f t="shared" si="32"/>
        <v/>
      </c>
      <c r="K119" s="387" t="str">
        <f t="shared" si="33"/>
        <v/>
      </c>
      <c r="L119" s="387">
        <f t="shared" si="25"/>
        <v>1</v>
      </c>
      <c r="M119" s="388">
        <v>1</v>
      </c>
      <c r="N119" s="388"/>
      <c r="O119" s="388"/>
      <c r="P119" s="388"/>
      <c r="Q119" s="382"/>
      <c r="R119" s="385" t="str">
        <f t="shared" si="26"/>
        <v>T</v>
      </c>
      <c r="S119" s="389"/>
      <c r="T119" s="389"/>
      <c r="U119" s="389"/>
      <c r="V119" s="391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</row>
    <row r="120" spans="1:32" hidden="1" outlineLevel="3">
      <c r="A120" s="382"/>
      <c r="B120" s="382" t="s">
        <v>101</v>
      </c>
      <c r="C120" s="382" t="s">
        <v>102</v>
      </c>
      <c r="D120" s="382" t="s">
        <v>18</v>
      </c>
      <c r="E120" s="397" t="s">
        <v>20</v>
      </c>
      <c r="F120" s="444" t="s">
        <v>107</v>
      </c>
      <c r="G120" s="387">
        <v>0.82</v>
      </c>
      <c r="H120" s="387">
        <f t="shared" si="30"/>
        <v>0.82</v>
      </c>
      <c r="I120" s="387" t="str">
        <f t="shared" si="31"/>
        <v/>
      </c>
      <c r="J120" s="387" t="str">
        <f t="shared" si="32"/>
        <v/>
      </c>
      <c r="K120" s="387" t="str">
        <f t="shared" si="33"/>
        <v/>
      </c>
      <c r="L120" s="387">
        <f t="shared" si="25"/>
        <v>1</v>
      </c>
      <c r="M120" s="388">
        <v>1</v>
      </c>
      <c r="N120" s="388"/>
      <c r="O120" s="388"/>
      <c r="P120" s="388"/>
      <c r="Q120" s="382"/>
      <c r="R120" s="385" t="str">
        <f t="shared" si="26"/>
        <v>T</v>
      </c>
      <c r="S120" s="389"/>
      <c r="T120" s="389"/>
      <c r="U120" s="389"/>
      <c r="V120" s="391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</row>
    <row r="121" spans="1:32" hidden="1" outlineLevel="3">
      <c r="A121" s="382"/>
      <c r="B121" s="382" t="s">
        <v>101</v>
      </c>
      <c r="C121" s="382" t="s">
        <v>102</v>
      </c>
      <c r="D121" s="382" t="s">
        <v>18</v>
      </c>
      <c r="E121" s="397" t="s">
        <v>20</v>
      </c>
      <c r="F121" s="444" t="s">
        <v>108</v>
      </c>
      <c r="G121" s="387">
        <v>0.48</v>
      </c>
      <c r="H121" s="387">
        <f t="shared" si="30"/>
        <v>0.48</v>
      </c>
      <c r="I121" s="387" t="str">
        <f t="shared" si="31"/>
        <v/>
      </c>
      <c r="J121" s="387" t="str">
        <f t="shared" si="32"/>
        <v/>
      </c>
      <c r="K121" s="387" t="str">
        <f t="shared" si="33"/>
        <v/>
      </c>
      <c r="L121" s="387">
        <f t="shared" si="25"/>
        <v>1</v>
      </c>
      <c r="M121" s="388">
        <v>1</v>
      </c>
      <c r="N121" s="388"/>
      <c r="O121" s="388"/>
      <c r="P121" s="388"/>
      <c r="Q121" s="382"/>
      <c r="R121" s="385" t="str">
        <f t="shared" si="26"/>
        <v>T</v>
      </c>
      <c r="S121" s="389"/>
      <c r="T121" s="389"/>
      <c r="U121" s="389"/>
      <c r="V121" s="391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</row>
    <row r="122" spans="1:32" ht="26.45" hidden="1" outlineLevel="3">
      <c r="A122" s="382"/>
      <c r="B122" s="382" t="s">
        <v>101</v>
      </c>
      <c r="C122" s="382" t="s">
        <v>102</v>
      </c>
      <c r="D122" s="382" t="s">
        <v>18</v>
      </c>
      <c r="E122" s="397" t="s">
        <v>20</v>
      </c>
      <c r="F122" s="444" t="s">
        <v>109</v>
      </c>
      <c r="G122" s="387">
        <v>0.9638500000000001</v>
      </c>
      <c r="H122" s="387">
        <f t="shared" si="30"/>
        <v>0.9638500000000001</v>
      </c>
      <c r="I122" s="387" t="str">
        <f t="shared" si="31"/>
        <v/>
      </c>
      <c r="J122" s="387" t="str">
        <f t="shared" si="32"/>
        <v/>
      </c>
      <c r="K122" s="387" t="str">
        <f t="shared" si="33"/>
        <v/>
      </c>
      <c r="L122" s="387">
        <f t="shared" si="25"/>
        <v>1</v>
      </c>
      <c r="M122" s="388">
        <v>1</v>
      </c>
      <c r="N122" s="388"/>
      <c r="O122" s="388"/>
      <c r="P122" s="388"/>
      <c r="Q122" s="382"/>
      <c r="R122" s="385" t="str">
        <f t="shared" si="26"/>
        <v>T</v>
      </c>
      <c r="S122" s="389"/>
      <c r="T122" s="389"/>
      <c r="U122" s="389"/>
      <c r="V122" s="391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</row>
    <row r="123" spans="1:32" hidden="1" outlineLevel="3">
      <c r="A123" s="382"/>
      <c r="B123" s="382" t="s">
        <v>101</v>
      </c>
      <c r="C123" s="382" t="s">
        <v>102</v>
      </c>
      <c r="D123" s="382" t="s">
        <v>18</v>
      </c>
      <c r="E123" s="397" t="s">
        <v>20</v>
      </c>
      <c r="F123" s="444" t="s">
        <v>110</v>
      </c>
      <c r="G123" s="387">
        <v>0.52</v>
      </c>
      <c r="H123" s="387">
        <f t="shared" si="30"/>
        <v>0.52</v>
      </c>
      <c r="I123" s="387" t="str">
        <f t="shared" si="31"/>
        <v/>
      </c>
      <c r="J123" s="387" t="str">
        <f t="shared" si="32"/>
        <v/>
      </c>
      <c r="K123" s="387" t="str">
        <f t="shared" si="33"/>
        <v/>
      </c>
      <c r="L123" s="387">
        <f t="shared" si="25"/>
        <v>1</v>
      </c>
      <c r="M123" s="388">
        <v>1</v>
      </c>
      <c r="N123" s="388"/>
      <c r="O123" s="388"/>
      <c r="P123" s="388"/>
      <c r="Q123" s="382"/>
      <c r="R123" s="385" t="str">
        <f t="shared" si="26"/>
        <v>T</v>
      </c>
      <c r="S123" s="389"/>
      <c r="T123" s="389"/>
      <c r="U123" s="389"/>
      <c r="V123" s="391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</row>
    <row r="124" spans="1:32" hidden="1" outlineLevel="3">
      <c r="A124" s="382"/>
      <c r="B124" s="382" t="s">
        <v>101</v>
      </c>
      <c r="C124" s="382" t="s">
        <v>102</v>
      </c>
      <c r="D124" s="382" t="s">
        <v>18</v>
      </c>
      <c r="E124" s="397" t="s">
        <v>20</v>
      </c>
      <c r="F124" s="444" t="s">
        <v>111</v>
      </c>
      <c r="G124" s="387">
        <v>0.52</v>
      </c>
      <c r="H124" s="387">
        <f t="shared" si="30"/>
        <v>0.52</v>
      </c>
      <c r="I124" s="387" t="str">
        <f t="shared" si="31"/>
        <v/>
      </c>
      <c r="J124" s="387" t="str">
        <f t="shared" si="32"/>
        <v/>
      </c>
      <c r="K124" s="387" t="str">
        <f t="shared" si="33"/>
        <v/>
      </c>
      <c r="L124" s="387">
        <f t="shared" si="25"/>
        <v>1</v>
      </c>
      <c r="M124" s="388">
        <v>1</v>
      </c>
      <c r="N124" s="388"/>
      <c r="O124" s="388"/>
      <c r="P124" s="388"/>
      <c r="Q124" s="382"/>
      <c r="R124" s="385" t="str">
        <f t="shared" si="26"/>
        <v>T</v>
      </c>
      <c r="S124" s="389"/>
      <c r="T124" s="389"/>
      <c r="U124" s="389"/>
      <c r="V124" s="391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</row>
    <row r="125" spans="1:32" hidden="1" outlineLevel="3">
      <c r="A125" s="382"/>
      <c r="B125" s="382" t="s">
        <v>101</v>
      </c>
      <c r="C125" s="382" t="s">
        <v>102</v>
      </c>
      <c r="D125" s="382" t="s">
        <v>18</v>
      </c>
      <c r="E125" s="397" t="s">
        <v>20</v>
      </c>
      <c r="F125" s="444" t="s">
        <v>112</v>
      </c>
      <c r="G125" s="387">
        <v>0.52</v>
      </c>
      <c r="H125" s="387">
        <f t="shared" si="30"/>
        <v>0.52</v>
      </c>
      <c r="I125" s="387" t="str">
        <f t="shared" si="31"/>
        <v/>
      </c>
      <c r="J125" s="387" t="str">
        <f t="shared" si="32"/>
        <v/>
      </c>
      <c r="K125" s="387" t="str">
        <f t="shared" si="33"/>
        <v/>
      </c>
      <c r="L125" s="387">
        <f t="shared" si="25"/>
        <v>1</v>
      </c>
      <c r="M125" s="388">
        <v>1</v>
      </c>
      <c r="N125" s="388"/>
      <c r="O125" s="388"/>
      <c r="P125" s="388"/>
      <c r="Q125" s="382"/>
      <c r="R125" s="385" t="str">
        <f t="shared" si="26"/>
        <v>T</v>
      </c>
      <c r="S125" s="389"/>
      <c r="T125" s="389"/>
      <c r="U125" s="389"/>
      <c r="V125" s="391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</row>
    <row r="126" spans="1:32" hidden="1" outlineLevel="3">
      <c r="A126" s="382"/>
      <c r="B126" s="382" t="s">
        <v>101</v>
      </c>
      <c r="C126" s="382" t="s">
        <v>102</v>
      </c>
      <c r="D126" s="382" t="s">
        <v>18</v>
      </c>
      <c r="E126" s="397" t="s">
        <v>20</v>
      </c>
      <c r="F126" s="444" t="s">
        <v>69</v>
      </c>
      <c r="G126" s="387">
        <v>0.17</v>
      </c>
      <c r="H126" s="387">
        <f t="shared" si="30"/>
        <v>0.17</v>
      </c>
      <c r="I126" s="387" t="str">
        <f t="shared" si="31"/>
        <v/>
      </c>
      <c r="J126" s="387" t="str">
        <f t="shared" si="32"/>
        <v/>
      </c>
      <c r="K126" s="387" t="str">
        <f t="shared" si="33"/>
        <v/>
      </c>
      <c r="L126" s="387">
        <f t="shared" si="25"/>
        <v>1</v>
      </c>
      <c r="M126" s="388">
        <v>1</v>
      </c>
      <c r="N126" s="388"/>
      <c r="O126" s="388"/>
      <c r="P126" s="388"/>
      <c r="Q126" s="382"/>
      <c r="R126" s="385" t="str">
        <f t="shared" si="26"/>
        <v>T</v>
      </c>
      <c r="S126" s="389"/>
      <c r="T126" s="389"/>
      <c r="U126" s="389"/>
      <c r="V126" s="391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</row>
    <row r="127" spans="1:32" hidden="1" outlineLevel="3">
      <c r="A127" s="382"/>
      <c r="B127" s="382" t="s">
        <v>101</v>
      </c>
      <c r="C127" s="382" t="s">
        <v>102</v>
      </c>
      <c r="D127" s="382" t="s">
        <v>18</v>
      </c>
      <c r="E127" s="397" t="s">
        <v>20</v>
      </c>
      <c r="F127" s="444" t="s">
        <v>113</v>
      </c>
      <c r="G127" s="387">
        <v>0.48</v>
      </c>
      <c r="H127" s="387">
        <f t="shared" si="30"/>
        <v>0.48</v>
      </c>
      <c r="I127" s="387" t="str">
        <f t="shared" si="31"/>
        <v/>
      </c>
      <c r="J127" s="387" t="str">
        <f t="shared" si="32"/>
        <v/>
      </c>
      <c r="K127" s="387" t="str">
        <f t="shared" si="33"/>
        <v/>
      </c>
      <c r="L127" s="387">
        <f t="shared" ref="L127:L158" si="34">SUM(M127:P127)</f>
        <v>1</v>
      </c>
      <c r="M127" s="388">
        <v>1</v>
      </c>
      <c r="N127" s="388"/>
      <c r="O127" s="388"/>
      <c r="P127" s="388"/>
      <c r="Q127" s="382"/>
      <c r="R127" s="385" t="str">
        <f t="shared" si="26"/>
        <v>T</v>
      </c>
      <c r="S127" s="389"/>
      <c r="T127" s="389"/>
      <c r="U127" s="389"/>
      <c r="V127" s="391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</row>
    <row r="128" spans="1:32" hidden="1" outlineLevel="3">
      <c r="A128" s="382"/>
      <c r="B128" s="382" t="s">
        <v>101</v>
      </c>
      <c r="C128" s="382" t="s">
        <v>102</v>
      </c>
      <c r="D128" s="382" t="s">
        <v>18</v>
      </c>
      <c r="E128" s="397" t="s">
        <v>20</v>
      </c>
      <c r="F128" s="444" t="s">
        <v>114</v>
      </c>
      <c r="G128" s="387">
        <v>0.24</v>
      </c>
      <c r="H128" s="387">
        <f t="shared" si="30"/>
        <v>0.24</v>
      </c>
      <c r="I128" s="387" t="str">
        <f t="shared" si="31"/>
        <v/>
      </c>
      <c r="J128" s="387" t="str">
        <f t="shared" si="32"/>
        <v/>
      </c>
      <c r="K128" s="387" t="str">
        <f t="shared" si="33"/>
        <v/>
      </c>
      <c r="L128" s="387">
        <f t="shared" si="34"/>
        <v>1</v>
      </c>
      <c r="M128" s="388">
        <v>1</v>
      </c>
      <c r="N128" s="388"/>
      <c r="O128" s="388"/>
      <c r="P128" s="388"/>
      <c r="Q128" s="382"/>
      <c r="R128" s="385" t="str">
        <f t="shared" si="26"/>
        <v>T</v>
      </c>
      <c r="S128" s="389"/>
      <c r="T128" s="389"/>
      <c r="U128" s="389"/>
      <c r="V128" s="391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</row>
    <row r="129" spans="1:32" ht="26.45" hidden="1" outlineLevel="3">
      <c r="A129" s="382"/>
      <c r="B129" s="382" t="s">
        <v>101</v>
      </c>
      <c r="C129" s="382" t="s">
        <v>102</v>
      </c>
      <c r="D129" s="382" t="s">
        <v>18</v>
      </c>
      <c r="E129" s="397" t="s">
        <v>20</v>
      </c>
      <c r="F129" s="444" t="s">
        <v>115</v>
      </c>
      <c r="G129" s="387">
        <v>0.96</v>
      </c>
      <c r="H129" s="387">
        <f t="shared" si="30"/>
        <v>0.96</v>
      </c>
      <c r="I129" s="387" t="str">
        <f t="shared" si="31"/>
        <v/>
      </c>
      <c r="J129" s="387" t="str">
        <f t="shared" si="32"/>
        <v/>
      </c>
      <c r="K129" s="387" t="str">
        <f t="shared" si="33"/>
        <v/>
      </c>
      <c r="L129" s="387">
        <f t="shared" si="34"/>
        <v>1</v>
      </c>
      <c r="M129" s="388">
        <v>1</v>
      </c>
      <c r="N129" s="388"/>
      <c r="O129" s="388"/>
      <c r="P129" s="388"/>
      <c r="Q129" s="382"/>
      <c r="R129" s="385" t="str">
        <f t="shared" si="26"/>
        <v>T</v>
      </c>
      <c r="S129" s="389"/>
      <c r="T129" s="389"/>
      <c r="U129" s="389"/>
      <c r="V129" s="391"/>
      <c r="W129" s="389"/>
      <c r="X129" s="389"/>
      <c r="Y129" s="389"/>
      <c r="Z129" s="389"/>
      <c r="AA129" s="389"/>
      <c r="AB129" s="389"/>
      <c r="AC129" s="389"/>
      <c r="AD129" s="389"/>
      <c r="AE129" s="389"/>
      <c r="AF129" s="389"/>
    </row>
    <row r="130" spans="1:32" hidden="1" outlineLevel="3">
      <c r="A130" s="382"/>
      <c r="B130" s="382" t="s">
        <v>101</v>
      </c>
      <c r="C130" s="382" t="s">
        <v>102</v>
      </c>
      <c r="D130" s="382" t="s">
        <v>18</v>
      </c>
      <c r="E130" s="397" t="s">
        <v>20</v>
      </c>
      <c r="F130" s="444" t="s">
        <v>116</v>
      </c>
      <c r="G130" s="387">
        <v>0.02</v>
      </c>
      <c r="H130" s="387" t="str">
        <f t="shared" si="30"/>
        <v/>
      </c>
      <c r="I130" s="387">
        <f t="shared" si="31"/>
        <v>0.02</v>
      </c>
      <c r="J130" s="387" t="str">
        <f t="shared" si="32"/>
        <v/>
      </c>
      <c r="K130" s="387" t="str">
        <f t="shared" si="33"/>
        <v/>
      </c>
      <c r="L130" s="387">
        <f t="shared" si="34"/>
        <v>1</v>
      </c>
      <c r="M130" s="388"/>
      <c r="N130" s="388">
        <v>1</v>
      </c>
      <c r="O130" s="388"/>
      <c r="P130" s="388"/>
      <c r="Q130" s="382"/>
      <c r="R130" s="385" t="str">
        <f t="shared" si="26"/>
        <v>T</v>
      </c>
      <c r="S130" s="389"/>
      <c r="T130" s="389"/>
      <c r="U130" s="389"/>
      <c r="V130" s="391"/>
      <c r="W130" s="389"/>
      <c r="X130" s="389"/>
      <c r="Y130" s="389"/>
      <c r="Z130" s="389"/>
      <c r="AA130" s="389"/>
      <c r="AB130" s="389"/>
      <c r="AC130" s="389"/>
      <c r="AD130" s="389"/>
      <c r="AE130" s="389"/>
      <c r="AF130" s="389"/>
    </row>
    <row r="131" spans="1:32" hidden="1" outlineLevel="3">
      <c r="A131" s="382"/>
      <c r="B131" s="382" t="s">
        <v>101</v>
      </c>
      <c r="C131" s="382" t="s">
        <v>102</v>
      </c>
      <c r="D131" s="382" t="s">
        <v>18</v>
      </c>
      <c r="E131" s="397" t="s">
        <v>20</v>
      </c>
      <c r="F131" s="444" t="s">
        <v>64</v>
      </c>
      <c r="G131" s="387">
        <v>0.03</v>
      </c>
      <c r="H131" s="387">
        <f t="shared" si="30"/>
        <v>0.03</v>
      </c>
      <c r="I131" s="387" t="str">
        <f t="shared" si="31"/>
        <v/>
      </c>
      <c r="J131" s="387" t="str">
        <f t="shared" si="32"/>
        <v/>
      </c>
      <c r="K131" s="387" t="str">
        <f t="shared" si="33"/>
        <v/>
      </c>
      <c r="L131" s="387">
        <f t="shared" si="34"/>
        <v>1</v>
      </c>
      <c r="M131" s="388">
        <v>1</v>
      </c>
      <c r="N131" s="388"/>
      <c r="O131" s="388"/>
      <c r="P131" s="388"/>
      <c r="Q131" s="382"/>
      <c r="R131" s="385" t="str">
        <f t="shared" si="26"/>
        <v>T</v>
      </c>
      <c r="S131" s="389"/>
      <c r="T131" s="389"/>
      <c r="U131" s="389"/>
      <c r="V131" s="391"/>
      <c r="W131" s="389"/>
      <c r="X131" s="389"/>
      <c r="Y131" s="389"/>
      <c r="Z131" s="389"/>
      <c r="AA131" s="389"/>
      <c r="AB131" s="389"/>
      <c r="AC131" s="389"/>
      <c r="AD131" s="389"/>
      <c r="AE131" s="389"/>
      <c r="AF131" s="389"/>
    </row>
    <row r="132" spans="1:32" hidden="1" outlineLevel="3">
      <c r="A132" s="382"/>
      <c r="B132" s="382" t="s">
        <v>101</v>
      </c>
      <c r="C132" s="382" t="s">
        <v>102</v>
      </c>
      <c r="D132" s="382" t="s">
        <v>18</v>
      </c>
      <c r="E132" s="397" t="s">
        <v>20</v>
      </c>
      <c r="F132" s="444" t="s">
        <v>97</v>
      </c>
      <c r="G132" s="387">
        <v>0.03</v>
      </c>
      <c r="H132" s="387">
        <f t="shared" si="30"/>
        <v>0.03</v>
      </c>
      <c r="I132" s="387" t="str">
        <f t="shared" si="31"/>
        <v/>
      </c>
      <c r="J132" s="387" t="str">
        <f t="shared" si="32"/>
        <v/>
      </c>
      <c r="K132" s="387" t="str">
        <f t="shared" si="33"/>
        <v/>
      </c>
      <c r="L132" s="387">
        <f t="shared" si="34"/>
        <v>1</v>
      </c>
      <c r="M132" s="388">
        <v>1</v>
      </c>
      <c r="N132" s="388"/>
      <c r="O132" s="388"/>
      <c r="P132" s="388"/>
      <c r="Q132" s="382"/>
      <c r="R132" s="385" t="str">
        <f t="shared" si="26"/>
        <v>T</v>
      </c>
      <c r="S132" s="389"/>
      <c r="T132" s="389"/>
      <c r="U132" s="389"/>
      <c r="V132" s="391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</row>
    <row r="133" spans="1:32" hidden="1" outlineLevel="3">
      <c r="A133" s="382"/>
      <c r="B133" s="382" t="s">
        <v>101</v>
      </c>
      <c r="C133" s="382" t="s">
        <v>102</v>
      </c>
      <c r="D133" s="382" t="s">
        <v>18</v>
      </c>
      <c r="E133" s="397" t="s">
        <v>20</v>
      </c>
      <c r="F133" s="444" t="s">
        <v>117</v>
      </c>
      <c r="G133" s="387">
        <v>1.4999999999999999E-2</v>
      </c>
      <c r="H133" s="387">
        <f t="shared" si="30"/>
        <v>1.4999999999999999E-2</v>
      </c>
      <c r="I133" s="387" t="str">
        <f t="shared" si="31"/>
        <v/>
      </c>
      <c r="J133" s="387" t="str">
        <f t="shared" si="32"/>
        <v/>
      </c>
      <c r="K133" s="387" t="str">
        <f t="shared" si="33"/>
        <v/>
      </c>
      <c r="L133" s="387">
        <f t="shared" si="34"/>
        <v>1</v>
      </c>
      <c r="M133" s="388">
        <v>1</v>
      </c>
      <c r="N133" s="388"/>
      <c r="O133" s="388"/>
      <c r="P133" s="388"/>
      <c r="Q133" s="382"/>
      <c r="R133" s="385" t="str">
        <f t="shared" si="26"/>
        <v>T</v>
      </c>
      <c r="S133" s="389"/>
      <c r="T133" s="389"/>
      <c r="U133" s="389"/>
      <c r="V133" s="391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</row>
    <row r="134" spans="1:32" hidden="1" outlineLevel="3">
      <c r="A134" s="382"/>
      <c r="B134" s="382" t="s">
        <v>101</v>
      </c>
      <c r="C134" s="382" t="s">
        <v>102</v>
      </c>
      <c r="D134" s="382" t="s">
        <v>18</v>
      </c>
      <c r="E134" s="397" t="s">
        <v>20</v>
      </c>
      <c r="F134" s="444" t="s">
        <v>118</v>
      </c>
      <c r="G134" s="387">
        <v>1.4999999999999999E-2</v>
      </c>
      <c r="H134" s="387">
        <f t="shared" si="30"/>
        <v>1.4999999999999999E-2</v>
      </c>
      <c r="I134" s="387" t="str">
        <f t="shared" si="31"/>
        <v/>
      </c>
      <c r="J134" s="387" t="str">
        <f t="shared" si="32"/>
        <v/>
      </c>
      <c r="K134" s="387" t="str">
        <f t="shared" si="33"/>
        <v/>
      </c>
      <c r="L134" s="387">
        <f t="shared" si="34"/>
        <v>1</v>
      </c>
      <c r="M134" s="388">
        <v>1</v>
      </c>
      <c r="N134" s="388"/>
      <c r="O134" s="388"/>
      <c r="P134" s="388"/>
      <c r="Q134" s="382"/>
      <c r="R134" s="385" t="str">
        <f t="shared" si="26"/>
        <v>T</v>
      </c>
      <c r="S134" s="389"/>
      <c r="T134" s="389"/>
      <c r="U134" s="389"/>
      <c r="V134" s="391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</row>
    <row r="135" spans="1:32" hidden="1" outlineLevel="3">
      <c r="A135" s="382"/>
      <c r="B135" s="382" t="s">
        <v>101</v>
      </c>
      <c r="C135" s="382" t="s">
        <v>102</v>
      </c>
      <c r="D135" s="382" t="s">
        <v>18</v>
      </c>
      <c r="E135" s="397" t="s">
        <v>20</v>
      </c>
      <c r="F135" s="444" t="s">
        <v>96</v>
      </c>
      <c r="G135" s="387">
        <v>0.1</v>
      </c>
      <c r="H135" s="387">
        <f t="shared" si="30"/>
        <v>0.1</v>
      </c>
      <c r="I135" s="387" t="str">
        <f t="shared" si="31"/>
        <v/>
      </c>
      <c r="J135" s="387" t="str">
        <f t="shared" si="32"/>
        <v/>
      </c>
      <c r="K135" s="387" t="str">
        <f t="shared" si="33"/>
        <v/>
      </c>
      <c r="L135" s="387">
        <f t="shared" si="34"/>
        <v>1</v>
      </c>
      <c r="M135" s="388">
        <v>1</v>
      </c>
      <c r="N135" s="388"/>
      <c r="O135" s="388"/>
      <c r="P135" s="388"/>
      <c r="Q135" s="382"/>
      <c r="R135" s="385" t="str">
        <f t="shared" si="26"/>
        <v>T</v>
      </c>
      <c r="S135" s="389"/>
      <c r="T135" s="389"/>
      <c r="U135" s="389"/>
      <c r="V135" s="391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</row>
    <row r="136" spans="1:32" hidden="1" outlineLevel="3">
      <c r="A136" s="382"/>
      <c r="B136" s="382" t="s">
        <v>101</v>
      </c>
      <c r="C136" s="382" t="s">
        <v>102</v>
      </c>
      <c r="D136" s="382" t="s">
        <v>18</v>
      </c>
      <c r="E136" s="397" t="s">
        <v>20</v>
      </c>
      <c r="F136" s="444" t="s">
        <v>119</v>
      </c>
      <c r="G136" s="387">
        <v>0.1</v>
      </c>
      <c r="H136" s="387" t="str">
        <f t="shared" si="30"/>
        <v/>
      </c>
      <c r="I136" s="387">
        <f t="shared" si="31"/>
        <v>0.1</v>
      </c>
      <c r="J136" s="387" t="str">
        <f t="shared" si="32"/>
        <v/>
      </c>
      <c r="K136" s="387" t="str">
        <f t="shared" si="33"/>
        <v/>
      </c>
      <c r="L136" s="387">
        <f t="shared" si="34"/>
        <v>1</v>
      </c>
      <c r="M136" s="409"/>
      <c r="N136" s="409">
        <v>1</v>
      </c>
      <c r="O136" s="409"/>
      <c r="P136" s="409"/>
      <c r="Q136" s="382"/>
      <c r="R136" s="385" t="str">
        <f t="shared" si="26"/>
        <v>T</v>
      </c>
      <c r="S136" s="389"/>
      <c r="T136" s="389"/>
      <c r="U136" s="389"/>
      <c r="V136" s="391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</row>
    <row r="137" spans="1:32" hidden="1" outlineLevel="3">
      <c r="A137" s="382"/>
      <c r="B137" s="382" t="s">
        <v>101</v>
      </c>
      <c r="C137" s="382" t="s">
        <v>102</v>
      </c>
      <c r="D137" s="382" t="s">
        <v>18</v>
      </c>
      <c r="E137" s="397" t="s">
        <v>20</v>
      </c>
      <c r="F137" s="444" t="s">
        <v>120</v>
      </c>
      <c r="G137" s="387">
        <v>0.1</v>
      </c>
      <c r="H137" s="387" t="str">
        <f t="shared" si="30"/>
        <v/>
      </c>
      <c r="I137" s="387" t="str">
        <f t="shared" si="31"/>
        <v/>
      </c>
      <c r="J137" s="387">
        <f t="shared" si="32"/>
        <v>0.1</v>
      </c>
      <c r="K137" s="387" t="str">
        <f t="shared" si="33"/>
        <v/>
      </c>
      <c r="L137" s="387">
        <f t="shared" si="34"/>
        <v>1</v>
      </c>
      <c r="M137" s="388"/>
      <c r="N137" s="388"/>
      <c r="O137" s="388">
        <v>1</v>
      </c>
      <c r="P137" s="388"/>
      <c r="Q137" s="382"/>
      <c r="R137" s="385" t="str">
        <f t="shared" si="26"/>
        <v>T</v>
      </c>
      <c r="S137" s="389"/>
      <c r="T137" s="389"/>
      <c r="U137" s="389"/>
      <c r="V137" s="391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</row>
    <row r="138" spans="1:32" hidden="1" outlineLevel="3">
      <c r="A138" s="382"/>
      <c r="B138" s="382" t="s">
        <v>101</v>
      </c>
      <c r="C138" s="382" t="s">
        <v>102</v>
      </c>
      <c r="D138" s="382" t="s">
        <v>18</v>
      </c>
      <c r="E138" s="397" t="s">
        <v>20</v>
      </c>
      <c r="F138" s="444" t="s">
        <v>121</v>
      </c>
      <c r="G138" s="387"/>
      <c r="H138" s="387" t="str">
        <f t="shared" si="30"/>
        <v/>
      </c>
      <c r="I138" s="387" t="str">
        <f t="shared" si="31"/>
        <v/>
      </c>
      <c r="J138" s="387">
        <f t="shared" si="32"/>
        <v>0</v>
      </c>
      <c r="K138" s="387" t="str">
        <f t="shared" si="33"/>
        <v/>
      </c>
      <c r="L138" s="387">
        <f t="shared" si="34"/>
        <v>1</v>
      </c>
      <c r="M138" s="388"/>
      <c r="N138" s="388"/>
      <c r="O138" s="388">
        <v>1</v>
      </c>
      <c r="P138" s="388"/>
      <c r="Q138" s="382"/>
      <c r="R138" s="385" t="str">
        <f t="shared" si="26"/>
        <v>T</v>
      </c>
      <c r="S138" s="389"/>
      <c r="T138" s="389"/>
      <c r="U138" s="389"/>
      <c r="V138" s="391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</row>
    <row r="139" spans="1:32" hidden="1" outlineLevel="3">
      <c r="A139" s="382"/>
      <c r="B139" s="382" t="s">
        <v>101</v>
      </c>
      <c r="C139" s="382" t="s">
        <v>102</v>
      </c>
      <c r="D139" s="382" t="s">
        <v>18</v>
      </c>
      <c r="E139" s="397" t="s">
        <v>20</v>
      </c>
      <c r="F139" s="444" t="s">
        <v>122</v>
      </c>
      <c r="G139" s="387"/>
      <c r="H139" s="387" t="str">
        <f t="shared" si="30"/>
        <v/>
      </c>
      <c r="I139" s="387" t="str">
        <f t="shared" si="31"/>
        <v/>
      </c>
      <c r="J139" s="387">
        <f t="shared" si="32"/>
        <v>0</v>
      </c>
      <c r="K139" s="387" t="str">
        <f t="shared" si="33"/>
        <v/>
      </c>
      <c r="L139" s="387">
        <f t="shared" si="34"/>
        <v>1</v>
      </c>
      <c r="M139" s="388"/>
      <c r="N139" s="388"/>
      <c r="O139" s="388">
        <v>1</v>
      </c>
      <c r="P139" s="388"/>
      <c r="Q139" s="382"/>
      <c r="R139" s="385" t="str">
        <f t="shared" si="26"/>
        <v>T</v>
      </c>
      <c r="S139" s="389"/>
      <c r="T139" s="389"/>
      <c r="U139" s="389"/>
      <c r="V139" s="391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</row>
    <row r="140" spans="1:32" hidden="1" outlineLevel="2" collapsed="1">
      <c r="A140" s="382"/>
      <c r="B140" s="382" t="s">
        <v>101</v>
      </c>
      <c r="C140" s="382" t="s">
        <v>102</v>
      </c>
      <c r="D140" s="382" t="s">
        <v>26</v>
      </c>
      <c r="E140" s="382"/>
      <c r="F140" s="444" t="s">
        <v>87</v>
      </c>
      <c r="G140" s="387">
        <f>SUM(G141:G147)</f>
        <v>1.7000000000000002</v>
      </c>
      <c r="H140" s="387">
        <f>SUM(H141:H147)</f>
        <v>1.7000000000000002</v>
      </c>
      <c r="I140" s="387">
        <f>SUM(I141:I147)</f>
        <v>0</v>
      </c>
      <c r="J140" s="387">
        <f>SUM(J141:J147)</f>
        <v>0</v>
      </c>
      <c r="K140" s="387">
        <f>SUM(K141:K147)</f>
        <v>0</v>
      </c>
      <c r="L140" s="387">
        <f t="shared" si="34"/>
        <v>7</v>
      </c>
      <c r="M140" s="388">
        <f>SUM(M141:M147)</f>
        <v>7</v>
      </c>
      <c r="N140" s="388">
        <f>SUM(N141:N147)</f>
        <v>0</v>
      </c>
      <c r="O140" s="388">
        <f>SUM(O141:O147)</f>
        <v>0</v>
      </c>
      <c r="P140" s="388">
        <f>SUM(P141:P147)</f>
        <v>0</v>
      </c>
      <c r="Q140" s="382"/>
      <c r="R140" s="385" t="str">
        <f t="shared" si="26"/>
        <v>T</v>
      </c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</row>
    <row r="141" spans="1:32" hidden="1" outlineLevel="3">
      <c r="A141" s="382"/>
      <c r="B141" s="382" t="s">
        <v>101</v>
      </c>
      <c r="C141" s="382" t="s">
        <v>102</v>
      </c>
      <c r="D141" s="382" t="s">
        <v>26</v>
      </c>
      <c r="E141" s="382" t="s">
        <v>27</v>
      </c>
      <c r="F141" s="444" t="s">
        <v>113</v>
      </c>
      <c r="G141" s="410">
        <v>0.2</v>
      </c>
      <c r="H141" s="387">
        <f t="shared" ref="H141:K147" si="35">IF(M141=1,$G141,"")</f>
        <v>0.2</v>
      </c>
      <c r="I141" s="387" t="str">
        <f t="shared" si="35"/>
        <v/>
      </c>
      <c r="J141" s="387" t="str">
        <f t="shared" si="35"/>
        <v/>
      </c>
      <c r="K141" s="387" t="str">
        <f t="shared" si="35"/>
        <v/>
      </c>
      <c r="L141" s="410">
        <f t="shared" si="34"/>
        <v>1</v>
      </c>
      <c r="M141" s="388">
        <v>1</v>
      </c>
      <c r="N141" s="388"/>
      <c r="O141" s="388"/>
      <c r="P141" s="388"/>
      <c r="Q141" s="382"/>
      <c r="R141" s="385" t="str">
        <f t="shared" si="26"/>
        <v>T</v>
      </c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</row>
    <row r="142" spans="1:32" hidden="1" outlineLevel="3">
      <c r="A142" s="382"/>
      <c r="B142" s="382" t="s">
        <v>101</v>
      </c>
      <c r="C142" s="382" t="s">
        <v>102</v>
      </c>
      <c r="D142" s="382" t="s">
        <v>26</v>
      </c>
      <c r="E142" s="382" t="s">
        <v>27</v>
      </c>
      <c r="F142" s="444" t="s">
        <v>114</v>
      </c>
      <c r="G142" s="410">
        <v>0.4</v>
      </c>
      <c r="H142" s="387">
        <f t="shared" si="35"/>
        <v>0.4</v>
      </c>
      <c r="I142" s="387" t="str">
        <f t="shared" si="35"/>
        <v/>
      </c>
      <c r="J142" s="387" t="str">
        <f t="shared" si="35"/>
        <v/>
      </c>
      <c r="K142" s="387" t="str">
        <f t="shared" si="35"/>
        <v/>
      </c>
      <c r="L142" s="410">
        <f t="shared" si="34"/>
        <v>1</v>
      </c>
      <c r="M142" s="409">
        <v>1</v>
      </c>
      <c r="N142" s="409"/>
      <c r="O142" s="409"/>
      <c r="P142" s="409"/>
      <c r="Q142" s="382"/>
      <c r="R142" s="385" t="str">
        <f t="shared" si="26"/>
        <v>T</v>
      </c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</row>
    <row r="143" spans="1:32" hidden="1" outlineLevel="3">
      <c r="A143" s="382"/>
      <c r="B143" s="382" t="s">
        <v>101</v>
      </c>
      <c r="C143" s="382" t="s">
        <v>102</v>
      </c>
      <c r="D143" s="382" t="s">
        <v>26</v>
      </c>
      <c r="E143" s="382" t="s">
        <v>27</v>
      </c>
      <c r="F143" s="444" t="s">
        <v>123</v>
      </c>
      <c r="G143" s="410">
        <v>0.32</v>
      </c>
      <c r="H143" s="387">
        <f t="shared" si="35"/>
        <v>0.32</v>
      </c>
      <c r="I143" s="387" t="str">
        <f t="shared" si="35"/>
        <v/>
      </c>
      <c r="J143" s="387" t="str">
        <f t="shared" si="35"/>
        <v/>
      </c>
      <c r="K143" s="387" t="str">
        <f t="shared" si="35"/>
        <v/>
      </c>
      <c r="L143" s="410">
        <f t="shared" si="34"/>
        <v>1</v>
      </c>
      <c r="M143" s="409">
        <v>1</v>
      </c>
      <c r="N143" s="409"/>
      <c r="O143" s="409"/>
      <c r="P143" s="409"/>
      <c r="Q143" s="382"/>
      <c r="R143" s="385" t="str">
        <f t="shared" si="26"/>
        <v>T</v>
      </c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</row>
    <row r="144" spans="1:32" hidden="1" outlineLevel="3">
      <c r="A144" s="382"/>
      <c r="B144" s="382" t="s">
        <v>101</v>
      </c>
      <c r="C144" s="382" t="s">
        <v>102</v>
      </c>
      <c r="D144" s="382" t="s">
        <v>26</v>
      </c>
      <c r="E144" s="382" t="s">
        <v>27</v>
      </c>
      <c r="F144" s="444" t="s">
        <v>124</v>
      </c>
      <c r="G144" s="410">
        <v>0.32</v>
      </c>
      <c r="H144" s="387">
        <f t="shared" si="35"/>
        <v>0.32</v>
      </c>
      <c r="I144" s="387" t="str">
        <f t="shared" si="35"/>
        <v/>
      </c>
      <c r="J144" s="387" t="str">
        <f t="shared" si="35"/>
        <v/>
      </c>
      <c r="K144" s="387" t="str">
        <f t="shared" si="35"/>
        <v/>
      </c>
      <c r="L144" s="410">
        <f t="shared" si="34"/>
        <v>1</v>
      </c>
      <c r="M144" s="409">
        <v>1</v>
      </c>
      <c r="N144" s="409"/>
      <c r="O144" s="409"/>
      <c r="P144" s="409"/>
      <c r="Q144" s="382"/>
      <c r="R144" s="385" t="str">
        <f t="shared" si="26"/>
        <v>T</v>
      </c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</row>
    <row r="145" spans="1:32" hidden="1" outlineLevel="3">
      <c r="A145" s="382"/>
      <c r="B145" s="382" t="s">
        <v>101</v>
      </c>
      <c r="C145" s="382" t="s">
        <v>102</v>
      </c>
      <c r="D145" s="382" t="s">
        <v>26</v>
      </c>
      <c r="E145" s="382" t="s">
        <v>27</v>
      </c>
      <c r="F145" s="444" t="s">
        <v>125</v>
      </c>
      <c r="G145" s="410">
        <v>0.43</v>
      </c>
      <c r="H145" s="387">
        <f t="shared" si="35"/>
        <v>0.43</v>
      </c>
      <c r="I145" s="387" t="str">
        <f t="shared" si="35"/>
        <v/>
      </c>
      <c r="J145" s="387" t="str">
        <f t="shared" si="35"/>
        <v/>
      </c>
      <c r="K145" s="387" t="str">
        <f t="shared" si="35"/>
        <v/>
      </c>
      <c r="L145" s="410">
        <f t="shared" si="34"/>
        <v>1</v>
      </c>
      <c r="M145" s="409">
        <v>1</v>
      </c>
      <c r="N145" s="409"/>
      <c r="O145" s="409"/>
      <c r="P145" s="409"/>
      <c r="Q145" s="382"/>
      <c r="R145" s="385" t="str">
        <f t="shared" si="26"/>
        <v>T</v>
      </c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</row>
    <row r="146" spans="1:32" hidden="1" outlineLevel="3">
      <c r="A146" s="382"/>
      <c r="B146" s="382" t="s">
        <v>101</v>
      </c>
      <c r="C146" s="382" t="s">
        <v>102</v>
      </c>
      <c r="D146" s="382" t="s">
        <v>26</v>
      </c>
      <c r="E146" s="382" t="s">
        <v>27</v>
      </c>
      <c r="F146" s="444" t="s">
        <v>96</v>
      </c>
      <c r="G146" s="410">
        <v>0.02</v>
      </c>
      <c r="H146" s="387">
        <f t="shared" si="35"/>
        <v>0.02</v>
      </c>
      <c r="I146" s="387" t="str">
        <f t="shared" si="35"/>
        <v/>
      </c>
      <c r="J146" s="387" t="str">
        <f t="shared" si="35"/>
        <v/>
      </c>
      <c r="K146" s="387" t="str">
        <f t="shared" si="35"/>
        <v/>
      </c>
      <c r="L146" s="410">
        <f t="shared" si="34"/>
        <v>1</v>
      </c>
      <c r="M146" s="388">
        <v>1</v>
      </c>
      <c r="N146" s="388"/>
      <c r="O146" s="388"/>
      <c r="P146" s="388"/>
      <c r="Q146" s="382"/>
      <c r="R146" s="385" t="str">
        <f t="shared" si="26"/>
        <v>T</v>
      </c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</row>
    <row r="147" spans="1:32" hidden="1" outlineLevel="3">
      <c r="A147" s="382"/>
      <c r="B147" s="382" t="s">
        <v>101</v>
      </c>
      <c r="C147" s="382" t="s">
        <v>102</v>
      </c>
      <c r="D147" s="382" t="s">
        <v>26</v>
      </c>
      <c r="E147" s="382" t="s">
        <v>27</v>
      </c>
      <c r="F147" s="444" t="s">
        <v>97</v>
      </c>
      <c r="G147" s="410">
        <v>0.01</v>
      </c>
      <c r="H147" s="387">
        <f t="shared" si="35"/>
        <v>0.01</v>
      </c>
      <c r="I147" s="387" t="str">
        <f t="shared" si="35"/>
        <v/>
      </c>
      <c r="J147" s="387" t="str">
        <f t="shared" si="35"/>
        <v/>
      </c>
      <c r="K147" s="387" t="str">
        <f t="shared" si="35"/>
        <v/>
      </c>
      <c r="L147" s="410">
        <f t="shared" si="34"/>
        <v>1</v>
      </c>
      <c r="M147" s="388">
        <v>1</v>
      </c>
      <c r="N147" s="388"/>
      <c r="O147" s="388"/>
      <c r="P147" s="388"/>
      <c r="Q147" s="382"/>
      <c r="R147" s="385" t="str">
        <f t="shared" si="26"/>
        <v>T</v>
      </c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</row>
    <row r="148" spans="1:32" hidden="1" outlineLevel="2" collapsed="1">
      <c r="A148" s="382"/>
      <c r="B148" s="382" t="s">
        <v>101</v>
      </c>
      <c r="C148" s="382" t="s">
        <v>102</v>
      </c>
      <c r="D148" s="382" t="s">
        <v>28</v>
      </c>
      <c r="E148" s="382"/>
      <c r="F148" s="440" t="s">
        <v>126</v>
      </c>
      <c r="G148" s="387">
        <f>SUM(G149:G162)</f>
        <v>0.97687999999999986</v>
      </c>
      <c r="H148" s="387">
        <f>SUM(H149:H162)</f>
        <v>0.14000000000000001</v>
      </c>
      <c r="I148" s="387">
        <f>SUM(I149:I162)</f>
        <v>0.53547999999999996</v>
      </c>
      <c r="J148" s="387">
        <f>SUM(J149:J162)</f>
        <v>0.3014</v>
      </c>
      <c r="K148" s="387">
        <f>SUM(K149:K162)</f>
        <v>0</v>
      </c>
      <c r="L148" s="387">
        <f t="shared" si="34"/>
        <v>14</v>
      </c>
      <c r="M148" s="388">
        <f>SUM(M149:M162)</f>
        <v>3</v>
      </c>
      <c r="N148" s="388">
        <f>SUM(N149:N162)</f>
        <v>7</v>
      </c>
      <c r="O148" s="388">
        <f>SUM(O149:O162)</f>
        <v>4</v>
      </c>
      <c r="P148" s="388">
        <f>SUM(P149:P162)</f>
        <v>0</v>
      </c>
      <c r="Q148" s="382"/>
      <c r="R148" s="385" t="str">
        <f t="shared" si="26"/>
        <v>T</v>
      </c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</row>
    <row r="149" spans="1:32" hidden="1" outlineLevel="3">
      <c r="A149" s="382"/>
      <c r="B149" s="382" t="s">
        <v>101</v>
      </c>
      <c r="C149" s="382" t="s">
        <v>102</v>
      </c>
      <c r="D149" s="382" t="s">
        <v>28</v>
      </c>
      <c r="E149" s="382" t="s">
        <v>29</v>
      </c>
      <c r="F149" s="444" t="s">
        <v>113</v>
      </c>
      <c r="G149" s="430">
        <v>8.5739999999999997E-2</v>
      </c>
      <c r="H149" s="411" t="str">
        <f t="shared" ref="H149:H162" si="36">IF(M149=1,$G149,"")</f>
        <v/>
      </c>
      <c r="I149" s="411">
        <f t="shared" ref="I149:I162" si="37">IF(N149=1,$G149,"")</f>
        <v>8.5739999999999997E-2</v>
      </c>
      <c r="J149" s="411" t="str">
        <f t="shared" ref="J149:J162" si="38">IF(O149=1,$G149,"")</f>
        <v/>
      </c>
      <c r="K149" s="411" t="str">
        <f t="shared" ref="K149:K162" si="39">IF(P149=1,$G149,"")</f>
        <v/>
      </c>
      <c r="L149" s="430">
        <f t="shared" si="34"/>
        <v>1</v>
      </c>
      <c r="M149" s="409"/>
      <c r="N149" s="409">
        <v>1</v>
      </c>
      <c r="O149" s="409"/>
      <c r="P149" s="409"/>
      <c r="Q149" s="382"/>
      <c r="R149" s="385" t="str">
        <f t="shared" si="26"/>
        <v>T</v>
      </c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</row>
    <row r="150" spans="1:32" hidden="1" outlineLevel="3">
      <c r="A150" s="382"/>
      <c r="B150" s="382" t="s">
        <v>101</v>
      </c>
      <c r="C150" s="382" t="s">
        <v>102</v>
      </c>
      <c r="D150" s="382" t="s">
        <v>28</v>
      </c>
      <c r="E150" s="382" t="s">
        <v>29</v>
      </c>
      <c r="F150" s="444" t="s">
        <v>114</v>
      </c>
      <c r="G150" s="430">
        <v>8.5739999999999997E-2</v>
      </c>
      <c r="H150" s="411" t="str">
        <f t="shared" si="36"/>
        <v/>
      </c>
      <c r="I150" s="411">
        <f t="shared" si="37"/>
        <v>8.5739999999999997E-2</v>
      </c>
      <c r="J150" s="411" t="str">
        <f t="shared" si="38"/>
        <v/>
      </c>
      <c r="K150" s="411" t="str">
        <f t="shared" si="39"/>
        <v/>
      </c>
      <c r="L150" s="430">
        <f t="shared" si="34"/>
        <v>1</v>
      </c>
      <c r="M150" s="409"/>
      <c r="N150" s="409">
        <v>1</v>
      </c>
      <c r="O150" s="409"/>
      <c r="P150" s="409"/>
      <c r="Q150" s="382"/>
      <c r="R150" s="385" t="str">
        <f t="shared" si="26"/>
        <v>T</v>
      </c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</row>
    <row r="151" spans="1:32" hidden="1" outlineLevel="3">
      <c r="A151" s="382"/>
      <c r="B151" s="382" t="s">
        <v>101</v>
      </c>
      <c r="C151" s="382" t="s">
        <v>102</v>
      </c>
      <c r="D151" s="382" t="s">
        <v>28</v>
      </c>
      <c r="E151" s="382" t="s">
        <v>29</v>
      </c>
      <c r="F151" s="519" t="s">
        <v>127</v>
      </c>
      <c r="G151" s="410">
        <v>0.02</v>
      </c>
      <c r="H151" s="387">
        <f t="shared" si="36"/>
        <v>0.02</v>
      </c>
      <c r="I151" s="387" t="str">
        <f t="shared" si="37"/>
        <v/>
      </c>
      <c r="J151" s="387" t="str">
        <f t="shared" si="38"/>
        <v/>
      </c>
      <c r="K151" s="387" t="str">
        <f t="shared" si="39"/>
        <v/>
      </c>
      <c r="L151" s="410">
        <f t="shared" si="34"/>
        <v>1</v>
      </c>
      <c r="M151" s="388">
        <v>1</v>
      </c>
      <c r="N151" s="388"/>
      <c r="O151" s="388"/>
      <c r="P151" s="388"/>
      <c r="Q151" s="382"/>
      <c r="R151" s="385" t="str">
        <f t="shared" si="26"/>
        <v>T</v>
      </c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</row>
    <row r="152" spans="1:32" hidden="1" outlineLevel="3">
      <c r="A152" s="382"/>
      <c r="B152" s="382" t="s">
        <v>101</v>
      </c>
      <c r="C152" s="382" t="s">
        <v>102</v>
      </c>
      <c r="D152" s="382" t="s">
        <v>28</v>
      </c>
      <c r="E152" s="382" t="s">
        <v>29</v>
      </c>
      <c r="F152" s="444" t="s">
        <v>128</v>
      </c>
      <c r="G152" s="410">
        <v>0.06</v>
      </c>
      <c r="H152" s="387">
        <f t="shared" si="36"/>
        <v>0.06</v>
      </c>
      <c r="I152" s="387" t="str">
        <f t="shared" si="37"/>
        <v/>
      </c>
      <c r="J152" s="387" t="str">
        <f t="shared" si="38"/>
        <v/>
      </c>
      <c r="K152" s="387" t="str">
        <f t="shared" si="39"/>
        <v/>
      </c>
      <c r="L152" s="410">
        <f t="shared" si="34"/>
        <v>1</v>
      </c>
      <c r="M152" s="388">
        <v>1</v>
      </c>
      <c r="N152" s="388"/>
      <c r="O152" s="388"/>
      <c r="P152" s="388"/>
      <c r="Q152" s="382"/>
      <c r="R152" s="385" t="str">
        <f t="shared" si="26"/>
        <v>T</v>
      </c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</row>
    <row r="153" spans="1:32" hidden="1" outlineLevel="3">
      <c r="A153" s="382"/>
      <c r="B153" s="382" t="s">
        <v>101</v>
      </c>
      <c r="C153" s="382" t="s">
        <v>102</v>
      </c>
      <c r="D153" s="382" t="s">
        <v>28</v>
      </c>
      <c r="E153" s="382" t="s">
        <v>29</v>
      </c>
      <c r="F153" s="444" t="s">
        <v>129</v>
      </c>
      <c r="G153" s="410">
        <v>0.06</v>
      </c>
      <c r="H153" s="387">
        <f t="shared" si="36"/>
        <v>0.06</v>
      </c>
      <c r="I153" s="387" t="str">
        <f t="shared" si="37"/>
        <v/>
      </c>
      <c r="J153" s="387" t="str">
        <f t="shared" si="38"/>
        <v/>
      </c>
      <c r="K153" s="387" t="str">
        <f t="shared" si="39"/>
        <v/>
      </c>
      <c r="L153" s="410">
        <f t="shared" si="34"/>
        <v>1</v>
      </c>
      <c r="M153" s="388">
        <v>1</v>
      </c>
      <c r="N153" s="388"/>
      <c r="O153" s="388"/>
      <c r="P153" s="388"/>
      <c r="Q153" s="382"/>
      <c r="R153" s="385" t="str">
        <f t="shared" si="26"/>
        <v>T</v>
      </c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</row>
    <row r="154" spans="1:32" hidden="1" outlineLevel="3">
      <c r="A154" s="382"/>
      <c r="B154" s="382" t="s">
        <v>101</v>
      </c>
      <c r="C154" s="382" t="s">
        <v>102</v>
      </c>
      <c r="D154" s="382" t="s">
        <v>28</v>
      </c>
      <c r="E154" s="382" t="s">
        <v>29</v>
      </c>
      <c r="F154" s="519" t="s">
        <v>116</v>
      </c>
      <c r="G154" s="410">
        <v>4.0000000000000001E-3</v>
      </c>
      <c r="H154" s="387" t="str">
        <f t="shared" si="36"/>
        <v/>
      </c>
      <c r="I154" s="387">
        <f t="shared" si="37"/>
        <v>4.0000000000000001E-3</v>
      </c>
      <c r="J154" s="387" t="str">
        <f t="shared" si="38"/>
        <v/>
      </c>
      <c r="K154" s="387" t="str">
        <f t="shared" si="39"/>
        <v/>
      </c>
      <c r="L154" s="410">
        <f t="shared" si="34"/>
        <v>1</v>
      </c>
      <c r="M154" s="388"/>
      <c r="N154" s="409">
        <v>1</v>
      </c>
      <c r="O154" s="388"/>
      <c r="P154" s="388"/>
      <c r="Q154" s="382"/>
      <c r="R154" s="385" t="str">
        <f t="shared" si="26"/>
        <v>T</v>
      </c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</row>
    <row r="155" spans="1:32" hidden="1" outlineLevel="3">
      <c r="A155" s="382"/>
      <c r="B155" s="382" t="s">
        <v>101</v>
      </c>
      <c r="C155" s="382" t="s">
        <v>102</v>
      </c>
      <c r="D155" s="382" t="s">
        <v>28</v>
      </c>
      <c r="E155" s="382" t="s">
        <v>29</v>
      </c>
      <c r="F155" s="444" t="s">
        <v>69</v>
      </c>
      <c r="G155" s="410">
        <v>0.04</v>
      </c>
      <c r="H155" s="387" t="str">
        <f t="shared" si="36"/>
        <v/>
      </c>
      <c r="I155" s="387">
        <f t="shared" si="37"/>
        <v>0.04</v>
      </c>
      <c r="J155" s="387" t="str">
        <f t="shared" si="38"/>
        <v/>
      </c>
      <c r="K155" s="387" t="str">
        <f t="shared" si="39"/>
        <v/>
      </c>
      <c r="L155" s="410">
        <f t="shared" si="34"/>
        <v>1</v>
      </c>
      <c r="M155" s="388"/>
      <c r="N155" s="388">
        <v>1</v>
      </c>
      <c r="O155" s="388"/>
      <c r="P155" s="388"/>
      <c r="Q155" s="382"/>
      <c r="R155" s="385" t="str">
        <f t="shared" si="26"/>
        <v>T</v>
      </c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</row>
    <row r="156" spans="1:32" hidden="1" outlineLevel="3">
      <c r="A156" s="382"/>
      <c r="B156" s="382" t="s">
        <v>101</v>
      </c>
      <c r="C156" s="382" t="s">
        <v>102</v>
      </c>
      <c r="D156" s="382" t="s">
        <v>28</v>
      </c>
      <c r="E156" s="382" t="s">
        <v>29</v>
      </c>
      <c r="F156" s="444" t="s">
        <v>117</v>
      </c>
      <c r="G156" s="410">
        <v>1.4E-3</v>
      </c>
      <c r="H156" s="387" t="str">
        <f t="shared" si="36"/>
        <v/>
      </c>
      <c r="I156" s="387" t="str">
        <f t="shared" si="37"/>
        <v/>
      </c>
      <c r="J156" s="387">
        <f t="shared" si="38"/>
        <v>1.4E-3</v>
      </c>
      <c r="K156" s="387" t="str">
        <f t="shared" si="39"/>
        <v/>
      </c>
      <c r="L156" s="410">
        <f t="shared" si="34"/>
        <v>1</v>
      </c>
      <c r="M156" s="388"/>
      <c r="N156" s="388"/>
      <c r="O156" s="388">
        <v>1</v>
      </c>
      <c r="P156" s="388"/>
      <c r="Q156" s="382"/>
      <c r="R156" s="385" t="str">
        <f t="shared" si="26"/>
        <v>T</v>
      </c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</row>
    <row r="157" spans="1:32" hidden="1" outlineLevel="3">
      <c r="A157" s="382"/>
      <c r="B157" s="382" t="s">
        <v>101</v>
      </c>
      <c r="C157" s="382" t="s">
        <v>102</v>
      </c>
      <c r="D157" s="382" t="s">
        <v>28</v>
      </c>
      <c r="E157" s="382" t="s">
        <v>29</v>
      </c>
      <c r="F157" s="444" t="s">
        <v>97</v>
      </c>
      <c r="G157" s="410">
        <v>0.12</v>
      </c>
      <c r="H157" s="387" t="str">
        <f t="shared" si="36"/>
        <v/>
      </c>
      <c r="I157" s="387">
        <f t="shared" si="37"/>
        <v>0.12</v>
      </c>
      <c r="J157" s="387" t="str">
        <f t="shared" si="38"/>
        <v/>
      </c>
      <c r="K157" s="387" t="str">
        <f t="shared" si="39"/>
        <v/>
      </c>
      <c r="L157" s="410">
        <f t="shared" si="34"/>
        <v>1</v>
      </c>
      <c r="M157" s="388"/>
      <c r="N157" s="388">
        <v>1</v>
      </c>
      <c r="O157" s="388"/>
      <c r="P157" s="388"/>
      <c r="Q157" s="382"/>
      <c r="R157" s="385" t="str">
        <f t="shared" si="26"/>
        <v>T</v>
      </c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  <c r="AC157" s="389"/>
      <c r="AD157" s="389"/>
      <c r="AE157" s="389"/>
      <c r="AF157" s="389"/>
    </row>
    <row r="158" spans="1:32" hidden="1" outlineLevel="3">
      <c r="A158" s="382"/>
      <c r="B158" s="382" t="s">
        <v>101</v>
      </c>
      <c r="C158" s="382" t="s">
        <v>102</v>
      </c>
      <c r="D158" s="382" t="s">
        <v>28</v>
      </c>
      <c r="E158" s="382" t="s">
        <v>29</v>
      </c>
      <c r="F158" s="444" t="s">
        <v>130</v>
      </c>
      <c r="G158" s="430">
        <v>0.1</v>
      </c>
      <c r="H158" s="411" t="str">
        <f t="shared" si="36"/>
        <v/>
      </c>
      <c r="I158" s="411">
        <f t="shared" si="37"/>
        <v>0.1</v>
      </c>
      <c r="J158" s="411" t="str">
        <f t="shared" si="38"/>
        <v/>
      </c>
      <c r="K158" s="411" t="str">
        <f t="shared" si="39"/>
        <v/>
      </c>
      <c r="L158" s="430">
        <f t="shared" si="34"/>
        <v>1</v>
      </c>
      <c r="M158" s="409"/>
      <c r="N158" s="409">
        <v>1</v>
      </c>
      <c r="O158" s="409"/>
      <c r="P158" s="409"/>
      <c r="Q158" s="382"/>
      <c r="R158" s="385" t="str">
        <f t="shared" si="26"/>
        <v>T</v>
      </c>
      <c r="S158" s="389"/>
      <c r="T158" s="389"/>
      <c r="U158" s="389"/>
      <c r="V158" s="391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</row>
    <row r="159" spans="1:32" hidden="1" outlineLevel="3">
      <c r="A159" s="382"/>
      <c r="B159" s="382" t="s">
        <v>101</v>
      </c>
      <c r="C159" s="382" t="s">
        <v>102</v>
      </c>
      <c r="D159" s="382" t="s">
        <v>28</v>
      </c>
      <c r="E159" s="382" t="s">
        <v>29</v>
      </c>
      <c r="F159" s="444" t="s">
        <v>119</v>
      </c>
      <c r="G159" s="430">
        <v>0.1</v>
      </c>
      <c r="H159" s="387" t="str">
        <f t="shared" si="36"/>
        <v/>
      </c>
      <c r="I159" s="387">
        <f t="shared" si="37"/>
        <v>0.1</v>
      </c>
      <c r="J159" s="387" t="str">
        <f t="shared" si="38"/>
        <v/>
      </c>
      <c r="K159" s="387" t="str">
        <f t="shared" si="39"/>
        <v/>
      </c>
      <c r="L159" s="430">
        <f t="shared" ref="L159:L172" si="40">SUM(M159:P159)</f>
        <v>1</v>
      </c>
      <c r="M159" s="409"/>
      <c r="N159" s="409">
        <v>1</v>
      </c>
      <c r="O159" s="409"/>
      <c r="P159" s="409"/>
      <c r="Q159" s="382"/>
      <c r="R159" s="385" t="str">
        <f t="shared" ref="R159:R222" si="41">IF(SUM(M159:P159)=L159,"T","F")</f>
        <v>T</v>
      </c>
      <c r="S159" s="389"/>
      <c r="T159" s="389"/>
      <c r="U159" s="389"/>
      <c r="V159" s="391"/>
      <c r="W159" s="389"/>
      <c r="X159" s="389"/>
      <c r="Y159" s="389"/>
      <c r="Z159" s="389"/>
      <c r="AA159" s="389"/>
      <c r="AB159" s="389"/>
      <c r="AC159" s="389"/>
      <c r="AD159" s="389"/>
      <c r="AE159" s="389"/>
      <c r="AF159" s="389"/>
    </row>
    <row r="160" spans="1:32" hidden="1" outlineLevel="3">
      <c r="A160" s="382"/>
      <c r="B160" s="382" t="s">
        <v>101</v>
      </c>
      <c r="C160" s="382" t="s">
        <v>102</v>
      </c>
      <c r="D160" s="382" t="s">
        <v>28</v>
      </c>
      <c r="E160" s="382" t="s">
        <v>29</v>
      </c>
      <c r="F160" s="444" t="s">
        <v>120</v>
      </c>
      <c r="G160" s="430">
        <v>0.1</v>
      </c>
      <c r="H160" s="387" t="str">
        <f t="shared" si="36"/>
        <v/>
      </c>
      <c r="I160" s="387" t="str">
        <f t="shared" si="37"/>
        <v/>
      </c>
      <c r="J160" s="387">
        <f t="shared" si="38"/>
        <v>0.1</v>
      </c>
      <c r="K160" s="387" t="str">
        <f t="shared" si="39"/>
        <v/>
      </c>
      <c r="L160" s="430">
        <f t="shared" si="40"/>
        <v>1</v>
      </c>
      <c r="M160" s="409"/>
      <c r="N160" s="409"/>
      <c r="O160" s="409">
        <v>1</v>
      </c>
      <c r="P160" s="409"/>
      <c r="Q160" s="382"/>
      <c r="R160" s="385" t="str">
        <f t="shared" si="41"/>
        <v>T</v>
      </c>
      <c r="S160" s="389"/>
      <c r="T160" s="389"/>
      <c r="U160" s="389"/>
      <c r="V160" s="391"/>
      <c r="W160" s="389"/>
      <c r="X160" s="389"/>
      <c r="Y160" s="389"/>
      <c r="Z160" s="389"/>
      <c r="AA160" s="389"/>
      <c r="AB160" s="389"/>
      <c r="AC160" s="389"/>
      <c r="AD160" s="389"/>
      <c r="AE160" s="389"/>
      <c r="AF160" s="389"/>
    </row>
    <row r="161" spans="1:32" hidden="1" outlineLevel="3">
      <c r="A161" s="382"/>
      <c r="B161" s="382" t="s">
        <v>101</v>
      </c>
      <c r="C161" s="382" t="s">
        <v>102</v>
      </c>
      <c r="D161" s="382" t="s">
        <v>28</v>
      </c>
      <c r="E161" s="382" t="s">
        <v>29</v>
      </c>
      <c r="F161" s="444" t="s">
        <v>121</v>
      </c>
      <c r="G161" s="430">
        <v>0.1</v>
      </c>
      <c r="H161" s="387" t="str">
        <f t="shared" si="36"/>
        <v/>
      </c>
      <c r="I161" s="387" t="str">
        <f t="shared" si="37"/>
        <v/>
      </c>
      <c r="J161" s="387">
        <f t="shared" si="38"/>
        <v>0.1</v>
      </c>
      <c r="K161" s="387" t="str">
        <f t="shared" si="39"/>
        <v/>
      </c>
      <c r="L161" s="430">
        <f t="shared" si="40"/>
        <v>1</v>
      </c>
      <c r="M161" s="409"/>
      <c r="N161" s="409"/>
      <c r="O161" s="409">
        <v>1</v>
      </c>
      <c r="P161" s="409"/>
      <c r="Q161" s="382"/>
      <c r="R161" s="385" t="str">
        <f t="shared" si="41"/>
        <v>T</v>
      </c>
      <c r="S161" s="389"/>
      <c r="T161" s="389"/>
      <c r="U161" s="389"/>
      <c r="V161" s="391"/>
      <c r="W161" s="389"/>
      <c r="X161" s="389"/>
      <c r="Y161" s="389"/>
      <c r="Z161" s="389"/>
      <c r="AA161" s="389"/>
      <c r="AB161" s="389"/>
      <c r="AC161" s="389"/>
      <c r="AD161" s="389"/>
      <c r="AE161" s="389"/>
      <c r="AF161" s="389"/>
    </row>
    <row r="162" spans="1:32" hidden="1" outlineLevel="3">
      <c r="A162" s="382"/>
      <c r="B162" s="382" t="s">
        <v>101</v>
      </c>
      <c r="C162" s="382" t="s">
        <v>102</v>
      </c>
      <c r="D162" s="382" t="s">
        <v>28</v>
      </c>
      <c r="E162" s="382" t="s">
        <v>29</v>
      </c>
      <c r="F162" s="444" t="s">
        <v>122</v>
      </c>
      <c r="G162" s="430">
        <v>0.1</v>
      </c>
      <c r="H162" s="387" t="str">
        <f t="shared" si="36"/>
        <v/>
      </c>
      <c r="I162" s="387" t="str">
        <f t="shared" si="37"/>
        <v/>
      </c>
      <c r="J162" s="387">
        <f t="shared" si="38"/>
        <v>0.1</v>
      </c>
      <c r="K162" s="387" t="str">
        <f t="shared" si="39"/>
        <v/>
      </c>
      <c r="L162" s="430">
        <f t="shared" si="40"/>
        <v>1</v>
      </c>
      <c r="M162" s="409"/>
      <c r="N162" s="409"/>
      <c r="O162" s="409">
        <v>1</v>
      </c>
      <c r="P162" s="409"/>
      <c r="Q162" s="382"/>
      <c r="R162" s="385" t="str">
        <f t="shared" si="41"/>
        <v>T</v>
      </c>
      <c r="S162" s="389"/>
      <c r="T162" s="389"/>
      <c r="U162" s="389"/>
      <c r="V162" s="391"/>
      <c r="W162" s="389"/>
      <c r="X162" s="389"/>
      <c r="Y162" s="389"/>
      <c r="Z162" s="389"/>
      <c r="AA162" s="389"/>
      <c r="AB162" s="389"/>
      <c r="AC162" s="389"/>
      <c r="AD162" s="389"/>
      <c r="AE162" s="389"/>
      <c r="AF162" s="389"/>
    </row>
    <row r="163" spans="1:32" hidden="1" outlineLevel="2" collapsed="1">
      <c r="A163" s="382"/>
      <c r="B163" s="382" t="s">
        <v>101</v>
      </c>
      <c r="C163" s="382" t="s">
        <v>102</v>
      </c>
      <c r="D163" s="382" t="s">
        <v>64</v>
      </c>
      <c r="E163" s="382"/>
      <c r="F163" s="440" t="s">
        <v>126</v>
      </c>
      <c r="G163" s="387">
        <f>SUM(G164:G172)</f>
        <v>0.31140000000000001</v>
      </c>
      <c r="H163" s="387">
        <f>SUM(H164:H172)</f>
        <v>0</v>
      </c>
      <c r="I163" s="387">
        <f>SUM(I164:I172)</f>
        <v>0.12000000000000001</v>
      </c>
      <c r="J163" s="387">
        <f>SUM(J164:J172)</f>
        <v>0.19140000000000001</v>
      </c>
      <c r="K163" s="387">
        <f>SUM(K164:K172)</f>
        <v>0</v>
      </c>
      <c r="L163" s="387">
        <f t="shared" si="40"/>
        <v>9</v>
      </c>
      <c r="M163" s="388">
        <f>SUM(M164:M172)</f>
        <v>0</v>
      </c>
      <c r="N163" s="388">
        <f>SUM(N164:N172)</f>
        <v>2</v>
      </c>
      <c r="O163" s="388">
        <f>SUM(O164:O172)</f>
        <v>7</v>
      </c>
      <c r="P163" s="388">
        <f>SUM(P164:P172)</f>
        <v>0</v>
      </c>
      <c r="Q163" s="382"/>
      <c r="R163" s="385" t="str">
        <f t="shared" si="41"/>
        <v>T</v>
      </c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  <c r="AC163" s="389"/>
      <c r="AD163" s="389"/>
      <c r="AE163" s="389"/>
      <c r="AF163" s="389"/>
    </row>
    <row r="164" spans="1:32" hidden="1" outlineLevel="3">
      <c r="A164" s="382"/>
      <c r="B164" s="382" t="s">
        <v>101</v>
      </c>
      <c r="C164" s="382" t="s">
        <v>102</v>
      </c>
      <c r="D164" s="382" t="s">
        <v>64</v>
      </c>
      <c r="E164" s="382" t="s">
        <v>29</v>
      </c>
      <c r="F164" s="444" t="s">
        <v>131</v>
      </c>
      <c r="G164" s="410">
        <v>0.02</v>
      </c>
      <c r="H164" s="387" t="str">
        <f t="shared" ref="H164:H172" si="42">IF(M164=1,$G164,"")</f>
        <v/>
      </c>
      <c r="I164" s="387">
        <f t="shared" ref="I164:I172" si="43">IF(N164=1,$G164,"")</f>
        <v>0.02</v>
      </c>
      <c r="J164" s="387" t="str">
        <f t="shared" ref="J164:J172" si="44">IF(O164=1,$G164,"")</f>
        <v/>
      </c>
      <c r="K164" s="387" t="str">
        <f t="shared" ref="K164:K172" si="45">IF(P164=1,$G164,"")</f>
        <v/>
      </c>
      <c r="L164" s="410">
        <f t="shared" si="40"/>
        <v>1</v>
      </c>
      <c r="M164" s="388"/>
      <c r="N164" s="388">
        <v>1</v>
      </c>
      <c r="O164" s="388"/>
      <c r="P164" s="388"/>
      <c r="Q164" s="382"/>
      <c r="R164" s="385" t="str">
        <f t="shared" si="41"/>
        <v>T</v>
      </c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  <c r="AC164" s="389"/>
      <c r="AD164" s="389"/>
      <c r="AE164" s="389"/>
      <c r="AF164" s="389"/>
    </row>
    <row r="165" spans="1:32" hidden="1" outlineLevel="3">
      <c r="A165" s="382"/>
      <c r="B165" s="382" t="s">
        <v>101</v>
      </c>
      <c r="C165" s="382" t="s">
        <v>102</v>
      </c>
      <c r="D165" s="382" t="s">
        <v>64</v>
      </c>
      <c r="E165" s="382" t="s">
        <v>29</v>
      </c>
      <c r="F165" s="444" t="s">
        <v>117</v>
      </c>
      <c r="G165" s="430">
        <v>1.4E-3</v>
      </c>
      <c r="H165" s="411" t="str">
        <f t="shared" si="42"/>
        <v/>
      </c>
      <c r="I165" s="411" t="str">
        <f t="shared" si="43"/>
        <v/>
      </c>
      <c r="J165" s="411">
        <f t="shared" si="44"/>
        <v>1.4E-3</v>
      </c>
      <c r="K165" s="411" t="str">
        <f t="shared" si="45"/>
        <v/>
      </c>
      <c r="L165" s="430">
        <f t="shared" si="40"/>
        <v>1</v>
      </c>
      <c r="M165" s="409"/>
      <c r="N165" s="409"/>
      <c r="O165" s="409">
        <v>1</v>
      </c>
      <c r="P165" s="409"/>
      <c r="Q165" s="382"/>
      <c r="R165" s="385" t="str">
        <f t="shared" si="41"/>
        <v>T</v>
      </c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</row>
    <row r="166" spans="1:32" hidden="1" outlineLevel="3">
      <c r="A166" s="382"/>
      <c r="B166" s="382" t="s">
        <v>101</v>
      </c>
      <c r="C166" s="382" t="s">
        <v>102</v>
      </c>
      <c r="D166" s="382" t="s">
        <v>64</v>
      </c>
      <c r="E166" s="382" t="s">
        <v>29</v>
      </c>
      <c r="F166" s="444" t="s">
        <v>132</v>
      </c>
      <c r="G166" s="410">
        <v>0.02</v>
      </c>
      <c r="H166" s="387" t="str">
        <f t="shared" si="42"/>
        <v/>
      </c>
      <c r="I166" s="387" t="str">
        <f t="shared" si="43"/>
        <v/>
      </c>
      <c r="J166" s="387">
        <f t="shared" si="44"/>
        <v>0.02</v>
      </c>
      <c r="K166" s="387" t="str">
        <f t="shared" si="45"/>
        <v/>
      </c>
      <c r="L166" s="410">
        <f t="shared" si="40"/>
        <v>1</v>
      </c>
      <c r="M166" s="388"/>
      <c r="O166" s="388">
        <v>1</v>
      </c>
      <c r="P166" s="388"/>
      <c r="Q166" s="382"/>
      <c r="R166" s="385" t="str">
        <f t="shared" si="41"/>
        <v>T</v>
      </c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</row>
    <row r="167" spans="1:32" hidden="1" outlineLevel="3">
      <c r="A167" s="382"/>
      <c r="B167" s="382" t="s">
        <v>101</v>
      </c>
      <c r="C167" s="382" t="s">
        <v>102</v>
      </c>
      <c r="D167" s="382" t="s">
        <v>64</v>
      </c>
      <c r="E167" s="382" t="s">
        <v>29</v>
      </c>
      <c r="F167" s="444" t="s">
        <v>133</v>
      </c>
      <c r="G167" s="410">
        <v>0.02</v>
      </c>
      <c r="H167" s="387" t="str">
        <f t="shared" si="42"/>
        <v/>
      </c>
      <c r="I167" s="387" t="str">
        <f t="shared" si="43"/>
        <v/>
      </c>
      <c r="J167" s="387">
        <f t="shared" si="44"/>
        <v>0.02</v>
      </c>
      <c r="K167" s="387" t="str">
        <f t="shared" si="45"/>
        <v/>
      </c>
      <c r="L167" s="410">
        <f t="shared" si="40"/>
        <v>1</v>
      </c>
      <c r="M167" s="388"/>
      <c r="O167" s="388">
        <v>1</v>
      </c>
      <c r="P167" s="388"/>
      <c r="Q167" s="382"/>
      <c r="R167" s="385" t="str">
        <f t="shared" si="41"/>
        <v>T</v>
      </c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</row>
    <row r="168" spans="1:32" hidden="1" outlineLevel="3">
      <c r="A168" s="382"/>
      <c r="B168" s="382" t="s">
        <v>101</v>
      </c>
      <c r="C168" s="382" t="s">
        <v>102</v>
      </c>
      <c r="D168" s="382" t="s">
        <v>64</v>
      </c>
      <c r="E168" s="382" t="s">
        <v>29</v>
      </c>
      <c r="F168" s="444" t="s">
        <v>134</v>
      </c>
      <c r="G168" s="410">
        <v>0.05</v>
      </c>
      <c r="H168" s="387" t="str">
        <f t="shared" si="42"/>
        <v/>
      </c>
      <c r="I168" s="387" t="str">
        <f t="shared" si="43"/>
        <v/>
      </c>
      <c r="J168" s="387">
        <f t="shared" si="44"/>
        <v>0.05</v>
      </c>
      <c r="K168" s="387" t="str">
        <f t="shared" si="45"/>
        <v/>
      </c>
      <c r="L168" s="410">
        <f t="shared" si="40"/>
        <v>1</v>
      </c>
      <c r="M168" s="388"/>
      <c r="O168" s="388">
        <v>1</v>
      </c>
      <c r="P168" s="388"/>
      <c r="Q168" s="382"/>
      <c r="R168" s="385" t="str">
        <f t="shared" si="41"/>
        <v>T</v>
      </c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</row>
    <row r="169" spans="1:32" hidden="1" outlineLevel="3">
      <c r="A169" s="382"/>
      <c r="B169" s="382" t="s">
        <v>101</v>
      </c>
      <c r="C169" s="382" t="s">
        <v>102</v>
      </c>
      <c r="D169" s="382" t="s">
        <v>64</v>
      </c>
      <c r="E169" s="382" t="s">
        <v>29</v>
      </c>
      <c r="F169" s="444" t="s">
        <v>119</v>
      </c>
      <c r="G169" s="430">
        <v>0.1</v>
      </c>
      <c r="H169" s="387" t="str">
        <f t="shared" si="42"/>
        <v/>
      </c>
      <c r="I169" s="387">
        <f t="shared" si="43"/>
        <v>0.1</v>
      </c>
      <c r="J169" s="387" t="str">
        <f t="shared" si="44"/>
        <v/>
      </c>
      <c r="K169" s="387" t="str">
        <f t="shared" si="45"/>
        <v/>
      </c>
      <c r="L169" s="430">
        <f t="shared" si="40"/>
        <v>1</v>
      </c>
      <c r="M169" s="409"/>
      <c r="N169" s="409">
        <v>1</v>
      </c>
      <c r="O169" s="409"/>
      <c r="P169" s="409"/>
      <c r="Q169" s="382"/>
      <c r="R169" s="385" t="str">
        <f t="shared" si="41"/>
        <v>T</v>
      </c>
      <c r="S169" s="389"/>
      <c r="T169" s="389"/>
      <c r="U169" s="389"/>
      <c r="V169" s="391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</row>
    <row r="170" spans="1:32" hidden="1" outlineLevel="3">
      <c r="A170" s="382"/>
      <c r="B170" s="382" t="s">
        <v>101</v>
      </c>
      <c r="C170" s="382" t="s">
        <v>102</v>
      </c>
      <c r="D170" s="382" t="s">
        <v>64</v>
      </c>
      <c r="E170" s="382" t="s">
        <v>29</v>
      </c>
      <c r="F170" s="444" t="s">
        <v>120</v>
      </c>
      <c r="G170" s="430">
        <v>0.1</v>
      </c>
      <c r="H170" s="387" t="str">
        <f t="shared" si="42"/>
        <v/>
      </c>
      <c r="I170" s="387" t="str">
        <f t="shared" si="43"/>
        <v/>
      </c>
      <c r="J170" s="387">
        <f t="shared" si="44"/>
        <v>0.1</v>
      </c>
      <c r="K170" s="387" t="str">
        <f t="shared" si="45"/>
        <v/>
      </c>
      <c r="L170" s="430">
        <f t="shared" si="40"/>
        <v>1</v>
      </c>
      <c r="M170" s="409"/>
      <c r="N170" s="409"/>
      <c r="O170" s="409">
        <v>1</v>
      </c>
      <c r="P170" s="409"/>
      <c r="Q170" s="382"/>
      <c r="R170" s="385" t="str">
        <f t="shared" si="41"/>
        <v>T</v>
      </c>
      <c r="S170" s="389"/>
      <c r="T170" s="389"/>
      <c r="U170" s="389"/>
      <c r="V170" s="391"/>
      <c r="W170" s="389"/>
      <c r="X170" s="389"/>
      <c r="Y170" s="389"/>
      <c r="Z170" s="389"/>
      <c r="AA170" s="389"/>
      <c r="AB170" s="389"/>
      <c r="AC170" s="389"/>
      <c r="AD170" s="389"/>
      <c r="AE170" s="389"/>
      <c r="AF170" s="389"/>
    </row>
    <row r="171" spans="1:32" hidden="1" outlineLevel="3">
      <c r="A171" s="382"/>
      <c r="B171" s="382" t="s">
        <v>101</v>
      </c>
      <c r="C171" s="382" t="s">
        <v>102</v>
      </c>
      <c r="D171" s="382" t="s">
        <v>64</v>
      </c>
      <c r="E171" s="382" t="s">
        <v>29</v>
      </c>
      <c r="F171" s="444" t="s">
        <v>121</v>
      </c>
      <c r="G171" s="430"/>
      <c r="H171" s="387" t="str">
        <f t="shared" si="42"/>
        <v/>
      </c>
      <c r="I171" s="387" t="str">
        <f t="shared" si="43"/>
        <v/>
      </c>
      <c r="J171" s="387">
        <f t="shared" si="44"/>
        <v>0</v>
      </c>
      <c r="K171" s="387" t="str">
        <f t="shared" si="45"/>
        <v/>
      </c>
      <c r="L171" s="430">
        <f t="shared" si="40"/>
        <v>1</v>
      </c>
      <c r="M171" s="409"/>
      <c r="N171" s="409"/>
      <c r="O171" s="409">
        <v>1</v>
      </c>
      <c r="P171" s="409"/>
      <c r="Q171" s="382"/>
      <c r="R171" s="385" t="str">
        <f t="shared" si="41"/>
        <v>T</v>
      </c>
      <c r="S171" s="389"/>
      <c r="T171" s="389"/>
      <c r="U171" s="389"/>
      <c r="V171" s="391"/>
      <c r="W171" s="389"/>
      <c r="X171" s="389"/>
      <c r="Y171" s="389"/>
      <c r="Z171" s="389"/>
      <c r="AA171" s="389"/>
      <c r="AB171" s="389"/>
      <c r="AC171" s="389"/>
      <c r="AD171" s="389"/>
      <c r="AE171" s="389"/>
      <c r="AF171" s="389"/>
    </row>
    <row r="172" spans="1:32" hidden="1" outlineLevel="3">
      <c r="A172" s="382"/>
      <c r="B172" s="382" t="s">
        <v>101</v>
      </c>
      <c r="C172" s="382" t="s">
        <v>102</v>
      </c>
      <c r="D172" s="382" t="s">
        <v>64</v>
      </c>
      <c r="E172" s="382" t="s">
        <v>29</v>
      </c>
      <c r="F172" s="444" t="s">
        <v>122</v>
      </c>
      <c r="G172" s="430"/>
      <c r="H172" s="387" t="str">
        <f t="shared" si="42"/>
        <v/>
      </c>
      <c r="I172" s="387" t="str">
        <f t="shared" si="43"/>
        <v/>
      </c>
      <c r="J172" s="387">
        <f t="shared" si="44"/>
        <v>0</v>
      </c>
      <c r="K172" s="387" t="str">
        <f t="shared" si="45"/>
        <v/>
      </c>
      <c r="L172" s="430">
        <f t="shared" si="40"/>
        <v>1</v>
      </c>
      <c r="M172" s="409"/>
      <c r="N172" s="409"/>
      <c r="O172" s="409">
        <v>1</v>
      </c>
      <c r="P172" s="409"/>
      <c r="Q172" s="382"/>
      <c r="R172" s="385" t="str">
        <f t="shared" si="41"/>
        <v>T</v>
      </c>
      <c r="S172" s="389"/>
      <c r="T172" s="389"/>
      <c r="U172" s="389"/>
      <c r="V172" s="391"/>
      <c r="W172" s="389"/>
      <c r="X172" s="389"/>
      <c r="Y172" s="389"/>
      <c r="Z172" s="389"/>
      <c r="AA172" s="389"/>
      <c r="AB172" s="389"/>
      <c r="AC172" s="389"/>
      <c r="AD172" s="389"/>
      <c r="AE172" s="389"/>
      <c r="AF172" s="389"/>
    </row>
    <row r="173" spans="1:32" s="401" customFormat="1" outlineLevel="1" collapsed="1">
      <c r="A173" s="395"/>
      <c r="B173" s="390" t="s">
        <v>135</v>
      </c>
      <c r="C173" s="395" t="s">
        <v>136</v>
      </c>
      <c r="D173" s="390"/>
      <c r="E173" s="390"/>
      <c r="F173" s="445" t="s">
        <v>86</v>
      </c>
      <c r="G173" s="424">
        <f t="shared" ref="G173:P173" si="46">G174+G176+G180+G181</f>
        <v>8.4072167695988034E-2</v>
      </c>
      <c r="H173" s="424">
        <f t="shared" si="46"/>
        <v>8.4072167695988034E-2</v>
      </c>
      <c r="I173" s="424">
        <f t="shared" si="46"/>
        <v>0</v>
      </c>
      <c r="J173" s="424">
        <f t="shared" si="46"/>
        <v>0</v>
      </c>
      <c r="K173" s="424">
        <f t="shared" si="46"/>
        <v>0</v>
      </c>
      <c r="L173" s="424">
        <f t="shared" si="46"/>
        <v>3</v>
      </c>
      <c r="M173" s="408">
        <f t="shared" si="46"/>
        <v>3</v>
      </c>
      <c r="N173" s="408">
        <f t="shared" si="46"/>
        <v>0</v>
      </c>
      <c r="O173" s="408">
        <f t="shared" si="46"/>
        <v>0</v>
      </c>
      <c r="P173" s="408">
        <f t="shared" si="46"/>
        <v>0</v>
      </c>
      <c r="Q173" s="395"/>
      <c r="R173" s="385" t="str">
        <f t="shared" si="41"/>
        <v>T</v>
      </c>
      <c r="S173" s="389"/>
      <c r="T173" s="389"/>
      <c r="U173" s="389"/>
      <c r="V173" s="400"/>
      <c r="W173" s="400"/>
      <c r="X173" s="400"/>
      <c r="Y173" s="400"/>
      <c r="Z173" s="400"/>
      <c r="AA173" s="400"/>
      <c r="AB173" s="400"/>
      <c r="AC173" s="389"/>
      <c r="AD173" s="400"/>
      <c r="AE173" s="400"/>
      <c r="AF173" s="400"/>
    </row>
    <row r="174" spans="1:32" hidden="1" outlineLevel="2" collapsed="1">
      <c r="A174" s="382"/>
      <c r="B174" s="386" t="s">
        <v>135</v>
      </c>
      <c r="C174" s="382" t="s">
        <v>136</v>
      </c>
      <c r="D174" s="382" t="s">
        <v>18</v>
      </c>
      <c r="E174" s="386"/>
      <c r="F174" s="440" t="s">
        <v>87</v>
      </c>
      <c r="G174" s="411">
        <f>SUM(G175:G175)</f>
        <v>0</v>
      </c>
      <c r="H174" s="387">
        <f>SUM(H175:H175)</f>
        <v>0</v>
      </c>
      <c r="I174" s="387">
        <f>SUM(I175:I175)</f>
        <v>0</v>
      </c>
      <c r="J174" s="387">
        <f>SUM(J175:J175)</f>
        <v>0</v>
      </c>
      <c r="K174" s="387">
        <f>SUM(K175:K175)</f>
        <v>0</v>
      </c>
      <c r="L174" s="411">
        <f>SUM(M174:P174)</f>
        <v>0</v>
      </c>
      <c r="M174" s="388">
        <f>SUM(M175:M175)</f>
        <v>0</v>
      </c>
      <c r="N174" s="388">
        <f>SUM(N175:N175)</f>
        <v>0</v>
      </c>
      <c r="O174" s="388">
        <f>SUM(O175:O175)</f>
        <v>0</v>
      </c>
      <c r="P174" s="388">
        <f>SUM(P175:P175)</f>
        <v>0</v>
      </c>
      <c r="Q174" s="382"/>
      <c r="R174" s="385" t="str">
        <f t="shared" si="41"/>
        <v>T</v>
      </c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  <c r="AC174" s="389"/>
      <c r="AD174" s="389"/>
      <c r="AE174" s="389"/>
      <c r="AF174" s="389"/>
    </row>
    <row r="175" spans="1:32" hidden="1" outlineLevel="3">
      <c r="A175" s="382"/>
      <c r="B175" s="404"/>
      <c r="C175" s="405"/>
      <c r="D175" s="405"/>
      <c r="E175" s="404"/>
      <c r="F175" s="448"/>
      <c r="G175" s="457"/>
      <c r="H175" s="387"/>
      <c r="I175" s="387"/>
      <c r="J175" s="387"/>
      <c r="K175" s="387"/>
      <c r="L175" s="457"/>
      <c r="M175" s="463"/>
      <c r="N175" s="463"/>
      <c r="O175" s="463"/>
      <c r="P175" s="388"/>
      <c r="Q175" s="382"/>
      <c r="R175" s="385" t="str">
        <f t="shared" si="41"/>
        <v>T</v>
      </c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  <c r="AC175" s="389"/>
      <c r="AD175" s="389"/>
      <c r="AE175" s="389"/>
      <c r="AF175" s="389"/>
    </row>
    <row r="176" spans="1:32" hidden="1" outlineLevel="2" collapsed="1">
      <c r="A176" s="382"/>
      <c r="B176" s="386" t="s">
        <v>135</v>
      </c>
      <c r="C176" s="382" t="s">
        <v>136</v>
      </c>
      <c r="D176" s="382" t="s">
        <v>26</v>
      </c>
      <c r="E176" s="382"/>
      <c r="F176" s="440" t="s">
        <v>87</v>
      </c>
      <c r="G176" s="387">
        <f>SUM(G177:G179)</f>
        <v>8.4072167695988034E-2</v>
      </c>
      <c r="H176" s="387">
        <f>SUM(H177:H179)</f>
        <v>8.4072167695988034E-2</v>
      </c>
      <c r="I176" s="387">
        <f>SUM(I177:I179)</f>
        <v>0</v>
      </c>
      <c r="J176" s="387">
        <f>SUM(J177:J179)</f>
        <v>0</v>
      </c>
      <c r="K176" s="387">
        <f>SUM(K177:K179)</f>
        <v>0</v>
      </c>
      <c r="L176" s="387">
        <f t="shared" ref="L176:L207" si="47">SUM(M176:P176)</f>
        <v>3</v>
      </c>
      <c r="M176" s="388">
        <f>SUM(M177:M179)</f>
        <v>3</v>
      </c>
      <c r="N176" s="388">
        <f>SUM(N177:N179)</f>
        <v>0</v>
      </c>
      <c r="O176" s="388">
        <f>SUM(O177:O179)</f>
        <v>0</v>
      </c>
      <c r="P176" s="388">
        <f>SUM(P177:P179)</f>
        <v>0</v>
      </c>
      <c r="Q176" s="382"/>
      <c r="R176" s="385" t="str">
        <f t="shared" si="41"/>
        <v>T</v>
      </c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  <c r="AC176" s="389"/>
      <c r="AD176" s="389"/>
      <c r="AE176" s="389"/>
      <c r="AF176" s="389"/>
    </row>
    <row r="177" spans="1:32" hidden="1" outlineLevel="3">
      <c r="A177" s="382"/>
      <c r="B177" s="386" t="s">
        <v>135</v>
      </c>
      <c r="C177" s="382" t="s">
        <v>136</v>
      </c>
      <c r="D177" s="382" t="s">
        <v>26</v>
      </c>
      <c r="E177" s="382" t="s">
        <v>27</v>
      </c>
      <c r="F177" s="440" t="s">
        <v>137</v>
      </c>
      <c r="G177" s="387">
        <v>6.0248605439999423E-2</v>
      </c>
      <c r="H177" s="387">
        <f t="shared" ref="H177:K179" si="48">IF(M177=1,$G177,"")</f>
        <v>6.0248605439999423E-2</v>
      </c>
      <c r="I177" s="387" t="str">
        <f t="shared" si="48"/>
        <v/>
      </c>
      <c r="J177" s="387" t="str">
        <f t="shared" si="48"/>
        <v/>
      </c>
      <c r="K177" s="387" t="str">
        <f t="shared" si="48"/>
        <v/>
      </c>
      <c r="L177" s="387">
        <f t="shared" si="47"/>
        <v>1</v>
      </c>
      <c r="M177" s="388">
        <v>1</v>
      </c>
      <c r="N177" s="388"/>
      <c r="O177" s="388"/>
      <c r="P177" s="388"/>
      <c r="Q177" s="382"/>
      <c r="R177" s="385" t="str">
        <f t="shared" si="41"/>
        <v>T</v>
      </c>
      <c r="S177" s="389" t="s">
        <v>138</v>
      </c>
      <c r="T177" s="389" t="s">
        <v>139</v>
      </c>
      <c r="U177" s="389"/>
      <c r="V177" s="389"/>
      <c r="W177" s="389"/>
      <c r="X177" s="389"/>
      <c r="Y177" s="389"/>
      <c r="Z177" s="389"/>
      <c r="AA177" s="389"/>
      <c r="AB177" s="389"/>
      <c r="AC177" s="389"/>
      <c r="AD177" s="389"/>
      <c r="AE177" s="389"/>
      <c r="AF177" s="389"/>
    </row>
    <row r="178" spans="1:32" ht="26.45" hidden="1" outlineLevel="3">
      <c r="A178" s="382"/>
      <c r="B178" s="386" t="s">
        <v>135</v>
      </c>
      <c r="C178" s="382" t="s">
        <v>136</v>
      </c>
      <c r="D178" s="382" t="s">
        <v>26</v>
      </c>
      <c r="E178" s="382" t="s">
        <v>27</v>
      </c>
      <c r="F178" s="440" t="s">
        <v>140</v>
      </c>
      <c r="G178" s="387">
        <v>1.1911781127994301E-2</v>
      </c>
      <c r="H178" s="387">
        <f t="shared" si="48"/>
        <v>1.1911781127994301E-2</v>
      </c>
      <c r="I178" s="387" t="str">
        <f t="shared" si="48"/>
        <v/>
      </c>
      <c r="J178" s="387" t="str">
        <f t="shared" si="48"/>
        <v/>
      </c>
      <c r="K178" s="387" t="str">
        <f t="shared" si="48"/>
        <v/>
      </c>
      <c r="L178" s="387">
        <f t="shared" si="47"/>
        <v>1</v>
      </c>
      <c r="M178" s="388">
        <v>1</v>
      </c>
      <c r="N178" s="388"/>
      <c r="O178" s="388"/>
      <c r="P178" s="388"/>
      <c r="Q178" s="382"/>
      <c r="R178" s="385" t="str">
        <f t="shared" si="41"/>
        <v>T</v>
      </c>
      <c r="S178" s="389" t="s">
        <v>138</v>
      </c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</row>
    <row r="179" spans="1:32" hidden="1" outlineLevel="3">
      <c r="A179" s="382"/>
      <c r="B179" s="386" t="s">
        <v>135</v>
      </c>
      <c r="C179" s="382" t="s">
        <v>136</v>
      </c>
      <c r="D179" s="382" t="s">
        <v>26</v>
      </c>
      <c r="E179" s="382" t="s">
        <v>27</v>
      </c>
      <c r="F179" s="440" t="s">
        <v>141</v>
      </c>
      <c r="G179" s="387">
        <v>1.1911781127994301E-2</v>
      </c>
      <c r="H179" s="387">
        <f t="shared" si="48"/>
        <v>1.1911781127994301E-2</v>
      </c>
      <c r="I179" s="387" t="str">
        <f t="shared" si="48"/>
        <v/>
      </c>
      <c r="J179" s="387" t="str">
        <f t="shared" si="48"/>
        <v/>
      </c>
      <c r="K179" s="387" t="str">
        <f t="shared" si="48"/>
        <v/>
      </c>
      <c r="L179" s="387">
        <f t="shared" si="47"/>
        <v>1</v>
      </c>
      <c r="M179" s="388">
        <v>1</v>
      </c>
      <c r="N179" s="388"/>
      <c r="O179" s="388"/>
      <c r="P179" s="388"/>
      <c r="Q179" s="382"/>
      <c r="R179" s="385" t="str">
        <f t="shared" si="41"/>
        <v>T</v>
      </c>
      <c r="S179" s="389" t="s">
        <v>138</v>
      </c>
      <c r="T179" s="389"/>
      <c r="U179" s="389"/>
      <c r="V179" s="389"/>
      <c r="W179" s="389"/>
      <c r="X179" s="389"/>
      <c r="Y179" s="389"/>
      <c r="Z179" s="389"/>
      <c r="AA179" s="389"/>
      <c r="AB179" s="389"/>
      <c r="AC179" s="389"/>
      <c r="AD179" s="389"/>
      <c r="AE179" s="389"/>
      <c r="AF179" s="389"/>
    </row>
    <row r="180" spans="1:32" hidden="1" outlineLevel="2">
      <c r="A180" s="382"/>
      <c r="B180" s="386" t="s">
        <v>135</v>
      </c>
      <c r="C180" s="382" t="s">
        <v>136</v>
      </c>
      <c r="D180" s="382" t="s">
        <v>28</v>
      </c>
      <c r="E180" s="382"/>
      <c r="F180" s="440" t="s">
        <v>87</v>
      </c>
      <c r="G180" s="387"/>
      <c r="H180" s="387"/>
      <c r="I180" s="387"/>
      <c r="J180" s="387"/>
      <c r="K180" s="387"/>
      <c r="L180" s="387">
        <f t="shared" si="47"/>
        <v>0</v>
      </c>
      <c r="M180" s="388"/>
      <c r="N180" s="388"/>
      <c r="O180" s="388"/>
      <c r="P180" s="388"/>
      <c r="Q180" s="382"/>
      <c r="R180" s="385" t="str">
        <f t="shared" si="41"/>
        <v>T</v>
      </c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  <c r="AC180" s="389"/>
      <c r="AD180" s="389"/>
      <c r="AE180" s="389"/>
      <c r="AF180" s="389"/>
    </row>
    <row r="181" spans="1:32" hidden="1" outlineLevel="2">
      <c r="A181" s="382"/>
      <c r="B181" s="386" t="s">
        <v>135</v>
      </c>
      <c r="C181" s="382" t="s">
        <v>136</v>
      </c>
      <c r="D181" s="382" t="s">
        <v>64</v>
      </c>
      <c r="E181" s="382"/>
      <c r="F181" s="440" t="s">
        <v>87</v>
      </c>
      <c r="G181" s="387"/>
      <c r="H181" s="387"/>
      <c r="I181" s="387"/>
      <c r="J181" s="387"/>
      <c r="K181" s="387"/>
      <c r="L181" s="387">
        <f t="shared" si="47"/>
        <v>0</v>
      </c>
      <c r="M181" s="388"/>
      <c r="N181" s="388"/>
      <c r="O181" s="388"/>
      <c r="P181" s="388"/>
      <c r="Q181" s="382"/>
      <c r="R181" s="385" t="str">
        <f t="shared" si="41"/>
        <v>T</v>
      </c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  <c r="AC181" s="389"/>
      <c r="AD181" s="389"/>
      <c r="AE181" s="389"/>
      <c r="AF181" s="389"/>
    </row>
    <row r="182" spans="1:32" s="401" customFormat="1" outlineLevel="1" collapsed="1">
      <c r="A182" s="395"/>
      <c r="B182" s="390" t="s">
        <v>142</v>
      </c>
      <c r="C182" s="395" t="s">
        <v>143</v>
      </c>
      <c r="D182" s="390"/>
      <c r="E182" s="390"/>
      <c r="F182" s="445" t="s">
        <v>86</v>
      </c>
      <c r="G182" s="424">
        <f>SUM(G183+G186)</f>
        <v>0.41918995130000003</v>
      </c>
      <c r="H182" s="424">
        <f>H183+H186+H190+H191</f>
        <v>0.41918995130000003</v>
      </c>
      <c r="I182" s="424">
        <f>I183+I186+I190+I191</f>
        <v>0</v>
      </c>
      <c r="J182" s="424">
        <f>J183+J186+J190+J191</f>
        <v>0</v>
      </c>
      <c r="K182" s="424">
        <f>K183+K186+K190+K191</f>
        <v>0</v>
      </c>
      <c r="L182" s="424">
        <f t="shared" si="47"/>
        <v>5</v>
      </c>
      <c r="M182" s="408">
        <f>M183+M186+M190+M191</f>
        <v>5</v>
      </c>
      <c r="N182" s="408">
        <f>N183+N186+N190+N191</f>
        <v>0</v>
      </c>
      <c r="O182" s="408">
        <f>O183+O186+O190+O191</f>
        <v>0</v>
      </c>
      <c r="P182" s="408">
        <f>P183+P186+P190+P191</f>
        <v>0</v>
      </c>
      <c r="Q182" s="395"/>
      <c r="R182" s="385" t="str">
        <f t="shared" si="41"/>
        <v>T</v>
      </c>
      <c r="S182" s="389"/>
      <c r="T182" s="389"/>
      <c r="U182" s="389"/>
      <c r="V182" s="400"/>
      <c r="W182" s="400"/>
      <c r="X182" s="400"/>
      <c r="Y182" s="400"/>
      <c r="Z182" s="400"/>
      <c r="AA182" s="400"/>
      <c r="AB182" s="400"/>
      <c r="AC182" s="389"/>
      <c r="AD182" s="400"/>
      <c r="AE182" s="400"/>
      <c r="AF182" s="400"/>
    </row>
    <row r="183" spans="1:32" hidden="1" outlineLevel="2" collapsed="1">
      <c r="A183" s="382"/>
      <c r="B183" s="386" t="s">
        <v>142</v>
      </c>
      <c r="C183" s="382" t="s">
        <v>143</v>
      </c>
      <c r="D183" s="382" t="s">
        <v>18</v>
      </c>
      <c r="E183" s="386"/>
      <c r="F183" s="440" t="s">
        <v>87</v>
      </c>
      <c r="G183" s="387">
        <f>SUM(G184:G185)</f>
        <v>0.25</v>
      </c>
      <c r="H183" s="387">
        <f>SUM(H184:H185)</f>
        <v>0.25</v>
      </c>
      <c r="I183" s="387">
        <f>SUM(I184:I185)</f>
        <v>0</v>
      </c>
      <c r="J183" s="387">
        <f>SUM(J184:J185)</f>
        <v>0</v>
      </c>
      <c r="K183" s="387">
        <f>SUM(K184:K185)</f>
        <v>0</v>
      </c>
      <c r="L183" s="387">
        <f t="shared" si="47"/>
        <v>2</v>
      </c>
      <c r="M183" s="388">
        <f>SUM(M184:M185)</f>
        <v>2</v>
      </c>
      <c r="N183" s="388">
        <f>SUM(N184:N185)</f>
        <v>0</v>
      </c>
      <c r="O183" s="388">
        <f>SUM(O184:O185)</f>
        <v>0</v>
      </c>
      <c r="P183" s="388">
        <f>SUM(P184:P185)</f>
        <v>0</v>
      </c>
      <c r="Q183" s="382"/>
      <c r="R183" s="385" t="str">
        <f t="shared" si="41"/>
        <v>T</v>
      </c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</row>
    <row r="184" spans="1:32" hidden="1" outlineLevel="3">
      <c r="A184" s="382"/>
      <c r="B184" s="386" t="s">
        <v>142</v>
      </c>
      <c r="C184" s="382" t="s">
        <v>143</v>
      </c>
      <c r="D184" s="382" t="s">
        <v>18</v>
      </c>
      <c r="E184" s="386" t="s">
        <v>144</v>
      </c>
      <c r="F184" s="440" t="s">
        <v>137</v>
      </c>
      <c r="G184" s="387">
        <v>7.0000000000000007E-2</v>
      </c>
      <c r="H184" s="387">
        <f t="shared" ref="H184:K185" si="49">IF(M184=1,$G184,"")</f>
        <v>7.0000000000000007E-2</v>
      </c>
      <c r="I184" s="387" t="str">
        <f t="shared" si="49"/>
        <v/>
      </c>
      <c r="J184" s="387" t="str">
        <f t="shared" si="49"/>
        <v/>
      </c>
      <c r="K184" s="387" t="str">
        <f t="shared" si="49"/>
        <v/>
      </c>
      <c r="L184" s="387">
        <f t="shared" si="47"/>
        <v>1</v>
      </c>
      <c r="M184" s="388">
        <v>1</v>
      </c>
      <c r="N184" s="388"/>
      <c r="O184" s="388"/>
      <c r="P184" s="388"/>
      <c r="Q184" s="382"/>
      <c r="R184" s="385" t="str">
        <f t="shared" si="41"/>
        <v>T</v>
      </c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  <c r="AC184" s="389"/>
      <c r="AD184" s="389"/>
      <c r="AE184" s="389"/>
      <c r="AF184" s="389"/>
    </row>
    <row r="185" spans="1:32" hidden="1" outlineLevel="3">
      <c r="A185" s="382"/>
      <c r="B185" s="386" t="s">
        <v>142</v>
      </c>
      <c r="C185" s="382" t="s">
        <v>143</v>
      </c>
      <c r="D185" s="382" t="s">
        <v>18</v>
      </c>
      <c r="E185" s="386" t="s">
        <v>144</v>
      </c>
      <c r="F185" s="440" t="s">
        <v>145</v>
      </c>
      <c r="G185" s="387">
        <v>0.18</v>
      </c>
      <c r="H185" s="387">
        <f t="shared" si="49"/>
        <v>0.18</v>
      </c>
      <c r="I185" s="387" t="str">
        <f t="shared" si="49"/>
        <v/>
      </c>
      <c r="J185" s="387" t="str">
        <f t="shared" si="49"/>
        <v/>
      </c>
      <c r="K185" s="387" t="str">
        <f t="shared" si="49"/>
        <v/>
      </c>
      <c r="L185" s="387">
        <f t="shared" si="47"/>
        <v>1</v>
      </c>
      <c r="M185" s="388">
        <v>1</v>
      </c>
      <c r="N185" s="388"/>
      <c r="O185" s="388"/>
      <c r="P185" s="388"/>
      <c r="Q185" s="382"/>
      <c r="R185" s="385" t="str">
        <f t="shared" si="41"/>
        <v>T</v>
      </c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</row>
    <row r="186" spans="1:32" hidden="1" outlineLevel="2" collapsed="1">
      <c r="A186" s="382"/>
      <c r="B186" s="386" t="s">
        <v>142</v>
      </c>
      <c r="C186" s="382" t="s">
        <v>143</v>
      </c>
      <c r="D186" s="382" t="s">
        <v>26</v>
      </c>
      <c r="E186" s="382"/>
      <c r="F186" s="440" t="s">
        <v>87</v>
      </c>
      <c r="G186" s="387">
        <f>SUM(G187:G189)</f>
        <v>0.16918995130000003</v>
      </c>
      <c r="H186" s="387">
        <f>SUM(H187:H189)</f>
        <v>0.16918995130000003</v>
      </c>
      <c r="I186" s="387">
        <f>SUM(I188:I189)</f>
        <v>0</v>
      </c>
      <c r="J186" s="387">
        <f>SUM(J188:J189)</f>
        <v>0</v>
      </c>
      <c r="K186" s="387">
        <f>SUM(K188:K189)</f>
        <v>0</v>
      </c>
      <c r="L186" s="387">
        <f t="shared" si="47"/>
        <v>3</v>
      </c>
      <c r="M186" s="388">
        <f>SUM(M187:M189)</f>
        <v>3</v>
      </c>
      <c r="N186" s="388">
        <f>SUM(N187:N189)</f>
        <v>0</v>
      </c>
      <c r="O186" s="388">
        <f>SUM(O187:O189)</f>
        <v>0</v>
      </c>
      <c r="P186" s="388">
        <f>SUM(P187:P189)</f>
        <v>0</v>
      </c>
      <c r="Q186" s="382"/>
      <c r="R186" s="385" t="str">
        <f t="shared" si="41"/>
        <v>T</v>
      </c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</row>
    <row r="187" spans="1:32" hidden="1" outlineLevel="3" collapsed="1">
      <c r="A187" s="382"/>
      <c r="B187" s="386" t="s">
        <v>142</v>
      </c>
      <c r="C187" s="382" t="s">
        <v>143</v>
      </c>
      <c r="D187" s="382" t="s">
        <v>26</v>
      </c>
      <c r="E187" s="382" t="s">
        <v>27</v>
      </c>
      <c r="F187" s="440" t="s">
        <v>145</v>
      </c>
      <c r="G187" s="411">
        <v>7.0000000000000007E-2</v>
      </c>
      <c r="H187" s="411">
        <f t="shared" ref="H187:K189" si="50">IF(M187=1,$G187,"")</f>
        <v>7.0000000000000007E-2</v>
      </c>
      <c r="I187" s="411" t="str">
        <f t="shared" si="50"/>
        <v/>
      </c>
      <c r="J187" s="411" t="str">
        <f t="shared" si="50"/>
        <v/>
      </c>
      <c r="K187" s="411" t="str">
        <f t="shared" si="50"/>
        <v/>
      </c>
      <c r="L187" s="411">
        <f t="shared" si="47"/>
        <v>1</v>
      </c>
      <c r="M187" s="409">
        <v>1</v>
      </c>
      <c r="N187" s="409"/>
      <c r="O187" s="409"/>
      <c r="P187" s="409"/>
      <c r="Q187" s="382"/>
      <c r="R187" s="385" t="str">
        <f t="shared" si="41"/>
        <v>T</v>
      </c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</row>
    <row r="188" spans="1:32" hidden="1" outlineLevel="3">
      <c r="A188" s="382"/>
      <c r="B188" s="386" t="s">
        <v>142</v>
      </c>
      <c r="C188" s="382" t="s">
        <v>143</v>
      </c>
      <c r="D188" s="382" t="s">
        <v>26</v>
      </c>
      <c r="E188" s="382" t="s">
        <v>27</v>
      </c>
      <c r="F188" s="440" t="s">
        <v>137</v>
      </c>
      <c r="G188" s="387">
        <v>5.4103609800000001E-2</v>
      </c>
      <c r="H188" s="387">
        <f t="shared" si="50"/>
        <v>5.4103609800000001E-2</v>
      </c>
      <c r="I188" s="387" t="str">
        <f t="shared" si="50"/>
        <v/>
      </c>
      <c r="J188" s="387" t="str">
        <f t="shared" si="50"/>
        <v/>
      </c>
      <c r="K188" s="387" t="str">
        <f t="shared" si="50"/>
        <v/>
      </c>
      <c r="L188" s="387">
        <f t="shared" si="47"/>
        <v>1</v>
      </c>
      <c r="M188" s="388">
        <v>1</v>
      </c>
      <c r="N188" s="388"/>
      <c r="O188" s="388"/>
      <c r="P188" s="388"/>
      <c r="Q188" s="382"/>
      <c r="R188" s="385" t="str">
        <f t="shared" si="41"/>
        <v>T</v>
      </c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  <c r="AC188" s="389"/>
      <c r="AD188" s="389"/>
      <c r="AE188" s="389"/>
      <c r="AF188" s="389"/>
    </row>
    <row r="189" spans="1:32" hidden="1" outlineLevel="3">
      <c r="A189" s="382"/>
      <c r="B189" s="386" t="s">
        <v>142</v>
      </c>
      <c r="C189" s="382" t="s">
        <v>143</v>
      </c>
      <c r="D189" s="382" t="s">
        <v>26</v>
      </c>
      <c r="E189" s="382" t="s">
        <v>27</v>
      </c>
      <c r="F189" s="440" t="s">
        <v>146</v>
      </c>
      <c r="G189" s="387">
        <v>4.5086341500000002E-2</v>
      </c>
      <c r="H189" s="387">
        <f t="shared" si="50"/>
        <v>4.5086341500000002E-2</v>
      </c>
      <c r="I189" s="387" t="str">
        <f t="shared" si="50"/>
        <v/>
      </c>
      <c r="J189" s="387" t="str">
        <f t="shared" si="50"/>
        <v/>
      </c>
      <c r="K189" s="387" t="str">
        <f t="shared" si="50"/>
        <v/>
      </c>
      <c r="L189" s="387">
        <f t="shared" si="47"/>
        <v>1</v>
      </c>
      <c r="M189" s="388">
        <v>1</v>
      </c>
      <c r="N189" s="388"/>
      <c r="O189" s="388"/>
      <c r="P189" s="388"/>
      <c r="Q189" s="382"/>
      <c r="R189" s="385" t="str">
        <f t="shared" si="41"/>
        <v>T</v>
      </c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  <c r="AC189" s="389"/>
      <c r="AD189" s="389"/>
      <c r="AE189" s="389"/>
      <c r="AF189" s="389"/>
    </row>
    <row r="190" spans="1:32" hidden="1" outlineLevel="2">
      <c r="A190" s="382">
        <v>0</v>
      </c>
      <c r="B190" s="386" t="s">
        <v>142</v>
      </c>
      <c r="C190" s="382" t="s">
        <v>143</v>
      </c>
      <c r="D190" s="382" t="s">
        <v>28</v>
      </c>
      <c r="E190" s="382"/>
      <c r="F190" s="440" t="s">
        <v>87</v>
      </c>
      <c r="G190" s="387"/>
      <c r="H190" s="387">
        <v>0</v>
      </c>
      <c r="I190" s="387">
        <v>0</v>
      </c>
      <c r="J190" s="387">
        <v>0</v>
      </c>
      <c r="K190" s="387">
        <v>0</v>
      </c>
      <c r="L190" s="387">
        <f t="shared" si="47"/>
        <v>0</v>
      </c>
      <c r="M190" s="388">
        <v>0</v>
      </c>
      <c r="N190" s="388">
        <v>0</v>
      </c>
      <c r="O190" s="388">
        <v>0</v>
      </c>
      <c r="P190" s="388">
        <v>0</v>
      </c>
      <c r="Q190" s="382"/>
      <c r="R190" s="385" t="str">
        <f t="shared" si="41"/>
        <v>T</v>
      </c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  <c r="AC190" s="389"/>
      <c r="AD190" s="389"/>
      <c r="AE190" s="389"/>
      <c r="AF190" s="389"/>
    </row>
    <row r="191" spans="1:32" hidden="1" outlineLevel="2">
      <c r="A191" s="382"/>
      <c r="B191" s="386" t="s">
        <v>142</v>
      </c>
      <c r="C191" s="382" t="s">
        <v>143</v>
      </c>
      <c r="D191" s="382" t="s">
        <v>64</v>
      </c>
      <c r="E191" s="382"/>
      <c r="F191" s="440" t="s">
        <v>87</v>
      </c>
      <c r="G191" s="387"/>
      <c r="H191" s="387">
        <v>0</v>
      </c>
      <c r="I191" s="387">
        <v>0</v>
      </c>
      <c r="J191" s="387">
        <v>0</v>
      </c>
      <c r="K191" s="387">
        <v>0</v>
      </c>
      <c r="L191" s="387">
        <f t="shared" si="47"/>
        <v>0</v>
      </c>
      <c r="M191" s="388">
        <v>0</v>
      </c>
      <c r="N191" s="388">
        <v>0</v>
      </c>
      <c r="O191" s="388">
        <v>0</v>
      </c>
      <c r="P191" s="388">
        <v>0</v>
      </c>
      <c r="Q191" s="382"/>
      <c r="R191" s="385" t="str">
        <f t="shared" si="41"/>
        <v>T</v>
      </c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  <c r="AC191" s="389"/>
      <c r="AD191" s="389"/>
      <c r="AE191" s="389"/>
      <c r="AF191" s="389"/>
    </row>
    <row r="192" spans="1:32" s="401" customFormat="1" outlineLevel="1" collapsed="1">
      <c r="A192" s="395"/>
      <c r="B192" s="390" t="s">
        <v>147</v>
      </c>
      <c r="C192" s="395" t="s">
        <v>148</v>
      </c>
      <c r="D192" s="390"/>
      <c r="E192" s="390"/>
      <c r="F192" s="442" t="s">
        <v>149</v>
      </c>
      <c r="G192" s="424">
        <f>SUM(G193+G210+G227+G231)</f>
        <v>5.9022144126359573</v>
      </c>
      <c r="H192" s="424">
        <f>H193+H210+H227+H231</f>
        <v>3.5270129872115201</v>
      </c>
      <c r="I192" s="424">
        <f>I193+I210+I227+I231</f>
        <v>2.3400000000000003</v>
      </c>
      <c r="J192" s="424">
        <f>J193+J210+J227+J231</f>
        <v>3.52014254244368E-2</v>
      </c>
      <c r="K192" s="424">
        <f>K193+K210+K227+K231</f>
        <v>0</v>
      </c>
      <c r="L192" s="424">
        <f t="shared" si="47"/>
        <v>35</v>
      </c>
      <c r="M192" s="408">
        <f>M193+M210+M227+M231</f>
        <v>17</v>
      </c>
      <c r="N192" s="408">
        <f>N193+N210+N227+N231</f>
        <v>14</v>
      </c>
      <c r="O192" s="408">
        <f>O193+O210+O227+O231</f>
        <v>4</v>
      </c>
      <c r="P192" s="408">
        <f>P193+P210+P227+P231</f>
        <v>0</v>
      </c>
      <c r="Q192" s="395"/>
      <c r="R192" s="385" t="str">
        <f t="shared" si="41"/>
        <v>T</v>
      </c>
      <c r="S192" s="400"/>
      <c r="T192" s="400"/>
      <c r="U192" s="400"/>
      <c r="V192" s="400"/>
      <c r="W192" s="400"/>
      <c r="X192" s="400"/>
      <c r="Y192" s="400">
        <f>M6-13</f>
        <v>240</v>
      </c>
      <c r="Z192" s="400"/>
      <c r="AA192" s="400"/>
      <c r="AB192" s="400"/>
      <c r="AC192" s="526"/>
      <c r="AD192" s="400"/>
      <c r="AE192" s="400"/>
      <c r="AF192" s="400"/>
    </row>
    <row r="193" spans="1:32" hidden="1" outlineLevel="2" collapsed="1">
      <c r="A193" s="382"/>
      <c r="B193" s="386" t="s">
        <v>147</v>
      </c>
      <c r="C193" s="382" t="s">
        <v>148</v>
      </c>
      <c r="D193" s="382" t="s">
        <v>18</v>
      </c>
      <c r="E193" s="386"/>
      <c r="F193" s="440" t="s">
        <v>87</v>
      </c>
      <c r="G193" s="387">
        <f>SUM(G194:G209)</f>
        <v>4.4553571000000005</v>
      </c>
      <c r="H193" s="411">
        <f>SUM(H194:H209)</f>
        <v>2.3753571</v>
      </c>
      <c r="I193" s="411">
        <f>SUM(I194:I209)</f>
        <v>2.0700000000000003</v>
      </c>
      <c r="J193" s="411">
        <f>SUM(J194:J209)</f>
        <v>0.01</v>
      </c>
      <c r="K193" s="411">
        <f>SUM(K194:K209)</f>
        <v>0</v>
      </c>
      <c r="L193" s="387">
        <f t="shared" si="47"/>
        <v>16</v>
      </c>
      <c r="M193" s="388">
        <f>SUM(M194:M209)</f>
        <v>4</v>
      </c>
      <c r="N193" s="388">
        <f>SUM(N194:N209)</f>
        <v>11</v>
      </c>
      <c r="O193" s="388">
        <f>SUM(O194:O209)</f>
        <v>1</v>
      </c>
      <c r="P193" s="388">
        <f>SUM(P194:P209)</f>
        <v>0</v>
      </c>
      <c r="Q193" s="382"/>
      <c r="R193" s="385" t="str">
        <f t="shared" si="41"/>
        <v>T</v>
      </c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</row>
    <row r="194" spans="1:32" hidden="1" outlineLevel="3">
      <c r="A194" s="382"/>
      <c r="B194" s="386" t="s">
        <v>147</v>
      </c>
      <c r="C194" s="382" t="s">
        <v>148</v>
      </c>
      <c r="D194" s="382" t="s">
        <v>18</v>
      </c>
      <c r="E194" s="386" t="s">
        <v>144</v>
      </c>
      <c r="F194" s="440" t="s">
        <v>150</v>
      </c>
      <c r="G194" s="387">
        <v>0.13</v>
      </c>
      <c r="H194" s="387" t="str">
        <f t="shared" ref="H194:H209" si="51">IF(M194=1,$G194,"")</f>
        <v/>
      </c>
      <c r="I194" s="387">
        <f t="shared" ref="I194:I209" si="52">IF(N194=1,$G194,"")</f>
        <v>0.13</v>
      </c>
      <c r="J194" s="387" t="str">
        <f t="shared" ref="J194:J209" si="53">IF(O194=1,$G194,"")</f>
        <v/>
      </c>
      <c r="K194" s="387" t="str">
        <f t="shared" ref="K194:K209" si="54">IF(P194=1,$G194,"")</f>
        <v/>
      </c>
      <c r="L194" s="387">
        <f t="shared" si="47"/>
        <v>1</v>
      </c>
      <c r="M194" s="388"/>
      <c r="N194" s="388">
        <v>1</v>
      </c>
      <c r="O194" s="388"/>
      <c r="P194" s="388"/>
      <c r="Q194" s="382"/>
      <c r="R194" s="385" t="str">
        <f t="shared" si="41"/>
        <v>T</v>
      </c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  <c r="AC194" s="389"/>
      <c r="AD194" s="389"/>
      <c r="AE194" s="389"/>
      <c r="AF194" s="389"/>
    </row>
    <row r="195" spans="1:32" hidden="1" outlineLevel="3">
      <c r="A195" s="382"/>
      <c r="B195" s="386" t="s">
        <v>147</v>
      </c>
      <c r="C195" s="382" t="s">
        <v>148</v>
      </c>
      <c r="D195" s="382" t="s">
        <v>18</v>
      </c>
      <c r="E195" s="386" t="s">
        <v>144</v>
      </c>
      <c r="F195" s="440" t="s">
        <v>151</v>
      </c>
      <c r="G195" s="387">
        <v>0.13</v>
      </c>
      <c r="H195" s="387" t="str">
        <f t="shared" si="51"/>
        <v/>
      </c>
      <c r="I195" s="387">
        <f t="shared" si="52"/>
        <v>0.13</v>
      </c>
      <c r="J195" s="387" t="str">
        <f t="shared" si="53"/>
        <v/>
      </c>
      <c r="K195" s="387" t="str">
        <f t="shared" si="54"/>
        <v/>
      </c>
      <c r="L195" s="387">
        <f t="shared" si="47"/>
        <v>1</v>
      </c>
      <c r="M195" s="388"/>
      <c r="N195" s="388">
        <v>1</v>
      </c>
      <c r="O195" s="388"/>
      <c r="P195" s="388"/>
      <c r="Q195" s="382"/>
      <c r="R195" s="385" t="str">
        <f t="shared" si="41"/>
        <v>T</v>
      </c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  <c r="AC195" s="389"/>
      <c r="AD195" s="389"/>
      <c r="AE195" s="389"/>
      <c r="AF195" s="389"/>
    </row>
    <row r="196" spans="1:32" hidden="1" outlineLevel="3">
      <c r="A196" s="382"/>
      <c r="B196" s="386" t="s">
        <v>147</v>
      </c>
      <c r="C196" s="382" t="s">
        <v>148</v>
      </c>
      <c r="D196" s="382" t="s">
        <v>18</v>
      </c>
      <c r="E196" s="386" t="s">
        <v>144</v>
      </c>
      <c r="F196" s="440" t="s">
        <v>152</v>
      </c>
      <c r="G196" s="387">
        <v>0.13</v>
      </c>
      <c r="H196" s="387" t="str">
        <f t="shared" si="51"/>
        <v/>
      </c>
      <c r="I196" s="387">
        <f t="shared" si="52"/>
        <v>0.13</v>
      </c>
      <c r="J196" s="387" t="str">
        <f t="shared" si="53"/>
        <v/>
      </c>
      <c r="K196" s="387" t="str">
        <f t="shared" si="54"/>
        <v/>
      </c>
      <c r="L196" s="387">
        <f t="shared" si="47"/>
        <v>1</v>
      </c>
      <c r="M196" s="388"/>
      <c r="N196" s="388">
        <v>1</v>
      </c>
      <c r="O196" s="388"/>
      <c r="P196" s="388"/>
      <c r="Q196" s="382"/>
      <c r="R196" s="385" t="str">
        <f t="shared" si="41"/>
        <v>T</v>
      </c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</row>
    <row r="197" spans="1:32" ht="26.45" hidden="1" outlineLevel="3">
      <c r="A197" s="382"/>
      <c r="B197" s="386" t="s">
        <v>147</v>
      </c>
      <c r="C197" s="382" t="s">
        <v>148</v>
      </c>
      <c r="D197" s="382" t="s">
        <v>18</v>
      </c>
      <c r="E197" s="386" t="s">
        <v>144</v>
      </c>
      <c r="F197" s="440" t="s">
        <v>153</v>
      </c>
      <c r="G197" s="387">
        <v>0.22</v>
      </c>
      <c r="H197" s="387" t="str">
        <f t="shared" si="51"/>
        <v/>
      </c>
      <c r="I197" s="387">
        <f t="shared" si="52"/>
        <v>0.22</v>
      </c>
      <c r="J197" s="387" t="str">
        <f t="shared" si="53"/>
        <v/>
      </c>
      <c r="K197" s="387" t="str">
        <f t="shared" si="54"/>
        <v/>
      </c>
      <c r="L197" s="387">
        <f t="shared" si="47"/>
        <v>1</v>
      </c>
      <c r="M197" s="388"/>
      <c r="N197" s="388">
        <v>1</v>
      </c>
      <c r="O197" s="388"/>
      <c r="P197" s="388"/>
      <c r="Q197" s="382"/>
      <c r="R197" s="385" t="str">
        <f t="shared" si="41"/>
        <v>T</v>
      </c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</row>
    <row r="198" spans="1:32" ht="26.45" hidden="1" outlineLevel="3">
      <c r="A198" s="382"/>
      <c r="B198" s="386" t="s">
        <v>147</v>
      </c>
      <c r="C198" s="382" t="s">
        <v>148</v>
      </c>
      <c r="D198" s="382" t="s">
        <v>18</v>
      </c>
      <c r="E198" s="386" t="s">
        <v>144</v>
      </c>
      <c r="F198" s="440" t="s">
        <v>154</v>
      </c>
      <c r="G198" s="387">
        <v>0.22</v>
      </c>
      <c r="H198" s="387" t="str">
        <f t="shared" si="51"/>
        <v/>
      </c>
      <c r="I198" s="387">
        <f t="shared" si="52"/>
        <v>0.22</v>
      </c>
      <c r="J198" s="387" t="str">
        <f t="shared" si="53"/>
        <v/>
      </c>
      <c r="K198" s="387" t="str">
        <f t="shared" si="54"/>
        <v/>
      </c>
      <c r="L198" s="387">
        <f t="shared" si="47"/>
        <v>1</v>
      </c>
      <c r="M198" s="388"/>
      <c r="N198" s="388">
        <v>1</v>
      </c>
      <c r="O198" s="388"/>
      <c r="P198" s="388"/>
      <c r="Q198" s="382"/>
      <c r="R198" s="385" t="str">
        <f t="shared" si="41"/>
        <v>T</v>
      </c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</row>
    <row r="199" spans="1:32" ht="26.45" hidden="1" outlineLevel="3">
      <c r="A199" s="382"/>
      <c r="B199" s="386" t="s">
        <v>147</v>
      </c>
      <c r="C199" s="382" t="s">
        <v>148</v>
      </c>
      <c r="D199" s="382" t="s">
        <v>18</v>
      </c>
      <c r="E199" s="386" t="s">
        <v>144</v>
      </c>
      <c r="F199" s="440" t="s">
        <v>155</v>
      </c>
      <c r="G199" s="387">
        <v>0.22</v>
      </c>
      <c r="H199" s="387" t="str">
        <f t="shared" si="51"/>
        <v/>
      </c>
      <c r="I199" s="387">
        <f t="shared" si="52"/>
        <v>0.22</v>
      </c>
      <c r="J199" s="387" t="str">
        <f t="shared" si="53"/>
        <v/>
      </c>
      <c r="K199" s="387" t="str">
        <f t="shared" si="54"/>
        <v/>
      </c>
      <c r="L199" s="387">
        <f t="shared" si="47"/>
        <v>1</v>
      </c>
      <c r="M199" s="388"/>
      <c r="N199" s="388">
        <v>1</v>
      </c>
      <c r="O199" s="388"/>
      <c r="P199" s="388"/>
      <c r="Q199" s="382"/>
      <c r="R199" s="385" t="str">
        <f t="shared" si="41"/>
        <v>T</v>
      </c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</row>
    <row r="200" spans="1:32" hidden="1" outlineLevel="3">
      <c r="A200" s="382"/>
      <c r="B200" s="386" t="s">
        <v>147</v>
      </c>
      <c r="C200" s="382" t="s">
        <v>148</v>
      </c>
      <c r="D200" s="382" t="s">
        <v>18</v>
      </c>
      <c r="E200" s="386" t="s">
        <v>144</v>
      </c>
      <c r="F200" s="440" t="s">
        <v>156</v>
      </c>
      <c r="G200" s="387">
        <v>0.3</v>
      </c>
      <c r="H200" s="387">
        <f t="shared" si="51"/>
        <v>0.3</v>
      </c>
      <c r="I200" s="387" t="str">
        <f t="shared" si="52"/>
        <v/>
      </c>
      <c r="J200" s="387" t="str">
        <f t="shared" si="53"/>
        <v/>
      </c>
      <c r="K200" s="387" t="str">
        <f t="shared" si="54"/>
        <v/>
      </c>
      <c r="L200" s="387">
        <f t="shared" si="47"/>
        <v>1</v>
      </c>
      <c r="M200" s="388">
        <v>1</v>
      </c>
      <c r="N200" s="388"/>
      <c r="O200" s="388"/>
      <c r="P200" s="388"/>
      <c r="Q200" s="382"/>
      <c r="R200" s="385" t="str">
        <f t="shared" si="41"/>
        <v>T</v>
      </c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</row>
    <row r="201" spans="1:32" hidden="1" outlineLevel="3">
      <c r="A201" s="382"/>
      <c r="B201" s="386" t="s">
        <v>147</v>
      </c>
      <c r="C201" s="382" t="s">
        <v>148</v>
      </c>
      <c r="D201" s="382" t="s">
        <v>18</v>
      </c>
      <c r="E201" s="386" t="s">
        <v>144</v>
      </c>
      <c r="F201" s="440" t="s">
        <v>157</v>
      </c>
      <c r="G201" s="387">
        <v>0.3</v>
      </c>
      <c r="H201" s="387">
        <f t="shared" si="51"/>
        <v>0.3</v>
      </c>
      <c r="I201" s="387" t="str">
        <f t="shared" si="52"/>
        <v/>
      </c>
      <c r="J201" s="387" t="str">
        <f t="shared" si="53"/>
        <v/>
      </c>
      <c r="K201" s="387" t="str">
        <f t="shared" si="54"/>
        <v/>
      </c>
      <c r="L201" s="387">
        <f t="shared" si="47"/>
        <v>1</v>
      </c>
      <c r="M201" s="388">
        <v>1</v>
      </c>
      <c r="N201" s="388"/>
      <c r="O201" s="388"/>
      <c r="P201" s="388"/>
      <c r="Q201" s="382"/>
      <c r="R201" s="385" t="str">
        <f t="shared" si="41"/>
        <v>T</v>
      </c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  <c r="AC201" s="389"/>
      <c r="AD201" s="389"/>
      <c r="AE201" s="389"/>
      <c r="AF201" s="389"/>
    </row>
    <row r="202" spans="1:32" hidden="1" outlineLevel="3">
      <c r="A202" s="382"/>
      <c r="B202" s="386" t="s">
        <v>147</v>
      </c>
      <c r="C202" s="382" t="s">
        <v>148</v>
      </c>
      <c r="D202" s="382" t="s">
        <v>18</v>
      </c>
      <c r="E202" s="386" t="s">
        <v>144</v>
      </c>
      <c r="F202" s="440" t="s">
        <v>158</v>
      </c>
      <c r="G202" s="387">
        <v>0.03</v>
      </c>
      <c r="H202" s="387">
        <f t="shared" si="51"/>
        <v>0.03</v>
      </c>
      <c r="I202" s="387" t="str">
        <f t="shared" si="52"/>
        <v/>
      </c>
      <c r="J202" s="387" t="str">
        <f t="shared" si="53"/>
        <v/>
      </c>
      <c r="K202" s="387" t="str">
        <f t="shared" si="54"/>
        <v/>
      </c>
      <c r="L202" s="387">
        <f t="shared" si="47"/>
        <v>1</v>
      </c>
      <c r="M202" s="388">
        <v>1</v>
      </c>
      <c r="N202" s="388"/>
      <c r="O202" s="388"/>
      <c r="P202" s="388"/>
      <c r="Q202" s="382"/>
      <c r="R202" s="385" t="str">
        <f t="shared" si="41"/>
        <v>T</v>
      </c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  <c r="AC202" s="389"/>
      <c r="AD202" s="389"/>
      <c r="AE202" s="389"/>
      <c r="AF202" s="389"/>
    </row>
    <row r="203" spans="1:32" hidden="1" outlineLevel="3">
      <c r="A203" s="382"/>
      <c r="B203" s="386" t="s">
        <v>147</v>
      </c>
      <c r="C203" s="382" t="s">
        <v>148</v>
      </c>
      <c r="D203" s="382" t="s">
        <v>18</v>
      </c>
      <c r="E203" s="386" t="s">
        <v>144</v>
      </c>
      <c r="F203" s="440" t="s">
        <v>159</v>
      </c>
      <c r="G203" s="387">
        <v>0.1</v>
      </c>
      <c r="H203" s="387" t="str">
        <f t="shared" si="51"/>
        <v/>
      </c>
      <c r="I203" s="387">
        <f t="shared" si="52"/>
        <v>0.1</v>
      </c>
      <c r="J203" s="387" t="str">
        <f t="shared" si="53"/>
        <v/>
      </c>
      <c r="K203" s="387" t="str">
        <f t="shared" si="54"/>
        <v/>
      </c>
      <c r="L203" s="387">
        <f t="shared" si="47"/>
        <v>1</v>
      </c>
      <c r="M203" s="388"/>
      <c r="N203" s="388">
        <v>1</v>
      </c>
      <c r="O203" s="388"/>
      <c r="P203" s="388"/>
      <c r="Q203" s="382"/>
      <c r="R203" s="385" t="str">
        <f t="shared" si="41"/>
        <v>T</v>
      </c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  <c r="AC203" s="389"/>
      <c r="AD203" s="389"/>
      <c r="AE203" s="389"/>
      <c r="AF203" s="389"/>
    </row>
    <row r="204" spans="1:32" hidden="1" outlineLevel="3">
      <c r="A204" s="382"/>
      <c r="B204" s="386" t="s">
        <v>147</v>
      </c>
      <c r="C204" s="382" t="s">
        <v>148</v>
      </c>
      <c r="D204" s="382" t="s">
        <v>18</v>
      </c>
      <c r="E204" s="386" t="s">
        <v>144</v>
      </c>
      <c r="F204" s="440" t="s">
        <v>160</v>
      </c>
      <c r="G204" s="387">
        <v>0.1</v>
      </c>
      <c r="H204" s="387" t="str">
        <f t="shared" si="51"/>
        <v/>
      </c>
      <c r="I204" s="387">
        <f t="shared" si="52"/>
        <v>0.1</v>
      </c>
      <c r="J204" s="387" t="str">
        <f t="shared" si="53"/>
        <v/>
      </c>
      <c r="K204" s="387" t="str">
        <f t="shared" si="54"/>
        <v/>
      </c>
      <c r="L204" s="387">
        <f t="shared" si="47"/>
        <v>1</v>
      </c>
      <c r="M204" s="388"/>
      <c r="N204" s="388">
        <v>1</v>
      </c>
      <c r="O204" s="388"/>
      <c r="P204" s="388"/>
      <c r="Q204" s="382"/>
      <c r="R204" s="385" t="str">
        <f t="shared" si="41"/>
        <v>T</v>
      </c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  <c r="AC204" s="389"/>
      <c r="AD204" s="389"/>
      <c r="AE204" s="389"/>
      <c r="AF204" s="389"/>
    </row>
    <row r="205" spans="1:32" hidden="1" outlineLevel="3">
      <c r="A205" s="382"/>
      <c r="B205" s="386" t="s">
        <v>147</v>
      </c>
      <c r="C205" s="382" t="s">
        <v>148</v>
      </c>
      <c r="D205" s="382" t="s">
        <v>18</v>
      </c>
      <c r="E205" s="386" t="s">
        <v>144</v>
      </c>
      <c r="F205" s="440" t="s">
        <v>161</v>
      </c>
      <c r="G205" s="387">
        <v>0.4</v>
      </c>
      <c r="H205" s="387" t="str">
        <f t="shared" si="51"/>
        <v/>
      </c>
      <c r="I205" s="387">
        <f t="shared" si="52"/>
        <v>0.4</v>
      </c>
      <c r="J205" s="387" t="str">
        <f t="shared" si="53"/>
        <v/>
      </c>
      <c r="K205" s="387" t="str">
        <f t="shared" si="54"/>
        <v/>
      </c>
      <c r="L205" s="387">
        <f t="shared" si="47"/>
        <v>1</v>
      </c>
      <c r="M205" s="388"/>
      <c r="N205" s="388">
        <v>1</v>
      </c>
      <c r="O205" s="388"/>
      <c r="P205" s="388"/>
      <c r="Q205" s="382"/>
      <c r="R205" s="385" t="str">
        <f t="shared" si="41"/>
        <v>T</v>
      </c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  <c r="AC205" s="389"/>
      <c r="AD205" s="389"/>
      <c r="AE205" s="389"/>
      <c r="AF205" s="389"/>
    </row>
    <row r="206" spans="1:32" hidden="1" outlineLevel="3">
      <c r="A206" s="382"/>
      <c r="B206" s="386" t="s">
        <v>147</v>
      </c>
      <c r="C206" s="382" t="s">
        <v>148</v>
      </c>
      <c r="D206" s="382" t="s">
        <v>18</v>
      </c>
      <c r="E206" s="386" t="s">
        <v>144</v>
      </c>
      <c r="F206" s="440" t="s">
        <v>162</v>
      </c>
      <c r="G206" s="387">
        <v>0.4</v>
      </c>
      <c r="H206" s="387" t="str">
        <f t="shared" si="51"/>
        <v/>
      </c>
      <c r="I206" s="387">
        <f t="shared" si="52"/>
        <v>0.4</v>
      </c>
      <c r="J206" s="387" t="str">
        <f t="shared" si="53"/>
        <v/>
      </c>
      <c r="K206" s="387" t="str">
        <f t="shared" si="54"/>
        <v/>
      </c>
      <c r="L206" s="387">
        <f t="shared" si="47"/>
        <v>1</v>
      </c>
      <c r="M206" s="388"/>
      <c r="N206" s="388">
        <v>1</v>
      </c>
      <c r="O206" s="388"/>
      <c r="P206" s="388"/>
      <c r="Q206" s="382"/>
      <c r="R206" s="385" t="str">
        <f t="shared" si="41"/>
        <v>T</v>
      </c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  <c r="AC206" s="389"/>
      <c r="AD206" s="389"/>
      <c r="AE206" s="389"/>
      <c r="AF206" s="389"/>
    </row>
    <row r="207" spans="1:32" hidden="1" outlineLevel="3">
      <c r="A207" s="382"/>
      <c r="B207" s="386" t="s">
        <v>147</v>
      </c>
      <c r="C207" s="382" t="s">
        <v>148</v>
      </c>
      <c r="D207" s="382" t="s">
        <v>18</v>
      </c>
      <c r="E207" s="386" t="s">
        <v>144</v>
      </c>
      <c r="F207" s="440" t="s">
        <v>137</v>
      </c>
      <c r="G207" s="387">
        <v>0.02</v>
      </c>
      <c r="H207" s="387" t="str">
        <f t="shared" si="51"/>
        <v/>
      </c>
      <c r="I207" s="387">
        <f t="shared" si="52"/>
        <v>0.02</v>
      </c>
      <c r="J207" s="387" t="str">
        <f t="shared" si="53"/>
        <v/>
      </c>
      <c r="K207" s="387" t="str">
        <f t="shared" si="54"/>
        <v/>
      </c>
      <c r="L207" s="387">
        <f t="shared" si="47"/>
        <v>1</v>
      </c>
      <c r="M207" s="388"/>
      <c r="N207" s="388">
        <v>1</v>
      </c>
      <c r="O207" s="388"/>
      <c r="P207" s="388"/>
      <c r="Q207" s="382"/>
      <c r="R207" s="385" t="str">
        <f t="shared" si="41"/>
        <v>T</v>
      </c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  <c r="AC207" s="389"/>
      <c r="AD207" s="389"/>
      <c r="AE207" s="389"/>
      <c r="AF207" s="389"/>
    </row>
    <row r="208" spans="1:32" hidden="1" outlineLevel="3">
      <c r="A208" s="382"/>
      <c r="B208" s="386" t="s">
        <v>147</v>
      </c>
      <c r="C208" s="382" t="s">
        <v>148</v>
      </c>
      <c r="D208" s="382" t="s">
        <v>18</v>
      </c>
      <c r="E208" s="386" t="s">
        <v>144</v>
      </c>
      <c r="F208" s="440" t="s">
        <v>146</v>
      </c>
      <c r="G208" s="387">
        <v>0.01</v>
      </c>
      <c r="H208" s="387" t="str">
        <f t="shared" si="51"/>
        <v/>
      </c>
      <c r="I208" s="387" t="str">
        <f t="shared" si="52"/>
        <v/>
      </c>
      <c r="J208" s="387">
        <f t="shared" si="53"/>
        <v>0.01</v>
      </c>
      <c r="K208" s="387" t="str">
        <f t="shared" si="54"/>
        <v/>
      </c>
      <c r="L208" s="387">
        <f t="shared" ref="L208:L231" si="55">SUM(M208:P208)</f>
        <v>1</v>
      </c>
      <c r="M208" s="388"/>
      <c r="N208" s="388"/>
      <c r="O208" s="388">
        <v>1</v>
      </c>
      <c r="P208" s="388"/>
      <c r="Q208" s="382"/>
      <c r="R208" s="385" t="str">
        <f t="shared" si="41"/>
        <v>T</v>
      </c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  <c r="AC208" s="389"/>
      <c r="AD208" s="389"/>
      <c r="AE208" s="389"/>
      <c r="AF208" s="389"/>
    </row>
    <row r="209" spans="1:32" hidden="1" outlineLevel="3">
      <c r="A209" s="382"/>
      <c r="B209" s="386" t="s">
        <v>147</v>
      </c>
      <c r="C209" s="382" t="s">
        <v>148</v>
      </c>
      <c r="D209" s="382" t="s">
        <v>18</v>
      </c>
      <c r="E209" s="386" t="s">
        <v>144</v>
      </c>
      <c r="F209" s="440" t="s">
        <v>163</v>
      </c>
      <c r="G209" s="387">
        <v>1.7453571000000001</v>
      </c>
      <c r="H209" s="387">
        <f t="shared" si="51"/>
        <v>1.7453571000000001</v>
      </c>
      <c r="I209" s="387" t="str">
        <f t="shared" si="52"/>
        <v/>
      </c>
      <c r="J209" s="387" t="str">
        <f t="shared" si="53"/>
        <v/>
      </c>
      <c r="K209" s="387" t="str">
        <f t="shared" si="54"/>
        <v/>
      </c>
      <c r="L209" s="387">
        <f t="shared" si="55"/>
        <v>1</v>
      </c>
      <c r="M209" s="388">
        <v>1</v>
      </c>
      <c r="N209" s="388"/>
      <c r="O209" s="388"/>
      <c r="P209" s="388"/>
      <c r="Q209" s="382"/>
      <c r="R209" s="385" t="str">
        <f t="shared" si="41"/>
        <v>T</v>
      </c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  <c r="AC209" s="389"/>
      <c r="AD209" s="389"/>
      <c r="AE209" s="389"/>
      <c r="AF209" s="389"/>
    </row>
    <row r="210" spans="1:32" hidden="1" outlineLevel="2" collapsed="1">
      <c r="A210" s="382"/>
      <c r="B210" s="386" t="s">
        <v>147</v>
      </c>
      <c r="C210" s="382" t="s">
        <v>148</v>
      </c>
      <c r="D210" s="382" t="s">
        <v>26</v>
      </c>
      <c r="E210" s="382"/>
      <c r="F210" s="440" t="s">
        <v>87</v>
      </c>
      <c r="G210" s="387">
        <f>SUM(G211:G226)</f>
        <v>1.397</v>
      </c>
      <c r="H210" s="411">
        <f>SUM(H211:H226)</f>
        <v>1.1200000000000001</v>
      </c>
      <c r="I210" s="411">
        <f>SUM(I211:I226)</f>
        <v>0.27</v>
      </c>
      <c r="J210" s="411">
        <f>SUM(J211:J226)</f>
        <v>7.0000000000000001E-3</v>
      </c>
      <c r="K210" s="411">
        <f>SUM(K211:K226)</f>
        <v>0</v>
      </c>
      <c r="L210" s="387">
        <f t="shared" si="55"/>
        <v>16</v>
      </c>
      <c r="M210" s="388">
        <f>SUM(M211:M226)</f>
        <v>11</v>
      </c>
      <c r="N210" s="388">
        <f>SUM(N211:N226)</f>
        <v>3</v>
      </c>
      <c r="O210" s="388">
        <f>SUM(O211:O226)</f>
        <v>2</v>
      </c>
      <c r="P210" s="388">
        <f>SUM(P211:P226)</f>
        <v>0</v>
      </c>
      <c r="Q210" s="382"/>
      <c r="R210" s="385" t="str">
        <f t="shared" si="41"/>
        <v>T</v>
      </c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  <c r="AC210" s="389"/>
      <c r="AD210" s="389"/>
      <c r="AE210" s="389"/>
      <c r="AF210" s="389"/>
    </row>
    <row r="211" spans="1:32" hidden="1" outlineLevel="3">
      <c r="A211" s="382"/>
      <c r="B211" s="386" t="s">
        <v>147</v>
      </c>
      <c r="C211" s="382" t="s">
        <v>148</v>
      </c>
      <c r="D211" s="382" t="s">
        <v>26</v>
      </c>
      <c r="E211" s="382" t="s">
        <v>27</v>
      </c>
      <c r="F211" s="440" t="s">
        <v>164</v>
      </c>
      <c r="G211" s="387">
        <v>7.0000000000000007E-2</v>
      </c>
      <c r="H211" s="387">
        <v>7.0000000000000007E-2</v>
      </c>
      <c r="I211" s="387" t="str">
        <f t="shared" ref="I211:I226" si="56">IF(N211=1,$G211,"")</f>
        <v/>
      </c>
      <c r="J211" s="387" t="str">
        <f t="shared" ref="J211:J226" si="57">IF(O211=1,$G211,"")</f>
        <v/>
      </c>
      <c r="K211" s="387" t="str">
        <f t="shared" ref="K211:K226" si="58">IF(P211=1,$G211,"")</f>
        <v/>
      </c>
      <c r="L211" s="387">
        <f t="shared" si="55"/>
        <v>1</v>
      </c>
      <c r="M211" s="388">
        <v>1</v>
      </c>
      <c r="N211" s="388"/>
      <c r="O211" s="388"/>
      <c r="P211" s="388"/>
      <c r="Q211" s="382"/>
      <c r="R211" s="385" t="str">
        <f t="shared" si="41"/>
        <v>T</v>
      </c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  <c r="AC211" s="389"/>
      <c r="AD211" s="389"/>
      <c r="AE211" s="389"/>
      <c r="AF211" s="389"/>
    </row>
    <row r="212" spans="1:32" hidden="1" outlineLevel="3">
      <c r="A212" s="382"/>
      <c r="B212" s="386" t="s">
        <v>147</v>
      </c>
      <c r="C212" s="382" t="s">
        <v>148</v>
      </c>
      <c r="D212" s="382" t="s">
        <v>26</v>
      </c>
      <c r="E212" s="382" t="s">
        <v>27</v>
      </c>
      <c r="F212" s="440" t="s">
        <v>165</v>
      </c>
      <c r="G212" s="387">
        <v>7.0000000000000007E-2</v>
      </c>
      <c r="H212" s="387">
        <v>7.0000000000000007E-2</v>
      </c>
      <c r="I212" s="387" t="str">
        <f t="shared" si="56"/>
        <v/>
      </c>
      <c r="J212" s="387" t="str">
        <f t="shared" si="57"/>
        <v/>
      </c>
      <c r="K212" s="387" t="str">
        <f t="shared" si="58"/>
        <v/>
      </c>
      <c r="L212" s="387">
        <f t="shared" si="55"/>
        <v>1</v>
      </c>
      <c r="M212" s="388">
        <v>1</v>
      </c>
      <c r="N212" s="388"/>
      <c r="O212" s="388"/>
      <c r="P212" s="388"/>
      <c r="Q212" s="382"/>
      <c r="R212" s="385" t="str">
        <f t="shared" si="41"/>
        <v>T</v>
      </c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  <c r="AC212" s="389"/>
      <c r="AD212" s="389"/>
      <c r="AE212" s="389"/>
      <c r="AF212" s="389"/>
    </row>
    <row r="213" spans="1:32" hidden="1" outlineLevel="3">
      <c r="A213" s="382"/>
      <c r="B213" s="386" t="s">
        <v>147</v>
      </c>
      <c r="C213" s="382" t="s">
        <v>148</v>
      </c>
      <c r="D213" s="382" t="s">
        <v>26</v>
      </c>
      <c r="E213" s="382" t="s">
        <v>27</v>
      </c>
      <c r="F213" s="440" t="s">
        <v>166</v>
      </c>
      <c r="G213" s="387">
        <v>7.0000000000000007E-2</v>
      </c>
      <c r="H213" s="387">
        <v>7.0000000000000007E-2</v>
      </c>
      <c r="I213" s="387" t="str">
        <f t="shared" si="56"/>
        <v/>
      </c>
      <c r="J213" s="387" t="str">
        <f t="shared" si="57"/>
        <v/>
      </c>
      <c r="K213" s="387" t="str">
        <f t="shared" si="58"/>
        <v/>
      </c>
      <c r="L213" s="387">
        <f t="shared" si="55"/>
        <v>1</v>
      </c>
      <c r="M213" s="388">
        <v>1</v>
      </c>
      <c r="N213" s="388"/>
      <c r="O213" s="388"/>
      <c r="P213" s="388"/>
      <c r="Q213" s="382"/>
      <c r="R213" s="385" t="str">
        <f t="shared" si="41"/>
        <v>T</v>
      </c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  <c r="AC213" s="389"/>
      <c r="AD213" s="389"/>
      <c r="AE213" s="389"/>
      <c r="AF213" s="389"/>
    </row>
    <row r="214" spans="1:32" hidden="1" outlineLevel="3">
      <c r="A214" s="382"/>
      <c r="B214" s="386" t="s">
        <v>147</v>
      </c>
      <c r="C214" s="382" t="s">
        <v>148</v>
      </c>
      <c r="D214" s="382" t="s">
        <v>26</v>
      </c>
      <c r="E214" s="382" t="s">
        <v>27</v>
      </c>
      <c r="F214" s="440" t="s">
        <v>167</v>
      </c>
      <c r="G214" s="387">
        <v>7.0000000000000007E-2</v>
      </c>
      <c r="H214" s="387">
        <v>7.0000000000000007E-2</v>
      </c>
      <c r="I214" s="387" t="str">
        <f t="shared" si="56"/>
        <v/>
      </c>
      <c r="J214" s="387" t="str">
        <f t="shared" si="57"/>
        <v/>
      </c>
      <c r="K214" s="387" t="str">
        <f t="shared" si="58"/>
        <v/>
      </c>
      <c r="L214" s="387">
        <f t="shared" si="55"/>
        <v>1</v>
      </c>
      <c r="M214" s="388">
        <v>1</v>
      </c>
      <c r="N214" s="388"/>
      <c r="O214" s="388"/>
      <c r="P214" s="388"/>
      <c r="Q214" s="382"/>
      <c r="R214" s="385" t="str">
        <f t="shared" si="41"/>
        <v>T</v>
      </c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  <c r="AC214" s="389"/>
      <c r="AD214" s="389"/>
      <c r="AE214" s="389"/>
      <c r="AF214" s="389"/>
    </row>
    <row r="215" spans="1:32" hidden="1" outlineLevel="3">
      <c r="A215" s="382"/>
      <c r="B215" s="386" t="s">
        <v>147</v>
      </c>
      <c r="C215" s="382" t="s">
        <v>148</v>
      </c>
      <c r="D215" s="382" t="s">
        <v>26</v>
      </c>
      <c r="E215" s="382" t="s">
        <v>27</v>
      </c>
      <c r="F215" s="440" t="s">
        <v>168</v>
      </c>
      <c r="G215" s="387">
        <v>7.0000000000000007E-2</v>
      </c>
      <c r="H215" s="387">
        <v>7.0000000000000007E-2</v>
      </c>
      <c r="I215" s="387" t="str">
        <f t="shared" si="56"/>
        <v/>
      </c>
      <c r="J215" s="387" t="str">
        <f t="shared" si="57"/>
        <v/>
      </c>
      <c r="K215" s="387" t="str">
        <f t="shared" si="58"/>
        <v/>
      </c>
      <c r="L215" s="387">
        <f t="shared" si="55"/>
        <v>1</v>
      </c>
      <c r="M215" s="388">
        <v>1</v>
      </c>
      <c r="N215" s="388"/>
      <c r="O215" s="388"/>
      <c r="P215" s="388"/>
      <c r="Q215" s="382"/>
      <c r="R215" s="385" t="str">
        <f t="shared" si="41"/>
        <v>T</v>
      </c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  <c r="AC215" s="389"/>
      <c r="AD215" s="389"/>
      <c r="AE215" s="389"/>
      <c r="AF215" s="389"/>
    </row>
    <row r="216" spans="1:32" hidden="1" outlineLevel="3">
      <c r="A216" s="382"/>
      <c r="B216" s="386" t="s">
        <v>147</v>
      </c>
      <c r="C216" s="382" t="s">
        <v>148</v>
      </c>
      <c r="D216" s="382" t="s">
        <v>26</v>
      </c>
      <c r="E216" s="382" t="s">
        <v>27</v>
      </c>
      <c r="F216" s="440" t="s">
        <v>169</v>
      </c>
      <c r="G216" s="387">
        <v>7.0000000000000007E-2</v>
      </c>
      <c r="H216" s="387">
        <v>7.0000000000000007E-2</v>
      </c>
      <c r="I216" s="387" t="str">
        <f t="shared" si="56"/>
        <v/>
      </c>
      <c r="J216" s="387" t="str">
        <f t="shared" si="57"/>
        <v/>
      </c>
      <c r="K216" s="387" t="str">
        <f t="shared" si="58"/>
        <v/>
      </c>
      <c r="L216" s="387">
        <f t="shared" si="55"/>
        <v>1</v>
      </c>
      <c r="M216" s="388">
        <v>1</v>
      </c>
      <c r="N216" s="388"/>
      <c r="O216" s="388"/>
      <c r="P216" s="388"/>
      <c r="Q216" s="382"/>
      <c r="R216" s="385" t="str">
        <f t="shared" si="41"/>
        <v>T</v>
      </c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  <c r="AC216" s="389"/>
      <c r="AD216" s="389"/>
      <c r="AE216" s="389"/>
      <c r="AF216" s="389"/>
    </row>
    <row r="217" spans="1:32" hidden="1" outlineLevel="3">
      <c r="A217" s="382"/>
      <c r="B217" s="386" t="s">
        <v>147</v>
      </c>
      <c r="C217" s="382" t="s">
        <v>148</v>
      </c>
      <c r="D217" s="382" t="s">
        <v>26</v>
      </c>
      <c r="E217" s="382" t="s">
        <v>27</v>
      </c>
      <c r="F217" s="440" t="s">
        <v>170</v>
      </c>
      <c r="G217" s="387">
        <v>0.13</v>
      </c>
      <c r="H217" s="387">
        <v>0.13</v>
      </c>
      <c r="I217" s="387" t="str">
        <f t="shared" si="56"/>
        <v/>
      </c>
      <c r="J217" s="387" t="str">
        <f t="shared" si="57"/>
        <v/>
      </c>
      <c r="K217" s="387" t="str">
        <f t="shared" si="58"/>
        <v/>
      </c>
      <c r="L217" s="387">
        <f t="shared" si="55"/>
        <v>1</v>
      </c>
      <c r="M217" s="388">
        <v>1</v>
      </c>
      <c r="N217" s="388"/>
      <c r="O217" s="388"/>
      <c r="P217" s="388"/>
      <c r="Q217" s="382"/>
      <c r="R217" s="385" t="str">
        <f t="shared" si="41"/>
        <v>T</v>
      </c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  <c r="AC217" s="389"/>
      <c r="AD217" s="389"/>
      <c r="AE217" s="389"/>
      <c r="AF217" s="389"/>
    </row>
    <row r="218" spans="1:32" hidden="1" outlineLevel="3">
      <c r="A218" s="382"/>
      <c r="B218" s="386" t="s">
        <v>147</v>
      </c>
      <c r="C218" s="382" t="s">
        <v>148</v>
      </c>
      <c r="D218" s="382" t="s">
        <v>26</v>
      </c>
      <c r="E218" s="382" t="s">
        <v>27</v>
      </c>
      <c r="F218" s="440" t="s">
        <v>171</v>
      </c>
      <c r="G218" s="387">
        <v>0.18</v>
      </c>
      <c r="H218" s="387">
        <v>0.18</v>
      </c>
      <c r="I218" s="387" t="str">
        <f t="shared" si="56"/>
        <v/>
      </c>
      <c r="J218" s="387" t="str">
        <f t="shared" si="57"/>
        <v/>
      </c>
      <c r="K218" s="387" t="str">
        <f t="shared" si="58"/>
        <v/>
      </c>
      <c r="L218" s="387">
        <f t="shared" si="55"/>
        <v>1</v>
      </c>
      <c r="M218" s="388">
        <v>1</v>
      </c>
      <c r="N218" s="388"/>
      <c r="O218" s="388"/>
      <c r="P218" s="388"/>
      <c r="Q218" s="382"/>
      <c r="R218" s="385" t="str">
        <f t="shared" si="41"/>
        <v>T</v>
      </c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  <c r="AC218" s="389"/>
      <c r="AD218" s="389"/>
      <c r="AE218" s="389"/>
      <c r="AF218" s="389"/>
    </row>
    <row r="219" spans="1:32" hidden="1" outlineLevel="3">
      <c r="A219" s="382"/>
      <c r="B219" s="386" t="s">
        <v>147</v>
      </c>
      <c r="C219" s="382" t="s">
        <v>148</v>
      </c>
      <c r="D219" s="382" t="s">
        <v>26</v>
      </c>
      <c r="E219" s="382" t="s">
        <v>27</v>
      </c>
      <c r="F219" s="440" t="s">
        <v>172</v>
      </c>
      <c r="G219" s="387">
        <v>0.13</v>
      </c>
      <c r="H219" s="387">
        <v>0.13</v>
      </c>
      <c r="I219" s="387" t="str">
        <f t="shared" si="56"/>
        <v/>
      </c>
      <c r="J219" s="387" t="str">
        <f t="shared" si="57"/>
        <v/>
      </c>
      <c r="K219" s="387" t="str">
        <f t="shared" si="58"/>
        <v/>
      </c>
      <c r="L219" s="387">
        <f t="shared" si="55"/>
        <v>1</v>
      </c>
      <c r="M219" s="388">
        <v>1</v>
      </c>
      <c r="N219" s="388"/>
      <c r="O219" s="388"/>
      <c r="P219" s="388"/>
      <c r="Q219" s="382"/>
      <c r="R219" s="385" t="str">
        <f t="shared" si="41"/>
        <v>T</v>
      </c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  <c r="AC219" s="389"/>
      <c r="AD219" s="389"/>
      <c r="AE219" s="389"/>
      <c r="AF219" s="389"/>
    </row>
    <row r="220" spans="1:32" hidden="1" outlineLevel="3">
      <c r="A220" s="382"/>
      <c r="B220" s="386" t="s">
        <v>147</v>
      </c>
      <c r="C220" s="382" t="s">
        <v>148</v>
      </c>
      <c r="D220" s="382" t="s">
        <v>26</v>
      </c>
      <c r="E220" s="382" t="s">
        <v>27</v>
      </c>
      <c r="F220" s="440" t="s">
        <v>173</v>
      </c>
      <c r="G220" s="387">
        <v>0.09</v>
      </c>
      <c r="H220" s="387" t="str">
        <f>IF(M220=1,$G220,"")</f>
        <v/>
      </c>
      <c r="I220" s="387">
        <f t="shared" si="56"/>
        <v>0.09</v>
      </c>
      <c r="J220" s="387" t="str">
        <f t="shared" si="57"/>
        <v/>
      </c>
      <c r="K220" s="387" t="str">
        <f t="shared" si="58"/>
        <v/>
      </c>
      <c r="L220" s="387">
        <f t="shared" si="55"/>
        <v>1</v>
      </c>
      <c r="M220" s="388"/>
      <c r="N220" s="388">
        <v>1</v>
      </c>
      <c r="O220" s="388"/>
      <c r="P220" s="388"/>
      <c r="Q220" s="382"/>
      <c r="R220" s="385" t="str">
        <f t="shared" si="41"/>
        <v>T</v>
      </c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  <c r="AC220" s="389"/>
      <c r="AD220" s="389"/>
      <c r="AE220" s="389"/>
      <c r="AF220" s="389"/>
    </row>
    <row r="221" spans="1:32" hidden="1" outlineLevel="3">
      <c r="A221" s="382"/>
      <c r="B221" s="386" t="s">
        <v>147</v>
      </c>
      <c r="C221" s="382" t="s">
        <v>148</v>
      </c>
      <c r="D221" s="382" t="s">
        <v>26</v>
      </c>
      <c r="E221" s="382" t="s">
        <v>27</v>
      </c>
      <c r="F221" s="440" t="s">
        <v>174</v>
      </c>
      <c r="G221" s="387">
        <v>0.09</v>
      </c>
      <c r="H221" s="387" t="str">
        <f>IF(M221=1,$G221,"")</f>
        <v/>
      </c>
      <c r="I221" s="387">
        <f t="shared" si="56"/>
        <v>0.09</v>
      </c>
      <c r="J221" s="387" t="str">
        <f t="shared" si="57"/>
        <v/>
      </c>
      <c r="K221" s="387" t="str">
        <f t="shared" si="58"/>
        <v/>
      </c>
      <c r="L221" s="387">
        <f t="shared" si="55"/>
        <v>1</v>
      </c>
      <c r="M221" s="388"/>
      <c r="N221" s="388">
        <v>1</v>
      </c>
      <c r="O221" s="388"/>
      <c r="P221" s="388"/>
      <c r="Q221" s="382"/>
      <c r="R221" s="385" t="str">
        <f t="shared" si="41"/>
        <v>T</v>
      </c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  <c r="AC221" s="389"/>
      <c r="AD221" s="389"/>
      <c r="AE221" s="389"/>
      <c r="AF221" s="389"/>
    </row>
    <row r="222" spans="1:32" hidden="1" outlineLevel="3">
      <c r="A222" s="382"/>
      <c r="B222" s="386" t="s">
        <v>147</v>
      </c>
      <c r="C222" s="382" t="s">
        <v>148</v>
      </c>
      <c r="D222" s="382" t="s">
        <v>26</v>
      </c>
      <c r="E222" s="382" t="s">
        <v>27</v>
      </c>
      <c r="F222" s="440" t="s">
        <v>175</v>
      </c>
      <c r="G222" s="387">
        <v>0.09</v>
      </c>
      <c r="H222" s="387" t="str">
        <f>IF(M222=1,$G222,"")</f>
        <v/>
      </c>
      <c r="I222" s="387">
        <f t="shared" si="56"/>
        <v>0.09</v>
      </c>
      <c r="J222" s="387" t="str">
        <f t="shared" si="57"/>
        <v/>
      </c>
      <c r="K222" s="387" t="str">
        <f t="shared" si="58"/>
        <v/>
      </c>
      <c r="L222" s="387">
        <f t="shared" si="55"/>
        <v>1</v>
      </c>
      <c r="M222" s="388"/>
      <c r="N222" s="388">
        <v>1</v>
      </c>
      <c r="O222" s="388"/>
      <c r="P222" s="388"/>
      <c r="Q222" s="382"/>
      <c r="R222" s="385" t="str">
        <f t="shared" si="41"/>
        <v>T</v>
      </c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</row>
    <row r="223" spans="1:32" hidden="1" outlineLevel="3">
      <c r="A223" s="382"/>
      <c r="B223" s="386" t="s">
        <v>147</v>
      </c>
      <c r="C223" s="382" t="s">
        <v>148</v>
      </c>
      <c r="D223" s="382" t="s">
        <v>26</v>
      </c>
      <c r="E223" s="382" t="s">
        <v>27</v>
      </c>
      <c r="F223" s="440" t="s">
        <v>176</v>
      </c>
      <c r="G223" s="387">
        <v>0.13</v>
      </c>
      <c r="H223" s="387">
        <v>0.13</v>
      </c>
      <c r="I223" s="387" t="str">
        <f t="shared" si="56"/>
        <v/>
      </c>
      <c r="J223" s="387" t="str">
        <f t="shared" si="57"/>
        <v/>
      </c>
      <c r="K223" s="387" t="str">
        <f t="shared" si="58"/>
        <v/>
      </c>
      <c r="L223" s="387">
        <f t="shared" si="55"/>
        <v>1</v>
      </c>
      <c r="M223" s="388">
        <v>1</v>
      </c>
      <c r="N223" s="388"/>
      <c r="O223" s="388"/>
      <c r="P223" s="388"/>
      <c r="Q223" s="382"/>
      <c r="R223" s="385" t="str">
        <f t="shared" ref="R223:R286" si="59">IF(SUM(M223:P223)=L223,"T","F")</f>
        <v>T</v>
      </c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  <c r="AC223" s="389"/>
      <c r="AD223" s="389"/>
      <c r="AE223" s="389"/>
      <c r="AF223" s="389"/>
    </row>
    <row r="224" spans="1:32" hidden="1" outlineLevel="3">
      <c r="A224" s="382"/>
      <c r="B224" s="386" t="s">
        <v>147</v>
      </c>
      <c r="C224" s="382" t="s">
        <v>148</v>
      </c>
      <c r="D224" s="382" t="s">
        <v>26</v>
      </c>
      <c r="E224" s="382" t="s">
        <v>27</v>
      </c>
      <c r="F224" s="440" t="s">
        <v>160</v>
      </c>
      <c r="G224" s="387">
        <v>0.13</v>
      </c>
      <c r="H224" s="387">
        <v>0.13</v>
      </c>
      <c r="I224" s="387" t="str">
        <f t="shared" si="56"/>
        <v/>
      </c>
      <c r="J224" s="387" t="str">
        <f t="shared" si="57"/>
        <v/>
      </c>
      <c r="K224" s="387" t="str">
        <f t="shared" si="58"/>
        <v/>
      </c>
      <c r="L224" s="387">
        <f t="shared" si="55"/>
        <v>1</v>
      </c>
      <c r="M224" s="388">
        <v>1</v>
      </c>
      <c r="N224" s="388"/>
      <c r="O224" s="388"/>
      <c r="P224" s="388"/>
      <c r="Q224" s="382"/>
      <c r="R224" s="385" t="str">
        <f t="shared" si="59"/>
        <v>T</v>
      </c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  <c r="AC224" s="389"/>
      <c r="AD224" s="389"/>
      <c r="AE224" s="389"/>
      <c r="AF224" s="389"/>
    </row>
    <row r="225" spans="1:32" hidden="1" outlineLevel="3">
      <c r="A225" s="382"/>
      <c r="B225" s="386" t="s">
        <v>147</v>
      </c>
      <c r="C225" s="382" t="s">
        <v>148</v>
      </c>
      <c r="D225" s="382" t="s">
        <v>26</v>
      </c>
      <c r="E225" s="382" t="s">
        <v>27</v>
      </c>
      <c r="F225" s="440" t="s">
        <v>137</v>
      </c>
      <c r="G225" s="387">
        <v>4.0000000000000001E-3</v>
      </c>
      <c r="H225" s="387" t="str">
        <f>IF(M225=1,$G225,"")</f>
        <v/>
      </c>
      <c r="I225" s="387" t="str">
        <f t="shared" si="56"/>
        <v/>
      </c>
      <c r="J225" s="387">
        <f t="shared" si="57"/>
        <v>4.0000000000000001E-3</v>
      </c>
      <c r="K225" s="387" t="str">
        <f t="shared" si="58"/>
        <v/>
      </c>
      <c r="L225" s="387">
        <f t="shared" si="55"/>
        <v>1</v>
      </c>
      <c r="M225" s="388"/>
      <c r="N225" s="388"/>
      <c r="O225" s="388">
        <v>1</v>
      </c>
      <c r="P225" s="388"/>
      <c r="Q225" s="382"/>
      <c r="R225" s="385" t="str">
        <f t="shared" si="59"/>
        <v>T</v>
      </c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  <c r="AC225" s="389"/>
      <c r="AD225" s="389"/>
      <c r="AE225" s="389"/>
      <c r="AF225" s="389"/>
    </row>
    <row r="226" spans="1:32" hidden="1" outlineLevel="3">
      <c r="A226" s="382"/>
      <c r="B226" s="386" t="s">
        <v>147</v>
      </c>
      <c r="C226" s="382" t="s">
        <v>148</v>
      </c>
      <c r="D226" s="382" t="s">
        <v>26</v>
      </c>
      <c r="E226" s="382" t="s">
        <v>27</v>
      </c>
      <c r="F226" s="440" t="s">
        <v>146</v>
      </c>
      <c r="G226" s="387">
        <v>3.0000000000000001E-3</v>
      </c>
      <c r="H226" s="387" t="str">
        <f>IF(M226=1,$G226,"")</f>
        <v/>
      </c>
      <c r="I226" s="387" t="str">
        <f t="shared" si="56"/>
        <v/>
      </c>
      <c r="J226" s="387">
        <f t="shared" si="57"/>
        <v>3.0000000000000001E-3</v>
      </c>
      <c r="K226" s="387" t="str">
        <f t="shared" si="58"/>
        <v/>
      </c>
      <c r="L226" s="387">
        <f t="shared" si="55"/>
        <v>1</v>
      </c>
      <c r="M226" s="388"/>
      <c r="N226" s="388"/>
      <c r="O226" s="388">
        <v>1</v>
      </c>
      <c r="P226" s="388"/>
      <c r="Q226" s="382"/>
      <c r="R226" s="385" t="str">
        <f t="shared" si="59"/>
        <v>T</v>
      </c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  <c r="AC226" s="389"/>
      <c r="AD226" s="389"/>
      <c r="AE226" s="389"/>
      <c r="AF226" s="389"/>
    </row>
    <row r="227" spans="1:32" hidden="1" outlineLevel="2" collapsed="1">
      <c r="A227" s="382"/>
      <c r="B227" s="386" t="s">
        <v>147</v>
      </c>
      <c r="C227" s="382" t="s">
        <v>148</v>
      </c>
      <c r="D227" s="382" t="s">
        <v>28</v>
      </c>
      <c r="E227" s="382"/>
      <c r="F227" s="440" t="s">
        <v>87</v>
      </c>
      <c r="G227" s="387">
        <f>SUM(G228:G230)</f>
        <v>4.9857312635956795E-2</v>
      </c>
      <c r="H227" s="411">
        <f>SUM(H228:H230)</f>
        <v>3.1655887211519997E-2</v>
      </c>
      <c r="I227" s="411">
        <f>SUM(I228:I230)</f>
        <v>0</v>
      </c>
      <c r="J227" s="411">
        <f>SUM(J228:J230)</f>
        <v>1.8201425424436798E-2</v>
      </c>
      <c r="K227" s="411">
        <f>SUM(K228:K230)</f>
        <v>0</v>
      </c>
      <c r="L227" s="387">
        <f t="shared" si="55"/>
        <v>3</v>
      </c>
      <c r="M227" s="388">
        <f>SUM(M228:M230)</f>
        <v>2</v>
      </c>
      <c r="N227" s="388">
        <f>SUM(N228:N230)</f>
        <v>0</v>
      </c>
      <c r="O227" s="388">
        <f>SUM(O228:O230)</f>
        <v>1</v>
      </c>
      <c r="P227" s="388">
        <f>SUM(P228:P230)</f>
        <v>0</v>
      </c>
      <c r="Q227" s="382"/>
      <c r="R227" s="385" t="str">
        <f t="shared" si="59"/>
        <v>T</v>
      </c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  <c r="AC227" s="389"/>
      <c r="AD227" s="389"/>
      <c r="AE227" s="389"/>
      <c r="AF227" s="389"/>
    </row>
    <row r="228" spans="1:32" hidden="1" outlineLevel="3">
      <c r="A228" s="382"/>
      <c r="B228" s="386" t="s">
        <v>147</v>
      </c>
      <c r="C228" s="382" t="s">
        <v>148</v>
      </c>
      <c r="D228" s="382" t="s">
        <v>28</v>
      </c>
      <c r="E228" s="382" t="s">
        <v>29</v>
      </c>
      <c r="F228" s="440" t="s">
        <v>177</v>
      </c>
      <c r="G228" s="387">
        <v>1.5827943605759998E-2</v>
      </c>
      <c r="H228" s="387">
        <f t="shared" ref="H228:K230" si="60">IF(M228=1,$G228,"")</f>
        <v>1.5827943605759998E-2</v>
      </c>
      <c r="I228" s="387" t="str">
        <f t="shared" si="60"/>
        <v/>
      </c>
      <c r="J228" s="387" t="str">
        <f t="shared" si="60"/>
        <v/>
      </c>
      <c r="K228" s="387" t="str">
        <f t="shared" si="60"/>
        <v/>
      </c>
      <c r="L228" s="387">
        <f t="shared" si="55"/>
        <v>1</v>
      </c>
      <c r="M228" s="388">
        <v>1</v>
      </c>
      <c r="N228" s="388"/>
      <c r="O228" s="388"/>
      <c r="P228" s="388"/>
      <c r="Q228" s="382"/>
      <c r="R228" s="385" t="str">
        <f t="shared" si="59"/>
        <v>T</v>
      </c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  <c r="AC228" s="389"/>
      <c r="AD228" s="389"/>
      <c r="AE228" s="389"/>
      <c r="AF228" s="389"/>
    </row>
    <row r="229" spans="1:32" hidden="1" outlineLevel="3">
      <c r="A229" s="382"/>
      <c r="B229" s="386" t="s">
        <v>147</v>
      </c>
      <c r="C229" s="382" t="s">
        <v>148</v>
      </c>
      <c r="D229" s="382" t="s">
        <v>28</v>
      </c>
      <c r="E229" s="382" t="s">
        <v>29</v>
      </c>
      <c r="F229" s="440" t="s">
        <v>178</v>
      </c>
      <c r="G229" s="387">
        <v>1.5827943605759998E-2</v>
      </c>
      <c r="H229" s="387">
        <f t="shared" si="60"/>
        <v>1.5827943605759998E-2</v>
      </c>
      <c r="I229" s="387" t="str">
        <f t="shared" si="60"/>
        <v/>
      </c>
      <c r="J229" s="387" t="str">
        <f t="shared" si="60"/>
        <v/>
      </c>
      <c r="K229" s="387" t="str">
        <f t="shared" si="60"/>
        <v/>
      </c>
      <c r="L229" s="387">
        <f t="shared" si="55"/>
        <v>1</v>
      </c>
      <c r="M229" s="388">
        <v>1</v>
      </c>
      <c r="N229" s="388"/>
      <c r="O229" s="388"/>
      <c r="P229" s="388"/>
      <c r="Q229" s="382"/>
      <c r="R229" s="385" t="str">
        <f t="shared" si="59"/>
        <v>T</v>
      </c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  <c r="AC229" s="389"/>
      <c r="AD229" s="389"/>
      <c r="AE229" s="389"/>
      <c r="AF229" s="389"/>
    </row>
    <row r="230" spans="1:32" hidden="1" outlineLevel="3">
      <c r="A230" s="382"/>
      <c r="B230" s="386" t="s">
        <v>147</v>
      </c>
      <c r="C230" s="382" t="s">
        <v>148</v>
      </c>
      <c r="D230" s="382" t="s">
        <v>28</v>
      </c>
      <c r="E230" s="382" t="s">
        <v>29</v>
      </c>
      <c r="F230" s="440" t="s">
        <v>179</v>
      </c>
      <c r="G230" s="387">
        <v>1.8201425424436798E-2</v>
      </c>
      <c r="H230" s="387" t="str">
        <f t="shared" si="60"/>
        <v/>
      </c>
      <c r="I230" s="387" t="str">
        <f t="shared" si="60"/>
        <v/>
      </c>
      <c r="J230" s="387">
        <f t="shared" si="60"/>
        <v>1.8201425424436798E-2</v>
      </c>
      <c r="K230" s="387" t="str">
        <f t="shared" si="60"/>
        <v/>
      </c>
      <c r="L230" s="387">
        <f t="shared" si="55"/>
        <v>1</v>
      </c>
      <c r="M230" s="388"/>
      <c r="N230" s="388"/>
      <c r="O230" s="388">
        <v>1</v>
      </c>
      <c r="P230" s="388"/>
      <c r="Q230" s="382"/>
      <c r="R230" s="385" t="str">
        <f t="shared" si="59"/>
        <v>T</v>
      </c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  <c r="AC230" s="389"/>
      <c r="AD230" s="389"/>
      <c r="AE230" s="389"/>
      <c r="AF230" s="389"/>
    </row>
    <row r="231" spans="1:32" hidden="1" outlineLevel="2">
      <c r="A231" s="382"/>
      <c r="B231" s="386" t="s">
        <v>147</v>
      </c>
      <c r="C231" s="382" t="s">
        <v>148</v>
      </c>
      <c r="D231" s="382" t="s">
        <v>64</v>
      </c>
      <c r="E231" s="382"/>
      <c r="F231" s="440" t="s">
        <v>87</v>
      </c>
      <c r="G231" s="387"/>
      <c r="H231" s="387">
        <v>0</v>
      </c>
      <c r="I231" s="387">
        <v>0</v>
      </c>
      <c r="J231" s="387">
        <v>0</v>
      </c>
      <c r="K231" s="387">
        <v>0</v>
      </c>
      <c r="L231" s="387">
        <f t="shared" si="55"/>
        <v>0</v>
      </c>
      <c r="M231" s="388">
        <v>0</v>
      </c>
      <c r="N231" s="388">
        <v>0</v>
      </c>
      <c r="O231" s="388">
        <v>0</v>
      </c>
      <c r="P231" s="388">
        <v>0</v>
      </c>
      <c r="Q231" s="382"/>
      <c r="R231" s="385" t="str">
        <f t="shared" si="59"/>
        <v>T</v>
      </c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  <c r="AC231" s="389"/>
      <c r="AD231" s="389"/>
      <c r="AE231" s="389"/>
      <c r="AF231" s="389"/>
    </row>
    <row r="232" spans="1:32" s="401" customFormat="1" ht="26.45" outlineLevel="1" collapsed="1">
      <c r="A232" s="395"/>
      <c r="B232" s="396" t="s">
        <v>180</v>
      </c>
      <c r="C232" s="396" t="s">
        <v>23</v>
      </c>
      <c r="D232" s="396"/>
      <c r="E232" s="396"/>
      <c r="F232" s="445" t="s">
        <v>181</v>
      </c>
      <c r="G232" s="418">
        <f t="shared" ref="G232:P232" si="61">G233+G244+G254</f>
        <v>1.7491101717752997</v>
      </c>
      <c r="H232" s="422">
        <f t="shared" si="61"/>
        <v>0.63298114171514985</v>
      </c>
      <c r="I232" s="422">
        <f t="shared" si="61"/>
        <v>0.65398447986007491</v>
      </c>
      <c r="J232" s="422">
        <f t="shared" si="61"/>
        <v>0.46214455020007489</v>
      </c>
      <c r="K232" s="422">
        <f t="shared" si="61"/>
        <v>0</v>
      </c>
      <c r="L232" s="418">
        <f t="shared" si="61"/>
        <v>25</v>
      </c>
      <c r="M232" s="423">
        <f t="shared" si="61"/>
        <v>9</v>
      </c>
      <c r="N232" s="423">
        <f t="shared" si="61"/>
        <v>10</v>
      </c>
      <c r="O232" s="423">
        <f t="shared" si="61"/>
        <v>6</v>
      </c>
      <c r="P232" s="423">
        <f t="shared" si="61"/>
        <v>0</v>
      </c>
      <c r="Q232" s="395"/>
      <c r="R232" s="385" t="str">
        <f t="shared" si="59"/>
        <v>T</v>
      </c>
      <c r="S232" s="400"/>
      <c r="T232" s="400"/>
      <c r="U232" s="400"/>
      <c r="V232" s="400"/>
      <c r="W232" s="400"/>
      <c r="X232" s="400"/>
      <c r="Y232" s="400"/>
      <c r="Z232" s="400"/>
      <c r="AA232" s="400"/>
      <c r="AB232" s="400"/>
      <c r="AC232" s="400"/>
      <c r="AD232" s="400"/>
      <c r="AE232" s="400"/>
      <c r="AF232" s="400"/>
    </row>
    <row r="233" spans="1:32" hidden="1" outlineLevel="2" collapsed="1">
      <c r="A233" s="382"/>
      <c r="B233" s="386" t="s">
        <v>180</v>
      </c>
      <c r="C233" s="382" t="s">
        <v>23</v>
      </c>
      <c r="D233" s="382" t="s">
        <v>18</v>
      </c>
      <c r="E233" s="386"/>
      <c r="F233" s="440" t="s">
        <v>182</v>
      </c>
      <c r="G233" s="411">
        <f>SUM(G234:G243)</f>
        <v>1.022056812</v>
      </c>
      <c r="H233" s="411">
        <f>SUM(H234:H243)</f>
        <v>0.30105801900000001</v>
      </c>
      <c r="I233" s="411">
        <f>SUM(I234:I243)</f>
        <v>0.39315029400000001</v>
      </c>
      <c r="J233" s="411">
        <f>SUM(J234:J243)</f>
        <v>0.32784849900000002</v>
      </c>
      <c r="K233" s="411">
        <f>SUM(K234:K243)</f>
        <v>0</v>
      </c>
      <c r="L233" s="411">
        <f t="shared" ref="L233:L264" si="62">SUM(M233:P233)</f>
        <v>10</v>
      </c>
      <c r="M233" s="409">
        <f>SUM(M234:M243)</f>
        <v>3</v>
      </c>
      <c r="N233" s="409">
        <f>SUM(N234:N243)</f>
        <v>4</v>
      </c>
      <c r="O233" s="409">
        <f>SUM(O234:O243)</f>
        <v>3</v>
      </c>
      <c r="P233" s="409">
        <f>SUM(P234:P243)</f>
        <v>0</v>
      </c>
      <c r="Q233" s="382"/>
      <c r="R233" s="385" t="str">
        <f t="shared" si="59"/>
        <v>T</v>
      </c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  <c r="AC233" s="389"/>
      <c r="AD233" s="389"/>
      <c r="AE233" s="389"/>
      <c r="AF233" s="389"/>
    </row>
    <row r="234" spans="1:32" hidden="1" outlineLevel="3">
      <c r="A234" s="382"/>
      <c r="B234" s="386" t="s">
        <v>180</v>
      </c>
      <c r="C234" s="382" t="s">
        <v>23</v>
      </c>
      <c r="D234" s="382" t="s">
        <v>18</v>
      </c>
      <c r="E234" s="386" t="s">
        <v>144</v>
      </c>
      <c r="F234" s="440" t="s">
        <v>183</v>
      </c>
      <c r="G234" s="411">
        <v>9.2092275000000001E-2</v>
      </c>
      <c r="H234" s="387">
        <f t="shared" ref="H234:H243" si="63">IF(M234=1,$G234,"")</f>
        <v>9.2092275000000001E-2</v>
      </c>
      <c r="I234" s="387" t="str">
        <f t="shared" ref="I234:I243" si="64">IF(N234=1,$G234,"")</f>
        <v/>
      </c>
      <c r="J234" s="387" t="str">
        <f t="shared" ref="J234:J243" si="65">IF(O234=1,$G234,"")</f>
        <v/>
      </c>
      <c r="K234" s="387" t="str">
        <f t="shared" ref="K234:K243" si="66">IF(P234=1,$G234,"")</f>
        <v/>
      </c>
      <c r="L234" s="411">
        <f t="shared" si="62"/>
        <v>1</v>
      </c>
      <c r="M234" s="409">
        <v>1</v>
      </c>
      <c r="N234" s="409"/>
      <c r="O234" s="409"/>
      <c r="P234" s="409"/>
      <c r="Q234" s="382"/>
      <c r="R234" s="385" t="str">
        <f t="shared" si="59"/>
        <v>T</v>
      </c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  <c r="AC234" s="389"/>
      <c r="AD234" s="389"/>
      <c r="AE234" s="389"/>
      <c r="AF234" s="389"/>
    </row>
    <row r="235" spans="1:32" hidden="1" outlineLevel="3">
      <c r="A235" s="382"/>
      <c r="B235" s="386" t="s">
        <v>180</v>
      </c>
      <c r="C235" s="382" t="s">
        <v>23</v>
      </c>
      <c r="D235" s="382" t="s">
        <v>18</v>
      </c>
      <c r="E235" s="386" t="s">
        <v>144</v>
      </c>
      <c r="F235" s="440" t="s">
        <v>184</v>
      </c>
      <c r="G235" s="411">
        <v>0.13813841249999997</v>
      </c>
      <c r="H235" s="387" t="str">
        <f t="shared" si="63"/>
        <v/>
      </c>
      <c r="I235" s="387">
        <f t="shared" si="64"/>
        <v>0.13813841249999997</v>
      </c>
      <c r="J235" s="387" t="str">
        <f t="shared" si="65"/>
        <v/>
      </c>
      <c r="K235" s="387" t="str">
        <f t="shared" si="66"/>
        <v/>
      </c>
      <c r="L235" s="411">
        <f t="shared" si="62"/>
        <v>1</v>
      </c>
      <c r="M235" s="409"/>
      <c r="N235" s="409">
        <v>1</v>
      </c>
      <c r="O235" s="409"/>
      <c r="P235" s="409"/>
      <c r="Q235" s="382"/>
      <c r="R235" s="385" t="str">
        <f t="shared" si="59"/>
        <v>T</v>
      </c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  <c r="AC235" s="389"/>
      <c r="AD235" s="389"/>
      <c r="AE235" s="389"/>
      <c r="AF235" s="389"/>
    </row>
    <row r="236" spans="1:32" hidden="1" outlineLevel="3">
      <c r="A236" s="382"/>
      <c r="B236" s="386" t="s">
        <v>180</v>
      </c>
      <c r="C236" s="382" t="s">
        <v>23</v>
      </c>
      <c r="D236" s="382" t="s">
        <v>18</v>
      </c>
      <c r="E236" s="386" t="s">
        <v>144</v>
      </c>
      <c r="F236" s="440" t="s">
        <v>185</v>
      </c>
      <c r="G236" s="411">
        <v>4.6046137500000001E-2</v>
      </c>
      <c r="H236" s="387" t="str">
        <f t="shared" si="63"/>
        <v/>
      </c>
      <c r="I236" s="387">
        <f t="shared" si="64"/>
        <v>4.6046137500000001E-2</v>
      </c>
      <c r="J236" s="387" t="str">
        <f t="shared" si="65"/>
        <v/>
      </c>
      <c r="K236" s="387" t="str">
        <f t="shared" si="66"/>
        <v/>
      </c>
      <c r="L236" s="411">
        <f t="shared" si="62"/>
        <v>1</v>
      </c>
      <c r="M236" s="409"/>
      <c r="N236" s="409">
        <v>1</v>
      </c>
      <c r="O236" s="409"/>
      <c r="P236" s="409"/>
      <c r="Q236" s="382"/>
      <c r="R236" s="385" t="str">
        <f t="shared" si="59"/>
        <v>T</v>
      </c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  <c r="AC236" s="389"/>
      <c r="AD236" s="389"/>
      <c r="AE236" s="389"/>
      <c r="AF236" s="389"/>
    </row>
    <row r="237" spans="1:32" hidden="1" outlineLevel="3">
      <c r="A237" s="382"/>
      <c r="B237" s="386" t="s">
        <v>180</v>
      </c>
      <c r="C237" s="382" t="s">
        <v>23</v>
      </c>
      <c r="D237" s="382" t="s">
        <v>18</v>
      </c>
      <c r="E237" s="386" t="s">
        <v>144</v>
      </c>
      <c r="F237" s="440" t="s">
        <v>186</v>
      </c>
      <c r="G237" s="411">
        <v>0.18418455</v>
      </c>
      <c r="H237" s="387" t="str">
        <f t="shared" si="63"/>
        <v/>
      </c>
      <c r="I237" s="387" t="str">
        <f t="shared" si="64"/>
        <v/>
      </c>
      <c r="J237" s="387">
        <f t="shared" si="65"/>
        <v>0.18418455</v>
      </c>
      <c r="K237" s="387" t="str">
        <f t="shared" si="66"/>
        <v/>
      </c>
      <c r="L237" s="411">
        <f t="shared" si="62"/>
        <v>1</v>
      </c>
      <c r="M237" s="409"/>
      <c r="N237" s="409"/>
      <c r="O237" s="409">
        <v>1</v>
      </c>
      <c r="P237" s="409"/>
      <c r="Q237" s="382"/>
      <c r="R237" s="385" t="str">
        <f t="shared" si="59"/>
        <v>T</v>
      </c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  <c r="AC237" s="389"/>
      <c r="AD237" s="389"/>
      <c r="AE237" s="389"/>
      <c r="AF237" s="389"/>
    </row>
    <row r="238" spans="1:32" hidden="1" outlineLevel="3">
      <c r="A238" s="382"/>
      <c r="B238" s="386" t="s">
        <v>180</v>
      </c>
      <c r="C238" s="382" t="s">
        <v>23</v>
      </c>
      <c r="D238" s="382" t="s">
        <v>18</v>
      </c>
      <c r="E238" s="386" t="s">
        <v>144</v>
      </c>
      <c r="F238" s="440" t="s">
        <v>187</v>
      </c>
      <c r="G238" s="411">
        <v>0.13060359000000002</v>
      </c>
      <c r="H238" s="387">
        <f t="shared" si="63"/>
        <v>0.13060359000000002</v>
      </c>
      <c r="I238" s="387" t="str">
        <f t="shared" si="64"/>
        <v/>
      </c>
      <c r="J238" s="387" t="str">
        <f t="shared" si="65"/>
        <v/>
      </c>
      <c r="K238" s="387" t="str">
        <f t="shared" si="66"/>
        <v/>
      </c>
      <c r="L238" s="411">
        <f t="shared" si="62"/>
        <v>1</v>
      </c>
      <c r="M238" s="409">
        <v>1</v>
      </c>
      <c r="N238" s="409"/>
      <c r="O238" s="409"/>
      <c r="P238" s="409"/>
      <c r="Q238" s="382"/>
      <c r="R238" s="385" t="str">
        <f t="shared" si="59"/>
        <v>T</v>
      </c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  <c r="AC238" s="389"/>
      <c r="AD238" s="389"/>
      <c r="AE238" s="389"/>
      <c r="AF238" s="389"/>
    </row>
    <row r="239" spans="1:32" hidden="1" outlineLevel="3">
      <c r="A239" s="382"/>
      <c r="B239" s="386" t="s">
        <v>180</v>
      </c>
      <c r="C239" s="382" t="s">
        <v>23</v>
      </c>
      <c r="D239" s="382" t="s">
        <v>18</v>
      </c>
      <c r="E239" s="386" t="s">
        <v>144</v>
      </c>
      <c r="F239" s="440" t="s">
        <v>188</v>
      </c>
      <c r="G239" s="411">
        <v>7.8362154000000003E-2</v>
      </c>
      <c r="H239" s="387">
        <f t="shared" si="63"/>
        <v>7.8362154000000003E-2</v>
      </c>
      <c r="I239" s="387" t="str">
        <f t="shared" si="64"/>
        <v/>
      </c>
      <c r="J239" s="387" t="str">
        <f t="shared" si="65"/>
        <v/>
      </c>
      <c r="K239" s="387" t="str">
        <f t="shared" si="66"/>
        <v/>
      </c>
      <c r="L239" s="411">
        <f t="shared" si="62"/>
        <v>1</v>
      </c>
      <c r="M239" s="409">
        <v>1</v>
      </c>
      <c r="N239" s="409"/>
      <c r="O239" s="409"/>
      <c r="P239" s="409"/>
      <c r="Q239" s="382"/>
      <c r="R239" s="385" t="str">
        <f t="shared" si="59"/>
        <v>T</v>
      </c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  <c r="AC239" s="389"/>
      <c r="AD239" s="389"/>
      <c r="AE239" s="389"/>
      <c r="AF239" s="389"/>
    </row>
    <row r="240" spans="1:32" hidden="1" outlineLevel="3">
      <c r="A240" s="382"/>
      <c r="B240" s="386" t="s">
        <v>180</v>
      </c>
      <c r="C240" s="382" t="s">
        <v>23</v>
      </c>
      <c r="D240" s="382" t="s">
        <v>18</v>
      </c>
      <c r="E240" s="386" t="s">
        <v>144</v>
      </c>
      <c r="F240" s="440" t="s">
        <v>189</v>
      </c>
      <c r="G240" s="411">
        <v>0.13060359000000002</v>
      </c>
      <c r="H240" s="387" t="str">
        <f t="shared" si="63"/>
        <v/>
      </c>
      <c r="I240" s="387">
        <f t="shared" si="64"/>
        <v>0.13060359000000002</v>
      </c>
      <c r="J240" s="387" t="str">
        <f t="shared" si="65"/>
        <v/>
      </c>
      <c r="K240" s="387" t="str">
        <f t="shared" si="66"/>
        <v/>
      </c>
      <c r="L240" s="411">
        <f t="shared" si="62"/>
        <v>1</v>
      </c>
      <c r="M240" s="409"/>
      <c r="N240" s="409">
        <v>1</v>
      </c>
      <c r="O240" s="409"/>
      <c r="P240" s="409"/>
      <c r="Q240" s="382"/>
      <c r="R240" s="385" t="str">
        <f t="shared" si="59"/>
        <v>T</v>
      </c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</row>
    <row r="241" spans="1:32" hidden="1" outlineLevel="3">
      <c r="A241" s="382"/>
      <c r="B241" s="386" t="s">
        <v>180</v>
      </c>
      <c r="C241" s="382" t="s">
        <v>23</v>
      </c>
      <c r="D241" s="382" t="s">
        <v>18</v>
      </c>
      <c r="E241" s="386" t="s">
        <v>144</v>
      </c>
      <c r="F241" s="440" t="s">
        <v>190</v>
      </c>
      <c r="G241" s="411">
        <v>7.8362154000000003E-2</v>
      </c>
      <c r="H241" s="387" t="str">
        <f t="shared" si="63"/>
        <v/>
      </c>
      <c r="I241" s="387">
        <f t="shared" si="64"/>
        <v>7.8362154000000003E-2</v>
      </c>
      <c r="J241" s="387" t="str">
        <f t="shared" si="65"/>
        <v/>
      </c>
      <c r="K241" s="387" t="str">
        <f t="shared" si="66"/>
        <v/>
      </c>
      <c r="L241" s="411">
        <f t="shared" si="62"/>
        <v>1</v>
      </c>
      <c r="M241" s="409"/>
      <c r="N241" s="409">
        <v>1</v>
      </c>
      <c r="O241" s="409"/>
      <c r="P241" s="409"/>
      <c r="Q241" s="382"/>
      <c r="R241" s="385" t="str">
        <f t="shared" si="59"/>
        <v>T</v>
      </c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</row>
    <row r="242" spans="1:32" hidden="1" outlineLevel="3">
      <c r="A242" s="382"/>
      <c r="B242" s="386" t="s">
        <v>180</v>
      </c>
      <c r="C242" s="382" t="s">
        <v>23</v>
      </c>
      <c r="D242" s="382" t="s">
        <v>18</v>
      </c>
      <c r="E242" s="386" t="s">
        <v>144</v>
      </c>
      <c r="F242" s="440" t="s">
        <v>191</v>
      </c>
      <c r="G242" s="411">
        <v>7.8362154000000003E-2</v>
      </c>
      <c r="H242" s="387" t="str">
        <f t="shared" si="63"/>
        <v/>
      </c>
      <c r="I242" s="387" t="str">
        <f t="shared" si="64"/>
        <v/>
      </c>
      <c r="J242" s="387">
        <f t="shared" si="65"/>
        <v>7.8362154000000003E-2</v>
      </c>
      <c r="K242" s="387" t="str">
        <f t="shared" si="66"/>
        <v/>
      </c>
      <c r="L242" s="411">
        <f t="shared" si="62"/>
        <v>1</v>
      </c>
      <c r="M242" s="409"/>
      <c r="N242" s="409"/>
      <c r="O242" s="409">
        <v>1</v>
      </c>
      <c r="P242" s="409"/>
      <c r="Q242" s="382"/>
      <c r="R242" s="385" t="str">
        <f t="shared" si="59"/>
        <v>T</v>
      </c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  <c r="AC242" s="389"/>
      <c r="AD242" s="389"/>
      <c r="AE242" s="389"/>
      <c r="AF242" s="389"/>
    </row>
    <row r="243" spans="1:32" hidden="1" outlineLevel="3">
      <c r="A243" s="382"/>
      <c r="B243" s="386" t="s">
        <v>180</v>
      </c>
      <c r="C243" s="382" t="s">
        <v>23</v>
      </c>
      <c r="D243" s="382" t="s">
        <v>18</v>
      </c>
      <c r="E243" s="386" t="s">
        <v>144</v>
      </c>
      <c r="F243" s="440" t="s">
        <v>192</v>
      </c>
      <c r="G243" s="411">
        <v>6.530179500000001E-2</v>
      </c>
      <c r="H243" s="387" t="str">
        <f t="shared" si="63"/>
        <v/>
      </c>
      <c r="I243" s="387" t="str">
        <f t="shared" si="64"/>
        <v/>
      </c>
      <c r="J243" s="387">
        <f t="shared" si="65"/>
        <v>6.530179500000001E-2</v>
      </c>
      <c r="K243" s="387" t="str">
        <f t="shared" si="66"/>
        <v/>
      </c>
      <c r="L243" s="411">
        <f t="shared" si="62"/>
        <v>1</v>
      </c>
      <c r="M243" s="409"/>
      <c r="N243" s="409"/>
      <c r="O243" s="409">
        <v>1</v>
      </c>
      <c r="P243" s="409"/>
      <c r="Q243" s="382"/>
      <c r="R243" s="385" t="str">
        <f t="shared" si="59"/>
        <v>T</v>
      </c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  <c r="AC243" s="389"/>
      <c r="AD243" s="389"/>
      <c r="AE243" s="389"/>
      <c r="AF243" s="389"/>
    </row>
    <row r="244" spans="1:32" hidden="1" outlineLevel="2" collapsed="1">
      <c r="A244" s="382"/>
      <c r="B244" s="386" t="s">
        <v>180</v>
      </c>
      <c r="C244" s="382" t="s">
        <v>23</v>
      </c>
      <c r="D244" s="382" t="s">
        <v>26</v>
      </c>
      <c r="E244" s="382"/>
      <c r="F244" s="440" t="s">
        <v>182</v>
      </c>
      <c r="G244" s="411">
        <f>SUM(G245:G253)</f>
        <v>0.57936246675029957</v>
      </c>
      <c r="H244" s="411">
        <f>SUM(H245:H253)</f>
        <v>0.28480034280014982</v>
      </c>
      <c r="I244" s="411">
        <f>SUM(I245:I253)</f>
        <v>0.1765664054250749</v>
      </c>
      <c r="J244" s="411">
        <f>SUM(J245:J253)</f>
        <v>0.11799571852507491</v>
      </c>
      <c r="K244" s="411">
        <f>SUM(K245:K253)</f>
        <v>0</v>
      </c>
      <c r="L244" s="411">
        <f t="shared" si="62"/>
        <v>9</v>
      </c>
      <c r="M244" s="409">
        <f>SUM(M245:M253)</f>
        <v>4</v>
      </c>
      <c r="N244" s="409">
        <f>SUM(N245:N253)</f>
        <v>3</v>
      </c>
      <c r="O244" s="409">
        <f>SUM(O245:O253)</f>
        <v>2</v>
      </c>
      <c r="P244" s="409">
        <f>SUM(P245:P253)</f>
        <v>0</v>
      </c>
      <c r="Q244" s="382"/>
      <c r="R244" s="385" t="str">
        <f t="shared" si="59"/>
        <v>T</v>
      </c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</row>
    <row r="245" spans="1:32" hidden="1" outlineLevel="3">
      <c r="A245" s="382"/>
      <c r="B245" s="386" t="s">
        <v>180</v>
      </c>
      <c r="C245" s="382" t="s">
        <v>23</v>
      </c>
      <c r="D245" s="382" t="s">
        <v>26</v>
      </c>
      <c r="E245" s="382" t="s">
        <v>27</v>
      </c>
      <c r="F245" s="440" t="s">
        <v>193</v>
      </c>
      <c r="G245" s="411">
        <v>9.7617811500000009E-3</v>
      </c>
      <c r="H245" s="387">
        <f t="shared" ref="H245:H253" si="67">IF(M245=1,$G245,"")</f>
        <v>9.7617811500000009E-3</v>
      </c>
      <c r="I245" s="387" t="str">
        <f t="shared" ref="I245:I253" si="68">IF(N245=1,$G245,"")</f>
        <v/>
      </c>
      <c r="J245" s="387" t="str">
        <f t="shared" ref="J245:J253" si="69">IF(O245=1,$G245,"")</f>
        <v/>
      </c>
      <c r="K245" s="387" t="str">
        <f t="shared" ref="K245:K253" si="70">IF(P245=1,$G245,"")</f>
        <v/>
      </c>
      <c r="L245" s="411">
        <f t="shared" si="62"/>
        <v>1</v>
      </c>
      <c r="M245" s="409">
        <v>1</v>
      </c>
      <c r="N245" s="409"/>
      <c r="O245" s="409"/>
      <c r="P245" s="409"/>
      <c r="Q245" s="382"/>
      <c r="R245" s="385" t="str">
        <f t="shared" si="59"/>
        <v>T</v>
      </c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  <c r="AC245" s="389"/>
      <c r="AD245" s="389"/>
      <c r="AE245" s="389"/>
      <c r="AF245" s="389"/>
    </row>
    <row r="246" spans="1:32" hidden="1" outlineLevel="3">
      <c r="A246" s="382"/>
      <c r="B246" s="386" t="s">
        <v>180</v>
      </c>
      <c r="C246" s="382" t="s">
        <v>23</v>
      </c>
      <c r="D246" s="382" t="s">
        <v>26</v>
      </c>
      <c r="E246" s="382" t="s">
        <v>27</v>
      </c>
      <c r="F246" s="440" t="s">
        <v>183</v>
      </c>
      <c r="G246" s="411">
        <v>3.9047124600000004E-2</v>
      </c>
      <c r="H246" s="387">
        <f t="shared" si="67"/>
        <v>3.9047124600000004E-2</v>
      </c>
      <c r="I246" s="387" t="str">
        <f t="shared" si="68"/>
        <v/>
      </c>
      <c r="J246" s="387" t="str">
        <f t="shared" si="69"/>
        <v/>
      </c>
      <c r="K246" s="387" t="str">
        <f t="shared" si="70"/>
        <v/>
      </c>
      <c r="L246" s="411">
        <f t="shared" si="62"/>
        <v>1</v>
      </c>
      <c r="M246" s="409">
        <v>1</v>
      </c>
      <c r="N246" s="409"/>
      <c r="O246" s="409"/>
      <c r="P246" s="409"/>
      <c r="Q246" s="382"/>
      <c r="R246" s="385" t="str">
        <f t="shared" si="59"/>
        <v>T</v>
      </c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  <c r="AC246" s="389"/>
      <c r="AD246" s="389"/>
      <c r="AE246" s="389"/>
      <c r="AF246" s="389"/>
    </row>
    <row r="247" spans="1:32" hidden="1" outlineLevel="3">
      <c r="A247" s="382"/>
      <c r="B247" s="386" t="s">
        <v>180</v>
      </c>
      <c r="C247" s="382" t="s">
        <v>23</v>
      </c>
      <c r="D247" s="382" t="s">
        <v>26</v>
      </c>
      <c r="E247" s="382" t="s">
        <v>27</v>
      </c>
      <c r="F247" s="440" t="s">
        <v>184</v>
      </c>
      <c r="G247" s="411">
        <v>2.9285343449999997E-2</v>
      </c>
      <c r="H247" s="387" t="str">
        <f t="shared" si="67"/>
        <v/>
      </c>
      <c r="I247" s="387">
        <f t="shared" si="68"/>
        <v>2.9285343449999997E-2</v>
      </c>
      <c r="J247" s="387" t="str">
        <f t="shared" si="69"/>
        <v/>
      </c>
      <c r="K247" s="387" t="str">
        <f t="shared" si="70"/>
        <v/>
      </c>
      <c r="L247" s="411">
        <f t="shared" si="62"/>
        <v>1</v>
      </c>
      <c r="M247" s="409"/>
      <c r="N247" s="409">
        <v>1</v>
      </c>
      <c r="O247" s="409"/>
      <c r="P247" s="409"/>
      <c r="Q247" s="382"/>
      <c r="R247" s="385" t="str">
        <f t="shared" si="59"/>
        <v>T</v>
      </c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</row>
    <row r="248" spans="1:32" hidden="1" outlineLevel="3">
      <c r="A248" s="382"/>
      <c r="B248" s="386" t="s">
        <v>180</v>
      </c>
      <c r="C248" s="382" t="s">
        <v>23</v>
      </c>
      <c r="D248" s="382" t="s">
        <v>26</v>
      </c>
      <c r="E248" s="382" t="s">
        <v>27</v>
      </c>
      <c r="F248" s="440" t="s">
        <v>185</v>
      </c>
      <c r="G248" s="411">
        <v>2.9285343449999997E-2</v>
      </c>
      <c r="H248" s="387" t="str">
        <f t="shared" si="67"/>
        <v/>
      </c>
      <c r="I248" s="387">
        <f t="shared" si="68"/>
        <v>2.9285343449999997E-2</v>
      </c>
      <c r="J248" s="387" t="str">
        <f t="shared" si="69"/>
        <v/>
      </c>
      <c r="K248" s="387" t="str">
        <f t="shared" si="70"/>
        <v/>
      </c>
      <c r="L248" s="411">
        <f t="shared" si="62"/>
        <v>1</v>
      </c>
      <c r="M248" s="409"/>
      <c r="N248" s="409">
        <v>1</v>
      </c>
      <c r="O248" s="409"/>
      <c r="P248" s="409"/>
      <c r="Q248" s="382"/>
      <c r="R248" s="385" t="str">
        <f t="shared" si="59"/>
        <v>T</v>
      </c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  <c r="AC248" s="389"/>
      <c r="AD248" s="389"/>
      <c r="AE248" s="389"/>
      <c r="AF248" s="389"/>
    </row>
    <row r="249" spans="1:32" hidden="1" outlineLevel="3">
      <c r="A249" s="382"/>
      <c r="B249" s="386" t="s">
        <v>180</v>
      </c>
      <c r="C249" s="382" t="s">
        <v>23</v>
      </c>
      <c r="D249" s="382" t="s">
        <v>26</v>
      </c>
      <c r="E249" s="382" t="s">
        <v>27</v>
      </c>
      <c r="F249" s="440" t="s">
        <v>187</v>
      </c>
      <c r="G249" s="411">
        <v>0.11799571852507491</v>
      </c>
      <c r="H249" s="387">
        <f t="shared" si="67"/>
        <v>0.11799571852507491</v>
      </c>
      <c r="I249" s="387" t="str">
        <f t="shared" si="68"/>
        <v/>
      </c>
      <c r="J249" s="387" t="str">
        <f t="shared" si="69"/>
        <v/>
      </c>
      <c r="K249" s="387" t="str">
        <f t="shared" si="70"/>
        <v/>
      </c>
      <c r="L249" s="411">
        <f t="shared" si="62"/>
        <v>1</v>
      </c>
      <c r="M249" s="409">
        <v>1</v>
      </c>
      <c r="N249" s="409"/>
      <c r="O249" s="409"/>
      <c r="P249" s="409"/>
      <c r="Q249" s="382"/>
      <c r="R249" s="385" t="str">
        <f t="shared" si="59"/>
        <v>T</v>
      </c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  <c r="AC249" s="389"/>
      <c r="AD249" s="389"/>
      <c r="AE249" s="389"/>
      <c r="AF249" s="389"/>
    </row>
    <row r="250" spans="1:32" hidden="1" outlineLevel="3">
      <c r="A250" s="382"/>
      <c r="B250" s="386" t="s">
        <v>180</v>
      </c>
      <c r="C250" s="382" t="s">
        <v>23</v>
      </c>
      <c r="D250" s="382" t="s">
        <v>26</v>
      </c>
      <c r="E250" s="382" t="s">
        <v>27</v>
      </c>
      <c r="F250" s="440" t="s">
        <v>188</v>
      </c>
      <c r="G250" s="411">
        <v>0.11799571852507491</v>
      </c>
      <c r="H250" s="387">
        <f t="shared" si="67"/>
        <v>0.11799571852507491</v>
      </c>
      <c r="I250" s="387" t="str">
        <f t="shared" si="68"/>
        <v/>
      </c>
      <c r="J250" s="387" t="str">
        <f t="shared" si="69"/>
        <v/>
      </c>
      <c r="K250" s="387" t="str">
        <f t="shared" si="70"/>
        <v/>
      </c>
      <c r="L250" s="411">
        <f t="shared" si="62"/>
        <v>1</v>
      </c>
      <c r="M250" s="409">
        <v>1</v>
      </c>
      <c r="N250" s="409"/>
      <c r="O250" s="409"/>
      <c r="P250" s="409"/>
      <c r="Q250" s="382"/>
      <c r="R250" s="385" t="str">
        <f t="shared" si="59"/>
        <v>T</v>
      </c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  <c r="AC250" s="389"/>
      <c r="AD250" s="389"/>
      <c r="AE250" s="389"/>
      <c r="AF250" s="389"/>
    </row>
    <row r="251" spans="1:32" hidden="1" outlineLevel="3">
      <c r="A251" s="382"/>
      <c r="B251" s="386" t="s">
        <v>180</v>
      </c>
      <c r="C251" s="382" t="s">
        <v>23</v>
      </c>
      <c r="D251" s="382" t="s">
        <v>26</v>
      </c>
      <c r="E251" s="382" t="s">
        <v>27</v>
      </c>
      <c r="F251" s="440" t="s">
        <v>190</v>
      </c>
      <c r="G251" s="411">
        <v>0.11799571852507491</v>
      </c>
      <c r="H251" s="387" t="str">
        <f t="shared" si="67"/>
        <v/>
      </c>
      <c r="I251" s="387">
        <f t="shared" si="68"/>
        <v>0.11799571852507491</v>
      </c>
      <c r="J251" s="387" t="str">
        <f t="shared" si="69"/>
        <v/>
      </c>
      <c r="K251" s="387" t="str">
        <f t="shared" si="70"/>
        <v/>
      </c>
      <c r="L251" s="411">
        <f t="shared" si="62"/>
        <v>1</v>
      </c>
      <c r="M251" s="409"/>
      <c r="N251" s="409">
        <v>1</v>
      </c>
      <c r="O251" s="409"/>
      <c r="P251" s="409"/>
      <c r="Q251" s="382"/>
      <c r="R251" s="385" t="str">
        <f t="shared" si="59"/>
        <v>T</v>
      </c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  <c r="AC251" s="389"/>
      <c r="AD251" s="389"/>
      <c r="AE251" s="389"/>
      <c r="AF251" s="389"/>
    </row>
    <row r="252" spans="1:32" hidden="1" outlineLevel="3">
      <c r="A252" s="382"/>
      <c r="B252" s="386" t="s">
        <v>180</v>
      </c>
      <c r="C252" s="382" t="s">
        <v>23</v>
      </c>
      <c r="D252" s="382" t="s">
        <v>26</v>
      </c>
      <c r="E252" s="382" t="s">
        <v>27</v>
      </c>
      <c r="F252" s="440" t="s">
        <v>191</v>
      </c>
      <c r="G252" s="411">
        <v>5.8997859262537457E-2</v>
      </c>
      <c r="H252" s="387" t="str">
        <f t="shared" si="67"/>
        <v/>
      </c>
      <c r="I252" s="387" t="str">
        <f t="shared" si="68"/>
        <v/>
      </c>
      <c r="J252" s="387">
        <f t="shared" si="69"/>
        <v>5.8997859262537457E-2</v>
      </c>
      <c r="K252" s="387" t="str">
        <f t="shared" si="70"/>
        <v/>
      </c>
      <c r="L252" s="411">
        <f t="shared" si="62"/>
        <v>1</v>
      </c>
      <c r="M252" s="409"/>
      <c r="N252" s="409"/>
      <c r="O252" s="409">
        <v>1</v>
      </c>
      <c r="P252" s="409"/>
      <c r="Q252" s="382"/>
      <c r="R252" s="385" t="str">
        <f t="shared" si="59"/>
        <v>T</v>
      </c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</row>
    <row r="253" spans="1:32" hidden="1" outlineLevel="3">
      <c r="A253" s="382"/>
      <c r="B253" s="386" t="s">
        <v>180</v>
      </c>
      <c r="C253" s="382" t="s">
        <v>23</v>
      </c>
      <c r="D253" s="382" t="s">
        <v>26</v>
      </c>
      <c r="E253" s="382" t="s">
        <v>27</v>
      </c>
      <c r="F253" s="440" t="s">
        <v>192</v>
      </c>
      <c r="G253" s="411">
        <v>5.8997859262537457E-2</v>
      </c>
      <c r="H253" s="387" t="str">
        <f t="shared" si="67"/>
        <v/>
      </c>
      <c r="I253" s="387" t="str">
        <f t="shared" si="68"/>
        <v/>
      </c>
      <c r="J253" s="387">
        <f t="shared" si="69"/>
        <v>5.8997859262537457E-2</v>
      </c>
      <c r="K253" s="387" t="str">
        <f t="shared" si="70"/>
        <v/>
      </c>
      <c r="L253" s="411">
        <f t="shared" si="62"/>
        <v>1</v>
      </c>
      <c r="M253" s="409"/>
      <c r="N253" s="409"/>
      <c r="O253" s="409">
        <v>1</v>
      </c>
      <c r="P253" s="409"/>
      <c r="Q253" s="382"/>
      <c r="R253" s="385" t="str">
        <f t="shared" si="59"/>
        <v>T</v>
      </c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  <c r="AC253" s="389"/>
      <c r="AD253" s="389"/>
      <c r="AE253" s="389"/>
      <c r="AF253" s="389"/>
    </row>
    <row r="254" spans="1:32" hidden="1" outlineLevel="2" collapsed="1">
      <c r="A254" s="382"/>
      <c r="B254" s="386" t="s">
        <v>180</v>
      </c>
      <c r="C254" s="382" t="s">
        <v>23</v>
      </c>
      <c r="D254" s="382" t="s">
        <v>28</v>
      </c>
      <c r="E254" s="382"/>
      <c r="F254" s="440" t="s">
        <v>182</v>
      </c>
      <c r="G254" s="411">
        <f>SUM(G255:G260)</f>
        <v>0.14769089302499999</v>
      </c>
      <c r="H254" s="387">
        <f>SUM(H255:H260)</f>
        <v>4.7122779914999996E-2</v>
      </c>
      <c r="I254" s="387">
        <f>SUM(I255:I260)</f>
        <v>8.4267780434999995E-2</v>
      </c>
      <c r="J254" s="387">
        <f>SUM(J255:J260)</f>
        <v>1.6300332674999998E-2</v>
      </c>
      <c r="K254" s="387">
        <f>SUM(K255:K260)</f>
        <v>0</v>
      </c>
      <c r="L254" s="411">
        <f t="shared" si="62"/>
        <v>6</v>
      </c>
      <c r="M254" s="388">
        <f>SUM(M255:M260)</f>
        <v>2</v>
      </c>
      <c r="N254" s="388">
        <f>SUM(N255:N260)</f>
        <v>3</v>
      </c>
      <c r="O254" s="388">
        <f>SUM(O255:O260)</f>
        <v>1</v>
      </c>
      <c r="P254" s="388">
        <f>SUM(P255:P260)</f>
        <v>0</v>
      </c>
      <c r="Q254" s="382"/>
      <c r="R254" s="385" t="str">
        <f t="shared" si="59"/>
        <v>T</v>
      </c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  <c r="AC254" s="389"/>
      <c r="AD254" s="389"/>
      <c r="AE254" s="389"/>
      <c r="AF254" s="389"/>
    </row>
    <row r="255" spans="1:32" hidden="1" outlineLevel="3">
      <c r="A255" s="382"/>
      <c r="B255" s="386" t="s">
        <v>180</v>
      </c>
      <c r="C255" s="382" t="s">
        <v>23</v>
      </c>
      <c r="D255" s="382" t="s">
        <v>28</v>
      </c>
      <c r="E255" s="382" t="s">
        <v>29</v>
      </c>
      <c r="F255" s="440" t="s">
        <v>183</v>
      </c>
      <c r="G255" s="411">
        <v>1.6300332674999998E-2</v>
      </c>
      <c r="H255" s="387">
        <f t="shared" ref="H255:K260" si="71">IF(M255=1,$G255,"")</f>
        <v>1.6300332674999998E-2</v>
      </c>
      <c r="I255" s="387" t="str">
        <f t="shared" si="71"/>
        <v/>
      </c>
      <c r="J255" s="387" t="str">
        <f t="shared" si="71"/>
        <v/>
      </c>
      <c r="K255" s="387" t="str">
        <f t="shared" si="71"/>
        <v/>
      </c>
      <c r="L255" s="411">
        <f t="shared" si="62"/>
        <v>1</v>
      </c>
      <c r="M255" s="409">
        <v>1</v>
      </c>
      <c r="N255" s="409"/>
      <c r="O255" s="409"/>
      <c r="P255" s="409"/>
      <c r="Q255" s="382"/>
      <c r="R255" s="385" t="str">
        <f t="shared" si="59"/>
        <v>T</v>
      </c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</row>
    <row r="256" spans="1:32" hidden="1" outlineLevel="3">
      <c r="A256" s="382"/>
      <c r="B256" s="386" t="s">
        <v>180</v>
      </c>
      <c r="C256" s="382" t="s">
        <v>23</v>
      </c>
      <c r="D256" s="382" t="s">
        <v>28</v>
      </c>
      <c r="E256" s="382" t="s">
        <v>29</v>
      </c>
      <c r="F256" s="440" t="s">
        <v>184</v>
      </c>
      <c r="G256" s="411">
        <v>2.1733776899999998E-2</v>
      </c>
      <c r="H256" s="387" t="str">
        <f t="shared" si="71"/>
        <v/>
      </c>
      <c r="I256" s="387">
        <f t="shared" si="71"/>
        <v>2.1733776899999998E-2</v>
      </c>
      <c r="J256" s="387" t="str">
        <f t="shared" si="71"/>
        <v/>
      </c>
      <c r="K256" s="387" t="str">
        <f t="shared" si="71"/>
        <v/>
      </c>
      <c r="L256" s="411">
        <f t="shared" si="62"/>
        <v>1</v>
      </c>
      <c r="M256" s="409"/>
      <c r="N256" s="409">
        <v>1</v>
      </c>
      <c r="O256" s="409"/>
      <c r="P256" s="409"/>
      <c r="Q256" s="382"/>
      <c r="R256" s="385" t="str">
        <f t="shared" si="59"/>
        <v>T</v>
      </c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  <c r="AC256" s="389"/>
      <c r="AD256" s="389"/>
      <c r="AE256" s="389"/>
      <c r="AF256" s="389"/>
    </row>
    <row r="257" spans="1:32" hidden="1" outlineLevel="3">
      <c r="A257" s="382"/>
      <c r="B257" s="386" t="s">
        <v>180</v>
      </c>
      <c r="C257" s="382" t="s">
        <v>23</v>
      </c>
      <c r="D257" s="382" t="s">
        <v>28</v>
      </c>
      <c r="E257" s="382" t="s">
        <v>29</v>
      </c>
      <c r="F257" s="440" t="s">
        <v>185</v>
      </c>
      <c r="G257" s="411">
        <v>1.6300332674999998E-2</v>
      </c>
      <c r="H257" s="387" t="str">
        <f t="shared" si="71"/>
        <v/>
      </c>
      <c r="I257" s="387">
        <f t="shared" si="71"/>
        <v>1.6300332674999998E-2</v>
      </c>
      <c r="J257" s="387" t="str">
        <f t="shared" si="71"/>
        <v/>
      </c>
      <c r="K257" s="387" t="str">
        <f t="shared" si="71"/>
        <v/>
      </c>
      <c r="L257" s="411">
        <f t="shared" si="62"/>
        <v>1</v>
      </c>
      <c r="M257" s="409"/>
      <c r="N257" s="409">
        <v>1</v>
      </c>
      <c r="O257" s="409"/>
      <c r="P257" s="409"/>
      <c r="Q257" s="382"/>
      <c r="R257" s="385" t="str">
        <f t="shared" si="59"/>
        <v>T</v>
      </c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</row>
    <row r="258" spans="1:32" hidden="1" outlineLevel="3">
      <c r="A258" s="382"/>
      <c r="B258" s="386" t="s">
        <v>180</v>
      </c>
      <c r="C258" s="382" t="s">
        <v>23</v>
      </c>
      <c r="D258" s="382" t="s">
        <v>28</v>
      </c>
      <c r="E258" s="382" t="s">
        <v>29</v>
      </c>
      <c r="F258" s="440" t="s">
        <v>186</v>
      </c>
      <c r="G258" s="411">
        <v>1.6300332674999998E-2</v>
      </c>
      <c r="H258" s="387" t="str">
        <f t="shared" si="71"/>
        <v/>
      </c>
      <c r="I258" s="387" t="str">
        <f t="shared" si="71"/>
        <v/>
      </c>
      <c r="J258" s="387">
        <f t="shared" si="71"/>
        <v>1.6300332674999998E-2</v>
      </c>
      <c r="K258" s="387" t="str">
        <f t="shared" si="71"/>
        <v/>
      </c>
      <c r="L258" s="411">
        <f t="shared" si="62"/>
        <v>1</v>
      </c>
      <c r="M258" s="409"/>
      <c r="N258" s="409"/>
      <c r="O258" s="409">
        <v>1</v>
      </c>
      <c r="P258" s="409"/>
      <c r="Q258" s="382"/>
      <c r="R258" s="385" t="str">
        <f t="shared" si="59"/>
        <v>T</v>
      </c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  <c r="AC258" s="389"/>
      <c r="AD258" s="389"/>
      <c r="AE258" s="389"/>
      <c r="AF258" s="389"/>
    </row>
    <row r="259" spans="1:32" hidden="1" outlineLevel="3">
      <c r="A259" s="382"/>
      <c r="B259" s="386" t="s">
        <v>180</v>
      </c>
      <c r="C259" s="382" t="s">
        <v>23</v>
      </c>
      <c r="D259" s="382" t="s">
        <v>28</v>
      </c>
      <c r="E259" s="382" t="s">
        <v>29</v>
      </c>
      <c r="F259" s="442" t="s">
        <v>187</v>
      </c>
      <c r="G259" s="411">
        <v>3.0822447240000002E-2</v>
      </c>
      <c r="H259" s="387">
        <f t="shared" si="71"/>
        <v>3.0822447240000002E-2</v>
      </c>
      <c r="I259" s="387" t="str">
        <f t="shared" si="71"/>
        <v/>
      </c>
      <c r="J259" s="387" t="str">
        <f t="shared" si="71"/>
        <v/>
      </c>
      <c r="K259" s="387" t="str">
        <f t="shared" si="71"/>
        <v/>
      </c>
      <c r="L259" s="411">
        <f t="shared" si="62"/>
        <v>1</v>
      </c>
      <c r="M259" s="409">
        <v>1</v>
      </c>
      <c r="N259" s="409"/>
      <c r="O259" s="409"/>
      <c r="P259" s="409"/>
      <c r="Q259" s="382"/>
      <c r="R259" s="385" t="str">
        <f t="shared" si="59"/>
        <v>T</v>
      </c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  <c r="AC259" s="389"/>
      <c r="AD259" s="389"/>
      <c r="AE259" s="389"/>
      <c r="AF259" s="389"/>
    </row>
    <row r="260" spans="1:32" hidden="1" outlineLevel="3">
      <c r="A260" s="382"/>
      <c r="B260" s="386" t="s">
        <v>180</v>
      </c>
      <c r="C260" s="382" t="s">
        <v>23</v>
      </c>
      <c r="D260" s="382" t="s">
        <v>28</v>
      </c>
      <c r="E260" s="382" t="s">
        <v>29</v>
      </c>
      <c r="F260" s="440" t="s">
        <v>190</v>
      </c>
      <c r="G260" s="411">
        <v>4.6233670859999999E-2</v>
      </c>
      <c r="H260" s="387" t="str">
        <f t="shared" si="71"/>
        <v/>
      </c>
      <c r="I260" s="387">
        <f t="shared" si="71"/>
        <v>4.6233670859999999E-2</v>
      </c>
      <c r="J260" s="387" t="str">
        <f t="shared" si="71"/>
        <v/>
      </c>
      <c r="K260" s="387" t="str">
        <f t="shared" si="71"/>
        <v/>
      </c>
      <c r="L260" s="411">
        <f t="shared" si="62"/>
        <v>1</v>
      </c>
      <c r="M260" s="409"/>
      <c r="N260" s="409">
        <v>1</v>
      </c>
      <c r="O260" s="409"/>
      <c r="P260" s="409"/>
      <c r="Q260" s="382"/>
      <c r="R260" s="385" t="str">
        <f t="shared" si="59"/>
        <v>T</v>
      </c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  <c r="AC260" s="389"/>
      <c r="AD260" s="389"/>
      <c r="AE260" s="389"/>
      <c r="AF260" s="389"/>
    </row>
    <row r="261" spans="1:32" outlineLevel="1" collapsed="1">
      <c r="A261" s="382"/>
      <c r="B261" s="390" t="s">
        <v>194</v>
      </c>
      <c r="C261" s="395" t="s">
        <v>136</v>
      </c>
      <c r="D261" s="390"/>
      <c r="E261" s="390"/>
      <c r="F261" s="445" t="s">
        <v>86</v>
      </c>
      <c r="G261" s="424">
        <f>SUM(G262+G268+G274)</f>
        <v>1.3800000000000001</v>
      </c>
      <c r="H261" s="424">
        <f>H262+H268+H274+H276</f>
        <v>1.3800000000000001</v>
      </c>
      <c r="I261" s="424">
        <f>I262+I268+I274+I276</f>
        <v>0</v>
      </c>
      <c r="J261" s="424">
        <f>J262+J268+J274+J276</f>
        <v>0</v>
      </c>
      <c r="K261" s="424">
        <f>K262+K268+K274+K276</f>
        <v>0</v>
      </c>
      <c r="L261" s="424">
        <f t="shared" si="62"/>
        <v>11</v>
      </c>
      <c r="M261" s="408">
        <f>M262+M268+M274+M276</f>
        <v>11</v>
      </c>
      <c r="N261" s="408">
        <f>N262+N268+N274+N276</f>
        <v>0</v>
      </c>
      <c r="O261" s="408">
        <f>O262+O268+O274+O276</f>
        <v>0</v>
      </c>
      <c r="P261" s="408">
        <f>P262+P268+P274+P276</f>
        <v>0</v>
      </c>
      <c r="Q261" s="382"/>
      <c r="R261" s="385" t="str">
        <f t="shared" si="59"/>
        <v>T</v>
      </c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  <c r="AC261" s="389"/>
      <c r="AD261" s="389"/>
      <c r="AE261" s="389"/>
      <c r="AF261" s="389"/>
    </row>
    <row r="262" spans="1:32" hidden="1" outlineLevel="2" collapsed="1">
      <c r="A262" s="382"/>
      <c r="B262" s="386" t="s">
        <v>194</v>
      </c>
      <c r="C262" s="382" t="s">
        <v>136</v>
      </c>
      <c r="D262" s="382" t="s">
        <v>18</v>
      </c>
      <c r="E262" s="386"/>
      <c r="F262" s="440" t="s">
        <v>87</v>
      </c>
      <c r="G262" s="387">
        <f>SUM(G263:G267)</f>
        <v>0.96000000000000008</v>
      </c>
      <c r="H262" s="411">
        <f>SUM(H263:H267)</f>
        <v>0.96000000000000008</v>
      </c>
      <c r="I262" s="411">
        <f>SUM(I263:I267)</f>
        <v>0</v>
      </c>
      <c r="J262" s="411">
        <f>SUM(J263:J267)</f>
        <v>0</v>
      </c>
      <c r="K262" s="411">
        <f>SUM(K263:K267)</f>
        <v>0</v>
      </c>
      <c r="L262" s="387">
        <f t="shared" si="62"/>
        <v>5</v>
      </c>
      <c r="M262" s="388">
        <f>SUM(M263:M267)</f>
        <v>5</v>
      </c>
      <c r="N262" s="388">
        <f>SUM(N263:N267)</f>
        <v>0</v>
      </c>
      <c r="O262" s="388">
        <f>SUM(O263:O267)</f>
        <v>0</v>
      </c>
      <c r="P262" s="388">
        <f>SUM(P263:P267)</f>
        <v>0</v>
      </c>
      <c r="Q262" s="382"/>
      <c r="R262" s="385" t="str">
        <f t="shared" si="59"/>
        <v>T</v>
      </c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  <c r="AC262" s="389"/>
      <c r="AD262" s="389"/>
      <c r="AE262" s="389"/>
      <c r="AF262" s="389"/>
    </row>
    <row r="263" spans="1:32" hidden="1" outlineLevel="3">
      <c r="A263" s="382"/>
      <c r="B263" s="386" t="s">
        <v>194</v>
      </c>
      <c r="C263" s="382" t="s">
        <v>136</v>
      </c>
      <c r="D263" s="382" t="s">
        <v>18</v>
      </c>
      <c r="E263" s="386" t="s">
        <v>144</v>
      </c>
      <c r="F263" s="440" t="s">
        <v>195</v>
      </c>
      <c r="G263" s="387">
        <v>0.51</v>
      </c>
      <c r="H263" s="387">
        <v>0.51</v>
      </c>
      <c r="I263" s="387" t="str">
        <f t="shared" ref="I263:K267" si="72">IF(N263=1,$G263,"")</f>
        <v/>
      </c>
      <c r="J263" s="387" t="str">
        <f t="shared" si="72"/>
        <v/>
      </c>
      <c r="K263" s="387" t="str">
        <f t="shared" si="72"/>
        <v/>
      </c>
      <c r="L263" s="387">
        <f t="shared" si="62"/>
        <v>1</v>
      </c>
      <c r="M263" s="388">
        <v>1</v>
      </c>
      <c r="N263" s="388"/>
      <c r="O263" s="388"/>
      <c r="P263" s="388"/>
      <c r="Q263" s="382"/>
      <c r="R263" s="385" t="str">
        <f t="shared" si="59"/>
        <v>T</v>
      </c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  <c r="AC263" s="389"/>
      <c r="AD263" s="389"/>
      <c r="AE263" s="389"/>
      <c r="AF263" s="389"/>
    </row>
    <row r="264" spans="1:32" hidden="1" outlineLevel="3">
      <c r="A264" s="382"/>
      <c r="B264" s="386" t="s">
        <v>194</v>
      </c>
      <c r="C264" s="382" t="s">
        <v>136</v>
      </c>
      <c r="D264" s="382" t="s">
        <v>18</v>
      </c>
      <c r="E264" s="386" t="s">
        <v>144</v>
      </c>
      <c r="F264" s="440" t="s">
        <v>196</v>
      </c>
      <c r="G264" s="387">
        <v>0.3</v>
      </c>
      <c r="H264" s="387">
        <f>IF(M264=1,$G264,"")</f>
        <v>0.3</v>
      </c>
      <c r="I264" s="387" t="str">
        <f t="shared" si="72"/>
        <v/>
      </c>
      <c r="J264" s="387" t="str">
        <f t="shared" si="72"/>
        <v/>
      </c>
      <c r="K264" s="387" t="str">
        <f t="shared" si="72"/>
        <v/>
      </c>
      <c r="L264" s="387">
        <f t="shared" si="62"/>
        <v>1</v>
      </c>
      <c r="M264" s="388">
        <v>1</v>
      </c>
      <c r="N264" s="388"/>
      <c r="O264" s="388"/>
      <c r="P264" s="388"/>
      <c r="Q264" s="382"/>
      <c r="R264" s="385" t="str">
        <f t="shared" si="59"/>
        <v>T</v>
      </c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  <c r="AC264" s="389"/>
      <c r="AD264" s="389"/>
      <c r="AE264" s="389"/>
      <c r="AF264" s="389"/>
    </row>
    <row r="265" spans="1:32" hidden="1" outlineLevel="3">
      <c r="A265" s="382"/>
      <c r="B265" s="386" t="s">
        <v>194</v>
      </c>
      <c r="C265" s="382" t="s">
        <v>136</v>
      </c>
      <c r="D265" s="382" t="s">
        <v>18</v>
      </c>
      <c r="E265" s="386" t="s">
        <v>144</v>
      </c>
      <c r="F265" s="440" t="s">
        <v>158</v>
      </c>
      <c r="G265" s="387">
        <v>0.09</v>
      </c>
      <c r="H265" s="387">
        <f>IF(M265=1,$G265,"")</f>
        <v>0.09</v>
      </c>
      <c r="I265" s="387" t="str">
        <f t="shared" si="72"/>
        <v/>
      </c>
      <c r="J265" s="387" t="str">
        <f t="shared" si="72"/>
        <v/>
      </c>
      <c r="K265" s="387" t="str">
        <f t="shared" si="72"/>
        <v/>
      </c>
      <c r="L265" s="387">
        <f t="shared" ref="L265:L296" si="73">SUM(M265:P265)</f>
        <v>1</v>
      </c>
      <c r="M265" s="388">
        <v>1</v>
      </c>
      <c r="N265" s="388"/>
      <c r="O265" s="388"/>
      <c r="P265" s="388"/>
      <c r="Q265" s="382"/>
      <c r="R265" s="385" t="str">
        <f t="shared" si="59"/>
        <v>T</v>
      </c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  <c r="AC265" s="389"/>
      <c r="AD265" s="389"/>
      <c r="AE265" s="389"/>
      <c r="AF265" s="389"/>
    </row>
    <row r="266" spans="1:32" hidden="1" outlineLevel="3">
      <c r="A266" s="382"/>
      <c r="B266" s="386" t="s">
        <v>194</v>
      </c>
      <c r="C266" s="382" t="s">
        <v>136</v>
      </c>
      <c r="D266" s="382" t="s">
        <v>18</v>
      </c>
      <c r="E266" s="386" t="s">
        <v>144</v>
      </c>
      <c r="F266" s="440" t="s">
        <v>137</v>
      </c>
      <c r="G266" s="387">
        <v>0.03</v>
      </c>
      <c r="H266" s="387">
        <f>IF(M266=1,$G266,"")</f>
        <v>0.03</v>
      </c>
      <c r="I266" s="387" t="str">
        <f t="shared" si="72"/>
        <v/>
      </c>
      <c r="J266" s="387" t="str">
        <f t="shared" si="72"/>
        <v/>
      </c>
      <c r="K266" s="387" t="str">
        <f t="shared" si="72"/>
        <v/>
      </c>
      <c r="L266" s="387">
        <f t="shared" si="73"/>
        <v>1</v>
      </c>
      <c r="M266" s="388">
        <v>1</v>
      </c>
      <c r="N266" s="388"/>
      <c r="O266" s="388"/>
      <c r="P266" s="388"/>
      <c r="Q266" s="382"/>
      <c r="R266" s="385" t="str">
        <f t="shared" si="59"/>
        <v>T</v>
      </c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  <c r="AC266" s="389"/>
      <c r="AD266" s="389"/>
      <c r="AE266" s="389"/>
      <c r="AF266" s="389"/>
    </row>
    <row r="267" spans="1:32" hidden="1" outlineLevel="3">
      <c r="A267" s="382"/>
      <c r="B267" s="386" t="s">
        <v>194</v>
      </c>
      <c r="C267" s="382" t="s">
        <v>136</v>
      </c>
      <c r="D267" s="382" t="s">
        <v>18</v>
      </c>
      <c r="E267" s="386" t="s">
        <v>144</v>
      </c>
      <c r="F267" s="440" t="s">
        <v>146</v>
      </c>
      <c r="G267" s="387">
        <v>0.03</v>
      </c>
      <c r="H267" s="387">
        <f>IF(M267=1,$G267,"")</f>
        <v>0.03</v>
      </c>
      <c r="I267" s="387" t="str">
        <f t="shared" si="72"/>
        <v/>
      </c>
      <c r="J267" s="387" t="str">
        <f t="shared" si="72"/>
        <v/>
      </c>
      <c r="K267" s="387" t="str">
        <f t="shared" si="72"/>
        <v/>
      </c>
      <c r="L267" s="387">
        <f t="shared" si="73"/>
        <v>1</v>
      </c>
      <c r="M267" s="388">
        <v>1</v>
      </c>
      <c r="N267" s="388"/>
      <c r="O267" s="388"/>
      <c r="P267" s="388"/>
      <c r="Q267" s="382"/>
      <c r="R267" s="385" t="str">
        <f t="shared" si="59"/>
        <v>T</v>
      </c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  <c r="AC267" s="389"/>
      <c r="AD267" s="389"/>
      <c r="AE267" s="389"/>
      <c r="AF267" s="389"/>
    </row>
    <row r="268" spans="1:32" hidden="1" outlineLevel="2" collapsed="1">
      <c r="A268" s="382"/>
      <c r="B268" s="386" t="s">
        <v>194</v>
      </c>
      <c r="C268" s="382" t="s">
        <v>136</v>
      </c>
      <c r="D268" s="382" t="s">
        <v>26</v>
      </c>
      <c r="E268" s="382"/>
      <c r="F268" s="440" t="s">
        <v>87</v>
      </c>
      <c r="G268" s="387">
        <f>SUM(G269:G273)</f>
        <v>0.38000000000000006</v>
      </c>
      <c r="H268" s="411">
        <f>SUM(H269:H273)</f>
        <v>0.38000000000000006</v>
      </c>
      <c r="I268" s="411">
        <f>SUM(I269:I273)</f>
        <v>0</v>
      </c>
      <c r="J268" s="411">
        <f>SUM(J269:J273)</f>
        <v>0</v>
      </c>
      <c r="K268" s="411">
        <f>SUM(K269:K273)</f>
        <v>0</v>
      </c>
      <c r="L268" s="387">
        <f t="shared" si="73"/>
        <v>5</v>
      </c>
      <c r="M268" s="388">
        <f>SUM(M269:M273)</f>
        <v>5</v>
      </c>
      <c r="N268" s="388">
        <f>SUM(N269:N273)</f>
        <v>0</v>
      </c>
      <c r="O268" s="388">
        <f>SUM(O269:O273)</f>
        <v>0</v>
      </c>
      <c r="P268" s="388">
        <f>SUM(P269:P273)</f>
        <v>0</v>
      </c>
      <c r="Q268" s="382"/>
      <c r="R268" s="385" t="str">
        <f t="shared" si="59"/>
        <v>T</v>
      </c>
      <c r="S268" s="389"/>
      <c r="T268" s="389">
        <v>7.0000000000000007E-2</v>
      </c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</row>
    <row r="269" spans="1:32" hidden="1" outlineLevel="3">
      <c r="A269" s="382"/>
      <c r="B269" s="386" t="s">
        <v>194</v>
      </c>
      <c r="C269" s="382" t="s">
        <v>136</v>
      </c>
      <c r="D269" s="382" t="s">
        <v>26</v>
      </c>
      <c r="E269" s="382" t="s">
        <v>27</v>
      </c>
      <c r="F269" s="440" t="s">
        <v>197</v>
      </c>
      <c r="G269" s="387">
        <v>0.08</v>
      </c>
      <c r="H269" s="387">
        <f>IF(M269=1,$G269,"")</f>
        <v>0.08</v>
      </c>
      <c r="I269" s="387" t="str">
        <f>IF(N269=1,$G269,"")</f>
        <v/>
      </c>
      <c r="J269" s="387" t="str">
        <f>IF(O269=1,$G269,"")</f>
        <v/>
      </c>
      <c r="K269" s="387" t="str">
        <f>IF(P269=1,$G269,"")</f>
        <v/>
      </c>
      <c r="L269" s="387">
        <f t="shared" si="73"/>
        <v>1</v>
      </c>
      <c r="M269" s="388">
        <v>1</v>
      </c>
      <c r="N269" s="388"/>
      <c r="O269" s="388"/>
      <c r="P269" s="388"/>
      <c r="Q269" s="382"/>
      <c r="R269" s="385" t="str">
        <f t="shared" si="59"/>
        <v>T</v>
      </c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  <c r="AC269" s="389"/>
      <c r="AD269" s="389"/>
      <c r="AE269" s="389"/>
      <c r="AF269" s="389"/>
    </row>
    <row r="270" spans="1:32" hidden="1" outlineLevel="3">
      <c r="A270" s="382"/>
      <c r="B270" s="386" t="s">
        <v>194</v>
      </c>
      <c r="C270" s="382" t="s">
        <v>136</v>
      </c>
      <c r="D270" s="382" t="s">
        <v>26</v>
      </c>
      <c r="E270" s="382" t="s">
        <v>27</v>
      </c>
      <c r="F270" s="440" t="s">
        <v>198</v>
      </c>
      <c r="G270" s="411">
        <v>0.17</v>
      </c>
      <c r="H270" s="411">
        <v>0.17</v>
      </c>
      <c r="I270" s="387" t="str">
        <f t="shared" ref="I270:K273" si="74">IF(N270=1,$G270,"")</f>
        <v/>
      </c>
      <c r="J270" s="387" t="str">
        <f t="shared" si="74"/>
        <v/>
      </c>
      <c r="K270" s="387" t="str">
        <f t="shared" si="74"/>
        <v/>
      </c>
      <c r="L270" s="411">
        <f t="shared" si="73"/>
        <v>1</v>
      </c>
      <c r="M270" s="388">
        <v>1</v>
      </c>
      <c r="N270" s="388"/>
      <c r="O270" s="388"/>
      <c r="P270" s="388"/>
      <c r="Q270" s="382"/>
      <c r="R270" s="385" t="str">
        <f t="shared" si="59"/>
        <v>T</v>
      </c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</row>
    <row r="271" spans="1:32" hidden="1" outlineLevel="3">
      <c r="A271" s="382"/>
      <c r="B271" s="386" t="s">
        <v>194</v>
      </c>
      <c r="C271" s="382" t="s">
        <v>136</v>
      </c>
      <c r="D271" s="382" t="s">
        <v>26</v>
      </c>
      <c r="E271" s="382" t="s">
        <v>27</v>
      </c>
      <c r="F271" s="440" t="s">
        <v>137</v>
      </c>
      <c r="G271" s="387">
        <v>0.03</v>
      </c>
      <c r="H271" s="387">
        <f>IF(M271=1,$G271,"")</f>
        <v>0.03</v>
      </c>
      <c r="I271" s="387" t="str">
        <f t="shared" si="74"/>
        <v/>
      </c>
      <c r="J271" s="387" t="str">
        <f t="shared" si="74"/>
        <v/>
      </c>
      <c r="K271" s="387" t="str">
        <f t="shared" si="74"/>
        <v/>
      </c>
      <c r="L271" s="387">
        <f t="shared" si="73"/>
        <v>1</v>
      </c>
      <c r="M271" s="388">
        <v>1</v>
      </c>
      <c r="N271" s="388"/>
      <c r="O271" s="388"/>
      <c r="P271" s="388"/>
      <c r="Q271" s="382"/>
      <c r="R271" s="385" t="str">
        <f t="shared" si="59"/>
        <v>T</v>
      </c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  <c r="AC271" s="389"/>
      <c r="AD271" s="389"/>
      <c r="AE271" s="389"/>
      <c r="AF271" s="389"/>
    </row>
    <row r="272" spans="1:32" hidden="1" outlineLevel="3">
      <c r="A272" s="382"/>
      <c r="B272" s="386" t="s">
        <v>194</v>
      </c>
      <c r="C272" s="382" t="s">
        <v>136</v>
      </c>
      <c r="D272" s="382" t="s">
        <v>26</v>
      </c>
      <c r="E272" s="382" t="s">
        <v>27</v>
      </c>
      <c r="F272" s="440" t="s">
        <v>146</v>
      </c>
      <c r="G272" s="387">
        <v>0.03</v>
      </c>
      <c r="H272" s="387">
        <f>IF(M272=1,$G272,"")</f>
        <v>0.03</v>
      </c>
      <c r="I272" s="387" t="str">
        <f t="shared" si="74"/>
        <v/>
      </c>
      <c r="J272" s="387" t="str">
        <f t="shared" si="74"/>
        <v/>
      </c>
      <c r="K272" s="387" t="str">
        <f t="shared" si="74"/>
        <v/>
      </c>
      <c r="L272" s="387">
        <f t="shared" si="73"/>
        <v>1</v>
      </c>
      <c r="M272" s="388">
        <v>1</v>
      </c>
      <c r="N272" s="388"/>
      <c r="O272" s="388"/>
      <c r="P272" s="388"/>
      <c r="Q272" s="382"/>
      <c r="R272" s="385" t="str">
        <f t="shared" si="59"/>
        <v>T</v>
      </c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  <c r="AC272" s="389"/>
      <c r="AD272" s="389"/>
      <c r="AE272" s="389"/>
      <c r="AF272" s="389"/>
    </row>
    <row r="273" spans="1:32" ht="26.45" hidden="1" outlineLevel="3">
      <c r="A273" s="382"/>
      <c r="B273" s="386" t="s">
        <v>194</v>
      </c>
      <c r="C273" s="382" t="s">
        <v>136</v>
      </c>
      <c r="D273" s="382" t="s">
        <v>26</v>
      </c>
      <c r="E273" s="382" t="s">
        <v>27</v>
      </c>
      <c r="F273" s="440" t="s">
        <v>199</v>
      </c>
      <c r="G273" s="387">
        <v>7.0000000000000007E-2</v>
      </c>
      <c r="H273" s="387">
        <f>IF(M273=1,$G273,"")</f>
        <v>7.0000000000000007E-2</v>
      </c>
      <c r="I273" s="387" t="str">
        <f t="shared" si="74"/>
        <v/>
      </c>
      <c r="J273" s="387" t="str">
        <f t="shared" si="74"/>
        <v/>
      </c>
      <c r="K273" s="387" t="str">
        <f t="shared" si="74"/>
        <v/>
      </c>
      <c r="L273" s="387">
        <f t="shared" si="73"/>
        <v>1</v>
      </c>
      <c r="M273" s="388">
        <v>1</v>
      </c>
      <c r="N273" s="388"/>
      <c r="O273" s="388"/>
      <c r="P273" s="388"/>
      <c r="Q273" s="382"/>
      <c r="R273" s="385" t="str">
        <f t="shared" si="59"/>
        <v>T</v>
      </c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  <c r="AC273" s="389"/>
      <c r="AD273" s="389"/>
      <c r="AE273" s="389"/>
      <c r="AF273" s="389"/>
    </row>
    <row r="274" spans="1:32" hidden="1" outlineLevel="2" collapsed="1">
      <c r="A274" s="382"/>
      <c r="B274" s="386" t="s">
        <v>194</v>
      </c>
      <c r="C274" s="382" t="s">
        <v>136</v>
      </c>
      <c r="D274" s="382" t="s">
        <v>28</v>
      </c>
      <c r="E274" s="382"/>
      <c r="F274" s="440" t="s">
        <v>87</v>
      </c>
      <c r="G274" s="387">
        <f>SUM(G275:G275)</f>
        <v>0.04</v>
      </c>
      <c r="H274" s="411">
        <f>SUM(H275:H275)</f>
        <v>0.04</v>
      </c>
      <c r="I274" s="411">
        <f>SUM(I275:I275)</f>
        <v>0</v>
      </c>
      <c r="J274" s="411">
        <f>SUM(J275:J275)</f>
        <v>0</v>
      </c>
      <c r="K274" s="411">
        <f>SUM(K275:K275)</f>
        <v>0</v>
      </c>
      <c r="L274" s="387">
        <f t="shared" si="73"/>
        <v>1</v>
      </c>
      <c r="M274" s="388">
        <f>SUM(M275:M275)</f>
        <v>1</v>
      </c>
      <c r="N274" s="388">
        <f>SUM(N275:N275)</f>
        <v>0</v>
      </c>
      <c r="O274" s="388">
        <f>SUM(O275:O275)</f>
        <v>0</v>
      </c>
      <c r="P274" s="388">
        <f>SUM(P275:P275)</f>
        <v>0</v>
      </c>
      <c r="Q274" s="382"/>
      <c r="R274" s="385" t="str">
        <f t="shared" si="59"/>
        <v>T</v>
      </c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  <c r="AC274" s="389"/>
      <c r="AD274" s="389"/>
      <c r="AE274" s="389"/>
      <c r="AF274" s="389"/>
    </row>
    <row r="275" spans="1:32" hidden="1" outlineLevel="3">
      <c r="A275" s="382"/>
      <c r="B275" s="386" t="s">
        <v>194</v>
      </c>
      <c r="C275" s="382" t="s">
        <v>136</v>
      </c>
      <c r="D275" s="382" t="s">
        <v>28</v>
      </c>
      <c r="E275" s="382" t="s">
        <v>29</v>
      </c>
      <c r="F275" s="440" t="s">
        <v>146</v>
      </c>
      <c r="G275" s="387">
        <v>0.04</v>
      </c>
      <c r="H275" s="387">
        <v>0.04</v>
      </c>
      <c r="I275" s="387" t="str">
        <f>IF(N275=1,$G275,"")</f>
        <v/>
      </c>
      <c r="J275" s="387" t="str">
        <f>IF(O275=1,$G275,"")</f>
        <v/>
      </c>
      <c r="K275" s="387" t="str">
        <f>IF(P275=1,$G275,"")</f>
        <v/>
      </c>
      <c r="L275" s="387">
        <f t="shared" si="73"/>
        <v>1</v>
      </c>
      <c r="M275" s="388">
        <v>1</v>
      </c>
      <c r="N275" s="388"/>
      <c r="O275" s="388"/>
      <c r="P275" s="388"/>
      <c r="Q275" s="382"/>
      <c r="R275" s="385" t="str">
        <f t="shared" si="59"/>
        <v>T</v>
      </c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  <c r="AC275" s="389"/>
      <c r="AD275" s="389"/>
      <c r="AE275" s="389"/>
      <c r="AF275" s="389"/>
    </row>
    <row r="276" spans="1:32" hidden="1" outlineLevel="2">
      <c r="A276" s="382"/>
      <c r="B276" s="386" t="s">
        <v>194</v>
      </c>
      <c r="C276" s="382" t="s">
        <v>136</v>
      </c>
      <c r="D276" s="382" t="s">
        <v>64</v>
      </c>
      <c r="E276" s="382"/>
      <c r="F276" s="440" t="s">
        <v>87</v>
      </c>
      <c r="G276" s="387"/>
      <c r="H276" s="387">
        <v>0</v>
      </c>
      <c r="I276" s="387">
        <v>0</v>
      </c>
      <c r="J276" s="387">
        <v>0</v>
      </c>
      <c r="K276" s="387">
        <v>0</v>
      </c>
      <c r="L276" s="387">
        <f t="shared" si="73"/>
        <v>0</v>
      </c>
      <c r="M276" s="388">
        <v>0</v>
      </c>
      <c r="N276" s="388">
        <v>0</v>
      </c>
      <c r="O276" s="388">
        <v>0</v>
      </c>
      <c r="P276" s="388">
        <v>0</v>
      </c>
      <c r="Q276" s="382"/>
      <c r="R276" s="385" t="str">
        <f t="shared" si="59"/>
        <v>T</v>
      </c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  <c r="AC276" s="389"/>
      <c r="AD276" s="389"/>
      <c r="AE276" s="389"/>
      <c r="AF276" s="389"/>
    </row>
    <row r="277" spans="1:32" outlineLevel="1" collapsed="1">
      <c r="A277" s="382"/>
      <c r="B277" s="390" t="s">
        <v>200</v>
      </c>
      <c r="C277" s="390" t="s">
        <v>200</v>
      </c>
      <c r="D277" s="390"/>
      <c r="E277" s="390"/>
      <c r="F277" s="442" t="s">
        <v>201</v>
      </c>
      <c r="G277" s="424">
        <f>SUM(G278+G280+G287+G295+G301)</f>
        <v>3.1259711322575834</v>
      </c>
      <c r="H277" s="424">
        <f>SUM(H278,H280,H287,H295,H301)</f>
        <v>1.4654796990785586</v>
      </c>
      <c r="I277" s="424">
        <f>SUM(I278,I280,I287,I295,I301)</f>
        <v>1.660491433179025</v>
      </c>
      <c r="J277" s="424">
        <f>SUM(J278,J280,J287,J295,J301)</f>
        <v>0</v>
      </c>
      <c r="K277" s="424">
        <f>SUM(K278,K280,K287,K295,K301)</f>
        <v>0</v>
      </c>
      <c r="L277" s="424">
        <f t="shared" si="73"/>
        <v>17</v>
      </c>
      <c r="M277" s="408">
        <f>SUM(M278,M280,M287,M295,M301)</f>
        <v>10</v>
      </c>
      <c r="N277" s="408">
        <f>SUM(N278,N280,N287,N295,N301)</f>
        <v>7</v>
      </c>
      <c r="O277" s="408">
        <f>SUM(O278,O280,O287,O295,O301)</f>
        <v>0</v>
      </c>
      <c r="P277" s="408">
        <f>SUM(P278,P280,P287,P295,P301)</f>
        <v>0</v>
      </c>
      <c r="Q277" s="382"/>
      <c r="R277" s="385" t="str">
        <f t="shared" si="59"/>
        <v>T</v>
      </c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</row>
    <row r="278" spans="1:32" hidden="1" outlineLevel="2" collapsed="1">
      <c r="A278" s="382"/>
      <c r="B278" s="386" t="s">
        <v>200</v>
      </c>
      <c r="C278" s="386" t="s">
        <v>200</v>
      </c>
      <c r="D278" s="382" t="s">
        <v>202</v>
      </c>
      <c r="E278" s="386"/>
      <c r="F278" s="440" t="s">
        <v>126</v>
      </c>
      <c r="G278" s="411">
        <f>SUM(G279:G279)</f>
        <v>0</v>
      </c>
      <c r="H278" s="387">
        <f>SUM(H279:H279)</f>
        <v>0</v>
      </c>
      <c r="I278" s="387">
        <f>SUM(I279:I279)</f>
        <v>0</v>
      </c>
      <c r="J278" s="387">
        <f>SUM(J279:J279)</f>
        <v>0</v>
      </c>
      <c r="K278" s="387">
        <f>SUM(K279:K279)</f>
        <v>0</v>
      </c>
      <c r="L278" s="411">
        <f t="shared" si="73"/>
        <v>0</v>
      </c>
      <c r="M278" s="388">
        <f>SUM(M279:M279)</f>
        <v>0</v>
      </c>
      <c r="N278" s="388">
        <f>SUM(N279:N279)</f>
        <v>0</v>
      </c>
      <c r="O278" s="388">
        <f>SUM(O279:O279)</f>
        <v>0</v>
      </c>
      <c r="P278" s="388">
        <f>SUM(P279:P279)</f>
        <v>0</v>
      </c>
      <c r="Q278" s="382"/>
      <c r="R278" s="385" t="str">
        <f t="shared" si="59"/>
        <v>T</v>
      </c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89"/>
    </row>
    <row r="279" spans="1:32" hidden="1" outlineLevel="3">
      <c r="A279" s="382"/>
      <c r="B279" s="386" t="s">
        <v>200</v>
      </c>
      <c r="C279" s="386" t="s">
        <v>200</v>
      </c>
      <c r="D279" s="382" t="s">
        <v>202</v>
      </c>
      <c r="E279" s="386" t="s">
        <v>29</v>
      </c>
      <c r="F279" s="440" t="s">
        <v>203</v>
      </c>
      <c r="G279" s="387">
        <f>0.459510050884134*0</f>
        <v>0</v>
      </c>
      <c r="H279" s="387" t="str">
        <f>IF(M279=1,$G279,"")</f>
        <v/>
      </c>
      <c r="I279" s="387" t="str">
        <f>IF(N279=1,$G279,"")</f>
        <v/>
      </c>
      <c r="J279" s="387" t="str">
        <f>IF(O279=1,$G279,"")</f>
        <v/>
      </c>
      <c r="K279" s="387" t="str">
        <f>IF(P279=1,$G279,"")</f>
        <v/>
      </c>
      <c r="L279" s="387">
        <f t="shared" si="73"/>
        <v>0</v>
      </c>
      <c r="M279" s="388"/>
      <c r="N279" s="388"/>
      <c r="O279" s="388"/>
      <c r="P279" s="388"/>
      <c r="Q279" s="382"/>
      <c r="R279" s="385" t="str">
        <f t="shared" si="59"/>
        <v>T</v>
      </c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  <c r="AC279" s="389"/>
      <c r="AD279" s="389"/>
      <c r="AE279" s="389"/>
      <c r="AF279" s="389"/>
    </row>
    <row r="280" spans="1:32" hidden="1" outlineLevel="2" collapsed="1">
      <c r="A280" s="382"/>
      <c r="B280" s="386" t="s">
        <v>200</v>
      </c>
      <c r="C280" s="386" t="s">
        <v>200</v>
      </c>
      <c r="D280" s="382" t="s">
        <v>18</v>
      </c>
      <c r="E280" s="386"/>
      <c r="F280" s="440" t="s">
        <v>126</v>
      </c>
      <c r="G280" s="387">
        <f>SUM(G281:G286)</f>
        <v>1.547754763030085</v>
      </c>
      <c r="H280" s="387">
        <f>SUM(H281:H286)</f>
        <v>0.309550952606017</v>
      </c>
      <c r="I280" s="387">
        <f>SUM(I281:I286)</f>
        <v>1.238203810424068</v>
      </c>
      <c r="J280" s="387">
        <f>SUM(J281:J286)</f>
        <v>0</v>
      </c>
      <c r="K280" s="387">
        <f>SUM(K281:K286)</f>
        <v>0</v>
      </c>
      <c r="L280" s="387">
        <f t="shared" si="73"/>
        <v>5</v>
      </c>
      <c r="M280" s="388">
        <f>SUM(M281:M286)</f>
        <v>2</v>
      </c>
      <c r="N280" s="388">
        <f>SUM(N281:N286)</f>
        <v>3</v>
      </c>
      <c r="O280" s="388">
        <f>SUM(O281:O286)</f>
        <v>0</v>
      </c>
      <c r="P280" s="388">
        <f>SUM(P281:P286)</f>
        <v>0</v>
      </c>
      <c r="Q280" s="382"/>
      <c r="R280" s="385" t="str">
        <f t="shared" si="59"/>
        <v>T</v>
      </c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  <c r="AC280" s="389"/>
      <c r="AD280" s="389"/>
      <c r="AE280" s="389"/>
      <c r="AF280" s="389"/>
    </row>
    <row r="281" spans="1:32" hidden="1" outlineLevel="3">
      <c r="A281" s="382"/>
      <c r="B281" s="386" t="s">
        <v>200</v>
      </c>
      <c r="C281" s="386" t="s">
        <v>200</v>
      </c>
      <c r="D281" s="382" t="s">
        <v>18</v>
      </c>
      <c r="E281" s="386" t="s">
        <v>204</v>
      </c>
      <c r="F281" s="440" t="s">
        <v>205</v>
      </c>
      <c r="G281" s="387">
        <v>0.46432642890902548</v>
      </c>
      <c r="H281" s="387" t="str">
        <f t="shared" ref="H281:K285" si="75">IF(M281=1,$G281,"")</f>
        <v/>
      </c>
      <c r="I281" s="387">
        <f t="shared" si="75"/>
        <v>0.46432642890902548</v>
      </c>
      <c r="J281" s="387" t="str">
        <f t="shared" si="75"/>
        <v/>
      </c>
      <c r="K281" s="387" t="str">
        <f t="shared" si="75"/>
        <v/>
      </c>
      <c r="L281" s="387">
        <f t="shared" si="73"/>
        <v>1</v>
      </c>
      <c r="M281" s="388"/>
      <c r="N281" s="388">
        <v>1</v>
      </c>
      <c r="O281" s="388"/>
      <c r="P281" s="388"/>
      <c r="Q281" s="382"/>
      <c r="R281" s="385" t="str">
        <f t="shared" si="59"/>
        <v>T</v>
      </c>
      <c r="S281" s="389" t="s">
        <v>206</v>
      </c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</row>
    <row r="282" spans="1:32" hidden="1" outlineLevel="3">
      <c r="A282" s="382"/>
      <c r="B282" s="386" t="s">
        <v>200</v>
      </c>
      <c r="C282" s="386" t="s">
        <v>200</v>
      </c>
      <c r="D282" s="382" t="s">
        <v>18</v>
      </c>
      <c r="E282" s="386" t="s">
        <v>204</v>
      </c>
      <c r="F282" s="440" t="s">
        <v>116</v>
      </c>
      <c r="G282" s="387">
        <v>0.61910190521203401</v>
      </c>
      <c r="H282" s="387" t="str">
        <f t="shared" si="75"/>
        <v/>
      </c>
      <c r="I282" s="387">
        <f t="shared" si="75"/>
        <v>0.61910190521203401</v>
      </c>
      <c r="J282" s="387" t="str">
        <f t="shared" si="75"/>
        <v/>
      </c>
      <c r="K282" s="387" t="str">
        <f t="shared" si="75"/>
        <v/>
      </c>
      <c r="L282" s="387">
        <f t="shared" si="73"/>
        <v>1</v>
      </c>
      <c r="M282" s="388"/>
      <c r="N282" s="388">
        <v>1</v>
      </c>
      <c r="O282" s="388"/>
      <c r="P282" s="388"/>
      <c r="Q282" s="382"/>
      <c r="R282" s="385" t="str">
        <f t="shared" si="59"/>
        <v>T</v>
      </c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</row>
    <row r="283" spans="1:32" hidden="1" outlineLevel="3">
      <c r="A283" s="382"/>
      <c r="B283" s="386" t="s">
        <v>200</v>
      </c>
      <c r="C283" s="386" t="s">
        <v>200</v>
      </c>
      <c r="D283" s="382" t="s">
        <v>18</v>
      </c>
      <c r="E283" s="386" t="s">
        <v>204</v>
      </c>
      <c r="F283" s="440" t="s">
        <v>117</v>
      </c>
      <c r="G283" s="387">
        <v>0.1547754763030085</v>
      </c>
      <c r="H283" s="387">
        <f t="shared" si="75"/>
        <v>0.1547754763030085</v>
      </c>
      <c r="I283" s="387" t="str">
        <f t="shared" si="75"/>
        <v/>
      </c>
      <c r="J283" s="387" t="str">
        <f t="shared" si="75"/>
        <v/>
      </c>
      <c r="K283" s="387" t="str">
        <f t="shared" si="75"/>
        <v/>
      </c>
      <c r="L283" s="387">
        <f t="shared" si="73"/>
        <v>1</v>
      </c>
      <c r="M283" s="388">
        <v>1</v>
      </c>
      <c r="N283" s="388"/>
      <c r="O283" s="388"/>
      <c r="P283" s="388"/>
      <c r="Q283" s="382"/>
      <c r="R283" s="385" t="str">
        <f t="shared" si="59"/>
        <v>T</v>
      </c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89"/>
    </row>
    <row r="284" spans="1:32" hidden="1" outlineLevel="3">
      <c r="A284" s="382"/>
      <c r="B284" s="386" t="s">
        <v>200</v>
      </c>
      <c r="C284" s="386" t="s">
        <v>200</v>
      </c>
      <c r="D284" s="382" t="s">
        <v>18</v>
      </c>
      <c r="E284" s="386" t="s">
        <v>204</v>
      </c>
      <c r="F284" s="440" t="s">
        <v>118</v>
      </c>
      <c r="G284" s="387">
        <v>0.1547754763030085</v>
      </c>
      <c r="H284" s="387">
        <f t="shared" si="75"/>
        <v>0.1547754763030085</v>
      </c>
      <c r="I284" s="387" t="str">
        <f t="shared" si="75"/>
        <v/>
      </c>
      <c r="J284" s="387" t="str">
        <f t="shared" si="75"/>
        <v/>
      </c>
      <c r="K284" s="387" t="str">
        <f t="shared" si="75"/>
        <v/>
      </c>
      <c r="L284" s="387">
        <f t="shared" si="73"/>
        <v>1</v>
      </c>
      <c r="M284" s="388">
        <v>1</v>
      </c>
      <c r="N284" s="388"/>
      <c r="O284" s="388"/>
      <c r="P284" s="388"/>
      <c r="Q284" s="382"/>
      <c r="R284" s="385" t="str">
        <f t="shared" si="59"/>
        <v>T</v>
      </c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  <c r="AC284" s="389"/>
      <c r="AD284" s="389"/>
      <c r="AE284" s="389"/>
      <c r="AF284" s="389"/>
    </row>
    <row r="285" spans="1:32" hidden="1" outlineLevel="3">
      <c r="A285" s="382"/>
      <c r="B285" s="386" t="s">
        <v>200</v>
      </c>
      <c r="C285" s="386" t="s">
        <v>200</v>
      </c>
      <c r="D285" s="382" t="s">
        <v>18</v>
      </c>
      <c r="E285" s="386" t="s">
        <v>204</v>
      </c>
      <c r="F285" s="440" t="s">
        <v>98</v>
      </c>
      <c r="G285" s="387">
        <v>0.1547754763030085</v>
      </c>
      <c r="H285" s="387" t="str">
        <f t="shared" si="75"/>
        <v/>
      </c>
      <c r="I285" s="387">
        <f t="shared" si="75"/>
        <v>0.1547754763030085</v>
      </c>
      <c r="J285" s="387" t="str">
        <f t="shared" si="75"/>
        <v/>
      </c>
      <c r="K285" s="387" t="str">
        <f t="shared" si="75"/>
        <v/>
      </c>
      <c r="L285" s="387">
        <f t="shared" si="73"/>
        <v>1</v>
      </c>
      <c r="M285" s="388"/>
      <c r="N285" s="388">
        <v>1</v>
      </c>
      <c r="O285" s="388"/>
      <c r="P285" s="388"/>
      <c r="Q285" s="382"/>
      <c r="R285" s="385" t="str">
        <f t="shared" si="59"/>
        <v>T</v>
      </c>
      <c r="S285" s="389" t="s">
        <v>207</v>
      </c>
      <c r="T285" s="389"/>
      <c r="U285" s="389"/>
      <c r="V285" s="389"/>
      <c r="W285" s="389"/>
      <c r="X285" s="389"/>
      <c r="Y285" s="389"/>
      <c r="Z285" s="389"/>
      <c r="AA285" s="389"/>
      <c r="AB285" s="389"/>
      <c r="AC285" s="389"/>
      <c r="AD285" s="389"/>
      <c r="AE285" s="389"/>
      <c r="AF285" s="389"/>
    </row>
    <row r="286" spans="1:32" hidden="1" outlineLevel="3">
      <c r="A286" s="382"/>
      <c r="B286" s="386" t="s">
        <v>200</v>
      </c>
      <c r="C286" s="386" t="s">
        <v>200</v>
      </c>
      <c r="D286" s="382" t="s">
        <v>18</v>
      </c>
      <c r="E286" s="386" t="s">
        <v>204</v>
      </c>
      <c r="F286" s="440" t="s">
        <v>203</v>
      </c>
      <c r="G286" s="557"/>
      <c r="H286" s="387" t="str">
        <f>IF(M286=1,$G286,"")</f>
        <v/>
      </c>
      <c r="I286" s="387" t="str">
        <f>IF(N286=1,$G286,"")</f>
        <v/>
      </c>
      <c r="J286" s="387" t="str">
        <f>IF(O286=1,$G286,"")</f>
        <v/>
      </c>
      <c r="K286" s="387" t="str">
        <f>IF(P286=1,$G286,"")</f>
        <v/>
      </c>
      <c r="L286" s="387">
        <f t="shared" si="73"/>
        <v>0</v>
      </c>
      <c r="M286" s="388"/>
      <c r="N286" s="388"/>
      <c r="O286" s="388"/>
      <c r="P286" s="388"/>
      <c r="Q286" s="382"/>
      <c r="R286" s="385" t="str">
        <f t="shared" si="59"/>
        <v>T</v>
      </c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</row>
    <row r="287" spans="1:32" hidden="1" outlineLevel="2" collapsed="1">
      <c r="A287" s="382"/>
      <c r="B287" s="386" t="s">
        <v>200</v>
      </c>
      <c r="C287" s="386" t="s">
        <v>200</v>
      </c>
      <c r="D287" s="382" t="s">
        <v>26</v>
      </c>
      <c r="E287" s="382"/>
      <c r="F287" s="440" t="s">
        <v>126</v>
      </c>
      <c r="G287" s="411">
        <f>SUM(G288:G294)</f>
        <v>1.079644350063</v>
      </c>
      <c r="H287" s="387">
        <f>SUM(H288:H294)</f>
        <v>0.83171770678666779</v>
      </c>
      <c r="I287" s="387">
        <f>SUM(I288:I294)</f>
        <v>0.24792664327633221</v>
      </c>
      <c r="J287" s="387">
        <f>SUM(J288:J294)</f>
        <v>0</v>
      </c>
      <c r="K287" s="387">
        <f>SUM(K288:K294)</f>
        <v>0</v>
      </c>
      <c r="L287" s="411">
        <f t="shared" si="73"/>
        <v>6</v>
      </c>
      <c r="M287" s="388">
        <f>SUM(M288:M294)</f>
        <v>4</v>
      </c>
      <c r="N287" s="388">
        <f>SUM(N288:N294)</f>
        <v>2</v>
      </c>
      <c r="O287" s="388">
        <f>SUM(O288:O294)</f>
        <v>0</v>
      </c>
      <c r="P287" s="388">
        <f>SUM(P288:P294)</f>
        <v>0</v>
      </c>
      <c r="Q287" s="382"/>
      <c r="R287" s="385" t="str">
        <f t="shared" ref="R287:R312" si="76">IF(SUM(M287:P287)=L287,"T","F")</f>
        <v>T</v>
      </c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</row>
    <row r="288" spans="1:32" hidden="1" outlineLevel="3">
      <c r="A288" s="382"/>
      <c r="B288" s="386" t="s">
        <v>200</v>
      </c>
      <c r="C288" s="386" t="s">
        <v>200</v>
      </c>
      <c r="D288" s="382" t="s">
        <v>26</v>
      </c>
      <c r="E288" s="382" t="s">
        <v>27</v>
      </c>
      <c r="F288" s="440" t="s">
        <v>96</v>
      </c>
      <c r="G288" s="387">
        <v>0.40295193575893268</v>
      </c>
      <c r="H288" s="387">
        <f t="shared" ref="H288:K294" si="77">IF(M288=1,$G288,"")</f>
        <v>0.40295193575893268</v>
      </c>
      <c r="I288" s="387" t="str">
        <f t="shared" si="77"/>
        <v/>
      </c>
      <c r="J288" s="387" t="str">
        <f t="shared" si="77"/>
        <v/>
      </c>
      <c r="K288" s="387" t="str">
        <f t="shared" si="77"/>
        <v/>
      </c>
      <c r="L288" s="387">
        <f t="shared" si="73"/>
        <v>1</v>
      </c>
      <c r="M288" s="388">
        <v>1</v>
      </c>
      <c r="N288" s="388"/>
      <c r="O288" s="388"/>
      <c r="P288" s="388"/>
      <c r="Q288" s="382"/>
      <c r="R288" s="385" t="str">
        <f t="shared" si="76"/>
        <v>T</v>
      </c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89"/>
    </row>
    <row r="289" spans="1:32" hidden="1" outlineLevel="3">
      <c r="A289" s="382"/>
      <c r="B289" s="386" t="s">
        <v>200</v>
      </c>
      <c r="C289" s="386" t="s">
        <v>200</v>
      </c>
      <c r="D289" s="382" t="s">
        <v>26</v>
      </c>
      <c r="E289" s="382" t="s">
        <v>27</v>
      </c>
      <c r="F289" s="440" t="s">
        <v>97</v>
      </c>
      <c r="G289" s="387">
        <v>0.33579327979911056</v>
      </c>
      <c r="H289" s="387">
        <f t="shared" si="77"/>
        <v>0.33579327979911056</v>
      </c>
      <c r="I289" s="387" t="str">
        <f t="shared" si="77"/>
        <v/>
      </c>
      <c r="J289" s="387" t="str">
        <f t="shared" si="77"/>
        <v/>
      </c>
      <c r="K289" s="387" t="str">
        <f t="shared" si="77"/>
        <v/>
      </c>
      <c r="L289" s="387">
        <f t="shared" si="73"/>
        <v>1</v>
      </c>
      <c r="M289" s="388">
        <v>1</v>
      </c>
      <c r="N289" s="388"/>
      <c r="O289" s="388"/>
      <c r="P289" s="388"/>
      <c r="Q289" s="382"/>
      <c r="R289" s="385" t="str">
        <f t="shared" si="76"/>
        <v>T</v>
      </c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89"/>
      <c r="AD289" s="389"/>
      <c r="AE289" s="389"/>
      <c r="AF289" s="389"/>
    </row>
    <row r="290" spans="1:32" hidden="1" outlineLevel="3">
      <c r="A290" s="382"/>
      <c r="B290" s="386" t="s">
        <v>200</v>
      </c>
      <c r="C290" s="386" t="s">
        <v>200</v>
      </c>
      <c r="D290" s="382" t="s">
        <v>26</v>
      </c>
      <c r="E290" s="382" t="s">
        <v>27</v>
      </c>
      <c r="F290" s="440" t="s">
        <v>205</v>
      </c>
      <c r="G290" s="387">
        <v>0.21693581286679067</v>
      </c>
      <c r="H290" s="387" t="str">
        <f t="shared" si="77"/>
        <v/>
      </c>
      <c r="I290" s="387">
        <f t="shared" si="77"/>
        <v>0.21693581286679067</v>
      </c>
      <c r="J290" s="387" t="str">
        <f t="shared" si="77"/>
        <v/>
      </c>
      <c r="K290" s="387" t="str">
        <f t="shared" si="77"/>
        <v/>
      </c>
      <c r="L290" s="387">
        <f t="shared" si="73"/>
        <v>1</v>
      </c>
      <c r="M290" s="388"/>
      <c r="N290" s="388">
        <v>1</v>
      </c>
      <c r="O290" s="388"/>
      <c r="P290" s="388"/>
      <c r="Q290" s="382"/>
      <c r="R290" s="385" t="str">
        <f t="shared" si="76"/>
        <v>T</v>
      </c>
      <c r="S290" s="389" t="s">
        <v>206</v>
      </c>
      <c r="T290" s="389"/>
      <c r="U290" s="389"/>
      <c r="V290" s="389"/>
      <c r="W290" s="389"/>
      <c r="X290" s="389"/>
      <c r="Y290" s="389"/>
      <c r="Z290" s="389"/>
      <c r="AA290" s="389"/>
      <c r="AB290" s="389"/>
      <c r="AC290" s="389"/>
      <c r="AD290" s="389"/>
      <c r="AE290" s="389"/>
      <c r="AF290" s="389"/>
    </row>
    <row r="291" spans="1:32" hidden="1" outlineLevel="3">
      <c r="A291" s="382"/>
      <c r="B291" s="386" t="s">
        <v>200</v>
      </c>
      <c r="C291" s="386" t="s">
        <v>200</v>
      </c>
      <c r="D291" s="382" t="s">
        <v>26</v>
      </c>
      <c r="E291" s="382" t="s">
        <v>27</v>
      </c>
      <c r="F291" s="440" t="s">
        <v>117</v>
      </c>
      <c r="G291" s="387">
        <v>3.0990830409541533E-2</v>
      </c>
      <c r="H291" s="387">
        <f t="shared" si="77"/>
        <v>3.0990830409541533E-2</v>
      </c>
      <c r="I291" s="387" t="str">
        <f t="shared" si="77"/>
        <v/>
      </c>
      <c r="J291" s="387" t="str">
        <f t="shared" si="77"/>
        <v/>
      </c>
      <c r="K291" s="387" t="str">
        <f t="shared" si="77"/>
        <v/>
      </c>
      <c r="L291" s="387">
        <f t="shared" si="73"/>
        <v>1</v>
      </c>
      <c r="M291" s="388">
        <v>1</v>
      </c>
      <c r="N291" s="388"/>
      <c r="O291" s="388"/>
      <c r="P291" s="388"/>
      <c r="Q291" s="382"/>
      <c r="R291" s="385" t="str">
        <f t="shared" si="76"/>
        <v>T</v>
      </c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</row>
    <row r="292" spans="1:32" hidden="1" outlineLevel="3">
      <c r="A292" s="382"/>
      <c r="B292" s="386" t="s">
        <v>200</v>
      </c>
      <c r="C292" s="386" t="s">
        <v>200</v>
      </c>
      <c r="D292" s="382" t="s">
        <v>26</v>
      </c>
      <c r="E292" s="382" t="s">
        <v>27</v>
      </c>
      <c r="F292" s="440" t="s">
        <v>118</v>
      </c>
      <c r="G292" s="387">
        <v>3.0990830409541533E-2</v>
      </c>
      <c r="H292" s="387" t="str">
        <f t="shared" si="77"/>
        <v/>
      </c>
      <c r="I292" s="387">
        <f t="shared" si="77"/>
        <v>3.0990830409541533E-2</v>
      </c>
      <c r="J292" s="387" t="str">
        <f t="shared" si="77"/>
        <v/>
      </c>
      <c r="K292" s="387" t="str">
        <f t="shared" si="77"/>
        <v/>
      </c>
      <c r="L292" s="387">
        <f t="shared" si="73"/>
        <v>1</v>
      </c>
      <c r="M292" s="388"/>
      <c r="N292" s="388">
        <v>1</v>
      </c>
      <c r="O292" s="388"/>
      <c r="P292" s="388"/>
      <c r="Q292" s="382"/>
      <c r="R292" s="385" t="str">
        <f t="shared" si="76"/>
        <v>T</v>
      </c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89"/>
    </row>
    <row r="293" spans="1:32" hidden="1" outlineLevel="3">
      <c r="A293" s="382"/>
      <c r="B293" s="386" t="s">
        <v>200</v>
      </c>
      <c r="C293" s="386" t="s">
        <v>200</v>
      </c>
      <c r="D293" s="382" t="s">
        <v>26</v>
      </c>
      <c r="E293" s="382" t="s">
        <v>27</v>
      </c>
      <c r="F293" s="440" t="s">
        <v>98</v>
      </c>
      <c r="G293" s="387">
        <v>6.1981660819083066E-2</v>
      </c>
      <c r="H293" s="387">
        <f t="shared" si="77"/>
        <v>6.1981660819083066E-2</v>
      </c>
      <c r="I293" s="387" t="str">
        <f t="shared" si="77"/>
        <v/>
      </c>
      <c r="J293" s="387" t="str">
        <f t="shared" si="77"/>
        <v/>
      </c>
      <c r="K293" s="387" t="str">
        <f t="shared" si="77"/>
        <v/>
      </c>
      <c r="L293" s="387">
        <f t="shared" si="73"/>
        <v>1</v>
      </c>
      <c r="M293" s="388">
        <v>1</v>
      </c>
      <c r="N293" s="388"/>
      <c r="O293" s="388"/>
      <c r="P293" s="388"/>
      <c r="Q293" s="382"/>
      <c r="R293" s="385" t="str">
        <f t="shared" si="76"/>
        <v>T</v>
      </c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</row>
    <row r="294" spans="1:32" hidden="1" outlineLevel="3">
      <c r="A294" s="382"/>
      <c r="B294" s="386" t="s">
        <v>200</v>
      </c>
      <c r="C294" s="386" t="s">
        <v>200</v>
      </c>
      <c r="D294" s="382" t="s">
        <v>26</v>
      </c>
      <c r="E294" s="382" t="s">
        <v>27</v>
      </c>
      <c r="F294" s="440" t="s">
        <v>203</v>
      </c>
      <c r="G294" s="387">
        <f>0.0981494863693637*0</f>
        <v>0</v>
      </c>
      <c r="H294" s="387" t="str">
        <f t="shared" si="77"/>
        <v/>
      </c>
      <c r="I294" s="387" t="str">
        <f t="shared" si="77"/>
        <v/>
      </c>
      <c r="J294" s="387" t="str">
        <f t="shared" si="77"/>
        <v/>
      </c>
      <c r="K294" s="387" t="str">
        <f t="shared" si="77"/>
        <v/>
      </c>
      <c r="L294" s="387">
        <f t="shared" si="73"/>
        <v>0</v>
      </c>
      <c r="M294" s="388"/>
      <c r="N294" s="388"/>
      <c r="O294" s="388"/>
      <c r="P294" s="388"/>
      <c r="Q294" s="382"/>
      <c r="R294" s="385" t="str">
        <f t="shared" si="76"/>
        <v>T</v>
      </c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  <c r="AC294" s="389"/>
      <c r="AD294" s="389"/>
      <c r="AE294" s="389"/>
      <c r="AF294" s="389"/>
    </row>
    <row r="295" spans="1:32" hidden="1" outlineLevel="2" collapsed="1">
      <c r="A295" s="382"/>
      <c r="B295" s="386" t="s">
        <v>200</v>
      </c>
      <c r="C295" s="386" t="s">
        <v>200</v>
      </c>
      <c r="D295" s="382" t="s">
        <v>28</v>
      </c>
      <c r="E295" s="382"/>
      <c r="F295" s="440" t="s">
        <v>126</v>
      </c>
      <c r="G295" s="411">
        <f>SUM(G296:G300)</f>
        <v>0.31744391791449839</v>
      </c>
      <c r="H295" s="387">
        <f>SUM(H296:H300)</f>
        <v>0.24308293843587378</v>
      </c>
      <c r="I295" s="387">
        <f>SUM(I296:I300)</f>
        <v>7.4360979478624592E-2</v>
      </c>
      <c r="J295" s="387">
        <f>SUM(J296:J300)</f>
        <v>0</v>
      </c>
      <c r="K295" s="387">
        <f>SUM(K296:K300)</f>
        <v>0</v>
      </c>
      <c r="L295" s="411">
        <f t="shared" si="73"/>
        <v>4</v>
      </c>
      <c r="M295" s="388">
        <f>SUM(M296:M300)</f>
        <v>3</v>
      </c>
      <c r="N295" s="388">
        <f>SUM(N296:N300)</f>
        <v>1</v>
      </c>
      <c r="O295" s="388">
        <f>SUM(O296:O300)</f>
        <v>0</v>
      </c>
      <c r="P295" s="388">
        <f>SUM(P296:P300)</f>
        <v>0</v>
      </c>
      <c r="Q295" s="382"/>
      <c r="R295" s="385" t="str">
        <f t="shared" si="76"/>
        <v>T</v>
      </c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  <c r="AC295" s="389"/>
      <c r="AD295" s="389"/>
      <c r="AE295" s="389"/>
      <c r="AF295" s="389"/>
    </row>
    <row r="296" spans="1:32" hidden="1" outlineLevel="3">
      <c r="A296" s="382"/>
      <c r="B296" s="386" t="s">
        <v>200</v>
      </c>
      <c r="C296" s="386" t="s">
        <v>200</v>
      </c>
      <c r="D296" s="382" t="s">
        <v>28</v>
      </c>
      <c r="E296" s="382" t="s">
        <v>29</v>
      </c>
      <c r="F296" s="440" t="s">
        <v>205</v>
      </c>
      <c r="G296" s="387">
        <v>0.17350895211679071</v>
      </c>
      <c r="H296" s="387">
        <f t="shared" ref="H296:K299" si="78">IF(M296=1,$G296,"")</f>
        <v>0.17350895211679071</v>
      </c>
      <c r="I296" s="387" t="str">
        <f t="shared" si="78"/>
        <v/>
      </c>
      <c r="J296" s="387" t="str">
        <f t="shared" si="78"/>
        <v/>
      </c>
      <c r="K296" s="387" t="str">
        <f t="shared" si="78"/>
        <v/>
      </c>
      <c r="L296" s="387">
        <f t="shared" si="73"/>
        <v>1</v>
      </c>
      <c r="M296" s="388">
        <v>1</v>
      </c>
      <c r="N296" s="388"/>
      <c r="O296" s="388"/>
      <c r="P296" s="388"/>
      <c r="Q296" s="382"/>
      <c r="R296" s="385" t="str">
        <f t="shared" si="76"/>
        <v>T</v>
      </c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  <c r="AC296" s="389"/>
      <c r="AD296" s="389"/>
      <c r="AE296" s="389"/>
      <c r="AF296" s="389"/>
    </row>
    <row r="297" spans="1:32" hidden="1" outlineLevel="3">
      <c r="A297" s="382"/>
      <c r="B297" s="386" t="s">
        <v>200</v>
      </c>
      <c r="C297" s="386" t="s">
        <v>200</v>
      </c>
      <c r="D297" s="382" t="s">
        <v>28</v>
      </c>
      <c r="E297" s="382" t="s">
        <v>29</v>
      </c>
      <c r="F297" s="440" t="s">
        <v>116</v>
      </c>
      <c r="G297" s="387">
        <v>7.4360979478624592E-2</v>
      </c>
      <c r="H297" s="387" t="str">
        <f t="shared" si="78"/>
        <v/>
      </c>
      <c r="I297" s="387">
        <f t="shared" si="78"/>
        <v>7.4360979478624592E-2</v>
      </c>
      <c r="J297" s="387" t="str">
        <f t="shared" si="78"/>
        <v/>
      </c>
      <c r="K297" s="387" t="str">
        <f t="shared" si="78"/>
        <v/>
      </c>
      <c r="L297" s="387">
        <f t="shared" ref="L297:L312" si="79">SUM(M297:P297)</f>
        <v>1</v>
      </c>
      <c r="M297" s="388"/>
      <c r="N297" s="388">
        <v>1</v>
      </c>
      <c r="O297" s="388"/>
      <c r="P297" s="388"/>
      <c r="Q297" s="382"/>
      <c r="R297" s="385" t="str">
        <f t="shared" si="76"/>
        <v>T</v>
      </c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89"/>
    </row>
    <row r="298" spans="1:32" hidden="1" outlineLevel="3">
      <c r="A298" s="382"/>
      <c r="B298" s="386" t="s">
        <v>200</v>
      </c>
      <c r="C298" s="386" t="s">
        <v>200</v>
      </c>
      <c r="D298" s="382" t="s">
        <v>28</v>
      </c>
      <c r="E298" s="382" t="s">
        <v>29</v>
      </c>
      <c r="F298" s="440" t="s">
        <v>117</v>
      </c>
      <c r="G298" s="387">
        <v>4.9573986319083066E-2</v>
      </c>
      <c r="H298" s="387">
        <f t="shared" si="78"/>
        <v>4.9573986319083066E-2</v>
      </c>
      <c r="I298" s="387" t="str">
        <f t="shared" si="78"/>
        <v/>
      </c>
      <c r="J298" s="387" t="str">
        <f t="shared" si="78"/>
        <v/>
      </c>
      <c r="K298" s="387" t="str">
        <f t="shared" si="78"/>
        <v/>
      </c>
      <c r="L298" s="387">
        <f t="shared" si="79"/>
        <v>1</v>
      </c>
      <c r="M298" s="388">
        <v>1</v>
      </c>
      <c r="N298" s="388"/>
      <c r="O298" s="388"/>
      <c r="P298" s="388"/>
      <c r="Q298" s="382"/>
      <c r="R298" s="385" t="str">
        <f t="shared" si="76"/>
        <v>T</v>
      </c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</row>
    <row r="299" spans="1:32" hidden="1" outlineLevel="3">
      <c r="A299" s="382"/>
      <c r="B299" s="386" t="s">
        <v>200</v>
      </c>
      <c r="C299" s="386" t="s">
        <v>200</v>
      </c>
      <c r="D299" s="382" t="s">
        <v>28</v>
      </c>
      <c r="E299" s="382" t="s">
        <v>29</v>
      </c>
      <c r="F299" s="440" t="s">
        <v>98</v>
      </c>
      <c r="G299" s="387">
        <v>0.02</v>
      </c>
      <c r="H299" s="387">
        <f t="shared" si="78"/>
        <v>0.02</v>
      </c>
      <c r="I299" s="387" t="str">
        <f t="shared" si="78"/>
        <v/>
      </c>
      <c r="J299" s="387" t="str">
        <f t="shared" si="78"/>
        <v/>
      </c>
      <c r="K299" s="387" t="str">
        <f t="shared" si="78"/>
        <v/>
      </c>
      <c r="L299" s="387">
        <f t="shared" si="79"/>
        <v>1</v>
      </c>
      <c r="M299" s="388">
        <v>1</v>
      </c>
      <c r="N299" s="388"/>
      <c r="O299" s="388"/>
      <c r="P299" s="388"/>
      <c r="Q299" s="382"/>
      <c r="R299" s="385" t="str">
        <f t="shared" si="76"/>
        <v>T</v>
      </c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  <c r="AC299" s="389"/>
      <c r="AD299" s="389"/>
      <c r="AE299" s="389"/>
      <c r="AF299" s="389"/>
    </row>
    <row r="300" spans="1:32" hidden="1" outlineLevel="3">
      <c r="A300" s="382"/>
      <c r="B300" s="386" t="s">
        <v>200</v>
      </c>
      <c r="C300" s="386" t="s">
        <v>200</v>
      </c>
      <c r="D300" s="382" t="s">
        <v>28</v>
      </c>
      <c r="E300" s="382" t="s">
        <v>29</v>
      </c>
      <c r="F300" s="440" t="s">
        <v>203</v>
      </c>
      <c r="G300" s="387">
        <f>0.0723139008484563*0</f>
        <v>0</v>
      </c>
      <c r="H300" s="387"/>
      <c r="I300" s="387"/>
      <c r="J300" s="387"/>
      <c r="K300" s="387"/>
      <c r="L300" s="387">
        <f t="shared" si="79"/>
        <v>0</v>
      </c>
      <c r="M300" s="388"/>
      <c r="N300" s="388"/>
      <c r="O300" s="388"/>
      <c r="P300" s="388"/>
      <c r="Q300" s="382"/>
      <c r="R300" s="385" t="str">
        <f t="shared" si="76"/>
        <v>T</v>
      </c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  <c r="AC300" s="389"/>
      <c r="AD300" s="389"/>
      <c r="AE300" s="389"/>
      <c r="AF300" s="389"/>
    </row>
    <row r="301" spans="1:32" hidden="1" outlineLevel="2" collapsed="1">
      <c r="A301" s="382"/>
      <c r="B301" s="386" t="s">
        <v>200</v>
      </c>
      <c r="C301" s="386" t="s">
        <v>200</v>
      </c>
      <c r="D301" s="382" t="s">
        <v>64</v>
      </c>
      <c r="E301" s="382"/>
      <c r="F301" s="440" t="s">
        <v>126</v>
      </c>
      <c r="G301" s="387">
        <f>SUM(G302:G304)</f>
        <v>0.18112810125000001</v>
      </c>
      <c r="H301" s="387">
        <f>SUM(H302:H304)</f>
        <v>8.1128101250000001E-2</v>
      </c>
      <c r="I301" s="387">
        <f>SUM(I302:I304)</f>
        <v>0.1</v>
      </c>
      <c r="J301" s="387">
        <f>SUM(J302:J304)</f>
        <v>0</v>
      </c>
      <c r="K301" s="387">
        <f>SUM(K302:K304)</f>
        <v>0</v>
      </c>
      <c r="L301" s="387">
        <f t="shared" si="79"/>
        <v>2</v>
      </c>
      <c r="M301" s="388">
        <f>SUM(M302:M304)</f>
        <v>1</v>
      </c>
      <c r="N301" s="388">
        <f>SUM(N302:N304)</f>
        <v>1</v>
      </c>
      <c r="O301" s="388">
        <f>SUM(O302:O304)</f>
        <v>0</v>
      </c>
      <c r="P301" s="388">
        <f>SUM(P302:P304)</f>
        <v>0</v>
      </c>
      <c r="Q301" s="382"/>
      <c r="R301" s="385" t="str">
        <f t="shared" si="76"/>
        <v>T</v>
      </c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  <c r="AC301" s="389"/>
      <c r="AD301" s="389"/>
      <c r="AE301" s="389"/>
      <c r="AF301" s="389"/>
    </row>
    <row r="302" spans="1:32" hidden="1" outlineLevel="3">
      <c r="A302" s="382"/>
      <c r="B302" s="386" t="s">
        <v>200</v>
      </c>
      <c r="C302" s="386" t="s">
        <v>200</v>
      </c>
      <c r="D302" s="382" t="s">
        <v>64</v>
      </c>
      <c r="E302" s="382" t="s">
        <v>29</v>
      </c>
      <c r="F302" s="440" t="s">
        <v>116</v>
      </c>
      <c r="G302" s="387">
        <v>0.1</v>
      </c>
      <c r="H302" s="387" t="str">
        <f t="shared" ref="H302:K304" si="80">IF(M302=1,$G302,"")</f>
        <v/>
      </c>
      <c r="I302" s="387">
        <f t="shared" si="80"/>
        <v>0.1</v>
      </c>
      <c r="J302" s="387" t="str">
        <f t="shared" si="80"/>
        <v/>
      </c>
      <c r="K302" s="387" t="str">
        <f t="shared" si="80"/>
        <v/>
      </c>
      <c r="L302" s="387">
        <f t="shared" si="79"/>
        <v>1</v>
      </c>
      <c r="M302" s="388"/>
      <c r="N302" s="388">
        <v>1</v>
      </c>
      <c r="O302" s="388"/>
      <c r="P302" s="388"/>
      <c r="Q302" s="382"/>
      <c r="R302" s="385" t="str">
        <f t="shared" si="76"/>
        <v>T</v>
      </c>
      <c r="S302" s="389" t="s">
        <v>208</v>
      </c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89"/>
    </row>
    <row r="303" spans="1:32" hidden="1" outlineLevel="3">
      <c r="A303" s="382"/>
      <c r="B303" s="386" t="s">
        <v>200</v>
      </c>
      <c r="C303" s="386" t="s">
        <v>200</v>
      </c>
      <c r="D303" s="382" t="s">
        <v>64</v>
      </c>
      <c r="E303" s="382" t="s">
        <v>29</v>
      </c>
      <c r="F303" s="440" t="s">
        <v>118</v>
      </c>
      <c r="G303" s="387">
        <v>8.1128101250000001E-2</v>
      </c>
      <c r="H303" s="387">
        <f t="shared" si="80"/>
        <v>8.1128101250000001E-2</v>
      </c>
      <c r="I303" s="387" t="str">
        <f t="shared" si="80"/>
        <v/>
      </c>
      <c r="J303" s="387" t="str">
        <f t="shared" si="80"/>
        <v/>
      </c>
      <c r="K303" s="387" t="str">
        <f t="shared" si="80"/>
        <v/>
      </c>
      <c r="L303" s="387">
        <f t="shared" si="79"/>
        <v>1</v>
      </c>
      <c r="M303" s="388">
        <v>1</v>
      </c>
      <c r="N303" s="388"/>
      <c r="O303" s="388"/>
      <c r="P303" s="388"/>
      <c r="Q303" s="382"/>
      <c r="R303" s="385" t="str">
        <f t="shared" si="76"/>
        <v>T</v>
      </c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</row>
    <row r="304" spans="1:32" hidden="1" outlineLevel="3">
      <c r="A304" s="382"/>
      <c r="B304" s="386" t="s">
        <v>200</v>
      </c>
      <c r="C304" s="386" t="s">
        <v>200</v>
      </c>
      <c r="D304" s="382" t="s">
        <v>64</v>
      </c>
      <c r="E304" s="382" t="s">
        <v>29</v>
      </c>
      <c r="F304" s="440" t="s">
        <v>203</v>
      </c>
      <c r="G304" s="387">
        <f>0.0454288794571053*0</f>
        <v>0</v>
      </c>
      <c r="H304" s="387" t="str">
        <f t="shared" si="80"/>
        <v/>
      </c>
      <c r="I304" s="387" t="str">
        <f t="shared" si="80"/>
        <v/>
      </c>
      <c r="J304" s="387" t="str">
        <f t="shared" si="80"/>
        <v/>
      </c>
      <c r="K304" s="387" t="str">
        <f t="shared" si="80"/>
        <v/>
      </c>
      <c r="L304" s="387">
        <f t="shared" si="79"/>
        <v>0</v>
      </c>
      <c r="M304" s="388"/>
      <c r="N304" s="388"/>
      <c r="O304" s="388"/>
      <c r="P304" s="388"/>
      <c r="Q304" s="382"/>
      <c r="R304" s="385" t="str">
        <f t="shared" si="76"/>
        <v>T</v>
      </c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  <c r="AC304" s="389"/>
      <c r="AD304" s="389"/>
      <c r="AE304" s="389"/>
      <c r="AF304" s="389"/>
    </row>
    <row r="305" spans="1:37" outlineLevel="1" collapsed="1">
      <c r="A305" s="382"/>
      <c r="B305" s="390" t="s">
        <v>209</v>
      </c>
      <c r="C305" s="395" t="s">
        <v>80</v>
      </c>
      <c r="D305" s="390"/>
      <c r="E305" s="390"/>
      <c r="F305" s="442" t="s">
        <v>210</v>
      </c>
      <c r="G305" s="424">
        <f>SUM(G306:G306)</f>
        <v>0.03</v>
      </c>
      <c r="H305" s="424">
        <f t="shared" ref="H305:K306" si="81">SUM(H306)</f>
        <v>0.03</v>
      </c>
      <c r="I305" s="424">
        <f t="shared" si="81"/>
        <v>0</v>
      </c>
      <c r="J305" s="424">
        <f t="shared" si="81"/>
        <v>0</v>
      </c>
      <c r="K305" s="424">
        <f t="shared" si="81"/>
        <v>0</v>
      </c>
      <c r="L305" s="424">
        <f t="shared" si="79"/>
        <v>1</v>
      </c>
      <c r="M305" s="408">
        <f t="shared" ref="M305:P306" si="82">SUM(M306)</f>
        <v>1</v>
      </c>
      <c r="N305" s="408">
        <f t="shared" si="82"/>
        <v>0</v>
      </c>
      <c r="O305" s="408">
        <f t="shared" si="82"/>
        <v>0</v>
      </c>
      <c r="P305" s="408">
        <f t="shared" si="82"/>
        <v>0</v>
      </c>
      <c r="Q305" s="382"/>
      <c r="R305" s="385" t="str">
        <f t="shared" si="76"/>
        <v>T</v>
      </c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  <c r="AC305" s="389"/>
      <c r="AD305" s="389"/>
      <c r="AE305" s="389"/>
      <c r="AF305" s="389"/>
    </row>
    <row r="306" spans="1:37" hidden="1" outlineLevel="2" collapsed="1">
      <c r="A306" s="382"/>
      <c r="B306" s="386" t="s">
        <v>209</v>
      </c>
      <c r="C306" s="382" t="s">
        <v>80</v>
      </c>
      <c r="D306" s="382" t="s">
        <v>26</v>
      </c>
      <c r="E306" s="382"/>
      <c r="F306" s="440" t="s">
        <v>87</v>
      </c>
      <c r="G306" s="387">
        <f>SUM(G307)</f>
        <v>0.03</v>
      </c>
      <c r="H306" s="387">
        <f t="shared" si="81"/>
        <v>0.03</v>
      </c>
      <c r="I306" s="387">
        <f t="shared" si="81"/>
        <v>0</v>
      </c>
      <c r="J306" s="387">
        <f t="shared" si="81"/>
        <v>0</v>
      </c>
      <c r="K306" s="387">
        <f t="shared" si="81"/>
        <v>0</v>
      </c>
      <c r="L306" s="387">
        <f t="shared" si="79"/>
        <v>1</v>
      </c>
      <c r="M306" s="388">
        <f t="shared" si="82"/>
        <v>1</v>
      </c>
      <c r="N306" s="388">
        <f t="shared" si="82"/>
        <v>0</v>
      </c>
      <c r="O306" s="388">
        <f t="shared" si="82"/>
        <v>0</v>
      </c>
      <c r="P306" s="388">
        <f t="shared" si="82"/>
        <v>0</v>
      </c>
      <c r="Q306" s="382"/>
      <c r="R306" s="385" t="str">
        <f t="shared" si="76"/>
        <v>T</v>
      </c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  <c r="AC306" s="389"/>
      <c r="AD306" s="389"/>
      <c r="AE306" s="389"/>
      <c r="AF306" s="389"/>
    </row>
    <row r="307" spans="1:37" hidden="1" outlineLevel="3">
      <c r="A307" s="382"/>
      <c r="B307" s="386" t="s">
        <v>209</v>
      </c>
      <c r="C307" s="382" t="s">
        <v>80</v>
      </c>
      <c r="D307" s="382" t="s">
        <v>26</v>
      </c>
      <c r="E307" s="382" t="s">
        <v>27</v>
      </c>
      <c r="F307" s="440" t="s">
        <v>211</v>
      </c>
      <c r="G307" s="387">
        <v>0.03</v>
      </c>
      <c r="H307" s="387">
        <f>IF(M307=1,$G307,"")</f>
        <v>0.03</v>
      </c>
      <c r="I307" s="387" t="str">
        <f>IF(N307=1,$G307,"")</f>
        <v/>
      </c>
      <c r="J307" s="387" t="str">
        <f>IF(O307=1,$G307,"")</f>
        <v/>
      </c>
      <c r="K307" s="387" t="str">
        <f>IF(P307=1,$G307,"")</f>
        <v/>
      </c>
      <c r="L307" s="387">
        <f t="shared" si="79"/>
        <v>1</v>
      </c>
      <c r="M307" s="388">
        <v>1</v>
      </c>
      <c r="N307" s="388"/>
      <c r="O307" s="388"/>
      <c r="P307" s="388"/>
      <c r="Q307" s="382"/>
      <c r="R307" s="385" t="str">
        <f t="shared" si="76"/>
        <v>T</v>
      </c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  <c r="AC307" s="389"/>
      <c r="AD307" s="389"/>
      <c r="AE307" s="389"/>
      <c r="AF307" s="389"/>
    </row>
    <row r="308" spans="1:37" outlineLevel="1">
      <c r="A308" s="382"/>
      <c r="B308" s="396" t="s">
        <v>212</v>
      </c>
      <c r="C308" s="396" t="s">
        <v>212</v>
      </c>
      <c r="D308" s="396"/>
      <c r="E308" s="396"/>
      <c r="F308" s="442" t="s">
        <v>210</v>
      </c>
      <c r="G308" s="422">
        <f>G309+G323+G360+G367</f>
        <v>14.037057719072115</v>
      </c>
      <c r="H308" s="422">
        <f>H309+H323+H360+H367</f>
        <v>9.6589592526479322</v>
      </c>
      <c r="I308" s="422">
        <f>I309+I323+I360+I367</f>
        <v>3.1805655745064372</v>
      </c>
      <c r="J308" s="422">
        <f>J309+J323+J360+J367</f>
        <v>0.92356548759519985</v>
      </c>
      <c r="K308" s="422">
        <f>K309+K323+K360+K367</f>
        <v>0.27396740432255184</v>
      </c>
      <c r="L308" s="422">
        <f t="shared" si="79"/>
        <v>60</v>
      </c>
      <c r="M308" s="423">
        <f>M309+M323+M360+M367</f>
        <v>27</v>
      </c>
      <c r="N308" s="423">
        <f>-N309+N323+N360+N367</f>
        <v>17</v>
      </c>
      <c r="O308" s="423">
        <f>O309+O323+O360+O367</f>
        <v>8</v>
      </c>
      <c r="P308" s="423">
        <f>-P309+P323+P360+P367</f>
        <v>8</v>
      </c>
      <c r="Q308" s="382"/>
      <c r="R308" s="385" t="str">
        <f t="shared" si="76"/>
        <v>T</v>
      </c>
      <c r="S308" s="389" t="s">
        <v>213</v>
      </c>
      <c r="T308" s="389"/>
      <c r="U308" s="389"/>
      <c r="V308" s="389"/>
      <c r="W308" s="402"/>
      <c r="X308" s="389"/>
      <c r="Y308" s="389"/>
      <c r="Z308" s="389"/>
      <c r="AA308" s="389"/>
      <c r="AB308" s="389"/>
      <c r="AC308" s="389"/>
      <c r="AD308" s="389"/>
      <c r="AE308" s="389"/>
      <c r="AF308" s="389"/>
    </row>
    <row r="309" spans="1:37" outlineLevel="2" collapsed="1">
      <c r="A309" s="382"/>
      <c r="B309" s="386" t="s">
        <v>212</v>
      </c>
      <c r="C309" s="386" t="s">
        <v>212</v>
      </c>
      <c r="D309" s="382" t="s">
        <v>18</v>
      </c>
      <c r="E309" s="397"/>
      <c r="F309" s="440" t="s">
        <v>214</v>
      </c>
      <c r="G309" s="542">
        <f>SUM(G310:G322)</f>
        <v>6.1030133279200003</v>
      </c>
      <c r="H309" s="387">
        <f>SUM(H310:H322)</f>
        <v>5.8780133279200006</v>
      </c>
      <c r="I309" s="387">
        <f>SUM(I310:I322)</f>
        <v>0</v>
      </c>
      <c r="J309" s="387">
        <f>SUM(J310:J322)</f>
        <v>0.22500000000000001</v>
      </c>
      <c r="K309" s="387">
        <f>SUM(K310:K322)</f>
        <v>0</v>
      </c>
      <c r="L309" s="542">
        <f t="shared" si="79"/>
        <v>13</v>
      </c>
      <c r="M309" s="388">
        <f>SUM(M310:M322)</f>
        <v>10</v>
      </c>
      <c r="N309" s="388">
        <f>SUM(N310:N322)</f>
        <v>0</v>
      </c>
      <c r="O309" s="388">
        <f>SUM(O310:O322)</f>
        <v>3</v>
      </c>
      <c r="P309" s="388">
        <f>SUM(P310:P322)</f>
        <v>0</v>
      </c>
      <c r="Q309" s="382"/>
      <c r="R309" s="385" t="str">
        <f t="shared" si="76"/>
        <v>T</v>
      </c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  <c r="AC309" s="389"/>
      <c r="AD309" s="389"/>
      <c r="AE309" s="389"/>
      <c r="AF309" s="389"/>
    </row>
    <row r="310" spans="1:37" hidden="1" outlineLevel="3">
      <c r="A310" s="382"/>
      <c r="B310" s="386" t="s">
        <v>212</v>
      </c>
      <c r="C310" s="386" t="s">
        <v>212</v>
      </c>
      <c r="D310" s="382" t="s">
        <v>18</v>
      </c>
      <c r="E310" s="397" t="s">
        <v>204</v>
      </c>
      <c r="F310" s="440" t="s">
        <v>215</v>
      </c>
      <c r="G310" s="411">
        <f t="shared" ref="G310:G322" si="83">SUM(H310:K310)</f>
        <v>0.22115071539599998</v>
      </c>
      <c r="H310" s="387">
        <v>0.22115071539599998</v>
      </c>
      <c r="I310" s="387" t="str">
        <f t="shared" ref="I310:K312" si="84">IF(N310=1,$G310,"")</f>
        <v/>
      </c>
      <c r="J310" s="387" t="str">
        <f t="shared" si="84"/>
        <v/>
      </c>
      <c r="K310" s="387" t="str">
        <f t="shared" si="84"/>
        <v/>
      </c>
      <c r="L310" s="411">
        <f t="shared" si="79"/>
        <v>1</v>
      </c>
      <c r="M310" s="388">
        <v>1</v>
      </c>
      <c r="N310" s="388"/>
      <c r="O310" s="388"/>
      <c r="P310" s="388"/>
      <c r="Q310" s="382"/>
      <c r="R310" s="385" t="str">
        <f t="shared" si="76"/>
        <v>T</v>
      </c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</row>
    <row r="311" spans="1:37" s="516" customFormat="1" hidden="1" outlineLevel="3">
      <c r="A311" s="382" t="s">
        <v>216</v>
      </c>
      <c r="B311" s="386" t="s">
        <v>212</v>
      </c>
      <c r="C311" s="386" t="s">
        <v>212</v>
      </c>
      <c r="D311" s="382" t="s">
        <v>18</v>
      </c>
      <c r="E311" s="397" t="s">
        <v>204</v>
      </c>
      <c r="F311" s="440" t="s">
        <v>217</v>
      </c>
      <c r="G311" s="411">
        <f t="shared" si="83"/>
        <v>7.3716905132000007E-2</v>
      </c>
      <c r="H311" s="411">
        <v>7.3716905132000007E-2</v>
      </c>
      <c r="I311" s="411" t="str">
        <f t="shared" si="84"/>
        <v/>
      </c>
      <c r="J311" s="411" t="str">
        <f t="shared" si="84"/>
        <v/>
      </c>
      <c r="K311" s="411" t="str">
        <f t="shared" si="84"/>
        <v/>
      </c>
      <c r="L311" s="411">
        <f t="shared" si="79"/>
        <v>1</v>
      </c>
      <c r="M311" s="409">
        <v>1</v>
      </c>
      <c r="N311" s="409"/>
      <c r="O311" s="409"/>
      <c r="P311" s="409"/>
      <c r="Q311" s="382"/>
      <c r="R311" s="385" t="str">
        <f t="shared" si="76"/>
        <v>T</v>
      </c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  <c r="AC311" s="389"/>
      <c r="AD311" s="389"/>
      <c r="AE311" s="389"/>
      <c r="AF311" s="389"/>
      <c r="AG311" s="383"/>
      <c r="AH311" s="383"/>
      <c r="AI311" s="383"/>
      <c r="AJ311" s="383"/>
      <c r="AK311" s="383"/>
    </row>
    <row r="312" spans="1:37" hidden="1" outlineLevel="3">
      <c r="A312" s="382"/>
      <c r="B312" s="386" t="s">
        <v>212</v>
      </c>
      <c r="C312" s="386" t="s">
        <v>212</v>
      </c>
      <c r="D312" s="382" t="s">
        <v>18</v>
      </c>
      <c r="E312" s="397" t="s">
        <v>204</v>
      </c>
      <c r="F312" s="440" t="s">
        <v>218</v>
      </c>
      <c r="G312" s="411">
        <f t="shared" si="83"/>
        <v>7.3716905132000007E-2</v>
      </c>
      <c r="H312" s="387">
        <v>7.3716905132000007E-2</v>
      </c>
      <c r="I312" s="387" t="str">
        <f t="shared" si="84"/>
        <v/>
      </c>
      <c r="J312" s="387" t="str">
        <f t="shared" si="84"/>
        <v/>
      </c>
      <c r="K312" s="387" t="str">
        <f t="shared" si="84"/>
        <v/>
      </c>
      <c r="L312" s="411">
        <f t="shared" si="79"/>
        <v>1</v>
      </c>
      <c r="M312" s="388">
        <v>1</v>
      </c>
      <c r="N312" s="388"/>
      <c r="O312" s="388"/>
      <c r="P312" s="388"/>
      <c r="Q312" s="382"/>
      <c r="R312" s="385" t="str">
        <f t="shared" si="76"/>
        <v>T</v>
      </c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  <c r="AC312" s="389"/>
      <c r="AD312" s="389"/>
      <c r="AE312" s="389"/>
      <c r="AF312" s="389"/>
    </row>
    <row r="313" spans="1:37" hidden="1" outlineLevel="3">
      <c r="A313" s="382"/>
      <c r="B313" s="386" t="s">
        <v>212</v>
      </c>
      <c r="C313" s="386" t="s">
        <v>212</v>
      </c>
      <c r="D313" s="382" t="s">
        <v>18</v>
      </c>
      <c r="E313" s="397" t="s">
        <v>204</v>
      </c>
      <c r="F313" s="440" t="s">
        <v>219</v>
      </c>
      <c r="G313" s="411">
        <f t="shared" si="83"/>
        <v>0.15</v>
      </c>
      <c r="H313" s="387" t="str">
        <f t="shared" ref="H313:I315" si="85">IF(M313=1,$G313,"")</f>
        <v/>
      </c>
      <c r="I313" s="387" t="str">
        <f t="shared" si="85"/>
        <v/>
      </c>
      <c r="J313" s="387">
        <v>0.15</v>
      </c>
      <c r="K313" s="387" t="str">
        <f t="shared" ref="K313:K322" si="86">IF(P313=1,$G313,"")</f>
        <v/>
      </c>
      <c r="L313" s="411">
        <f>SUM(N313:P313)</f>
        <v>1</v>
      </c>
      <c r="N313" s="388"/>
      <c r="O313" s="388">
        <v>1</v>
      </c>
      <c r="P313" s="388"/>
      <c r="Q313" s="382"/>
      <c r="R313" s="385" t="str">
        <f>IF(SUM(N313:P313)=L313,"T","F")</f>
        <v>T</v>
      </c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  <c r="AC313" s="389"/>
      <c r="AD313" s="389"/>
      <c r="AE313" s="389"/>
      <c r="AF313" s="389"/>
    </row>
    <row r="314" spans="1:37" ht="26.45" hidden="1" outlineLevel="3">
      <c r="A314" s="382"/>
      <c r="B314" s="386" t="s">
        <v>212</v>
      </c>
      <c r="C314" s="386" t="s">
        <v>212</v>
      </c>
      <c r="D314" s="382" t="s">
        <v>18</v>
      </c>
      <c r="E314" s="397" t="s">
        <v>204</v>
      </c>
      <c r="F314" s="440" t="s">
        <v>220</v>
      </c>
      <c r="G314" s="411">
        <f t="shared" si="83"/>
        <v>3.7499999999999999E-2</v>
      </c>
      <c r="H314" s="387" t="str">
        <f t="shared" si="85"/>
        <v/>
      </c>
      <c r="I314" s="387" t="str">
        <f t="shared" si="85"/>
        <v/>
      </c>
      <c r="J314" s="387">
        <v>3.7499999999999999E-2</v>
      </c>
      <c r="K314" s="387" t="str">
        <f t="shared" si="86"/>
        <v/>
      </c>
      <c r="L314" s="411">
        <f>SUM(N314:P314)</f>
        <v>1</v>
      </c>
      <c r="N314" s="388"/>
      <c r="O314" s="388">
        <v>1</v>
      </c>
      <c r="P314" s="388"/>
      <c r="Q314" s="382"/>
      <c r="R314" s="385" t="str">
        <f>IF(SUM(N314:P314)=L314,"T","F")</f>
        <v>T</v>
      </c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  <c r="AC314" s="389"/>
      <c r="AD314" s="389"/>
      <c r="AE314" s="389"/>
      <c r="AF314" s="389"/>
    </row>
    <row r="315" spans="1:37" hidden="1" outlineLevel="3">
      <c r="A315" s="382"/>
      <c r="B315" s="386" t="s">
        <v>212</v>
      </c>
      <c r="C315" s="386" t="s">
        <v>212</v>
      </c>
      <c r="D315" s="382" t="s">
        <v>18</v>
      </c>
      <c r="E315" s="397" t="s">
        <v>204</v>
      </c>
      <c r="F315" s="440" t="s">
        <v>221</v>
      </c>
      <c r="G315" s="411">
        <f t="shared" si="83"/>
        <v>3.7499999999999999E-2</v>
      </c>
      <c r="H315" s="387" t="str">
        <f t="shared" si="85"/>
        <v/>
      </c>
      <c r="I315" s="387" t="str">
        <f t="shared" si="85"/>
        <v/>
      </c>
      <c r="J315" s="387">
        <v>3.7499999999999999E-2</v>
      </c>
      <c r="K315" s="387" t="str">
        <f t="shared" si="86"/>
        <v/>
      </c>
      <c r="L315" s="411">
        <f>SUM(N315:P315)</f>
        <v>1</v>
      </c>
      <c r="N315" s="388"/>
      <c r="O315" s="388">
        <v>1</v>
      </c>
      <c r="P315" s="388"/>
      <c r="Q315" s="382"/>
      <c r="R315" s="385" t="str">
        <f>IF(SUM(N315:P315)=L315,"T","F")</f>
        <v>T</v>
      </c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  <c r="AC315" s="389"/>
      <c r="AD315" s="389"/>
      <c r="AE315" s="389"/>
      <c r="AF315" s="389"/>
    </row>
    <row r="316" spans="1:37" hidden="1" outlineLevel="3">
      <c r="A316" s="382"/>
      <c r="B316" s="386" t="s">
        <v>212</v>
      </c>
      <c r="C316" s="386" t="s">
        <v>212</v>
      </c>
      <c r="D316" s="382" t="s">
        <v>18</v>
      </c>
      <c r="E316" s="397" t="s">
        <v>204</v>
      </c>
      <c r="F316" s="440" t="s">
        <v>222</v>
      </c>
      <c r="G316" s="411">
        <f t="shared" si="83"/>
        <v>6.4031962499999998E-2</v>
      </c>
      <c r="H316" s="387">
        <v>6.4031962499999998E-2</v>
      </c>
      <c r="I316" s="387" t="str">
        <f t="shared" ref="I316:J322" si="87">IF(N316=1,$G316,"")</f>
        <v/>
      </c>
      <c r="J316" s="387" t="str">
        <f t="shared" si="87"/>
        <v/>
      </c>
      <c r="K316" s="387" t="str">
        <f t="shared" si="86"/>
        <v/>
      </c>
      <c r="L316" s="411">
        <f t="shared" ref="L316:L325" si="88">SUM(M316:P316)</f>
        <v>1</v>
      </c>
      <c r="M316" s="388">
        <v>1</v>
      </c>
      <c r="N316" s="388"/>
      <c r="O316" s="388"/>
      <c r="P316" s="388"/>
      <c r="Q316" s="382"/>
      <c r="R316" s="385" t="str">
        <f t="shared" ref="R316:R325" si="89">IF(SUM(M316:P316)=L316,"T","F")</f>
        <v>T</v>
      </c>
      <c r="S316" s="389" t="s">
        <v>223</v>
      </c>
      <c r="T316" s="389"/>
      <c r="U316" s="389"/>
      <c r="V316" s="389"/>
      <c r="W316" s="389"/>
      <c r="X316" s="389"/>
      <c r="Y316" s="389"/>
      <c r="Z316" s="389"/>
      <c r="AA316" s="389"/>
      <c r="AB316" s="389"/>
      <c r="AC316" s="389"/>
      <c r="AD316" s="389"/>
      <c r="AE316" s="389"/>
      <c r="AF316" s="389"/>
    </row>
    <row r="317" spans="1:37" hidden="1" outlineLevel="3">
      <c r="A317" s="382"/>
      <c r="B317" s="386" t="s">
        <v>212</v>
      </c>
      <c r="C317" s="386" t="s">
        <v>212</v>
      </c>
      <c r="D317" s="382" t="s">
        <v>18</v>
      </c>
      <c r="E317" s="397" t="s">
        <v>204</v>
      </c>
      <c r="F317" s="440" t="s">
        <v>224</v>
      </c>
      <c r="G317" s="411">
        <f t="shared" si="83"/>
        <v>0.54994955184000005</v>
      </c>
      <c r="H317" s="387">
        <v>0.54994955184000005</v>
      </c>
      <c r="I317" s="387" t="str">
        <f t="shared" si="87"/>
        <v/>
      </c>
      <c r="J317" s="387" t="str">
        <f t="shared" si="87"/>
        <v/>
      </c>
      <c r="K317" s="387" t="str">
        <f t="shared" si="86"/>
        <v/>
      </c>
      <c r="L317" s="411">
        <f t="shared" si="88"/>
        <v>1</v>
      </c>
      <c r="M317" s="388">
        <v>1</v>
      </c>
      <c r="N317" s="388"/>
      <c r="O317" s="388"/>
      <c r="P317" s="388"/>
      <c r="Q317" s="382"/>
      <c r="R317" s="385" t="str">
        <f t="shared" si="89"/>
        <v>T</v>
      </c>
      <c r="S317" s="389" t="s">
        <v>223</v>
      </c>
      <c r="T317" s="389"/>
      <c r="U317" s="389"/>
      <c r="V317" s="389"/>
      <c r="W317" s="389"/>
      <c r="X317" s="389"/>
      <c r="Y317" s="389"/>
      <c r="Z317" s="389"/>
      <c r="AA317" s="389"/>
      <c r="AB317" s="389"/>
      <c r="AC317" s="389"/>
      <c r="AD317" s="389"/>
      <c r="AE317" s="389"/>
      <c r="AF317" s="389"/>
    </row>
    <row r="318" spans="1:37" hidden="1" outlineLevel="3">
      <c r="A318" s="382"/>
      <c r="B318" s="386" t="s">
        <v>212</v>
      </c>
      <c r="C318" s="386" t="s">
        <v>212</v>
      </c>
      <c r="D318" s="382" t="s">
        <v>18</v>
      </c>
      <c r="E318" s="397" t="s">
        <v>204</v>
      </c>
      <c r="F318" s="440" t="s">
        <v>225</v>
      </c>
      <c r="G318" s="411">
        <f t="shared" si="83"/>
        <v>0.27497477592000003</v>
      </c>
      <c r="H318" s="387">
        <v>0.27497477592000003</v>
      </c>
      <c r="I318" s="387" t="str">
        <f t="shared" si="87"/>
        <v/>
      </c>
      <c r="J318" s="387" t="str">
        <f t="shared" si="87"/>
        <v/>
      </c>
      <c r="K318" s="387" t="str">
        <f t="shared" si="86"/>
        <v/>
      </c>
      <c r="L318" s="411">
        <f t="shared" si="88"/>
        <v>1</v>
      </c>
      <c r="M318" s="388">
        <v>1</v>
      </c>
      <c r="N318" s="388"/>
      <c r="O318" s="388"/>
      <c r="P318" s="388"/>
      <c r="Q318" s="382"/>
      <c r="R318" s="385" t="str">
        <f t="shared" si="89"/>
        <v>T</v>
      </c>
      <c r="S318" s="389" t="s">
        <v>223</v>
      </c>
      <c r="T318" s="389"/>
      <c r="U318" s="389"/>
      <c r="V318" s="389"/>
      <c r="W318" s="389"/>
      <c r="X318" s="389"/>
      <c r="Y318" s="389"/>
      <c r="Z318" s="389"/>
      <c r="AA318" s="389"/>
      <c r="AB318" s="389"/>
      <c r="AC318" s="389"/>
      <c r="AD318" s="389"/>
      <c r="AE318" s="389"/>
      <c r="AF318" s="389"/>
    </row>
    <row r="319" spans="1:37" hidden="1" outlineLevel="3">
      <c r="A319" s="382"/>
      <c r="B319" s="386" t="s">
        <v>212</v>
      </c>
      <c r="C319" s="386" t="s">
        <v>212</v>
      </c>
      <c r="D319" s="382" t="s">
        <v>18</v>
      </c>
      <c r="E319" s="397" t="s">
        <v>204</v>
      </c>
      <c r="F319" s="440" t="s">
        <v>226</v>
      </c>
      <c r="G319" s="411">
        <f t="shared" si="83"/>
        <v>2.2352362560000003</v>
      </c>
      <c r="H319" s="387">
        <v>2.2352362560000003</v>
      </c>
      <c r="I319" s="387" t="str">
        <f t="shared" si="87"/>
        <v/>
      </c>
      <c r="J319" s="387" t="str">
        <f t="shared" si="87"/>
        <v/>
      </c>
      <c r="K319" s="387" t="str">
        <f t="shared" si="86"/>
        <v/>
      </c>
      <c r="L319" s="411">
        <f t="shared" si="88"/>
        <v>1</v>
      </c>
      <c r="M319" s="388">
        <v>1</v>
      </c>
      <c r="N319" s="388"/>
      <c r="O319" s="388"/>
      <c r="P319" s="388"/>
      <c r="Q319" s="382"/>
      <c r="R319" s="385" t="str">
        <f t="shared" si="89"/>
        <v>T</v>
      </c>
      <c r="S319" s="389" t="s">
        <v>227</v>
      </c>
      <c r="T319" s="389"/>
      <c r="U319" s="389"/>
      <c r="V319" s="389"/>
      <c r="W319" s="389"/>
      <c r="X319" s="389"/>
      <c r="Y319" s="389"/>
      <c r="Z319" s="389"/>
      <c r="AA319" s="389"/>
      <c r="AB319" s="389"/>
      <c r="AC319" s="389"/>
      <c r="AD319" s="389"/>
      <c r="AE319" s="389"/>
      <c r="AF319" s="389"/>
    </row>
    <row r="320" spans="1:37" hidden="1" outlineLevel="3">
      <c r="A320" s="382"/>
      <c r="B320" s="386" t="s">
        <v>212</v>
      </c>
      <c r="C320" s="386" t="s">
        <v>212</v>
      </c>
      <c r="D320" s="382" t="s">
        <v>18</v>
      </c>
      <c r="E320" s="397" t="s">
        <v>204</v>
      </c>
      <c r="F320" s="440" t="s">
        <v>228</v>
      </c>
      <c r="G320" s="411">
        <f t="shared" si="83"/>
        <v>2.2352362560000003</v>
      </c>
      <c r="H320" s="387">
        <v>2.2352362560000003</v>
      </c>
      <c r="I320" s="387" t="str">
        <f t="shared" si="87"/>
        <v/>
      </c>
      <c r="J320" s="387" t="str">
        <f t="shared" si="87"/>
        <v/>
      </c>
      <c r="K320" s="387" t="str">
        <f t="shared" si="86"/>
        <v/>
      </c>
      <c r="L320" s="411">
        <f t="shared" si="88"/>
        <v>1</v>
      </c>
      <c r="M320" s="388">
        <v>1</v>
      </c>
      <c r="N320" s="388"/>
      <c r="O320" s="388"/>
      <c r="P320" s="388"/>
      <c r="Q320" s="382"/>
      <c r="R320" s="385" t="str">
        <f t="shared" si="89"/>
        <v>T</v>
      </c>
      <c r="S320" s="389" t="s">
        <v>227</v>
      </c>
      <c r="T320" s="389"/>
      <c r="U320" s="389"/>
      <c r="V320" s="389"/>
      <c r="W320" s="389"/>
      <c r="X320" s="389"/>
      <c r="Y320" s="389"/>
      <c r="Z320" s="389"/>
      <c r="AA320" s="389"/>
      <c r="AB320" s="389"/>
      <c r="AC320" s="389"/>
      <c r="AD320" s="389"/>
      <c r="AE320" s="389"/>
      <c r="AF320" s="389"/>
    </row>
    <row r="321" spans="1:32" hidden="1" outlineLevel="3">
      <c r="A321" s="382"/>
      <c r="B321" s="386" t="s">
        <v>212</v>
      </c>
      <c r="C321" s="386" t="s">
        <v>212</v>
      </c>
      <c r="D321" s="382" t="s">
        <v>18</v>
      </c>
      <c r="E321" s="397" t="s">
        <v>204</v>
      </c>
      <c r="F321" s="440" t="s">
        <v>229</v>
      </c>
      <c r="G321" s="411">
        <f t="shared" si="83"/>
        <v>0.1125</v>
      </c>
      <c r="H321" s="387">
        <v>0.1125</v>
      </c>
      <c r="I321" s="387" t="str">
        <f t="shared" si="87"/>
        <v/>
      </c>
      <c r="J321" s="387" t="str">
        <f t="shared" si="87"/>
        <v/>
      </c>
      <c r="K321" s="387" t="str">
        <f t="shared" si="86"/>
        <v/>
      </c>
      <c r="L321" s="411">
        <f t="shared" si="88"/>
        <v>1</v>
      </c>
      <c r="M321" s="388">
        <v>1</v>
      </c>
      <c r="N321" s="388"/>
      <c r="O321" s="388"/>
      <c r="P321" s="388"/>
      <c r="Q321" s="382"/>
      <c r="R321" s="385" t="str">
        <f t="shared" si="89"/>
        <v>T</v>
      </c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  <c r="AC321" s="389"/>
      <c r="AD321" s="389"/>
      <c r="AE321" s="389"/>
      <c r="AF321" s="389"/>
    </row>
    <row r="322" spans="1:32" hidden="1" outlineLevel="3">
      <c r="A322" s="382"/>
      <c r="B322" s="386" t="s">
        <v>212</v>
      </c>
      <c r="C322" s="386" t="s">
        <v>212</v>
      </c>
      <c r="D322" s="382" t="s">
        <v>18</v>
      </c>
      <c r="E322" s="397" t="s">
        <v>204</v>
      </c>
      <c r="F322" s="440" t="s">
        <v>230</v>
      </c>
      <c r="G322" s="411">
        <f t="shared" si="83"/>
        <v>3.7499999999999999E-2</v>
      </c>
      <c r="H322" s="387">
        <v>3.7499999999999999E-2</v>
      </c>
      <c r="I322" s="387" t="str">
        <f t="shared" si="87"/>
        <v/>
      </c>
      <c r="J322" s="387" t="str">
        <f t="shared" si="87"/>
        <v/>
      </c>
      <c r="K322" s="387" t="str">
        <f t="shared" si="86"/>
        <v/>
      </c>
      <c r="L322" s="411">
        <f t="shared" si="88"/>
        <v>1</v>
      </c>
      <c r="M322" s="388">
        <v>1</v>
      </c>
      <c r="N322" s="388"/>
      <c r="O322" s="388"/>
      <c r="P322" s="388"/>
      <c r="Q322" s="382"/>
      <c r="R322" s="385" t="str">
        <f t="shared" si="89"/>
        <v>T</v>
      </c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  <c r="AC322" s="389"/>
      <c r="AD322" s="389"/>
      <c r="AE322" s="389"/>
      <c r="AF322" s="389"/>
    </row>
    <row r="323" spans="1:32" outlineLevel="2" collapsed="1">
      <c r="A323" s="382"/>
      <c r="B323" s="386" t="s">
        <v>212</v>
      </c>
      <c r="C323" s="386" t="s">
        <v>212</v>
      </c>
      <c r="D323" s="382" t="s">
        <v>26</v>
      </c>
      <c r="E323" s="382"/>
      <c r="F323" s="440" t="s">
        <v>214</v>
      </c>
      <c r="G323" s="387">
        <f>SUM(G324:G359)</f>
        <v>7.3976800297199956</v>
      </c>
      <c r="H323" s="387">
        <f>SUM(H324:H359)</f>
        <v>3.7440925898400006</v>
      </c>
      <c r="I323" s="387">
        <f>SUM(I324:I359)</f>
        <v>3.0577211248800005</v>
      </c>
      <c r="J323" s="387">
        <f>SUM(J324:J359)</f>
        <v>0.59586631499999987</v>
      </c>
      <c r="K323" s="387">
        <f>SUM(K324:K359)</f>
        <v>0</v>
      </c>
      <c r="L323" s="387">
        <f t="shared" si="88"/>
        <v>36</v>
      </c>
      <c r="M323" s="388">
        <f>SUM(M324:M359)</f>
        <v>16</v>
      </c>
      <c r="N323" s="388">
        <f>SUM(N324:N359)</f>
        <v>16</v>
      </c>
      <c r="O323" s="388">
        <f>SUM(O324:O359)</f>
        <v>4</v>
      </c>
      <c r="P323" s="388">
        <f>SUM(P324:P359)</f>
        <v>0</v>
      </c>
      <c r="Q323" s="382"/>
      <c r="R323" s="385" t="str">
        <f t="shared" si="89"/>
        <v>T</v>
      </c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  <c r="AC323" s="389"/>
      <c r="AD323" s="389"/>
      <c r="AE323" s="389"/>
      <c r="AF323" s="389"/>
    </row>
    <row r="324" spans="1:32" hidden="1" outlineLevel="3">
      <c r="A324" s="382"/>
      <c r="B324" s="386" t="s">
        <v>212</v>
      </c>
      <c r="C324" s="386" t="s">
        <v>212</v>
      </c>
      <c r="D324" s="382" t="s">
        <v>26</v>
      </c>
      <c r="E324" s="382" t="s">
        <v>27</v>
      </c>
      <c r="F324" s="440" t="s">
        <v>231</v>
      </c>
      <c r="G324" s="411">
        <f>SUM(H324:K324)</f>
        <v>2.25123394992</v>
      </c>
      <c r="H324" s="387">
        <v>2.25123394992</v>
      </c>
      <c r="I324" s="387" t="str">
        <f t="shared" ref="I324:K325" si="90">IF(N324=1,$G324,"")</f>
        <v/>
      </c>
      <c r="J324" s="387" t="str">
        <f t="shared" si="90"/>
        <v/>
      </c>
      <c r="K324" s="387" t="str">
        <f t="shared" si="90"/>
        <v/>
      </c>
      <c r="L324" s="411">
        <f t="shared" si="88"/>
        <v>1</v>
      </c>
      <c r="M324" s="388">
        <v>1</v>
      </c>
      <c r="N324" s="388"/>
      <c r="O324" s="388"/>
      <c r="P324" s="388"/>
      <c r="Q324" s="382"/>
      <c r="R324" s="385" t="str">
        <f t="shared" si="89"/>
        <v>T</v>
      </c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  <c r="AC324" s="389"/>
      <c r="AD324" s="389"/>
      <c r="AE324" s="389"/>
      <c r="AF324" s="389"/>
    </row>
    <row r="325" spans="1:32" hidden="1" outlineLevel="3">
      <c r="A325" s="382"/>
      <c r="B325" s="386" t="s">
        <v>212</v>
      </c>
      <c r="C325" s="386" t="s">
        <v>212</v>
      </c>
      <c r="D325" s="382" t="s">
        <v>26</v>
      </c>
      <c r="E325" s="382" t="s">
        <v>27</v>
      </c>
      <c r="F325" s="440" t="s">
        <v>224</v>
      </c>
      <c r="G325" s="411">
        <f>SUM(H325:K325)</f>
        <v>0.5295810499200001</v>
      </c>
      <c r="H325" s="387">
        <v>0.5295810499200001</v>
      </c>
      <c r="I325" s="387" t="str">
        <f t="shared" si="90"/>
        <v/>
      </c>
      <c r="J325" s="387" t="str">
        <f t="shared" si="90"/>
        <v/>
      </c>
      <c r="K325" s="387" t="str">
        <f t="shared" si="90"/>
        <v/>
      </c>
      <c r="L325" s="411">
        <f t="shared" si="88"/>
        <v>1</v>
      </c>
      <c r="M325" s="388">
        <v>1</v>
      </c>
      <c r="N325" s="388"/>
      <c r="O325" s="388"/>
      <c r="P325" s="388"/>
      <c r="Q325" s="382"/>
      <c r="R325" s="385" t="str">
        <f t="shared" si="89"/>
        <v>T</v>
      </c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  <c r="AC325" s="389"/>
      <c r="AD325" s="389"/>
      <c r="AE325" s="389"/>
      <c r="AF325" s="389"/>
    </row>
    <row r="326" spans="1:32" hidden="1" outlineLevel="3">
      <c r="A326" s="382"/>
      <c r="B326" s="386" t="s">
        <v>212</v>
      </c>
      <c r="C326" s="386" t="s">
        <v>212</v>
      </c>
      <c r="D326" s="382" t="s">
        <v>26</v>
      </c>
      <c r="E326" s="382" t="s">
        <v>27</v>
      </c>
      <c r="F326" s="440" t="s">
        <v>232</v>
      </c>
      <c r="G326" s="411">
        <f>SUM(I326:K326)</f>
        <v>0.39718578744000005</v>
      </c>
      <c r="I326" s="387">
        <v>0.39718578744000005</v>
      </c>
      <c r="J326" s="387" t="str">
        <f t="shared" ref="J326:J355" si="91">IF(O326=1,$G326,"")</f>
        <v/>
      </c>
      <c r="K326" s="387" t="str">
        <f t="shared" ref="K326:K355" si="92">IF(P326=1,$G326,"")</f>
        <v/>
      </c>
      <c r="L326" s="411">
        <f>SUM(N326:P326)</f>
        <v>1</v>
      </c>
      <c r="N326" s="388">
        <v>1</v>
      </c>
      <c r="O326" s="388"/>
      <c r="P326" s="388"/>
      <c r="Q326" s="382"/>
      <c r="R326" s="385" t="str">
        <f>IF(SUM(N326:P326)=L326,"T","F")</f>
        <v>T</v>
      </c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</row>
    <row r="327" spans="1:32" hidden="1" outlineLevel="3">
      <c r="A327" s="382"/>
      <c r="B327" s="386" t="s">
        <v>212</v>
      </c>
      <c r="C327" s="386" t="s">
        <v>212</v>
      </c>
      <c r="D327" s="382" t="s">
        <v>26</v>
      </c>
      <c r="E327" s="382" t="s">
        <v>27</v>
      </c>
      <c r="F327" s="440" t="s">
        <v>225</v>
      </c>
      <c r="G327" s="411">
        <f>SUM(I327:K327)</f>
        <v>0.39718578744000005</v>
      </c>
      <c r="I327" s="387">
        <v>0.39718578744000005</v>
      </c>
      <c r="J327" s="387" t="str">
        <f t="shared" si="91"/>
        <v/>
      </c>
      <c r="K327" s="387" t="str">
        <f t="shared" si="92"/>
        <v/>
      </c>
      <c r="L327" s="411">
        <f t="shared" ref="L327:L355" si="93">SUM(M327:P327)</f>
        <v>1</v>
      </c>
      <c r="M327" s="388"/>
      <c r="N327" s="388">
        <v>1</v>
      </c>
      <c r="O327" s="388"/>
      <c r="P327" s="388"/>
      <c r="Q327" s="382"/>
      <c r="R327" s="385" t="str">
        <f t="shared" ref="R327:R355" si="94">IF(SUM(M327:P327)=L327,"T","F")</f>
        <v>T</v>
      </c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  <c r="AC327" s="389"/>
      <c r="AD327" s="389"/>
      <c r="AE327" s="389"/>
      <c r="AF327" s="389"/>
    </row>
    <row r="328" spans="1:32" hidden="1" outlineLevel="3">
      <c r="A328" s="382"/>
      <c r="B328" s="386" t="s">
        <v>212</v>
      </c>
      <c r="C328" s="386" t="s">
        <v>212</v>
      </c>
      <c r="D328" s="382" t="s">
        <v>26</v>
      </c>
      <c r="E328" s="382" t="s">
        <v>27</v>
      </c>
      <c r="F328" s="440" t="s">
        <v>233</v>
      </c>
      <c r="G328" s="411">
        <f t="shared" ref="G328:G359" si="95">SUM(H328:K328)</f>
        <v>2.5612785000000002E-2</v>
      </c>
      <c r="H328" s="387">
        <v>2.5612785000000002E-2</v>
      </c>
      <c r="I328" s="387" t="str">
        <f>IF(N328=1,$G328,"")</f>
        <v/>
      </c>
      <c r="J328" s="387" t="str">
        <f t="shared" si="91"/>
        <v/>
      </c>
      <c r="K328" s="387" t="str">
        <f t="shared" si="92"/>
        <v/>
      </c>
      <c r="L328" s="411">
        <f t="shared" si="93"/>
        <v>1</v>
      </c>
      <c r="M328" s="388">
        <v>1</v>
      </c>
      <c r="N328" s="388"/>
      <c r="O328" s="388"/>
      <c r="P328" s="388"/>
      <c r="Q328" s="382"/>
      <c r="R328" s="385" t="str">
        <f t="shared" si="94"/>
        <v>T</v>
      </c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  <c r="AC328" s="389"/>
      <c r="AD328" s="389"/>
      <c r="AE328" s="389"/>
      <c r="AF328" s="389"/>
    </row>
    <row r="329" spans="1:32" hidden="1" outlineLevel="3">
      <c r="A329" s="382"/>
      <c r="B329" s="386" t="s">
        <v>212</v>
      </c>
      <c r="C329" s="386" t="s">
        <v>212</v>
      </c>
      <c r="D329" s="382" t="s">
        <v>26</v>
      </c>
      <c r="E329" s="382" t="s">
        <v>27</v>
      </c>
      <c r="F329" s="440" t="s">
        <v>234</v>
      </c>
      <c r="G329" s="411">
        <f t="shared" si="95"/>
        <v>2.5612785000000002E-2</v>
      </c>
      <c r="H329" s="387" t="str">
        <f>IF(M329=1,$G329,"")</f>
        <v/>
      </c>
      <c r="I329" s="387">
        <v>2.5612785000000002E-2</v>
      </c>
      <c r="J329" s="387" t="str">
        <f t="shared" si="91"/>
        <v/>
      </c>
      <c r="K329" s="387" t="str">
        <f t="shared" si="92"/>
        <v/>
      </c>
      <c r="L329" s="411">
        <f t="shared" si="93"/>
        <v>1</v>
      </c>
      <c r="M329" s="388"/>
      <c r="N329" s="388">
        <v>1</v>
      </c>
      <c r="O329" s="388"/>
      <c r="P329" s="388"/>
      <c r="Q329" s="382"/>
      <c r="R329" s="385" t="str">
        <f t="shared" si="94"/>
        <v>T</v>
      </c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  <c r="AC329" s="389"/>
      <c r="AD329" s="389"/>
      <c r="AE329" s="389"/>
      <c r="AF329" s="389"/>
    </row>
    <row r="330" spans="1:32" hidden="1" outlineLevel="3">
      <c r="A330" s="382"/>
      <c r="B330" s="386" t="s">
        <v>212</v>
      </c>
      <c r="C330" s="386" t="s">
        <v>212</v>
      </c>
      <c r="D330" s="382" t="s">
        <v>26</v>
      </c>
      <c r="E330" s="382" t="s">
        <v>27</v>
      </c>
      <c r="F330" s="440" t="s">
        <v>235</v>
      </c>
      <c r="G330" s="411">
        <f t="shared" si="95"/>
        <v>7.6838354999999997E-2</v>
      </c>
      <c r="H330" s="387" t="str">
        <f>IF(M330=1,$G330,"")</f>
        <v/>
      </c>
      <c r="I330" s="387">
        <v>7.6838354999999997E-2</v>
      </c>
      <c r="J330" s="387" t="str">
        <f t="shared" si="91"/>
        <v/>
      </c>
      <c r="K330" s="387" t="str">
        <f t="shared" si="92"/>
        <v/>
      </c>
      <c r="L330" s="411">
        <f t="shared" si="93"/>
        <v>1</v>
      </c>
      <c r="M330" s="388"/>
      <c r="N330" s="388">
        <v>1</v>
      </c>
      <c r="O330" s="388"/>
      <c r="P330" s="388"/>
      <c r="Q330" s="382"/>
      <c r="R330" s="385" t="str">
        <f t="shared" si="94"/>
        <v>T</v>
      </c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</row>
    <row r="331" spans="1:32" hidden="1" outlineLevel="3">
      <c r="A331" s="382"/>
      <c r="B331" s="386" t="s">
        <v>212</v>
      </c>
      <c r="C331" s="386" t="s">
        <v>212</v>
      </c>
      <c r="D331" s="382" t="s">
        <v>26</v>
      </c>
      <c r="E331" s="382" t="s">
        <v>27</v>
      </c>
      <c r="F331" s="440" t="s">
        <v>236</v>
      </c>
      <c r="G331" s="411">
        <f t="shared" si="95"/>
        <v>0.10833933000000003</v>
      </c>
      <c r="H331" s="387">
        <v>0.10833933000000003</v>
      </c>
      <c r="I331" s="387" t="str">
        <f>IF(N331=1,$G331,"")</f>
        <v/>
      </c>
      <c r="J331" s="387" t="str">
        <f t="shared" si="91"/>
        <v/>
      </c>
      <c r="K331" s="387" t="str">
        <f t="shared" si="92"/>
        <v/>
      </c>
      <c r="L331" s="411">
        <f t="shared" si="93"/>
        <v>1</v>
      </c>
      <c r="M331" s="388">
        <v>1</v>
      </c>
      <c r="N331" s="388"/>
      <c r="O331" s="388"/>
      <c r="P331" s="388"/>
      <c r="Q331" s="382"/>
      <c r="R331" s="385" t="str">
        <f t="shared" si="94"/>
        <v>T</v>
      </c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  <c r="AC331" s="389"/>
      <c r="AD331" s="389"/>
      <c r="AE331" s="389"/>
      <c r="AF331" s="389"/>
    </row>
    <row r="332" spans="1:32" hidden="1" outlineLevel="3">
      <c r="A332" s="382"/>
      <c r="B332" s="386" t="s">
        <v>212</v>
      </c>
      <c r="C332" s="386" t="s">
        <v>212</v>
      </c>
      <c r="D332" s="382" t="s">
        <v>26</v>
      </c>
      <c r="E332" s="382" t="s">
        <v>27</v>
      </c>
      <c r="F332" s="440" t="s">
        <v>237</v>
      </c>
      <c r="G332" s="411">
        <f t="shared" si="95"/>
        <v>5.4169665000000013E-2</v>
      </c>
      <c r="H332" s="387">
        <v>5.4169665000000013E-2</v>
      </c>
      <c r="I332" s="387" t="str">
        <f>IF(N332=1,$G332,"")</f>
        <v/>
      </c>
      <c r="J332" s="387" t="str">
        <f t="shared" si="91"/>
        <v/>
      </c>
      <c r="K332" s="387" t="str">
        <f t="shared" si="92"/>
        <v/>
      </c>
      <c r="L332" s="411">
        <f t="shared" si="93"/>
        <v>1</v>
      </c>
      <c r="M332" s="388">
        <v>1</v>
      </c>
      <c r="N332" s="388"/>
      <c r="O332" s="388"/>
      <c r="P332" s="388"/>
      <c r="Q332" s="382"/>
      <c r="R332" s="385" t="str">
        <f t="shared" si="94"/>
        <v>T</v>
      </c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</row>
    <row r="333" spans="1:32" hidden="1" outlineLevel="3">
      <c r="A333" s="382"/>
      <c r="B333" s="386" t="s">
        <v>212</v>
      </c>
      <c r="C333" s="386" t="s">
        <v>212</v>
      </c>
      <c r="D333" s="382" t="s">
        <v>26</v>
      </c>
      <c r="E333" s="382" t="s">
        <v>27</v>
      </c>
      <c r="F333" s="440" t="s">
        <v>238</v>
      </c>
      <c r="G333" s="411">
        <f t="shared" si="95"/>
        <v>5.4169665000000013E-2</v>
      </c>
      <c r="H333" s="387" t="str">
        <f>IF(M333=1,$G333,"")</f>
        <v/>
      </c>
      <c r="I333" s="387">
        <v>5.4169665000000013E-2</v>
      </c>
      <c r="J333" s="387" t="str">
        <f t="shared" si="91"/>
        <v/>
      </c>
      <c r="K333" s="387" t="str">
        <f t="shared" si="92"/>
        <v/>
      </c>
      <c r="L333" s="411">
        <f t="shared" si="93"/>
        <v>1</v>
      </c>
      <c r="M333" s="388"/>
      <c r="N333" s="388">
        <v>1</v>
      </c>
      <c r="O333" s="388"/>
      <c r="P333" s="388"/>
      <c r="Q333" s="382"/>
      <c r="R333" s="385" t="str">
        <f t="shared" si="94"/>
        <v>T</v>
      </c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</row>
    <row r="334" spans="1:32" hidden="1" outlineLevel="3">
      <c r="A334" s="382"/>
      <c r="B334" s="386" t="s">
        <v>212</v>
      </c>
      <c r="C334" s="386" t="s">
        <v>212</v>
      </c>
      <c r="D334" s="382" t="s">
        <v>26</v>
      </c>
      <c r="E334" s="382" t="s">
        <v>27</v>
      </c>
      <c r="F334" s="440" t="s">
        <v>239</v>
      </c>
      <c r="G334" s="411">
        <f t="shared" si="95"/>
        <v>0.16250899500000002</v>
      </c>
      <c r="H334" s="387" t="str">
        <f>IF(M334=1,$G334,"")</f>
        <v/>
      </c>
      <c r="I334" s="387">
        <v>0.16250899500000002</v>
      </c>
      <c r="J334" s="387" t="str">
        <f t="shared" si="91"/>
        <v/>
      </c>
      <c r="K334" s="387" t="str">
        <f t="shared" si="92"/>
        <v/>
      </c>
      <c r="L334" s="411">
        <f t="shared" si="93"/>
        <v>1</v>
      </c>
      <c r="M334" s="388"/>
      <c r="N334" s="388">
        <v>1</v>
      </c>
      <c r="O334" s="388"/>
      <c r="P334" s="388"/>
      <c r="Q334" s="382"/>
      <c r="R334" s="385" t="str">
        <f t="shared" si="94"/>
        <v>T</v>
      </c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</row>
    <row r="335" spans="1:32" hidden="1" outlineLevel="3">
      <c r="A335" s="382"/>
      <c r="B335" s="386" t="s">
        <v>212</v>
      </c>
      <c r="C335" s="386" t="s">
        <v>212</v>
      </c>
      <c r="D335" s="382" t="s">
        <v>26</v>
      </c>
      <c r="E335" s="382" t="s">
        <v>27</v>
      </c>
      <c r="F335" s="440" t="s">
        <v>240</v>
      </c>
      <c r="G335" s="411">
        <f t="shared" si="95"/>
        <v>0.10833933000000003</v>
      </c>
      <c r="H335" s="387">
        <v>0.10833933000000003</v>
      </c>
      <c r="I335" s="387" t="s">
        <v>241</v>
      </c>
      <c r="J335" s="387" t="str">
        <f t="shared" si="91"/>
        <v/>
      </c>
      <c r="K335" s="387" t="str">
        <f t="shared" si="92"/>
        <v/>
      </c>
      <c r="L335" s="411">
        <f t="shared" si="93"/>
        <v>1</v>
      </c>
      <c r="M335" s="388">
        <v>1</v>
      </c>
      <c r="N335" s="388"/>
      <c r="O335" s="388"/>
      <c r="P335" s="388"/>
      <c r="Q335" s="382"/>
      <c r="R335" s="385" t="str">
        <f t="shared" si="94"/>
        <v>T</v>
      </c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</row>
    <row r="336" spans="1:32" hidden="1" outlineLevel="3">
      <c r="A336" s="382"/>
      <c r="B336" s="386" t="s">
        <v>212</v>
      </c>
      <c r="C336" s="386" t="s">
        <v>212</v>
      </c>
      <c r="D336" s="382" t="s">
        <v>26</v>
      </c>
      <c r="E336" s="382" t="s">
        <v>27</v>
      </c>
      <c r="F336" s="440" t="s">
        <v>242</v>
      </c>
      <c r="G336" s="411">
        <f t="shared" si="95"/>
        <v>5.4169665000000013E-2</v>
      </c>
      <c r="H336" s="387">
        <v>5.4169665000000013E-2</v>
      </c>
      <c r="I336" s="387" t="s">
        <v>241</v>
      </c>
      <c r="J336" s="387" t="str">
        <f t="shared" si="91"/>
        <v/>
      </c>
      <c r="K336" s="387" t="str">
        <f t="shared" si="92"/>
        <v/>
      </c>
      <c r="L336" s="411">
        <f t="shared" si="93"/>
        <v>1</v>
      </c>
      <c r="M336" s="388">
        <v>1</v>
      </c>
      <c r="N336" s="388"/>
      <c r="O336" s="388"/>
      <c r="P336" s="388"/>
      <c r="Q336" s="382"/>
      <c r="R336" s="385" t="str">
        <f t="shared" si="94"/>
        <v>T</v>
      </c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</row>
    <row r="337" spans="1:32" hidden="1" outlineLevel="3">
      <c r="A337" s="382"/>
      <c r="B337" s="386" t="s">
        <v>212</v>
      </c>
      <c r="C337" s="386" t="s">
        <v>212</v>
      </c>
      <c r="D337" s="382" t="s">
        <v>26</v>
      </c>
      <c r="E337" s="382" t="s">
        <v>27</v>
      </c>
      <c r="F337" s="440" t="s">
        <v>243</v>
      </c>
      <c r="G337" s="411">
        <f t="shared" si="95"/>
        <v>5.4169665000000013E-2</v>
      </c>
      <c r="H337" s="387" t="s">
        <v>241</v>
      </c>
      <c r="I337" s="387">
        <v>5.4169665000000013E-2</v>
      </c>
      <c r="J337" s="387" t="str">
        <f t="shared" si="91"/>
        <v/>
      </c>
      <c r="K337" s="387" t="str">
        <f t="shared" si="92"/>
        <v/>
      </c>
      <c r="L337" s="411">
        <f t="shared" si="93"/>
        <v>1</v>
      </c>
      <c r="M337" s="388"/>
      <c r="N337" s="388">
        <v>1</v>
      </c>
      <c r="O337" s="388"/>
      <c r="P337" s="388"/>
      <c r="Q337" s="382"/>
      <c r="R337" s="385" t="str">
        <f t="shared" si="94"/>
        <v>T</v>
      </c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</row>
    <row r="338" spans="1:32" hidden="1" outlineLevel="3">
      <c r="A338" s="382"/>
      <c r="B338" s="386" t="s">
        <v>212</v>
      </c>
      <c r="C338" s="386" t="s">
        <v>212</v>
      </c>
      <c r="D338" s="382" t="s">
        <v>26</v>
      </c>
      <c r="E338" s="382" t="s">
        <v>27</v>
      </c>
      <c r="F338" s="440" t="s">
        <v>244</v>
      </c>
      <c r="G338" s="411">
        <f t="shared" si="95"/>
        <v>0.16250899500000002</v>
      </c>
      <c r="H338" s="387" t="s">
        <v>241</v>
      </c>
      <c r="I338" s="387">
        <v>0.16250899500000002</v>
      </c>
      <c r="J338" s="387" t="str">
        <f t="shared" si="91"/>
        <v/>
      </c>
      <c r="K338" s="387" t="str">
        <f t="shared" si="92"/>
        <v/>
      </c>
      <c r="L338" s="411">
        <f t="shared" si="93"/>
        <v>1</v>
      </c>
      <c r="M338" s="388"/>
      <c r="N338" s="388">
        <v>1</v>
      </c>
      <c r="O338" s="388"/>
      <c r="P338" s="388"/>
      <c r="Q338" s="382"/>
      <c r="R338" s="385" t="str">
        <f t="shared" si="94"/>
        <v>T</v>
      </c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</row>
    <row r="339" spans="1:32" hidden="1" outlineLevel="3">
      <c r="A339" s="382"/>
      <c r="B339" s="386" t="s">
        <v>212</v>
      </c>
      <c r="C339" s="386" t="s">
        <v>212</v>
      </c>
      <c r="D339" s="382" t="s">
        <v>26</v>
      </c>
      <c r="E339" s="382" t="s">
        <v>27</v>
      </c>
      <c r="F339" s="440" t="s">
        <v>245</v>
      </c>
      <c r="G339" s="411">
        <f t="shared" si="95"/>
        <v>0.10833933000000003</v>
      </c>
      <c r="H339" s="387">
        <v>0.10833933000000003</v>
      </c>
      <c r="I339" s="387" t="s">
        <v>241</v>
      </c>
      <c r="J339" s="387" t="str">
        <f t="shared" si="91"/>
        <v/>
      </c>
      <c r="K339" s="387" t="str">
        <f t="shared" si="92"/>
        <v/>
      </c>
      <c r="L339" s="411">
        <f t="shared" si="93"/>
        <v>1</v>
      </c>
      <c r="M339" s="388">
        <v>1</v>
      </c>
      <c r="N339" s="388"/>
      <c r="O339" s="388"/>
      <c r="P339" s="388"/>
      <c r="Q339" s="382"/>
      <c r="R339" s="385" t="str">
        <f t="shared" si="94"/>
        <v>T</v>
      </c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</row>
    <row r="340" spans="1:32" hidden="1" outlineLevel="3">
      <c r="A340" s="382"/>
      <c r="B340" s="386" t="s">
        <v>212</v>
      </c>
      <c r="C340" s="386" t="s">
        <v>212</v>
      </c>
      <c r="D340" s="382" t="s">
        <v>26</v>
      </c>
      <c r="E340" s="382" t="s">
        <v>27</v>
      </c>
      <c r="F340" s="440" t="s">
        <v>246</v>
      </c>
      <c r="G340" s="411">
        <f t="shared" si="95"/>
        <v>5.4169665000000013E-2</v>
      </c>
      <c r="H340" s="387">
        <v>5.4169665000000013E-2</v>
      </c>
      <c r="I340" s="387" t="s">
        <v>241</v>
      </c>
      <c r="J340" s="387" t="str">
        <f t="shared" si="91"/>
        <v/>
      </c>
      <c r="K340" s="387" t="str">
        <f t="shared" si="92"/>
        <v/>
      </c>
      <c r="L340" s="411">
        <f t="shared" si="93"/>
        <v>1</v>
      </c>
      <c r="M340" s="388">
        <v>1</v>
      </c>
      <c r="N340" s="388"/>
      <c r="O340" s="388"/>
      <c r="P340" s="388"/>
      <c r="Q340" s="382"/>
      <c r="R340" s="385" t="str">
        <f t="shared" si="94"/>
        <v>T</v>
      </c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</row>
    <row r="341" spans="1:32" hidden="1" outlineLevel="3">
      <c r="A341" s="382"/>
      <c r="B341" s="386" t="s">
        <v>212</v>
      </c>
      <c r="C341" s="386" t="s">
        <v>212</v>
      </c>
      <c r="D341" s="382" t="s">
        <v>26</v>
      </c>
      <c r="E341" s="382" t="s">
        <v>27</v>
      </c>
      <c r="F341" s="440" t="s">
        <v>247</v>
      </c>
      <c r="G341" s="411">
        <f t="shared" si="95"/>
        <v>5.4169665000000013E-2</v>
      </c>
      <c r="H341" s="387" t="s">
        <v>241</v>
      </c>
      <c r="I341" s="387">
        <v>5.4169665000000013E-2</v>
      </c>
      <c r="J341" s="387" t="str">
        <f t="shared" si="91"/>
        <v/>
      </c>
      <c r="K341" s="387" t="str">
        <f t="shared" si="92"/>
        <v/>
      </c>
      <c r="L341" s="411">
        <f t="shared" si="93"/>
        <v>1</v>
      </c>
      <c r="M341" s="388"/>
      <c r="N341" s="388">
        <v>1</v>
      </c>
      <c r="O341" s="388"/>
      <c r="P341" s="388"/>
      <c r="Q341" s="382"/>
      <c r="R341" s="385" t="str">
        <f t="shared" si="94"/>
        <v>T</v>
      </c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</row>
    <row r="342" spans="1:32" hidden="1" outlineLevel="3">
      <c r="A342" s="382"/>
      <c r="B342" s="386" t="s">
        <v>212</v>
      </c>
      <c r="C342" s="386" t="s">
        <v>212</v>
      </c>
      <c r="D342" s="382" t="s">
        <v>26</v>
      </c>
      <c r="E342" s="382" t="s">
        <v>27</v>
      </c>
      <c r="F342" s="440" t="s">
        <v>248</v>
      </c>
      <c r="G342" s="411">
        <f t="shared" si="95"/>
        <v>0.16250899500000002</v>
      </c>
      <c r="H342" s="387" t="s">
        <v>241</v>
      </c>
      <c r="I342" s="387">
        <v>0.16250899500000002</v>
      </c>
      <c r="J342" s="387" t="str">
        <f t="shared" si="91"/>
        <v/>
      </c>
      <c r="K342" s="387" t="str">
        <f t="shared" si="92"/>
        <v/>
      </c>
      <c r="L342" s="411">
        <f t="shared" si="93"/>
        <v>1</v>
      </c>
      <c r="M342" s="388"/>
      <c r="N342" s="388">
        <v>1</v>
      </c>
      <c r="O342" s="388"/>
      <c r="P342" s="388"/>
      <c r="Q342" s="382"/>
      <c r="R342" s="385" t="str">
        <f t="shared" si="94"/>
        <v>T</v>
      </c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</row>
    <row r="343" spans="1:32" hidden="1" outlineLevel="3">
      <c r="A343" s="382"/>
      <c r="B343" s="386" t="s">
        <v>212</v>
      </c>
      <c r="C343" s="386" t="s">
        <v>212</v>
      </c>
      <c r="D343" s="382" t="s">
        <v>26</v>
      </c>
      <c r="E343" s="382" t="s">
        <v>27</v>
      </c>
      <c r="F343" s="440" t="s">
        <v>249</v>
      </c>
      <c r="G343" s="411">
        <v>0.10833933000000003</v>
      </c>
      <c r="H343" s="411">
        <v>0.10833933000000003</v>
      </c>
      <c r="I343" s="387"/>
      <c r="J343" s="387"/>
      <c r="K343" s="387"/>
      <c r="L343" s="411">
        <f>SUM(M343:P343)</f>
        <v>1</v>
      </c>
      <c r="M343" s="388">
        <v>1</v>
      </c>
      <c r="N343" s="388"/>
      <c r="O343" s="388"/>
      <c r="P343" s="388"/>
      <c r="Q343" s="382"/>
      <c r="R343" s="385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</row>
    <row r="344" spans="1:32" hidden="1" outlineLevel="3">
      <c r="A344" s="382"/>
      <c r="B344" s="386" t="s">
        <v>212</v>
      </c>
      <c r="C344" s="386" t="s">
        <v>212</v>
      </c>
      <c r="D344" s="382" t="s">
        <v>26</v>
      </c>
      <c r="E344" s="382" t="s">
        <v>27</v>
      </c>
      <c r="F344" s="440" t="s">
        <v>250</v>
      </c>
      <c r="G344" s="411">
        <f t="shared" si="95"/>
        <v>0.10833933000000003</v>
      </c>
      <c r="H344" s="387">
        <v>0.10833933000000003</v>
      </c>
      <c r="I344" s="387" t="s">
        <v>241</v>
      </c>
      <c r="J344" s="387" t="str">
        <f t="shared" si="91"/>
        <v/>
      </c>
      <c r="K344" s="387" t="str">
        <f t="shared" si="92"/>
        <v/>
      </c>
      <c r="L344" s="411">
        <f t="shared" si="93"/>
        <v>1</v>
      </c>
      <c r="M344" s="388">
        <v>1</v>
      </c>
      <c r="N344" s="388"/>
      <c r="O344" s="388"/>
      <c r="P344" s="388"/>
      <c r="Q344" s="382"/>
      <c r="R344" s="385" t="str">
        <f t="shared" si="94"/>
        <v>T</v>
      </c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</row>
    <row r="345" spans="1:32" hidden="1" outlineLevel="3">
      <c r="A345" s="382"/>
      <c r="B345" s="386" t="s">
        <v>212</v>
      </c>
      <c r="C345" s="386" t="s">
        <v>212</v>
      </c>
      <c r="D345" s="382" t="s">
        <v>26</v>
      </c>
      <c r="E345" s="382" t="s">
        <v>27</v>
      </c>
      <c r="F345" s="440" t="s">
        <v>251</v>
      </c>
      <c r="G345" s="411">
        <f t="shared" si="95"/>
        <v>5.4169665000000013E-2</v>
      </c>
      <c r="H345" s="387">
        <v>5.4169665000000013E-2</v>
      </c>
      <c r="I345" s="387" t="s">
        <v>241</v>
      </c>
      <c r="J345" s="387" t="str">
        <f t="shared" si="91"/>
        <v/>
      </c>
      <c r="K345" s="387" t="str">
        <f t="shared" si="92"/>
        <v/>
      </c>
      <c r="L345" s="411">
        <f t="shared" si="93"/>
        <v>1</v>
      </c>
      <c r="M345" s="388">
        <v>1</v>
      </c>
      <c r="N345" s="388"/>
      <c r="O345" s="388"/>
      <c r="P345" s="388"/>
      <c r="Q345" s="382"/>
      <c r="R345" s="385" t="str">
        <f t="shared" si="94"/>
        <v>T</v>
      </c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</row>
    <row r="346" spans="1:32" hidden="1" outlineLevel="3">
      <c r="A346" s="382"/>
      <c r="B346" s="386" t="s">
        <v>212</v>
      </c>
      <c r="C346" s="386" t="s">
        <v>212</v>
      </c>
      <c r="D346" s="382" t="s">
        <v>26</v>
      </c>
      <c r="E346" s="382" t="s">
        <v>27</v>
      </c>
      <c r="F346" s="440" t="s">
        <v>252</v>
      </c>
      <c r="G346" s="411">
        <f t="shared" si="95"/>
        <v>5.4169665000000013E-2</v>
      </c>
      <c r="H346" s="387" t="s">
        <v>241</v>
      </c>
      <c r="I346" s="387">
        <v>5.4169665000000013E-2</v>
      </c>
      <c r="J346" s="387" t="str">
        <f t="shared" si="91"/>
        <v/>
      </c>
      <c r="K346" s="387" t="str">
        <f t="shared" si="92"/>
        <v/>
      </c>
      <c r="L346" s="411">
        <f t="shared" si="93"/>
        <v>1</v>
      </c>
      <c r="M346" s="388"/>
      <c r="N346" s="388">
        <v>1</v>
      </c>
      <c r="O346" s="388"/>
      <c r="P346" s="388"/>
      <c r="Q346" s="382"/>
      <c r="R346" s="385" t="str">
        <f t="shared" si="94"/>
        <v>T</v>
      </c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</row>
    <row r="347" spans="1:32" hidden="1" outlineLevel="3">
      <c r="A347" s="382"/>
      <c r="B347" s="386" t="s">
        <v>212</v>
      </c>
      <c r="C347" s="386" t="s">
        <v>212</v>
      </c>
      <c r="D347" s="382" t="s">
        <v>26</v>
      </c>
      <c r="E347" s="382" t="s">
        <v>27</v>
      </c>
      <c r="F347" s="440" t="s">
        <v>253</v>
      </c>
      <c r="G347" s="411">
        <f t="shared" si="95"/>
        <v>0.16250899500000002</v>
      </c>
      <c r="H347" s="387" t="s">
        <v>241</v>
      </c>
      <c r="I347" s="387">
        <v>0.16250899500000002</v>
      </c>
      <c r="J347" s="387" t="str">
        <f t="shared" si="91"/>
        <v/>
      </c>
      <c r="K347" s="387" t="str">
        <f t="shared" si="92"/>
        <v/>
      </c>
      <c r="L347" s="411">
        <f t="shared" si="93"/>
        <v>1</v>
      </c>
      <c r="M347" s="388"/>
      <c r="N347" s="388">
        <v>1</v>
      </c>
      <c r="O347" s="388"/>
      <c r="P347" s="388"/>
      <c r="Q347" s="382"/>
      <c r="R347" s="385" t="str">
        <f t="shared" si="94"/>
        <v>T</v>
      </c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</row>
    <row r="348" spans="1:32" hidden="1" outlineLevel="3">
      <c r="A348" s="382"/>
      <c r="B348" s="386" t="s">
        <v>212</v>
      </c>
      <c r="C348" s="386" t="s">
        <v>212</v>
      </c>
      <c r="D348" s="382" t="s">
        <v>26</v>
      </c>
      <c r="E348" s="382" t="s">
        <v>27</v>
      </c>
      <c r="F348" s="440" t="s">
        <v>254</v>
      </c>
      <c r="G348" s="411">
        <f t="shared" si="95"/>
        <v>5.1225570000000005E-2</v>
      </c>
      <c r="H348" s="387">
        <v>5.1225570000000005E-2</v>
      </c>
      <c r="I348" s="387" t="str">
        <f>IF(N348=1,$G348,"")</f>
        <v/>
      </c>
      <c r="J348" s="387" t="str">
        <f t="shared" si="91"/>
        <v/>
      </c>
      <c r="K348" s="387" t="str">
        <f t="shared" si="92"/>
        <v/>
      </c>
      <c r="L348" s="411">
        <f t="shared" si="93"/>
        <v>1</v>
      </c>
      <c r="M348" s="388">
        <v>1</v>
      </c>
      <c r="N348" s="388"/>
      <c r="O348" s="388"/>
      <c r="P348" s="388"/>
      <c r="Q348" s="382"/>
      <c r="R348" s="385" t="str">
        <f t="shared" si="94"/>
        <v>T</v>
      </c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</row>
    <row r="349" spans="1:32" hidden="1" outlineLevel="3">
      <c r="A349" s="382"/>
      <c r="B349" s="386" t="s">
        <v>212</v>
      </c>
      <c r="C349" s="386" t="s">
        <v>212</v>
      </c>
      <c r="D349" s="382" t="s">
        <v>26</v>
      </c>
      <c r="E349" s="382" t="s">
        <v>27</v>
      </c>
      <c r="F349" s="440" t="s">
        <v>255</v>
      </c>
      <c r="G349" s="411">
        <f t="shared" si="95"/>
        <v>5.1225570000000005E-2</v>
      </c>
      <c r="H349" s="387">
        <v>5.1225570000000005E-2</v>
      </c>
      <c r="I349" s="387" t="str">
        <f>IF(N349=1,$G349,"")</f>
        <v/>
      </c>
      <c r="J349" s="387" t="str">
        <f t="shared" si="91"/>
        <v/>
      </c>
      <c r="K349" s="387" t="str">
        <f t="shared" si="92"/>
        <v/>
      </c>
      <c r="L349" s="411">
        <f t="shared" si="93"/>
        <v>1</v>
      </c>
      <c r="M349" s="388">
        <v>1</v>
      </c>
      <c r="N349" s="388"/>
      <c r="O349" s="388"/>
      <c r="P349" s="388"/>
      <c r="Q349" s="382"/>
      <c r="R349" s="385" t="str">
        <f t="shared" si="94"/>
        <v>T</v>
      </c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</row>
    <row r="350" spans="1:32" hidden="1" outlineLevel="3">
      <c r="A350" s="382"/>
      <c r="B350" s="386" t="s">
        <v>212</v>
      </c>
      <c r="C350" s="386" t="s">
        <v>212</v>
      </c>
      <c r="D350" s="382" t="s">
        <v>26</v>
      </c>
      <c r="E350" s="382" t="s">
        <v>27</v>
      </c>
      <c r="F350" s="440" t="s">
        <v>256</v>
      </c>
      <c r="G350" s="411">
        <f t="shared" si="95"/>
        <v>5.1225570000000005E-2</v>
      </c>
      <c r="H350" s="387">
        <v>5.1225570000000005E-2</v>
      </c>
      <c r="I350" s="387" t="str">
        <f>IF(N350=1,$G350,"")</f>
        <v/>
      </c>
      <c r="J350" s="387" t="str">
        <f t="shared" si="91"/>
        <v/>
      </c>
      <c r="K350" s="387" t="str">
        <f t="shared" si="92"/>
        <v/>
      </c>
      <c r="L350" s="411">
        <f t="shared" si="93"/>
        <v>1</v>
      </c>
      <c r="M350" s="388">
        <v>1</v>
      </c>
      <c r="N350" s="388"/>
      <c r="O350" s="388"/>
      <c r="P350" s="388"/>
      <c r="Q350" s="382"/>
      <c r="R350" s="385" t="str">
        <f t="shared" si="94"/>
        <v>T</v>
      </c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  <c r="AC350" s="389"/>
      <c r="AD350" s="389"/>
      <c r="AE350" s="389"/>
      <c r="AF350" s="389"/>
    </row>
    <row r="351" spans="1:32" hidden="1" outlineLevel="3">
      <c r="A351" s="382"/>
      <c r="B351" s="386" t="s">
        <v>212</v>
      </c>
      <c r="C351" s="386" t="s">
        <v>212</v>
      </c>
      <c r="D351" s="382" t="s">
        <v>26</v>
      </c>
      <c r="E351" s="382" t="s">
        <v>27</v>
      </c>
      <c r="F351" s="440" t="s">
        <v>257</v>
      </c>
      <c r="G351" s="411">
        <f t="shared" si="95"/>
        <v>2.5612785000000002E-2</v>
      </c>
      <c r="H351" s="387">
        <v>2.5612785000000002E-2</v>
      </c>
      <c r="I351" s="387" t="str">
        <f>IF(N351=1,$G351,"")</f>
        <v/>
      </c>
      <c r="J351" s="387" t="str">
        <f t="shared" si="91"/>
        <v/>
      </c>
      <c r="K351" s="387" t="str">
        <f t="shared" si="92"/>
        <v/>
      </c>
      <c r="L351" s="411">
        <f t="shared" si="93"/>
        <v>1</v>
      </c>
      <c r="M351" s="388">
        <v>1</v>
      </c>
      <c r="N351" s="388"/>
      <c r="O351" s="388"/>
      <c r="P351" s="388"/>
      <c r="Q351" s="382"/>
      <c r="R351" s="385" t="str">
        <f t="shared" si="94"/>
        <v>T</v>
      </c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  <c r="AC351" s="389"/>
      <c r="AD351" s="389"/>
      <c r="AE351" s="389"/>
      <c r="AF351" s="389"/>
    </row>
    <row r="352" spans="1:32" hidden="1" outlineLevel="3">
      <c r="A352" s="382"/>
      <c r="B352" s="386" t="s">
        <v>212</v>
      </c>
      <c r="C352" s="386" t="s">
        <v>212</v>
      </c>
      <c r="D352" s="382" t="s">
        <v>26</v>
      </c>
      <c r="E352" s="382" t="s">
        <v>27</v>
      </c>
      <c r="F352" s="440" t="s">
        <v>258</v>
      </c>
      <c r="G352" s="411">
        <f t="shared" si="95"/>
        <v>2.5612785000000002E-2</v>
      </c>
      <c r="H352" s="387" t="str">
        <f t="shared" ref="H352:H359" si="96">IF(M352=1,$G352,"")</f>
        <v/>
      </c>
      <c r="I352" s="387">
        <v>2.5612785000000002E-2</v>
      </c>
      <c r="J352" s="387" t="str">
        <f t="shared" si="91"/>
        <v/>
      </c>
      <c r="K352" s="387" t="str">
        <f t="shared" si="92"/>
        <v/>
      </c>
      <c r="L352" s="411">
        <f t="shared" si="93"/>
        <v>1</v>
      </c>
      <c r="M352" s="388"/>
      <c r="N352" s="388">
        <v>1</v>
      </c>
      <c r="O352" s="388"/>
      <c r="P352" s="388"/>
      <c r="Q352" s="382"/>
      <c r="R352" s="385" t="str">
        <f t="shared" si="94"/>
        <v>T</v>
      </c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  <c r="AC352" s="389"/>
      <c r="AD352" s="389"/>
      <c r="AE352" s="389"/>
      <c r="AF352" s="389"/>
    </row>
    <row r="353" spans="1:32" hidden="1" outlineLevel="3">
      <c r="A353" s="382"/>
      <c r="B353" s="386" t="s">
        <v>212</v>
      </c>
      <c r="C353" s="386" t="s">
        <v>212</v>
      </c>
      <c r="D353" s="382" t="s">
        <v>26</v>
      </c>
      <c r="E353" s="382" t="s">
        <v>27</v>
      </c>
      <c r="F353" s="440" t="s">
        <v>259</v>
      </c>
      <c r="G353" s="411">
        <f t="shared" si="95"/>
        <v>7.6838354999999997E-2</v>
      </c>
      <c r="H353" s="387" t="str">
        <f t="shared" si="96"/>
        <v/>
      </c>
      <c r="I353" s="387">
        <v>7.6838354999999997E-2</v>
      </c>
      <c r="J353" s="387" t="str">
        <f t="shared" si="91"/>
        <v/>
      </c>
      <c r="K353" s="387" t="str">
        <f t="shared" si="92"/>
        <v/>
      </c>
      <c r="L353" s="411">
        <f t="shared" si="93"/>
        <v>1</v>
      </c>
      <c r="M353" s="388"/>
      <c r="N353" s="388">
        <v>1</v>
      </c>
      <c r="O353" s="388"/>
      <c r="P353" s="388"/>
      <c r="Q353" s="382"/>
      <c r="R353" s="385" t="str">
        <f t="shared" si="94"/>
        <v>T</v>
      </c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  <c r="AC353" s="389"/>
      <c r="AD353" s="389"/>
      <c r="AE353" s="389"/>
      <c r="AF353" s="389"/>
    </row>
    <row r="354" spans="1:32" hidden="1" outlineLevel="3">
      <c r="A354" s="382"/>
      <c r="B354" s="386" t="s">
        <v>212</v>
      </c>
      <c r="C354" s="386" t="s">
        <v>212</v>
      </c>
      <c r="D354" s="382" t="s">
        <v>26</v>
      </c>
      <c r="E354" s="382" t="s">
        <v>27</v>
      </c>
      <c r="F354" s="440" t="s">
        <v>211</v>
      </c>
      <c r="G354" s="411">
        <f t="shared" si="95"/>
        <v>0.65003598000000007</v>
      </c>
      <c r="H354" s="387" t="str">
        <f t="shared" si="96"/>
        <v/>
      </c>
      <c r="I354" s="387">
        <v>0.65003598000000007</v>
      </c>
      <c r="J354" s="387" t="str">
        <f t="shared" si="91"/>
        <v/>
      </c>
      <c r="K354" s="387" t="str">
        <f t="shared" si="92"/>
        <v/>
      </c>
      <c r="L354" s="411">
        <f t="shared" si="93"/>
        <v>1</v>
      </c>
      <c r="M354" s="388"/>
      <c r="N354" s="388">
        <v>1</v>
      </c>
      <c r="O354" s="388"/>
      <c r="P354" s="388"/>
      <c r="Q354" s="382"/>
      <c r="R354" s="385" t="str">
        <f t="shared" si="94"/>
        <v>T</v>
      </c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  <c r="AC354" s="389"/>
      <c r="AD354" s="389"/>
      <c r="AE354" s="389"/>
      <c r="AF354" s="389"/>
    </row>
    <row r="355" spans="1:32" hidden="1" outlineLevel="3">
      <c r="A355" s="382"/>
      <c r="B355" s="386" t="s">
        <v>212</v>
      </c>
      <c r="C355" s="386" t="s">
        <v>212</v>
      </c>
      <c r="D355" s="382" t="s">
        <v>26</v>
      </c>
      <c r="E355" s="382" t="s">
        <v>27</v>
      </c>
      <c r="F355" s="440" t="s">
        <v>260</v>
      </c>
      <c r="G355" s="411">
        <f t="shared" si="95"/>
        <v>0.54169665000000011</v>
      </c>
      <c r="H355" s="387" t="str">
        <f t="shared" si="96"/>
        <v/>
      </c>
      <c r="I355" s="387">
        <v>0.54169665000000011</v>
      </c>
      <c r="J355" s="387" t="str">
        <f t="shared" si="91"/>
        <v/>
      </c>
      <c r="K355" s="387" t="str">
        <f t="shared" si="92"/>
        <v/>
      </c>
      <c r="L355" s="411">
        <f t="shared" si="93"/>
        <v>1</v>
      </c>
      <c r="M355" s="388"/>
      <c r="N355" s="388">
        <v>1</v>
      </c>
      <c r="O355" s="388"/>
      <c r="P355" s="388"/>
      <c r="Q355" s="382"/>
      <c r="R355" s="385" t="str">
        <f t="shared" si="94"/>
        <v>T</v>
      </c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  <c r="AC355" s="389"/>
      <c r="AD355" s="389"/>
      <c r="AE355" s="389"/>
      <c r="AF355" s="389"/>
    </row>
    <row r="356" spans="1:32" hidden="1" outlineLevel="3">
      <c r="A356" s="382"/>
      <c r="B356" s="386" t="s">
        <v>212</v>
      </c>
      <c r="C356" s="386" t="s">
        <v>212</v>
      </c>
      <c r="D356" s="382" t="s">
        <v>26</v>
      </c>
      <c r="E356" s="382" t="s">
        <v>27</v>
      </c>
      <c r="F356" s="440" t="s">
        <v>229</v>
      </c>
      <c r="G356" s="411">
        <f t="shared" si="95"/>
        <v>0.37918765499999996</v>
      </c>
      <c r="H356" s="387" t="str">
        <f t="shared" si="96"/>
        <v/>
      </c>
      <c r="I356" s="387" t="str">
        <f>IF(N356=1,$G356,"")</f>
        <v/>
      </c>
      <c r="J356" s="387">
        <v>0.37918765499999996</v>
      </c>
      <c r="K356" s="387" t="str">
        <f>IF(P356=1,$G356,"")</f>
        <v/>
      </c>
      <c r="L356" s="411">
        <f>SUM(N356:P356)</f>
        <v>1</v>
      </c>
      <c r="N356" s="388"/>
      <c r="O356" s="388">
        <v>1</v>
      </c>
      <c r="P356" s="388"/>
      <c r="Q356" s="382"/>
      <c r="R356" s="385" t="str">
        <f>IF(SUM(N356:P356)=L356,"T","F")</f>
        <v>T</v>
      </c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  <c r="AC356" s="389"/>
      <c r="AD356" s="389"/>
      <c r="AE356" s="389"/>
      <c r="AF356" s="389"/>
    </row>
    <row r="357" spans="1:32" hidden="1" outlineLevel="3">
      <c r="A357" s="382"/>
      <c r="B357" s="386" t="s">
        <v>212</v>
      </c>
      <c r="C357" s="386" t="s">
        <v>212</v>
      </c>
      <c r="D357" s="382" t="s">
        <v>26</v>
      </c>
      <c r="E357" s="382" t="s">
        <v>27</v>
      </c>
      <c r="F357" s="440" t="s">
        <v>230</v>
      </c>
      <c r="G357" s="411">
        <f t="shared" si="95"/>
        <v>5.4169665000000006E-2</v>
      </c>
      <c r="H357" s="387" t="str">
        <f t="shared" si="96"/>
        <v/>
      </c>
      <c r="I357" s="387" t="str">
        <f>IF(N357=1,$G357,"")</f>
        <v/>
      </c>
      <c r="J357" s="387">
        <v>5.4169665000000006E-2</v>
      </c>
      <c r="K357" s="387" t="str">
        <f>IF(P357=1,$G357,"")</f>
        <v/>
      </c>
      <c r="L357" s="411">
        <f>SUM(N357:P357)</f>
        <v>1</v>
      </c>
      <c r="N357" s="388"/>
      <c r="O357" s="388">
        <v>1</v>
      </c>
      <c r="P357" s="388"/>
      <c r="Q357" s="382"/>
      <c r="R357" s="385" t="str">
        <f>IF(SUM(N357:P357)=L357,"T","F")</f>
        <v>T</v>
      </c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  <c r="AC357" s="389"/>
      <c r="AD357" s="389"/>
      <c r="AE357" s="389"/>
      <c r="AF357" s="389"/>
    </row>
    <row r="358" spans="1:32" ht="26.45" hidden="1" outlineLevel="3">
      <c r="A358" s="382"/>
      <c r="B358" s="386" t="s">
        <v>212</v>
      </c>
      <c r="C358" s="386" t="s">
        <v>212</v>
      </c>
      <c r="D358" s="382" t="s">
        <v>26</v>
      </c>
      <c r="E358" s="382" t="s">
        <v>27</v>
      </c>
      <c r="F358" s="440" t="s">
        <v>220</v>
      </c>
      <c r="G358" s="411">
        <f t="shared" si="95"/>
        <v>5.4169665000000006E-2</v>
      </c>
      <c r="H358" s="387" t="str">
        <f t="shared" si="96"/>
        <v/>
      </c>
      <c r="I358" s="387" t="str">
        <f>IF(N358=1,$G358,"")</f>
        <v/>
      </c>
      <c r="J358" s="387">
        <v>5.4169665000000006E-2</v>
      </c>
      <c r="K358" s="387" t="str">
        <f>IF(P358=1,$G358,"")</f>
        <v/>
      </c>
      <c r="L358" s="411">
        <f>SUM(N358:P358)</f>
        <v>1</v>
      </c>
      <c r="N358" s="388"/>
      <c r="O358" s="388">
        <v>1</v>
      </c>
      <c r="P358" s="388"/>
      <c r="Q358" s="382"/>
      <c r="R358" s="385" t="str">
        <f>IF(SUM(N358:P358)=L358,"T","F")</f>
        <v>T</v>
      </c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  <c r="AC358" s="389"/>
      <c r="AD358" s="389"/>
      <c r="AE358" s="389"/>
      <c r="AF358" s="389"/>
    </row>
    <row r="359" spans="1:32" hidden="1" outlineLevel="3">
      <c r="A359" s="382"/>
      <c r="B359" s="386" t="s">
        <v>212</v>
      </c>
      <c r="C359" s="386" t="s">
        <v>212</v>
      </c>
      <c r="D359" s="382" t="s">
        <v>26</v>
      </c>
      <c r="E359" s="382" t="s">
        <v>27</v>
      </c>
      <c r="F359" s="440" t="s">
        <v>221</v>
      </c>
      <c r="G359" s="411">
        <f t="shared" si="95"/>
        <v>0.10833933000000001</v>
      </c>
      <c r="H359" s="387" t="str">
        <f t="shared" si="96"/>
        <v/>
      </c>
      <c r="I359" s="387" t="str">
        <f>IF(N359=1,$G359,"")</f>
        <v/>
      </c>
      <c r="J359" s="387">
        <v>0.10833933000000001</v>
      </c>
      <c r="K359" s="387" t="str">
        <f>IF(P359=1,$G359,"")</f>
        <v/>
      </c>
      <c r="L359" s="411">
        <f>SUM(N359:P359)</f>
        <v>1</v>
      </c>
      <c r="N359" s="388"/>
      <c r="O359" s="388">
        <v>1</v>
      </c>
      <c r="P359" s="388"/>
      <c r="Q359" s="382"/>
      <c r="R359" s="385" t="str">
        <f>IF(SUM(N359:P359)=L359,"T","F")</f>
        <v>T</v>
      </c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  <c r="AC359" s="389"/>
      <c r="AD359" s="389"/>
      <c r="AE359" s="389"/>
      <c r="AF359" s="389"/>
    </row>
    <row r="360" spans="1:32" outlineLevel="2" collapsed="1">
      <c r="A360" s="382"/>
      <c r="B360" s="386" t="s">
        <v>212</v>
      </c>
      <c r="C360" s="386" t="s">
        <v>212</v>
      </c>
      <c r="D360" s="382" t="s">
        <v>28</v>
      </c>
      <c r="E360" s="382"/>
      <c r="F360" s="440" t="s">
        <v>214</v>
      </c>
      <c r="G360" s="387">
        <f>SUM(G361:G366)</f>
        <v>0.19492618172267914</v>
      </c>
      <c r="H360" s="387">
        <f>SUM(H361:H366)</f>
        <v>3.6853334887931043E-2</v>
      </c>
      <c r="I360" s="387">
        <f>SUM(I361:I366)</f>
        <v>0.12284444962643681</v>
      </c>
      <c r="J360" s="387">
        <f>SUM(J361:J366)</f>
        <v>0</v>
      </c>
      <c r="K360" s="387">
        <f>SUM(K361:K366)</f>
        <v>3.5228397208311286E-2</v>
      </c>
      <c r="L360" s="387">
        <f>SUM(M360:P360)</f>
        <v>6</v>
      </c>
      <c r="M360" s="388">
        <f>SUM(M361:M366)</f>
        <v>1</v>
      </c>
      <c r="N360" s="388">
        <f>SUM(N361:N366)</f>
        <v>1</v>
      </c>
      <c r="O360" s="388">
        <f>SUM(O361:O366)</f>
        <v>0</v>
      </c>
      <c r="P360" s="388">
        <f>SUM(P361:P366)</f>
        <v>4</v>
      </c>
      <c r="Q360" s="382"/>
      <c r="R360" s="385" t="str">
        <f>IF(SUM(M360:P360)=L360,"T","F")</f>
        <v>T</v>
      </c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  <c r="AC360" s="389"/>
      <c r="AD360" s="389"/>
      <c r="AE360" s="389"/>
      <c r="AF360" s="389"/>
    </row>
    <row r="361" spans="1:32" hidden="1" outlineLevel="3">
      <c r="A361" s="382"/>
      <c r="B361" s="386" t="s">
        <v>212</v>
      </c>
      <c r="C361" s="386" t="s">
        <v>212</v>
      </c>
      <c r="D361" s="382" t="s">
        <v>28</v>
      </c>
      <c r="E361" s="382" t="s">
        <v>29</v>
      </c>
      <c r="F361" s="440" t="s">
        <v>261</v>
      </c>
      <c r="G361" s="411">
        <f t="shared" ref="G361:G366" si="97">SUM(H361:K361)</f>
        <v>3.6853334887931043E-2</v>
      </c>
      <c r="H361" s="387">
        <v>3.6853334887931043E-2</v>
      </c>
      <c r="I361" s="387" t="str">
        <f>IF(N361=1,$G361,"")</f>
        <v/>
      </c>
      <c r="J361" s="387" t="str">
        <f>IF(O361=1,$G361,"")</f>
        <v/>
      </c>
      <c r="K361" s="387" t="str">
        <f>IF(P361=1,$G361,"")</f>
        <v/>
      </c>
      <c r="L361" s="411">
        <f>SUM(M361:P361)</f>
        <v>1</v>
      </c>
      <c r="M361" s="388">
        <v>1</v>
      </c>
      <c r="N361" s="388"/>
      <c r="O361" s="388"/>
      <c r="P361" s="388"/>
      <c r="Q361" s="382"/>
      <c r="R361" s="385" t="str">
        <f>IF(SUM(M361:P361)=L361,"T","F")</f>
        <v>T</v>
      </c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  <c r="AC361" s="389"/>
      <c r="AD361" s="389"/>
      <c r="AE361" s="389"/>
      <c r="AF361" s="389"/>
    </row>
    <row r="362" spans="1:32" hidden="1" outlineLevel="3">
      <c r="A362" s="382"/>
      <c r="B362" s="386" t="s">
        <v>212</v>
      </c>
      <c r="C362" s="386" t="s">
        <v>212</v>
      </c>
      <c r="D362" s="382" t="s">
        <v>28</v>
      </c>
      <c r="E362" s="382" t="s">
        <v>29</v>
      </c>
      <c r="F362" s="440" t="s">
        <v>229</v>
      </c>
      <c r="G362" s="411">
        <f t="shared" si="97"/>
        <v>1.8969136958321465E-2</v>
      </c>
      <c r="H362" s="387" t="str">
        <f t="shared" ref="H362:J363" si="98">IF(M362=1,$G362,"")</f>
        <v/>
      </c>
      <c r="I362" s="387" t="str">
        <f t="shared" si="98"/>
        <v/>
      </c>
      <c r="J362" s="387" t="str">
        <f t="shared" si="98"/>
        <v/>
      </c>
      <c r="K362" s="387">
        <v>1.8969136958321465E-2</v>
      </c>
      <c r="L362" s="411">
        <f>SUM(N362:P362)</f>
        <v>1</v>
      </c>
      <c r="N362" s="388"/>
      <c r="O362" s="388"/>
      <c r="P362" s="388">
        <v>1</v>
      </c>
      <c r="Q362" s="382"/>
      <c r="R362" s="385" t="str">
        <f>IF(SUM(N362:P362)=L362,"T","F")</f>
        <v>T</v>
      </c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  <c r="AC362" s="389"/>
      <c r="AD362" s="389"/>
      <c r="AE362" s="389"/>
      <c r="AF362" s="389"/>
    </row>
    <row r="363" spans="1:32" hidden="1" outlineLevel="3">
      <c r="A363" s="382"/>
      <c r="B363" s="386" t="s">
        <v>212</v>
      </c>
      <c r="C363" s="386" t="s">
        <v>212</v>
      </c>
      <c r="D363" s="382" t="s">
        <v>28</v>
      </c>
      <c r="E363" s="382" t="s">
        <v>29</v>
      </c>
      <c r="F363" s="440" t="s">
        <v>230</v>
      </c>
      <c r="G363" s="411">
        <f t="shared" si="97"/>
        <v>5.4197534166632762E-3</v>
      </c>
      <c r="H363" s="387" t="str">
        <f t="shared" si="98"/>
        <v/>
      </c>
      <c r="I363" s="387" t="str">
        <f t="shared" si="98"/>
        <v/>
      </c>
      <c r="J363" s="387" t="str">
        <f t="shared" si="98"/>
        <v/>
      </c>
      <c r="K363" s="387">
        <v>5.4197534166632762E-3</v>
      </c>
      <c r="L363" s="411">
        <f>SUM(N363:P363)</f>
        <v>1</v>
      </c>
      <c r="N363" s="388"/>
      <c r="O363" s="388"/>
      <c r="P363" s="388">
        <v>1</v>
      </c>
      <c r="Q363" s="382"/>
      <c r="R363" s="385" t="str">
        <f>IF(SUM(N363:P363)=L363,"T","F")</f>
        <v>T</v>
      </c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  <c r="AC363" s="389"/>
      <c r="AD363" s="389"/>
      <c r="AE363" s="389"/>
      <c r="AF363" s="389"/>
    </row>
    <row r="364" spans="1:32" hidden="1" outlineLevel="3">
      <c r="A364" s="382"/>
      <c r="B364" s="386" t="s">
        <v>212</v>
      </c>
      <c r="C364" s="386" t="s">
        <v>212</v>
      </c>
      <c r="D364" s="382" t="s">
        <v>28</v>
      </c>
      <c r="E364" s="382" t="s">
        <v>29</v>
      </c>
      <c r="F364" s="440" t="s">
        <v>217</v>
      </c>
      <c r="G364" s="411">
        <f t="shared" si="97"/>
        <v>0.12284444962643681</v>
      </c>
      <c r="H364" s="387" t="str">
        <f>IF(M364=1,$G364,"")</f>
        <v/>
      </c>
      <c r="I364" s="387">
        <v>0.12284444962643681</v>
      </c>
      <c r="J364" s="387" t="str">
        <f>IF(O364=1,$G364,"")</f>
        <v/>
      </c>
      <c r="K364" s="387" t="str">
        <f>IF(P364=1,$G364,"")</f>
        <v/>
      </c>
      <c r="L364" s="411">
        <f>SUM(N364:P364)</f>
        <v>1</v>
      </c>
      <c r="N364" s="388">
        <v>1</v>
      </c>
      <c r="O364" s="388"/>
      <c r="P364" s="388"/>
      <c r="Q364" s="382"/>
      <c r="R364" s="385" t="str">
        <f>IF(SUM(N364:P364)=L364,"T","F")</f>
        <v>T</v>
      </c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</row>
    <row r="365" spans="1:32" hidden="1" outlineLevel="3">
      <c r="A365" s="382"/>
      <c r="B365" s="386" t="s">
        <v>212</v>
      </c>
      <c r="C365" s="386" t="s">
        <v>212</v>
      </c>
      <c r="D365" s="382" t="s">
        <v>28</v>
      </c>
      <c r="E365" s="382" t="s">
        <v>29</v>
      </c>
      <c r="F365" s="440" t="s">
        <v>219</v>
      </c>
      <c r="G365" s="411">
        <f t="shared" si="97"/>
        <v>8.1296301249949125E-3</v>
      </c>
      <c r="H365" s="387" t="str">
        <f>IF(M365=1,$G365,"")</f>
        <v/>
      </c>
      <c r="I365" s="387" t="str">
        <f>IF(N365=1,$G365,"")</f>
        <v/>
      </c>
      <c r="J365" s="387" t="str">
        <f>IF(O365=1,$G365,"")</f>
        <v/>
      </c>
      <c r="K365" s="387">
        <v>8.1296301249949125E-3</v>
      </c>
      <c r="L365" s="411">
        <f>SUM(N365:P365)</f>
        <v>1</v>
      </c>
      <c r="N365" s="388"/>
      <c r="O365" s="388"/>
      <c r="P365" s="388">
        <v>1</v>
      </c>
      <c r="Q365" s="382"/>
      <c r="R365" s="385" t="str">
        <f>IF(SUM(N365:P365)=L365,"T","F")</f>
        <v>T</v>
      </c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  <c r="AC365" s="389"/>
      <c r="AD365" s="389"/>
      <c r="AE365" s="389"/>
      <c r="AF365" s="389"/>
    </row>
    <row r="366" spans="1:32" hidden="1" outlineLevel="3">
      <c r="A366" s="382"/>
      <c r="B366" s="386" t="s">
        <v>212</v>
      </c>
      <c r="C366" s="386" t="s">
        <v>212</v>
      </c>
      <c r="D366" s="382" t="s">
        <v>28</v>
      </c>
      <c r="E366" s="382" t="s">
        <v>29</v>
      </c>
      <c r="F366" s="440" t="s">
        <v>221</v>
      </c>
      <c r="G366" s="411">
        <f t="shared" si="97"/>
        <v>2.7098767083316381E-3</v>
      </c>
      <c r="H366" s="387" t="str">
        <f>IF(M366=1,$G366,"")</f>
        <v/>
      </c>
      <c r="I366" s="387" t="str">
        <f>IF(N366=1,$G366,"")</f>
        <v/>
      </c>
      <c r="J366" s="387" t="str">
        <f>IF(O366=1,$G366,"")</f>
        <v/>
      </c>
      <c r="K366" s="387">
        <v>2.7098767083316381E-3</v>
      </c>
      <c r="L366" s="411">
        <f>SUM(N366:P366)</f>
        <v>1</v>
      </c>
      <c r="N366" s="388"/>
      <c r="O366" s="388"/>
      <c r="P366" s="388">
        <v>1</v>
      </c>
      <c r="Q366" s="382"/>
      <c r="R366" s="385" t="str">
        <f>IF(SUM(N366:P366)=L366,"T","F")</f>
        <v>T</v>
      </c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  <c r="AC366" s="389"/>
      <c r="AD366" s="389"/>
      <c r="AE366" s="389"/>
      <c r="AF366" s="389"/>
    </row>
    <row r="367" spans="1:32" outlineLevel="2" collapsed="1">
      <c r="A367" s="382"/>
      <c r="B367" s="386" t="s">
        <v>212</v>
      </c>
      <c r="C367" s="386" t="s">
        <v>212</v>
      </c>
      <c r="D367" s="382" t="s">
        <v>64</v>
      </c>
      <c r="E367" s="382"/>
      <c r="F367" s="440" t="s">
        <v>214</v>
      </c>
      <c r="G367" s="411">
        <f>SUM(G368:G372)</f>
        <v>0.34143817970944057</v>
      </c>
      <c r="H367" s="387">
        <f>SUM(H368:H372)</f>
        <v>0</v>
      </c>
      <c r="I367" s="387">
        <f>SUM(I368:I372)</f>
        <v>0</v>
      </c>
      <c r="J367" s="387">
        <f>SUM(J368:J372)</f>
        <v>0.10269917259520001</v>
      </c>
      <c r="K367" s="387">
        <f>SUM(K368:K372)</f>
        <v>0.23873900711424056</v>
      </c>
      <c r="L367" s="411">
        <f>SUM(M367:P367)</f>
        <v>5</v>
      </c>
      <c r="M367" s="388">
        <f>SUM(M368:M372)</f>
        <v>0</v>
      </c>
      <c r="N367" s="388">
        <f>SUM(N368:N372)</f>
        <v>0</v>
      </c>
      <c r="O367" s="388">
        <f>SUM(O368:O372)</f>
        <v>1</v>
      </c>
      <c r="P367" s="388">
        <f>SUM(P368:P372)</f>
        <v>4</v>
      </c>
      <c r="Q367" s="382"/>
      <c r="R367" s="385" t="str">
        <f>IF(SUM(M367:P367)=L367,"T","F")</f>
        <v>T</v>
      </c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  <c r="AC367" s="389"/>
      <c r="AD367" s="389"/>
      <c r="AE367" s="389"/>
      <c r="AF367" s="389"/>
    </row>
    <row r="368" spans="1:32" hidden="1" outlineLevel="3">
      <c r="A368" s="382"/>
      <c r="B368" s="386" t="s">
        <v>212</v>
      </c>
      <c r="C368" s="386" t="s">
        <v>212</v>
      </c>
      <c r="D368" s="382" t="s">
        <v>64</v>
      </c>
      <c r="E368" s="382" t="s">
        <v>29</v>
      </c>
      <c r="F368" s="440" t="s">
        <v>262</v>
      </c>
      <c r="G368" s="411">
        <v>0.10269917259520001</v>
      </c>
      <c r="H368" s="387" t="str">
        <f t="shared" ref="H368:K372" si="99">IF(M368=1,$G368,"")</f>
        <v/>
      </c>
      <c r="I368" s="387" t="str">
        <f t="shared" si="99"/>
        <v/>
      </c>
      <c r="J368" s="387">
        <f t="shared" si="99"/>
        <v>0.10269917259520001</v>
      </c>
      <c r="K368" s="387" t="str">
        <f t="shared" si="99"/>
        <v/>
      </c>
      <c r="L368" s="411">
        <f>SUM(M368:P368)</f>
        <v>1</v>
      </c>
      <c r="M368" s="388"/>
      <c r="N368" s="388"/>
      <c r="O368" s="388">
        <v>1</v>
      </c>
      <c r="P368" s="388"/>
      <c r="Q368" s="382"/>
      <c r="R368" s="385" t="str">
        <f>IF(SUM(M368:P368)=L368,"T","F")</f>
        <v>T</v>
      </c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  <c r="AC368" s="389"/>
      <c r="AD368" s="389"/>
      <c r="AE368" s="389"/>
      <c r="AF368" s="389"/>
    </row>
    <row r="369" spans="1:32" hidden="1" outlineLevel="3">
      <c r="A369" s="382"/>
      <c r="B369" s="386" t="s">
        <v>212</v>
      </c>
      <c r="C369" s="386" t="s">
        <v>212</v>
      </c>
      <c r="D369" s="382" t="s">
        <v>64</v>
      </c>
      <c r="E369" s="382" t="s">
        <v>29</v>
      </c>
      <c r="F369" s="440" t="s">
        <v>218</v>
      </c>
      <c r="G369" s="411">
        <v>0.12323900711424056</v>
      </c>
      <c r="H369" s="387" t="str">
        <f t="shared" si="99"/>
        <v/>
      </c>
      <c r="I369" s="387" t="str">
        <f t="shared" si="99"/>
        <v/>
      </c>
      <c r="J369" s="387" t="str">
        <f t="shared" si="99"/>
        <v/>
      </c>
      <c r="K369" s="387">
        <f t="shared" si="99"/>
        <v>0.12323900711424056</v>
      </c>
      <c r="L369" s="411">
        <f>SUM(N369:P369)</f>
        <v>1</v>
      </c>
      <c r="N369" s="388"/>
      <c r="P369" s="388">
        <v>1</v>
      </c>
      <c r="Q369" s="382"/>
      <c r="R369" s="385" t="str">
        <f>IF(SUM(N369:P369)=L369,"T","F")</f>
        <v>T</v>
      </c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</row>
    <row r="370" spans="1:32" hidden="1" outlineLevel="3">
      <c r="A370" s="382"/>
      <c r="B370" s="386" t="s">
        <v>212</v>
      </c>
      <c r="C370" s="386" t="s">
        <v>212</v>
      </c>
      <c r="D370" s="382" t="s">
        <v>64</v>
      </c>
      <c r="E370" s="382" t="s">
        <v>29</v>
      </c>
      <c r="F370" s="440" t="s">
        <v>219</v>
      </c>
      <c r="G370" s="411">
        <v>2.1000000000000001E-2</v>
      </c>
      <c r="H370" s="387" t="str">
        <f t="shared" si="99"/>
        <v/>
      </c>
      <c r="I370" s="387" t="str">
        <f t="shared" si="99"/>
        <v/>
      </c>
      <c r="J370" s="387" t="str">
        <f t="shared" si="99"/>
        <v/>
      </c>
      <c r="K370" s="387">
        <f t="shared" si="99"/>
        <v>2.1000000000000001E-2</v>
      </c>
      <c r="L370" s="411">
        <f>SUM(N370:P370)</f>
        <v>1</v>
      </c>
      <c r="N370" s="388"/>
      <c r="P370" s="388">
        <v>1</v>
      </c>
      <c r="Q370" s="382"/>
      <c r="R370" s="385" t="str">
        <f>IF(SUM(N370:P370)=L370,"T","F")</f>
        <v>T</v>
      </c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</row>
    <row r="371" spans="1:32" hidden="1" outlineLevel="3">
      <c r="A371" s="382"/>
      <c r="B371" s="386" t="s">
        <v>212</v>
      </c>
      <c r="C371" s="386" t="s">
        <v>212</v>
      </c>
      <c r="D371" s="382" t="s">
        <v>64</v>
      </c>
      <c r="E371" s="382" t="s">
        <v>29</v>
      </c>
      <c r="F371" s="440" t="s">
        <v>230</v>
      </c>
      <c r="G371" s="411">
        <v>4.2000000000000003E-2</v>
      </c>
      <c r="H371" s="387" t="str">
        <f t="shared" si="99"/>
        <v/>
      </c>
      <c r="I371" s="387" t="str">
        <f t="shared" si="99"/>
        <v/>
      </c>
      <c r="J371" s="387" t="str">
        <f t="shared" si="99"/>
        <v/>
      </c>
      <c r="K371" s="387">
        <f t="shared" si="99"/>
        <v>4.2000000000000003E-2</v>
      </c>
      <c r="L371" s="411">
        <f>SUM(N371:P371)</f>
        <v>1</v>
      </c>
      <c r="N371" s="388"/>
      <c r="P371" s="388">
        <v>1</v>
      </c>
      <c r="Q371" s="382"/>
      <c r="R371" s="385" t="str">
        <f>IF(SUM(N371:P371)=L371,"T","F")</f>
        <v>T</v>
      </c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</row>
    <row r="372" spans="1:32" ht="26.45" hidden="1" outlineLevel="3">
      <c r="A372" s="382"/>
      <c r="B372" s="386" t="s">
        <v>212</v>
      </c>
      <c r="C372" s="386" t="s">
        <v>212</v>
      </c>
      <c r="D372" s="382" t="s">
        <v>64</v>
      </c>
      <c r="E372" s="382" t="s">
        <v>29</v>
      </c>
      <c r="F372" s="440" t="s">
        <v>220</v>
      </c>
      <c r="G372" s="411">
        <v>5.2499999999999998E-2</v>
      </c>
      <c r="H372" s="387" t="str">
        <f t="shared" si="99"/>
        <v/>
      </c>
      <c r="I372" s="387" t="str">
        <f t="shared" si="99"/>
        <v/>
      </c>
      <c r="J372" s="387" t="str">
        <f t="shared" si="99"/>
        <v/>
      </c>
      <c r="K372" s="387">
        <f t="shared" si="99"/>
        <v>5.2499999999999998E-2</v>
      </c>
      <c r="L372" s="411">
        <f>SUM(N372:P372)</f>
        <v>1</v>
      </c>
      <c r="N372" s="388"/>
      <c r="P372" s="388">
        <v>1</v>
      </c>
      <c r="Q372" s="382"/>
      <c r="R372" s="385" t="str">
        <f>IF(SUM(N372:P372)=L372,"T","F")</f>
        <v>T</v>
      </c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</row>
    <row r="373" spans="1:32" outlineLevel="1" collapsed="1">
      <c r="A373" s="382"/>
      <c r="B373" s="390" t="s">
        <v>263</v>
      </c>
      <c r="C373" s="390" t="s">
        <v>263</v>
      </c>
      <c r="D373" s="390"/>
      <c r="E373" s="390"/>
      <c r="F373" s="442" t="s">
        <v>264</v>
      </c>
      <c r="G373" s="424">
        <f>SUM(G374,G389,G397,G400)</f>
        <v>2.1184127097955643</v>
      </c>
      <c r="H373" s="424">
        <f>H374+H389+H397+H400</f>
        <v>1.2186362892862301</v>
      </c>
      <c r="I373" s="424">
        <f>I374+I389+I397+I400</f>
        <v>0.89977642050933437</v>
      </c>
      <c r="J373" s="424">
        <f>J374+J389+J397+J400</f>
        <v>0</v>
      </c>
      <c r="K373" s="424">
        <f>K374+K389+K397+K400</f>
        <v>0</v>
      </c>
      <c r="L373" s="424">
        <f t="shared" ref="L373:L404" si="100">SUM(M373:P373)</f>
        <v>24</v>
      </c>
      <c r="M373" s="408">
        <f>M374+M389+M397+M400</f>
        <v>17</v>
      </c>
      <c r="N373" s="408">
        <f>N374+N389+N397+N400</f>
        <v>7</v>
      </c>
      <c r="O373" s="408">
        <f>O374+O389+O397+O400</f>
        <v>0</v>
      </c>
      <c r="P373" s="408">
        <f>P374+P389+P397+P400</f>
        <v>0</v>
      </c>
      <c r="Q373" s="382"/>
      <c r="R373" s="385" t="str">
        <f t="shared" ref="R373:R404" si="101">IF(SUM(M373:P373)=L373,"T","F")</f>
        <v>T</v>
      </c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</row>
    <row r="374" spans="1:32" hidden="1" outlineLevel="2" collapsed="1">
      <c r="A374" s="382"/>
      <c r="B374" s="386" t="s">
        <v>263</v>
      </c>
      <c r="C374" s="386" t="s">
        <v>263</v>
      </c>
      <c r="D374" s="382" t="s">
        <v>18</v>
      </c>
      <c r="E374" s="386"/>
      <c r="F374" s="440" t="s">
        <v>87</v>
      </c>
      <c r="G374" s="387">
        <f>SUM(G375:G388)</f>
        <v>1.7047642357599448</v>
      </c>
      <c r="H374" s="387">
        <f>SUBTOTAL(9,H375:H388)</f>
        <v>0.85178143075061052</v>
      </c>
      <c r="I374" s="387">
        <f>SUBTOTAL(9,I375:I388)</f>
        <v>0.85298280500933443</v>
      </c>
      <c r="J374" s="387">
        <f>SUBTOTAL(9,J375:J388)</f>
        <v>0</v>
      </c>
      <c r="K374" s="387">
        <f>SUBTOTAL(9,K375:K388)</f>
        <v>0</v>
      </c>
      <c r="L374" s="387">
        <f t="shared" si="100"/>
        <v>14</v>
      </c>
      <c r="M374" s="388">
        <f>SUBTOTAL(9,M375:M388)</f>
        <v>9</v>
      </c>
      <c r="N374" s="388">
        <f>SUBTOTAL(9,N375:N388)</f>
        <v>5</v>
      </c>
      <c r="O374" s="388">
        <f>SUBTOTAL(9,O375:O388)</f>
        <v>0</v>
      </c>
      <c r="P374" s="388">
        <f>SUBTOTAL(9,P375:P388)</f>
        <v>0</v>
      </c>
      <c r="Q374" s="382"/>
      <c r="R374" s="385" t="str">
        <f t="shared" si="101"/>
        <v>T</v>
      </c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</row>
    <row r="375" spans="1:32" hidden="1" outlineLevel="3">
      <c r="A375" s="382"/>
      <c r="B375" s="386" t="s">
        <v>263</v>
      </c>
      <c r="C375" s="386" t="s">
        <v>263</v>
      </c>
      <c r="D375" s="382" t="s">
        <v>18</v>
      </c>
      <c r="E375" s="386" t="s">
        <v>204</v>
      </c>
      <c r="F375" s="440" t="s">
        <v>265</v>
      </c>
      <c r="G375" s="387">
        <v>0.25575333042562204</v>
      </c>
      <c r="H375" s="387">
        <f t="shared" ref="H375:H388" si="102">IF(M375=1,$G375,"")</f>
        <v>0.25575333042562204</v>
      </c>
      <c r="I375" s="387" t="str">
        <f t="shared" ref="I375:I388" si="103">IF(N375=1,$G375,"")</f>
        <v/>
      </c>
      <c r="J375" s="387" t="str">
        <f t="shared" ref="J375:J388" si="104">IF(O375=1,$G375,"")</f>
        <v/>
      </c>
      <c r="K375" s="387" t="str">
        <f t="shared" ref="K375:K388" si="105">IF(P375=1,$G375,"")</f>
        <v/>
      </c>
      <c r="L375" s="387">
        <f t="shared" si="100"/>
        <v>1</v>
      </c>
      <c r="M375" s="388">
        <v>1</v>
      </c>
      <c r="N375" s="388"/>
      <c r="O375" s="388"/>
      <c r="P375" s="388"/>
      <c r="Q375" s="382"/>
      <c r="R375" s="385" t="str">
        <f t="shared" si="101"/>
        <v>T</v>
      </c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</row>
    <row r="376" spans="1:32" hidden="1" outlineLevel="3">
      <c r="A376" s="382"/>
      <c r="B376" s="386" t="s">
        <v>263</v>
      </c>
      <c r="C376" s="386" t="s">
        <v>263</v>
      </c>
      <c r="D376" s="382" t="s">
        <v>18</v>
      </c>
      <c r="E376" s="386" t="s">
        <v>204</v>
      </c>
      <c r="F376" s="440" t="s">
        <v>205</v>
      </c>
      <c r="G376" s="387">
        <v>8.1564148364617506E-2</v>
      </c>
      <c r="H376" s="387">
        <f t="shared" si="102"/>
        <v>8.1564148364617506E-2</v>
      </c>
      <c r="I376" s="387" t="str">
        <f t="shared" si="103"/>
        <v/>
      </c>
      <c r="J376" s="387" t="str">
        <f t="shared" si="104"/>
        <v/>
      </c>
      <c r="K376" s="387" t="str">
        <f t="shared" si="105"/>
        <v/>
      </c>
      <c r="L376" s="387">
        <f t="shared" si="100"/>
        <v>1</v>
      </c>
      <c r="M376" s="388">
        <v>1</v>
      </c>
      <c r="N376" s="388"/>
      <c r="O376" s="388"/>
      <c r="P376" s="388"/>
      <c r="Q376" s="382"/>
      <c r="R376" s="385" t="str">
        <f t="shared" si="101"/>
        <v>T</v>
      </c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  <c r="AC376" s="389"/>
      <c r="AD376" s="389"/>
      <c r="AE376" s="389"/>
      <c r="AF376" s="389"/>
    </row>
    <row r="377" spans="1:32" hidden="1" outlineLevel="3">
      <c r="A377" s="382"/>
      <c r="B377" s="386" t="s">
        <v>263</v>
      </c>
      <c r="C377" s="386" t="s">
        <v>263</v>
      </c>
      <c r="D377" s="382" t="s">
        <v>18</v>
      </c>
      <c r="E377" s="386" t="s">
        <v>204</v>
      </c>
      <c r="F377" s="440" t="s">
        <v>47</v>
      </c>
      <c r="G377" s="387">
        <v>0.18696938245168926</v>
      </c>
      <c r="H377" s="387">
        <f t="shared" si="102"/>
        <v>0.18696938245168926</v>
      </c>
      <c r="I377" s="387" t="str">
        <f t="shared" si="103"/>
        <v/>
      </c>
      <c r="J377" s="387" t="str">
        <f t="shared" si="104"/>
        <v/>
      </c>
      <c r="K377" s="387" t="str">
        <f t="shared" si="105"/>
        <v/>
      </c>
      <c r="L377" s="387">
        <f t="shared" si="100"/>
        <v>1</v>
      </c>
      <c r="M377" s="388">
        <v>1</v>
      </c>
      <c r="N377" s="388"/>
      <c r="O377" s="388"/>
      <c r="P377" s="388"/>
      <c r="Q377" s="382"/>
      <c r="R377" s="385" t="str">
        <f t="shared" si="101"/>
        <v>T</v>
      </c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  <c r="AC377" s="389"/>
      <c r="AD377" s="389"/>
      <c r="AE377" s="389"/>
      <c r="AF377" s="389"/>
    </row>
    <row r="378" spans="1:32" hidden="1" outlineLevel="3">
      <c r="A378" s="382"/>
      <c r="B378" s="386" t="s">
        <v>263</v>
      </c>
      <c r="C378" s="386" t="s">
        <v>263</v>
      </c>
      <c r="D378" s="382" t="s">
        <v>18</v>
      </c>
      <c r="E378" s="386" t="s">
        <v>204</v>
      </c>
      <c r="F378" s="440" t="s">
        <v>117</v>
      </c>
      <c r="G378" s="387">
        <v>2.7188049454872507E-2</v>
      </c>
      <c r="H378" s="387">
        <f t="shared" si="102"/>
        <v>2.7188049454872507E-2</v>
      </c>
      <c r="I378" s="387" t="str">
        <f t="shared" si="103"/>
        <v/>
      </c>
      <c r="J378" s="387" t="str">
        <f t="shared" si="104"/>
        <v/>
      </c>
      <c r="K378" s="387" t="str">
        <f t="shared" si="105"/>
        <v/>
      </c>
      <c r="L378" s="387">
        <f t="shared" si="100"/>
        <v>1</v>
      </c>
      <c r="M378" s="388">
        <v>1</v>
      </c>
      <c r="N378" s="388"/>
      <c r="O378" s="388"/>
      <c r="P378" s="388"/>
      <c r="Q378" s="382"/>
      <c r="R378" s="385" t="str">
        <f t="shared" si="101"/>
        <v>T</v>
      </c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</row>
    <row r="379" spans="1:32" hidden="1" outlineLevel="3">
      <c r="A379" s="382"/>
      <c r="B379" s="386" t="s">
        <v>263</v>
      </c>
      <c r="C379" s="386" t="s">
        <v>263</v>
      </c>
      <c r="D379" s="382" t="s">
        <v>18</v>
      </c>
      <c r="E379" s="386" t="s">
        <v>204</v>
      </c>
      <c r="F379" s="440" t="s">
        <v>73</v>
      </c>
      <c r="G379" s="387">
        <v>0.11218162947101355</v>
      </c>
      <c r="H379" s="387">
        <f t="shared" si="102"/>
        <v>0.11218162947101355</v>
      </c>
      <c r="I379" s="387" t="str">
        <f t="shared" si="103"/>
        <v/>
      </c>
      <c r="J379" s="387" t="str">
        <f t="shared" si="104"/>
        <v/>
      </c>
      <c r="K379" s="387" t="str">
        <f t="shared" si="105"/>
        <v/>
      </c>
      <c r="L379" s="387">
        <f t="shared" si="100"/>
        <v>1</v>
      </c>
      <c r="M379" s="388">
        <v>1</v>
      </c>
      <c r="N379" s="388"/>
      <c r="O379" s="388"/>
      <c r="P379" s="388"/>
      <c r="Q379" s="382"/>
      <c r="R379" s="385" t="str">
        <f t="shared" si="101"/>
        <v>T</v>
      </c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</row>
    <row r="380" spans="1:32" hidden="1" outlineLevel="3">
      <c r="A380" s="382"/>
      <c r="B380" s="386" t="s">
        <v>263</v>
      </c>
      <c r="C380" s="386" t="s">
        <v>263</v>
      </c>
      <c r="D380" s="382" t="s">
        <v>18</v>
      </c>
      <c r="E380" s="386" t="s">
        <v>204</v>
      </c>
      <c r="F380" s="440" t="s">
        <v>24</v>
      </c>
      <c r="G380" s="387">
        <v>3.7393876490337853E-2</v>
      </c>
      <c r="H380" s="387">
        <f t="shared" si="102"/>
        <v>3.7393876490337853E-2</v>
      </c>
      <c r="I380" s="387" t="str">
        <f t="shared" si="103"/>
        <v/>
      </c>
      <c r="J380" s="387" t="str">
        <f t="shared" si="104"/>
        <v/>
      </c>
      <c r="K380" s="387" t="str">
        <f t="shared" si="105"/>
        <v/>
      </c>
      <c r="L380" s="387">
        <f t="shared" si="100"/>
        <v>1</v>
      </c>
      <c r="M380" s="388">
        <v>1</v>
      </c>
      <c r="N380" s="388"/>
      <c r="O380" s="388"/>
      <c r="P380" s="388"/>
      <c r="Q380" s="382"/>
      <c r="R380" s="385" t="str">
        <f t="shared" si="101"/>
        <v>T</v>
      </c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  <c r="AC380" s="389"/>
      <c r="AD380" s="389"/>
      <c r="AE380" s="389"/>
      <c r="AF380" s="389"/>
    </row>
    <row r="381" spans="1:32" hidden="1" outlineLevel="3">
      <c r="A381" s="382"/>
      <c r="B381" s="386" t="s">
        <v>263</v>
      </c>
      <c r="C381" s="386" t="s">
        <v>263</v>
      </c>
      <c r="D381" s="382" t="s">
        <v>18</v>
      </c>
      <c r="E381" s="386" t="s">
        <v>204</v>
      </c>
      <c r="F381" s="440" t="s">
        <v>74</v>
      </c>
      <c r="G381" s="387">
        <v>3.7393876490337853E-2</v>
      </c>
      <c r="H381" s="387">
        <f t="shared" si="102"/>
        <v>3.7393876490337853E-2</v>
      </c>
      <c r="I381" s="387" t="str">
        <f t="shared" si="103"/>
        <v/>
      </c>
      <c r="J381" s="387" t="str">
        <f t="shared" si="104"/>
        <v/>
      </c>
      <c r="K381" s="387" t="str">
        <f t="shared" si="105"/>
        <v/>
      </c>
      <c r="L381" s="387">
        <f t="shared" si="100"/>
        <v>1</v>
      </c>
      <c r="M381" s="388">
        <v>1</v>
      </c>
      <c r="N381" s="388"/>
      <c r="O381" s="388"/>
      <c r="P381" s="388"/>
      <c r="Q381" s="382"/>
      <c r="R381" s="385" t="str">
        <f t="shared" si="101"/>
        <v>T</v>
      </c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  <c r="AC381" s="389"/>
      <c r="AD381" s="389"/>
      <c r="AE381" s="389"/>
      <c r="AF381" s="389"/>
    </row>
    <row r="382" spans="1:32" hidden="1" outlineLevel="3">
      <c r="A382" s="382"/>
      <c r="B382" s="386" t="s">
        <v>263</v>
      </c>
      <c r="C382" s="386" t="s">
        <v>263</v>
      </c>
      <c r="D382" s="382" t="s">
        <v>18</v>
      </c>
      <c r="E382" s="386" t="s">
        <v>204</v>
      </c>
      <c r="F382" s="440" t="s">
        <v>116</v>
      </c>
      <c r="G382" s="387">
        <v>0.10875219781949003</v>
      </c>
      <c r="H382" s="387" t="str">
        <f t="shared" si="102"/>
        <v/>
      </c>
      <c r="I382" s="387">
        <f t="shared" si="103"/>
        <v>0.10875219781949003</v>
      </c>
      <c r="J382" s="387" t="str">
        <f t="shared" si="104"/>
        <v/>
      </c>
      <c r="K382" s="387" t="str">
        <f t="shared" si="105"/>
        <v/>
      </c>
      <c r="L382" s="387">
        <f t="shared" si="100"/>
        <v>1</v>
      </c>
      <c r="M382" s="388"/>
      <c r="N382" s="388">
        <v>1</v>
      </c>
      <c r="O382" s="388"/>
      <c r="P382" s="388"/>
      <c r="Q382" s="382"/>
      <c r="R382" s="385" t="str">
        <f t="shared" si="101"/>
        <v>T</v>
      </c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  <c r="AC382" s="389"/>
      <c r="AD382" s="389"/>
      <c r="AE382" s="389"/>
      <c r="AF382" s="389"/>
    </row>
    <row r="383" spans="1:32" ht="26.45" hidden="1" outlineLevel="3">
      <c r="A383" s="382"/>
      <c r="B383" s="386" t="s">
        <v>263</v>
      </c>
      <c r="C383" s="386" t="s">
        <v>263</v>
      </c>
      <c r="D383" s="382" t="s">
        <v>18</v>
      </c>
      <c r="E383" s="386" t="s">
        <v>204</v>
      </c>
      <c r="F383" s="440" t="s">
        <v>266</v>
      </c>
      <c r="G383" s="387">
        <v>2.7188049454872507E-2</v>
      </c>
      <c r="H383" s="387" t="str">
        <f t="shared" si="102"/>
        <v/>
      </c>
      <c r="I383" s="387">
        <f t="shared" si="103"/>
        <v>2.7188049454872507E-2</v>
      </c>
      <c r="J383" s="387" t="str">
        <f t="shared" si="104"/>
        <v/>
      </c>
      <c r="K383" s="387" t="str">
        <f t="shared" si="105"/>
        <v/>
      </c>
      <c r="L383" s="387">
        <f t="shared" si="100"/>
        <v>1</v>
      </c>
      <c r="M383" s="388"/>
      <c r="N383" s="388">
        <v>1</v>
      </c>
      <c r="O383" s="388"/>
      <c r="P383" s="388"/>
      <c r="Q383" s="382"/>
      <c r="R383" s="385" t="str">
        <f t="shared" si="101"/>
        <v>T</v>
      </c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  <c r="AC383" s="389"/>
      <c r="AD383" s="389"/>
      <c r="AE383" s="389"/>
      <c r="AF383" s="389"/>
    </row>
    <row r="384" spans="1:32" hidden="1" outlineLevel="3">
      <c r="A384" s="382"/>
      <c r="B384" s="386" t="s">
        <v>263</v>
      </c>
      <c r="C384" s="386" t="s">
        <v>263</v>
      </c>
      <c r="D384" s="382" t="s">
        <v>18</v>
      </c>
      <c r="E384" s="386" t="s">
        <v>204</v>
      </c>
      <c r="F384" s="440" t="s">
        <v>25</v>
      </c>
      <c r="G384" s="387">
        <v>2.7188049454872507E-2</v>
      </c>
      <c r="H384" s="387">
        <f t="shared" si="102"/>
        <v>2.7188049454872507E-2</v>
      </c>
      <c r="I384" s="387" t="str">
        <f t="shared" si="103"/>
        <v/>
      </c>
      <c r="J384" s="387" t="str">
        <f t="shared" si="104"/>
        <v/>
      </c>
      <c r="K384" s="387" t="str">
        <f t="shared" si="105"/>
        <v/>
      </c>
      <c r="L384" s="387">
        <f t="shared" si="100"/>
        <v>1</v>
      </c>
      <c r="M384" s="388">
        <v>1</v>
      </c>
      <c r="N384" s="388"/>
      <c r="O384" s="388"/>
      <c r="P384" s="388"/>
      <c r="Q384" s="382"/>
      <c r="R384" s="385" t="str">
        <f t="shared" si="101"/>
        <v>T</v>
      </c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  <c r="AC384" s="389"/>
      <c r="AD384" s="389"/>
      <c r="AE384" s="389"/>
      <c r="AF384" s="389"/>
    </row>
    <row r="385" spans="1:32" hidden="1" outlineLevel="3">
      <c r="A385" s="382"/>
      <c r="B385" s="386" t="s">
        <v>263</v>
      </c>
      <c r="C385" s="386" t="s">
        <v>263</v>
      </c>
      <c r="D385" s="382" t="s">
        <v>18</v>
      </c>
      <c r="E385" s="386" t="s">
        <v>204</v>
      </c>
      <c r="F385" s="440" t="s">
        <v>267</v>
      </c>
      <c r="G385" s="412">
        <v>8.6149088147247421E-2</v>
      </c>
      <c r="H385" s="387">
        <f t="shared" si="102"/>
        <v>8.6149088147247421E-2</v>
      </c>
      <c r="I385" s="387" t="str">
        <f t="shared" si="103"/>
        <v/>
      </c>
      <c r="J385" s="387" t="str">
        <f t="shared" si="104"/>
        <v/>
      </c>
      <c r="K385" s="387" t="str">
        <f t="shared" si="105"/>
        <v/>
      </c>
      <c r="L385" s="412">
        <f t="shared" si="100"/>
        <v>1</v>
      </c>
      <c r="M385" s="407">
        <v>1</v>
      </c>
      <c r="N385" s="388"/>
      <c r="O385" s="388"/>
      <c r="P385" s="388"/>
      <c r="Q385" s="382"/>
      <c r="R385" s="385" t="str">
        <f t="shared" si="101"/>
        <v>T</v>
      </c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  <c r="AC385" s="389"/>
      <c r="AD385" s="389"/>
      <c r="AE385" s="389"/>
      <c r="AF385" s="389"/>
    </row>
    <row r="386" spans="1:32" ht="26.45" hidden="1" outlineLevel="3">
      <c r="A386" s="382"/>
      <c r="B386" s="386" t="s">
        <v>263</v>
      </c>
      <c r="C386" s="386" t="s">
        <v>263</v>
      </c>
      <c r="D386" s="382" t="s">
        <v>18</v>
      </c>
      <c r="E386" s="386" t="s">
        <v>204</v>
      </c>
      <c r="F386" s="440" t="s">
        <v>268</v>
      </c>
      <c r="G386" s="412">
        <v>0.12534603905582523</v>
      </c>
      <c r="H386" s="387" t="str">
        <f t="shared" si="102"/>
        <v/>
      </c>
      <c r="I386" s="387">
        <f t="shared" si="103"/>
        <v>0.12534603905582523</v>
      </c>
      <c r="J386" s="387" t="str">
        <f t="shared" si="104"/>
        <v/>
      </c>
      <c r="K386" s="387" t="str">
        <f t="shared" si="105"/>
        <v/>
      </c>
      <c r="L386" s="412">
        <f t="shared" si="100"/>
        <v>1</v>
      </c>
      <c r="M386" s="407"/>
      <c r="N386" s="388">
        <v>1</v>
      </c>
      <c r="O386" s="388"/>
      <c r="P386" s="388"/>
      <c r="Q386" s="382"/>
      <c r="R386" s="385" t="str">
        <f t="shared" si="101"/>
        <v>T</v>
      </c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  <c r="AC386" s="389"/>
      <c r="AD386" s="389"/>
      <c r="AE386" s="389"/>
      <c r="AF386" s="389"/>
    </row>
    <row r="387" spans="1:32" ht="26.45" hidden="1" outlineLevel="3">
      <c r="A387" s="382"/>
      <c r="B387" s="386" t="s">
        <v>263</v>
      </c>
      <c r="C387" s="386" t="s">
        <v>263</v>
      </c>
      <c r="D387" s="382" t="s">
        <v>18</v>
      </c>
      <c r="E387" s="386" t="s">
        <v>204</v>
      </c>
      <c r="F387" s="440" t="s">
        <v>269</v>
      </c>
      <c r="G387" s="412">
        <v>0.25069207811165045</v>
      </c>
      <c r="H387" s="387" t="str">
        <f t="shared" si="102"/>
        <v/>
      </c>
      <c r="I387" s="387">
        <f t="shared" si="103"/>
        <v>0.25069207811165045</v>
      </c>
      <c r="J387" s="387" t="str">
        <f t="shared" si="104"/>
        <v/>
      </c>
      <c r="K387" s="387" t="str">
        <f t="shared" si="105"/>
        <v/>
      </c>
      <c r="L387" s="412">
        <f t="shared" si="100"/>
        <v>1</v>
      </c>
      <c r="M387" s="407"/>
      <c r="N387" s="388">
        <v>1</v>
      </c>
      <c r="O387" s="388"/>
      <c r="P387" s="388"/>
      <c r="Q387" s="382"/>
      <c r="R387" s="385" t="str">
        <f t="shared" si="101"/>
        <v>T</v>
      </c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  <c r="AC387" s="389"/>
      <c r="AD387" s="389"/>
      <c r="AE387" s="389"/>
      <c r="AF387" s="389"/>
    </row>
    <row r="388" spans="1:32" hidden="1" outlineLevel="3">
      <c r="A388" s="382"/>
      <c r="B388" s="386" t="s">
        <v>263</v>
      </c>
      <c r="C388" s="386" t="s">
        <v>263</v>
      </c>
      <c r="D388" s="382" t="s">
        <v>18</v>
      </c>
      <c r="E388" s="386" t="s">
        <v>204</v>
      </c>
      <c r="F388" s="440" t="s">
        <v>270</v>
      </c>
      <c r="G388" s="412">
        <v>0.34100444056749607</v>
      </c>
      <c r="H388" s="387" t="str">
        <f t="shared" si="102"/>
        <v/>
      </c>
      <c r="I388" s="387">
        <f t="shared" si="103"/>
        <v>0.34100444056749607</v>
      </c>
      <c r="J388" s="387" t="str">
        <f t="shared" si="104"/>
        <v/>
      </c>
      <c r="K388" s="387" t="str">
        <f t="shared" si="105"/>
        <v/>
      </c>
      <c r="L388" s="412">
        <f t="shared" si="100"/>
        <v>1</v>
      </c>
      <c r="M388" s="407"/>
      <c r="N388" s="409">
        <v>1</v>
      </c>
      <c r="O388" s="409"/>
      <c r="P388" s="409"/>
      <c r="Q388" s="382"/>
      <c r="R388" s="385" t="str">
        <f t="shared" si="101"/>
        <v>T</v>
      </c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  <c r="AC388" s="389"/>
      <c r="AD388" s="389"/>
      <c r="AE388" s="389"/>
      <c r="AF388" s="389"/>
    </row>
    <row r="389" spans="1:32" hidden="1" outlineLevel="2" collapsed="1">
      <c r="A389" s="382"/>
      <c r="B389" s="386" t="s">
        <v>263</v>
      </c>
      <c r="C389" s="386" t="s">
        <v>263</v>
      </c>
      <c r="D389" s="382" t="s">
        <v>26</v>
      </c>
      <c r="E389" s="382"/>
      <c r="F389" s="440" t="s">
        <v>87</v>
      </c>
      <c r="G389" s="387">
        <f>SUM(G390:G396)</f>
        <v>0.34916975508561954</v>
      </c>
      <c r="H389" s="387">
        <f>SUBTOTAL(9,H390:H396)</f>
        <v>0.34545700083561953</v>
      </c>
      <c r="I389" s="387">
        <f>SUBTOTAL(9,I390:I396)</f>
        <v>3.7127542500000003E-3</v>
      </c>
      <c r="J389" s="387">
        <f>SUBTOTAL(9,J390:J396)</f>
        <v>0</v>
      </c>
      <c r="K389" s="387">
        <f>SUBTOTAL(9,K390:K396)</f>
        <v>0</v>
      </c>
      <c r="L389" s="387">
        <f t="shared" si="100"/>
        <v>7</v>
      </c>
      <c r="M389" s="388">
        <f>SUBTOTAL(9,M390:M396)</f>
        <v>6</v>
      </c>
      <c r="N389" s="388">
        <f>SUBTOTAL(9,N390:N396)</f>
        <v>1</v>
      </c>
      <c r="O389" s="388">
        <f>SUBTOTAL(9,O390:O396)</f>
        <v>0</v>
      </c>
      <c r="P389" s="388">
        <f>SUBTOTAL(9,P390:P396)</f>
        <v>0</v>
      </c>
      <c r="Q389" s="382"/>
      <c r="R389" s="385" t="str">
        <f t="shared" si="101"/>
        <v>T</v>
      </c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  <c r="AC389" s="389"/>
      <c r="AD389" s="389"/>
      <c r="AE389" s="389"/>
      <c r="AF389" s="389"/>
    </row>
    <row r="390" spans="1:32" hidden="1" outlineLevel="3">
      <c r="A390" s="382"/>
      <c r="B390" s="386" t="s">
        <v>263</v>
      </c>
      <c r="C390" s="386" t="s">
        <v>263</v>
      </c>
      <c r="D390" s="382" t="s">
        <v>26</v>
      </c>
      <c r="E390" s="382" t="s">
        <v>27</v>
      </c>
      <c r="F390" s="440" t="s">
        <v>271</v>
      </c>
      <c r="G390" s="387">
        <v>0.20115878538561949</v>
      </c>
      <c r="H390" s="411">
        <f t="shared" ref="H390:K396" si="106">IF(M390=1,$G390,"")</f>
        <v>0.20115878538561949</v>
      </c>
      <c r="I390" s="411" t="str">
        <f t="shared" si="106"/>
        <v/>
      </c>
      <c r="J390" s="411" t="str">
        <f t="shared" si="106"/>
        <v/>
      </c>
      <c r="K390" s="411" t="str">
        <f t="shared" si="106"/>
        <v/>
      </c>
      <c r="L390" s="387">
        <f t="shared" si="100"/>
        <v>1</v>
      </c>
      <c r="M390" s="388">
        <v>1</v>
      </c>
      <c r="N390" s="409"/>
      <c r="O390" s="388"/>
      <c r="P390" s="388"/>
      <c r="Q390" s="382"/>
      <c r="R390" s="385" t="str">
        <f t="shared" si="101"/>
        <v>T</v>
      </c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  <c r="AC390" s="389"/>
      <c r="AD390" s="389"/>
      <c r="AE390" s="389"/>
      <c r="AF390" s="389"/>
    </row>
    <row r="391" spans="1:32" hidden="1" outlineLevel="3">
      <c r="A391" s="382"/>
      <c r="B391" s="386" t="s">
        <v>263</v>
      </c>
      <c r="C391" s="386" t="s">
        <v>263</v>
      </c>
      <c r="D391" s="382" t="s">
        <v>26</v>
      </c>
      <c r="E391" s="382" t="s">
        <v>27</v>
      </c>
      <c r="F391" s="440" t="s">
        <v>73</v>
      </c>
      <c r="G391" s="387">
        <v>5.8456730700000001E-2</v>
      </c>
      <c r="H391" s="411">
        <f t="shared" si="106"/>
        <v>5.8456730700000001E-2</v>
      </c>
      <c r="I391" s="411" t="str">
        <f t="shared" si="106"/>
        <v/>
      </c>
      <c r="J391" s="411" t="str">
        <f t="shared" si="106"/>
        <v/>
      </c>
      <c r="K391" s="411" t="str">
        <f t="shared" si="106"/>
        <v/>
      </c>
      <c r="L391" s="387">
        <f t="shared" si="100"/>
        <v>1</v>
      </c>
      <c r="M391" s="388">
        <v>1</v>
      </c>
      <c r="N391" s="409"/>
      <c r="O391" s="388"/>
      <c r="P391" s="388"/>
      <c r="Q391" s="382"/>
      <c r="R391" s="385" t="str">
        <f t="shared" si="101"/>
        <v>T</v>
      </c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  <c r="AC391" s="389"/>
      <c r="AD391" s="389"/>
      <c r="AE391" s="389"/>
      <c r="AF391" s="389"/>
    </row>
    <row r="392" spans="1:32" hidden="1" outlineLevel="3">
      <c r="A392" s="382"/>
      <c r="B392" s="386" t="s">
        <v>263</v>
      </c>
      <c r="C392" s="386" t="s">
        <v>263</v>
      </c>
      <c r="D392" s="382" t="s">
        <v>26</v>
      </c>
      <c r="E392" s="382" t="s">
        <v>27</v>
      </c>
      <c r="F392" s="440" t="s">
        <v>24</v>
      </c>
      <c r="G392" s="387">
        <v>4.8713942250000003E-2</v>
      </c>
      <c r="H392" s="411">
        <f t="shared" si="106"/>
        <v>4.8713942250000003E-2</v>
      </c>
      <c r="I392" s="411" t="str">
        <f t="shared" si="106"/>
        <v/>
      </c>
      <c r="J392" s="411" t="str">
        <f t="shared" si="106"/>
        <v/>
      </c>
      <c r="K392" s="411" t="str">
        <f t="shared" si="106"/>
        <v/>
      </c>
      <c r="L392" s="387">
        <f t="shared" si="100"/>
        <v>1</v>
      </c>
      <c r="M392" s="388">
        <v>1</v>
      </c>
      <c r="N392" s="409"/>
      <c r="O392" s="388"/>
      <c r="P392" s="388"/>
      <c r="Q392" s="382"/>
      <c r="R392" s="385" t="str">
        <f t="shared" si="101"/>
        <v>T</v>
      </c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  <c r="AC392" s="389"/>
      <c r="AD392" s="389"/>
      <c r="AE392" s="389"/>
      <c r="AF392" s="389"/>
    </row>
    <row r="393" spans="1:32" hidden="1" outlineLevel="3">
      <c r="A393" s="382"/>
      <c r="B393" s="386" t="s">
        <v>263</v>
      </c>
      <c r="C393" s="386" t="s">
        <v>263</v>
      </c>
      <c r="D393" s="382" t="s">
        <v>26</v>
      </c>
      <c r="E393" s="382" t="s">
        <v>27</v>
      </c>
      <c r="F393" s="440" t="s">
        <v>205</v>
      </c>
      <c r="G393" s="387">
        <v>2.5989279749999997E-2</v>
      </c>
      <c r="H393" s="411">
        <f t="shared" si="106"/>
        <v>2.5989279749999997E-2</v>
      </c>
      <c r="I393" s="411" t="str">
        <f t="shared" si="106"/>
        <v/>
      </c>
      <c r="J393" s="411" t="str">
        <f t="shared" si="106"/>
        <v/>
      </c>
      <c r="K393" s="411" t="str">
        <f t="shared" si="106"/>
        <v/>
      </c>
      <c r="L393" s="387">
        <f t="shared" si="100"/>
        <v>1</v>
      </c>
      <c r="M393" s="388">
        <v>1</v>
      </c>
      <c r="N393" s="409"/>
      <c r="O393" s="388"/>
      <c r="P393" s="388"/>
      <c r="Q393" s="382"/>
      <c r="R393" s="385" t="str">
        <f t="shared" si="101"/>
        <v>T</v>
      </c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  <c r="AC393" s="389"/>
      <c r="AD393" s="389"/>
      <c r="AE393" s="389"/>
      <c r="AF393" s="389"/>
    </row>
    <row r="394" spans="1:32" hidden="1" outlineLevel="3">
      <c r="A394" s="382"/>
      <c r="B394" s="386" t="s">
        <v>263</v>
      </c>
      <c r="C394" s="386" t="s">
        <v>263</v>
      </c>
      <c r="D394" s="382" t="s">
        <v>26</v>
      </c>
      <c r="E394" s="382" t="s">
        <v>27</v>
      </c>
      <c r="F394" s="440" t="s">
        <v>117</v>
      </c>
      <c r="G394" s="387">
        <v>3.7127542499999998E-3</v>
      </c>
      <c r="H394" s="411">
        <f t="shared" si="106"/>
        <v>3.7127542499999998E-3</v>
      </c>
      <c r="I394" s="411" t="str">
        <f t="shared" si="106"/>
        <v/>
      </c>
      <c r="J394" s="411" t="str">
        <f t="shared" si="106"/>
        <v/>
      </c>
      <c r="K394" s="411" t="str">
        <f t="shared" si="106"/>
        <v/>
      </c>
      <c r="L394" s="387">
        <f t="shared" si="100"/>
        <v>1</v>
      </c>
      <c r="M394" s="388">
        <v>1</v>
      </c>
      <c r="N394" s="409"/>
      <c r="O394" s="388"/>
      <c r="P394" s="388"/>
      <c r="Q394" s="382"/>
      <c r="R394" s="385" t="str">
        <f t="shared" si="101"/>
        <v>T</v>
      </c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  <c r="AC394" s="389"/>
      <c r="AD394" s="389"/>
      <c r="AE394" s="389"/>
      <c r="AF394" s="389"/>
    </row>
    <row r="395" spans="1:32" ht="26.45" hidden="1" outlineLevel="3">
      <c r="A395" s="382"/>
      <c r="B395" s="386" t="s">
        <v>263</v>
      </c>
      <c r="C395" s="386" t="s">
        <v>263</v>
      </c>
      <c r="D395" s="382" t="s">
        <v>26</v>
      </c>
      <c r="E395" s="382" t="s">
        <v>27</v>
      </c>
      <c r="F395" s="440" t="s">
        <v>272</v>
      </c>
      <c r="G395" s="387">
        <v>3.7127542500000003E-3</v>
      </c>
      <c r="H395" s="411" t="str">
        <f t="shared" si="106"/>
        <v/>
      </c>
      <c r="I395" s="411">
        <f t="shared" si="106"/>
        <v>3.7127542500000003E-3</v>
      </c>
      <c r="J395" s="411" t="str">
        <f t="shared" si="106"/>
        <v/>
      </c>
      <c r="K395" s="411" t="str">
        <f t="shared" si="106"/>
        <v/>
      </c>
      <c r="L395" s="387">
        <f t="shared" si="100"/>
        <v>1</v>
      </c>
      <c r="M395" s="388"/>
      <c r="N395" s="409">
        <v>1</v>
      </c>
      <c r="O395" s="388"/>
      <c r="P395" s="388"/>
      <c r="Q395" s="382"/>
      <c r="R395" s="385" t="str">
        <f t="shared" si="101"/>
        <v>T</v>
      </c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  <c r="AC395" s="389"/>
      <c r="AD395" s="389"/>
      <c r="AE395" s="389"/>
      <c r="AF395" s="389"/>
    </row>
    <row r="396" spans="1:32" hidden="1" outlineLevel="3">
      <c r="A396" s="382"/>
      <c r="B396" s="386" t="s">
        <v>263</v>
      </c>
      <c r="C396" s="386" t="s">
        <v>263</v>
      </c>
      <c r="D396" s="382" t="s">
        <v>26</v>
      </c>
      <c r="E396" s="382" t="s">
        <v>27</v>
      </c>
      <c r="F396" s="440" t="s">
        <v>273</v>
      </c>
      <c r="G396" s="387">
        <v>7.4255085000000005E-3</v>
      </c>
      <c r="H396" s="411">
        <f t="shared" si="106"/>
        <v>7.4255085000000005E-3</v>
      </c>
      <c r="I396" s="411" t="str">
        <f t="shared" si="106"/>
        <v/>
      </c>
      <c r="J396" s="411" t="str">
        <f t="shared" si="106"/>
        <v/>
      </c>
      <c r="K396" s="411" t="str">
        <f t="shared" si="106"/>
        <v/>
      </c>
      <c r="L396" s="387">
        <f t="shared" si="100"/>
        <v>1</v>
      </c>
      <c r="M396" s="388">
        <v>1</v>
      </c>
      <c r="N396" s="409"/>
      <c r="O396" s="388"/>
      <c r="P396" s="388"/>
      <c r="Q396" s="382"/>
      <c r="R396" s="385" t="str">
        <f t="shared" si="101"/>
        <v>T</v>
      </c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  <c r="AC396" s="389"/>
      <c r="AD396" s="389"/>
      <c r="AE396" s="389"/>
      <c r="AF396" s="389"/>
    </row>
    <row r="397" spans="1:32" hidden="1" outlineLevel="2" collapsed="1">
      <c r="A397" s="382"/>
      <c r="B397" s="386" t="s">
        <v>263</v>
      </c>
      <c r="C397" s="386" t="s">
        <v>263</v>
      </c>
      <c r="D397" s="382" t="s">
        <v>28</v>
      </c>
      <c r="E397" s="382"/>
      <c r="F397" s="440" t="s">
        <v>87</v>
      </c>
      <c r="G397" s="387">
        <f>SUM(G398:G399)</f>
        <v>2.1397857699999998E-2</v>
      </c>
      <c r="H397" s="387">
        <f>SUBTOTAL(9,H398:H399)</f>
        <v>2.1397857699999998E-2</v>
      </c>
      <c r="I397" s="387">
        <f>SUBTOTAL(9,I398:I399)</f>
        <v>0</v>
      </c>
      <c r="J397" s="387">
        <f>SUBTOTAL(9,J398:J399)</f>
        <v>0</v>
      </c>
      <c r="K397" s="387">
        <f>SUBTOTAL(9,K398:K399)</f>
        <v>0</v>
      </c>
      <c r="L397" s="387">
        <f t="shared" si="100"/>
        <v>2</v>
      </c>
      <c r="M397" s="388">
        <f>SUBTOTAL(9,M398:M399)</f>
        <v>2</v>
      </c>
      <c r="N397" s="388">
        <f>SUBTOTAL(9,N398:N399)</f>
        <v>0</v>
      </c>
      <c r="O397" s="388">
        <f>SUBTOTAL(9,O398:O399)</f>
        <v>0</v>
      </c>
      <c r="P397" s="388">
        <f>SUBTOTAL(9,P398:P399)</f>
        <v>0</v>
      </c>
      <c r="Q397" s="382"/>
      <c r="R397" s="385" t="str">
        <f t="shared" si="101"/>
        <v>T</v>
      </c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  <c r="AC397" s="389"/>
      <c r="AD397" s="389"/>
      <c r="AE397" s="389"/>
      <c r="AF397" s="389"/>
    </row>
    <row r="398" spans="1:32" hidden="1" outlineLevel="3">
      <c r="A398" s="382"/>
      <c r="B398" s="386" t="s">
        <v>263</v>
      </c>
      <c r="C398" s="386" t="s">
        <v>263</v>
      </c>
      <c r="D398" s="382" t="s">
        <v>28</v>
      </c>
      <c r="E398" s="382" t="s">
        <v>29</v>
      </c>
      <c r="F398" s="440" t="s">
        <v>274</v>
      </c>
      <c r="G398" s="406">
        <v>2.0842521999999999E-2</v>
      </c>
      <c r="H398" s="411">
        <f t="shared" ref="H398:K399" si="107">IF(M398=1,$G398,"")</f>
        <v>2.0842521999999999E-2</v>
      </c>
      <c r="I398" s="411" t="str">
        <f t="shared" si="107"/>
        <v/>
      </c>
      <c r="J398" s="411" t="str">
        <f t="shared" si="107"/>
        <v/>
      </c>
      <c r="K398" s="411" t="str">
        <f t="shared" si="107"/>
        <v/>
      </c>
      <c r="L398" s="406">
        <f t="shared" si="100"/>
        <v>1</v>
      </c>
      <c r="M398" s="388">
        <v>1</v>
      </c>
      <c r="N398" s="388"/>
      <c r="O398" s="388"/>
      <c r="P398" s="388"/>
      <c r="Q398" s="382"/>
      <c r="R398" s="385" t="str">
        <f t="shared" si="101"/>
        <v>T</v>
      </c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  <c r="AC398" s="389"/>
      <c r="AD398" s="389"/>
      <c r="AE398" s="389"/>
      <c r="AF398" s="389"/>
    </row>
    <row r="399" spans="1:32" hidden="1" outlineLevel="3">
      <c r="A399" s="382"/>
      <c r="B399" s="386" t="s">
        <v>263</v>
      </c>
      <c r="C399" s="386" t="s">
        <v>263</v>
      </c>
      <c r="D399" s="382" t="s">
        <v>28</v>
      </c>
      <c r="E399" s="382" t="s">
        <v>29</v>
      </c>
      <c r="F399" s="440" t="s">
        <v>275</v>
      </c>
      <c r="G399" s="406">
        <v>5.5533570000000003E-4</v>
      </c>
      <c r="H399" s="411">
        <f t="shared" si="107"/>
        <v>5.5533570000000003E-4</v>
      </c>
      <c r="I399" s="411" t="str">
        <f t="shared" si="107"/>
        <v/>
      </c>
      <c r="J399" s="411" t="str">
        <f t="shared" si="107"/>
        <v/>
      </c>
      <c r="K399" s="411" t="str">
        <f t="shared" si="107"/>
        <v/>
      </c>
      <c r="L399" s="406">
        <f t="shared" si="100"/>
        <v>1</v>
      </c>
      <c r="M399" s="388">
        <v>1</v>
      </c>
      <c r="N399" s="388"/>
      <c r="O399" s="388"/>
      <c r="P399" s="388"/>
      <c r="Q399" s="382"/>
      <c r="R399" s="385" t="str">
        <f t="shared" si="101"/>
        <v>T</v>
      </c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</row>
    <row r="400" spans="1:32" hidden="1" outlineLevel="2" collapsed="1">
      <c r="A400" s="382"/>
      <c r="B400" s="386" t="s">
        <v>263</v>
      </c>
      <c r="C400" s="386" t="s">
        <v>263</v>
      </c>
      <c r="D400" s="382" t="s">
        <v>64</v>
      </c>
      <c r="E400" s="382"/>
      <c r="F400" s="440" t="s">
        <v>87</v>
      </c>
      <c r="G400" s="387">
        <f>G401</f>
        <v>4.3080861250000005E-2</v>
      </c>
      <c r="H400" s="387">
        <f>SUBTOTAL(9,H401)</f>
        <v>0</v>
      </c>
      <c r="I400" s="387">
        <f>SUBTOTAL(9,I401)</f>
        <v>4.3080861250000005E-2</v>
      </c>
      <c r="J400" s="387">
        <f>SUBTOTAL(9,J401)</f>
        <v>0</v>
      </c>
      <c r="K400" s="387">
        <f>SUBTOTAL(9,K401)</f>
        <v>0</v>
      </c>
      <c r="L400" s="387">
        <f t="shared" si="100"/>
        <v>1</v>
      </c>
      <c r="M400" s="388">
        <f>SUBTOTAL(9,M401)</f>
        <v>0</v>
      </c>
      <c r="N400" s="388">
        <f>SUBTOTAL(9,N401)</f>
        <v>1</v>
      </c>
      <c r="O400" s="388">
        <f>SUBTOTAL(9,O401)</f>
        <v>0</v>
      </c>
      <c r="P400" s="388">
        <f>SUBTOTAL(9,P401)</f>
        <v>0</v>
      </c>
      <c r="Q400" s="382"/>
      <c r="R400" s="385" t="str">
        <f t="shared" si="101"/>
        <v>T</v>
      </c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  <c r="AC400" s="389"/>
      <c r="AD400" s="389"/>
      <c r="AE400" s="389"/>
      <c r="AF400" s="389"/>
    </row>
    <row r="401" spans="1:32" ht="26.45" hidden="1" outlineLevel="3">
      <c r="A401" s="382"/>
      <c r="B401" s="386" t="s">
        <v>263</v>
      </c>
      <c r="C401" s="386" t="s">
        <v>263</v>
      </c>
      <c r="D401" s="382" t="s">
        <v>64</v>
      </c>
      <c r="E401" s="382" t="s">
        <v>29</v>
      </c>
      <c r="F401" s="440" t="s">
        <v>272</v>
      </c>
      <c r="G401" s="412">
        <v>4.3080861250000005E-2</v>
      </c>
      <c r="H401" s="411" t="str">
        <f>IF(M401=1,$G401,"")</f>
        <v/>
      </c>
      <c r="I401" s="411">
        <f>IF(N401=1,$G401,"")</f>
        <v>4.3080861250000005E-2</v>
      </c>
      <c r="J401" s="411" t="str">
        <f>IF(O401=1,$G401,"")</f>
        <v/>
      </c>
      <c r="K401" s="411" t="str">
        <f>IF(P401=1,$G401,"")</f>
        <v/>
      </c>
      <c r="L401" s="412">
        <f t="shared" si="100"/>
        <v>1</v>
      </c>
      <c r="M401" s="388"/>
      <c r="N401" s="388">
        <v>1</v>
      </c>
      <c r="O401" s="388"/>
      <c r="P401" s="388"/>
      <c r="Q401" s="382"/>
      <c r="R401" s="385" t="str">
        <f t="shared" si="101"/>
        <v>T</v>
      </c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  <c r="AC401" s="389"/>
      <c r="AD401" s="389"/>
      <c r="AE401" s="389"/>
      <c r="AF401" s="389"/>
    </row>
    <row r="402" spans="1:32" outlineLevel="1" collapsed="1">
      <c r="A402" s="382"/>
      <c r="B402" s="390" t="s">
        <v>276</v>
      </c>
      <c r="C402" s="395" t="s">
        <v>276</v>
      </c>
      <c r="D402" s="395"/>
      <c r="E402" s="390"/>
      <c r="F402" s="442" t="s">
        <v>277</v>
      </c>
      <c r="G402" s="424">
        <f>SUM(G403,G412,G418,G426)</f>
        <v>2.0180403454400002</v>
      </c>
      <c r="H402" s="424">
        <f>H403+H412+H418+H426</f>
        <v>0.38041780000000003</v>
      </c>
      <c r="I402" s="424">
        <f>I403+I412+I418+I426</f>
        <v>0.52741123792</v>
      </c>
      <c r="J402" s="424">
        <f>J403+J412+J418+J426</f>
        <v>0.8883964768</v>
      </c>
      <c r="K402" s="424">
        <f>K403+K412+K418+K426</f>
        <v>0.22181483071999999</v>
      </c>
      <c r="L402" s="424">
        <f t="shared" si="100"/>
        <v>25</v>
      </c>
      <c r="M402" s="408">
        <f>M403+M412+M418+M426</f>
        <v>2</v>
      </c>
      <c r="N402" s="408">
        <f>N403+N412+N418+N426</f>
        <v>10</v>
      </c>
      <c r="O402" s="408">
        <f>O403+O412+O418+O426</f>
        <v>11</v>
      </c>
      <c r="P402" s="408">
        <f>P403+P412+P418+P426</f>
        <v>2</v>
      </c>
      <c r="Q402" s="382"/>
      <c r="R402" s="385" t="str">
        <f t="shared" si="101"/>
        <v>T</v>
      </c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  <c r="AC402" s="389"/>
      <c r="AD402" s="389"/>
      <c r="AE402" s="389"/>
      <c r="AF402" s="389"/>
    </row>
    <row r="403" spans="1:32" hidden="1" outlineLevel="2" collapsed="1">
      <c r="A403" s="382"/>
      <c r="B403" s="382" t="s">
        <v>276</v>
      </c>
      <c r="C403" s="382" t="s">
        <v>276</v>
      </c>
      <c r="D403" s="382" t="s">
        <v>18</v>
      </c>
      <c r="E403" s="386"/>
      <c r="F403" s="440" t="s">
        <v>87</v>
      </c>
      <c r="G403" s="411">
        <f>SUM(G404:G411)</f>
        <v>1.4455876400000001</v>
      </c>
      <c r="H403" s="411">
        <f>SUM(H404:H411)</f>
        <v>0.38041780000000003</v>
      </c>
      <c r="I403" s="411">
        <f>SUM(I404:I411)</f>
        <v>0.30433424000000003</v>
      </c>
      <c r="J403" s="411">
        <f>SUM(J404:J411)</f>
        <v>0.56917532000000004</v>
      </c>
      <c r="K403" s="411">
        <f>SUM(K404:K411)</f>
        <v>0.19166027999999999</v>
      </c>
      <c r="L403" s="411">
        <f t="shared" si="100"/>
        <v>8</v>
      </c>
      <c r="M403" s="409">
        <f>SUM(M404:M411)</f>
        <v>2</v>
      </c>
      <c r="N403" s="409">
        <f>SUM(N404:N411)</f>
        <v>2</v>
      </c>
      <c r="O403" s="409">
        <f>SUM(O404:O411)</f>
        <v>3</v>
      </c>
      <c r="P403" s="409">
        <f>SUM(P404:P411)</f>
        <v>1</v>
      </c>
      <c r="Q403" s="382"/>
      <c r="R403" s="385" t="str">
        <f t="shared" si="101"/>
        <v>T</v>
      </c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  <c r="AC403" s="389"/>
      <c r="AD403" s="389"/>
      <c r="AE403" s="389"/>
      <c r="AF403" s="389"/>
    </row>
    <row r="404" spans="1:32" hidden="1" outlineLevel="3">
      <c r="A404" s="382"/>
      <c r="B404" s="382" t="s">
        <v>276</v>
      </c>
      <c r="C404" s="382" t="s">
        <v>276</v>
      </c>
      <c r="D404" s="382" t="s">
        <v>18</v>
      </c>
      <c r="E404" s="386" t="s">
        <v>204</v>
      </c>
      <c r="F404" s="440" t="s">
        <v>278</v>
      </c>
      <c r="G404" s="411">
        <v>0.15216712000000002</v>
      </c>
      <c r="H404" s="411">
        <f t="shared" ref="H404:K411" si="108">IF(M404=1,$G404,"")</f>
        <v>0.15216712000000002</v>
      </c>
      <c r="I404" s="411" t="str">
        <f t="shared" si="108"/>
        <v/>
      </c>
      <c r="J404" s="411" t="str">
        <f t="shared" si="108"/>
        <v/>
      </c>
      <c r="K404" s="411" t="str">
        <f t="shared" si="108"/>
        <v/>
      </c>
      <c r="L404" s="411">
        <f t="shared" si="100"/>
        <v>1</v>
      </c>
      <c r="M404" s="409">
        <v>1</v>
      </c>
      <c r="N404" s="409"/>
      <c r="O404" s="409"/>
      <c r="P404" s="409"/>
      <c r="Q404" s="382"/>
      <c r="R404" s="385" t="str">
        <f t="shared" si="101"/>
        <v>T</v>
      </c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  <c r="AC404" s="389"/>
      <c r="AD404" s="389"/>
      <c r="AE404" s="389"/>
      <c r="AF404" s="389"/>
    </row>
    <row r="405" spans="1:32" hidden="1" outlineLevel="3">
      <c r="A405" s="382"/>
      <c r="B405" s="382" t="s">
        <v>276</v>
      </c>
      <c r="C405" s="382" t="s">
        <v>276</v>
      </c>
      <c r="D405" s="382" t="s">
        <v>18</v>
      </c>
      <c r="E405" s="386" t="s">
        <v>204</v>
      </c>
      <c r="F405" s="440" t="s">
        <v>279</v>
      </c>
      <c r="G405" s="411">
        <v>0.22825067999999998</v>
      </c>
      <c r="H405" s="411">
        <f t="shared" si="108"/>
        <v>0.22825067999999998</v>
      </c>
      <c r="I405" s="411" t="str">
        <f t="shared" si="108"/>
        <v/>
      </c>
      <c r="J405" s="411" t="str">
        <f t="shared" si="108"/>
        <v/>
      </c>
      <c r="K405" s="411" t="str">
        <f t="shared" si="108"/>
        <v/>
      </c>
      <c r="L405" s="411">
        <f t="shared" ref="L405:L436" si="109">SUM(M405:P405)</f>
        <v>1</v>
      </c>
      <c r="M405" s="409">
        <v>1</v>
      </c>
      <c r="N405" s="409"/>
      <c r="O405" s="409"/>
      <c r="P405" s="409"/>
      <c r="Q405" s="382"/>
      <c r="R405" s="385" t="str">
        <f t="shared" ref="R405:R436" si="110">IF(SUM(M405:P405)=L405,"T","F")</f>
        <v>T</v>
      </c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  <c r="AC405" s="389"/>
      <c r="AD405" s="389"/>
      <c r="AE405" s="389"/>
      <c r="AF405" s="389"/>
    </row>
    <row r="406" spans="1:32" hidden="1" outlineLevel="3">
      <c r="A406" s="382"/>
      <c r="B406" s="382" t="s">
        <v>276</v>
      </c>
      <c r="C406" s="382" t="s">
        <v>276</v>
      </c>
      <c r="D406" s="382" t="s">
        <v>18</v>
      </c>
      <c r="E406" s="386" t="s">
        <v>204</v>
      </c>
      <c r="F406" s="440" t="s">
        <v>33</v>
      </c>
      <c r="G406" s="411">
        <v>0.15216712000000002</v>
      </c>
      <c r="H406" s="411" t="str">
        <f t="shared" si="108"/>
        <v/>
      </c>
      <c r="I406" s="411">
        <f t="shared" si="108"/>
        <v>0.15216712000000002</v>
      </c>
      <c r="J406" s="411" t="str">
        <f t="shared" si="108"/>
        <v/>
      </c>
      <c r="K406" s="411" t="str">
        <f t="shared" si="108"/>
        <v/>
      </c>
      <c r="L406" s="411">
        <f t="shared" si="109"/>
        <v>1</v>
      </c>
      <c r="M406" s="409"/>
      <c r="N406" s="409">
        <v>1</v>
      </c>
      <c r="O406" s="409"/>
      <c r="P406" s="409"/>
      <c r="Q406" s="382"/>
      <c r="R406" s="385" t="str">
        <f t="shared" si="110"/>
        <v>T</v>
      </c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  <c r="AC406" s="389"/>
      <c r="AD406" s="389"/>
      <c r="AE406" s="389"/>
      <c r="AF406" s="389"/>
    </row>
    <row r="407" spans="1:32" hidden="1" outlineLevel="3">
      <c r="A407" s="382"/>
      <c r="B407" s="382" t="s">
        <v>276</v>
      </c>
      <c r="C407" s="382" t="s">
        <v>276</v>
      </c>
      <c r="D407" s="382" t="s">
        <v>18</v>
      </c>
      <c r="E407" s="386" t="s">
        <v>204</v>
      </c>
      <c r="F407" s="440" t="s">
        <v>280</v>
      </c>
      <c r="G407" s="411">
        <v>0.15216712000000002</v>
      </c>
      <c r="H407" s="411" t="str">
        <f t="shared" si="108"/>
        <v/>
      </c>
      <c r="I407" s="411">
        <f t="shared" si="108"/>
        <v>0.15216712000000002</v>
      </c>
      <c r="J407" s="411" t="str">
        <f t="shared" si="108"/>
        <v/>
      </c>
      <c r="K407" s="411" t="str">
        <f t="shared" si="108"/>
        <v/>
      </c>
      <c r="L407" s="411">
        <f t="shared" si="109"/>
        <v>1</v>
      </c>
      <c r="M407" s="409"/>
      <c r="N407" s="409">
        <v>1</v>
      </c>
      <c r="O407" s="409"/>
      <c r="P407" s="409"/>
      <c r="Q407" s="382"/>
      <c r="R407" s="385" t="str">
        <f t="shared" si="110"/>
        <v>T</v>
      </c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  <c r="AC407" s="389"/>
      <c r="AD407" s="389"/>
      <c r="AE407" s="389"/>
      <c r="AF407" s="389"/>
    </row>
    <row r="408" spans="1:32" hidden="1" outlineLevel="3">
      <c r="A408" s="382"/>
      <c r="B408" s="382" t="s">
        <v>276</v>
      </c>
      <c r="C408" s="382" t="s">
        <v>276</v>
      </c>
      <c r="D408" s="382" t="s">
        <v>18</v>
      </c>
      <c r="E408" s="386" t="s">
        <v>204</v>
      </c>
      <c r="F408" s="440" t="s">
        <v>281</v>
      </c>
      <c r="G408" s="411">
        <v>0.25554704000000006</v>
      </c>
      <c r="H408" s="411" t="str">
        <f t="shared" si="108"/>
        <v/>
      </c>
      <c r="I408" s="411" t="str">
        <f t="shared" si="108"/>
        <v/>
      </c>
      <c r="J408" s="411">
        <f t="shared" si="108"/>
        <v>0.25554704000000006</v>
      </c>
      <c r="K408" s="411" t="str">
        <f t="shared" si="108"/>
        <v/>
      </c>
      <c r="L408" s="411">
        <f t="shared" si="109"/>
        <v>1</v>
      </c>
      <c r="M408" s="409"/>
      <c r="N408" s="409"/>
      <c r="O408" s="409">
        <v>1</v>
      </c>
      <c r="P408" s="409"/>
      <c r="Q408" s="382"/>
      <c r="R408" s="385" t="str">
        <f t="shared" si="110"/>
        <v>T</v>
      </c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  <c r="AC408" s="389"/>
      <c r="AD408" s="389"/>
      <c r="AE408" s="389"/>
      <c r="AF408" s="389"/>
    </row>
    <row r="409" spans="1:32" hidden="1" outlineLevel="3">
      <c r="A409" s="382"/>
      <c r="B409" s="382" t="s">
        <v>276</v>
      </c>
      <c r="C409" s="382" t="s">
        <v>276</v>
      </c>
      <c r="D409" s="382" t="s">
        <v>18</v>
      </c>
      <c r="E409" s="386" t="s">
        <v>204</v>
      </c>
      <c r="F409" s="440" t="s">
        <v>282</v>
      </c>
      <c r="G409" s="411">
        <v>0.19166027999999999</v>
      </c>
      <c r="H409" s="411" t="str">
        <f t="shared" si="108"/>
        <v/>
      </c>
      <c r="I409" s="411" t="str">
        <f t="shared" si="108"/>
        <v/>
      </c>
      <c r="J409" s="411">
        <f t="shared" si="108"/>
        <v>0.19166027999999999</v>
      </c>
      <c r="K409" s="411" t="str">
        <f t="shared" si="108"/>
        <v/>
      </c>
      <c r="L409" s="411">
        <f t="shared" si="109"/>
        <v>1</v>
      </c>
      <c r="M409" s="409"/>
      <c r="N409" s="409"/>
      <c r="O409" s="409">
        <v>1</v>
      </c>
      <c r="P409" s="409"/>
      <c r="Q409" s="382"/>
      <c r="R409" s="385" t="str">
        <f t="shared" si="110"/>
        <v>T</v>
      </c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  <c r="AC409" s="389"/>
      <c r="AD409" s="389"/>
      <c r="AE409" s="389"/>
      <c r="AF409" s="389"/>
    </row>
    <row r="410" spans="1:32" hidden="1" outlineLevel="3">
      <c r="A410" s="382"/>
      <c r="B410" s="382" t="s">
        <v>276</v>
      </c>
      <c r="C410" s="382" t="s">
        <v>276</v>
      </c>
      <c r="D410" s="382" t="s">
        <v>18</v>
      </c>
      <c r="E410" s="386" t="s">
        <v>204</v>
      </c>
      <c r="F410" s="440" t="s">
        <v>283</v>
      </c>
      <c r="G410" s="411">
        <v>0.12196799999999999</v>
      </c>
      <c r="H410" s="411" t="str">
        <f t="shared" si="108"/>
        <v/>
      </c>
      <c r="I410" s="411" t="str">
        <f t="shared" si="108"/>
        <v/>
      </c>
      <c r="J410" s="411">
        <f t="shared" si="108"/>
        <v>0.12196799999999999</v>
      </c>
      <c r="K410" s="411" t="str">
        <f t="shared" si="108"/>
        <v/>
      </c>
      <c r="L410" s="411">
        <f t="shared" si="109"/>
        <v>1</v>
      </c>
      <c r="M410" s="409"/>
      <c r="N410" s="409"/>
      <c r="O410" s="409">
        <v>1</v>
      </c>
      <c r="P410" s="409"/>
      <c r="Q410" s="382"/>
      <c r="R410" s="385" t="str">
        <f t="shared" si="110"/>
        <v>T</v>
      </c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  <c r="AC410" s="389"/>
      <c r="AD410" s="389"/>
      <c r="AE410" s="389"/>
      <c r="AF410" s="389"/>
    </row>
    <row r="411" spans="1:32" hidden="1" outlineLevel="3">
      <c r="A411" s="382"/>
      <c r="B411" s="382" t="s">
        <v>276</v>
      </c>
      <c r="C411" s="382" t="s">
        <v>276</v>
      </c>
      <c r="D411" s="382" t="s">
        <v>18</v>
      </c>
      <c r="E411" s="386" t="s">
        <v>204</v>
      </c>
      <c r="F411" s="440" t="s">
        <v>284</v>
      </c>
      <c r="G411" s="411">
        <v>0.19166027999999999</v>
      </c>
      <c r="H411" s="411" t="str">
        <f t="shared" si="108"/>
        <v/>
      </c>
      <c r="I411" s="411" t="str">
        <f t="shared" si="108"/>
        <v/>
      </c>
      <c r="J411" s="411" t="str">
        <f t="shared" si="108"/>
        <v/>
      </c>
      <c r="K411" s="411">
        <f t="shared" si="108"/>
        <v>0.19166027999999999</v>
      </c>
      <c r="L411" s="411">
        <f t="shared" si="109"/>
        <v>1</v>
      </c>
      <c r="M411" s="409"/>
      <c r="N411" s="409"/>
      <c r="O411" s="409"/>
      <c r="P411" s="409">
        <v>1</v>
      </c>
      <c r="Q411" s="382"/>
      <c r="R411" s="385" t="str">
        <f t="shared" si="110"/>
        <v>T</v>
      </c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89"/>
      <c r="AF411" s="389"/>
    </row>
    <row r="412" spans="1:32" hidden="1" outlineLevel="2" collapsed="1">
      <c r="A412" s="382"/>
      <c r="B412" s="382" t="s">
        <v>276</v>
      </c>
      <c r="C412" s="382" t="s">
        <v>276</v>
      </c>
      <c r="D412" s="382" t="s">
        <v>26</v>
      </c>
      <c r="E412" s="382"/>
      <c r="F412" s="440" t="s">
        <v>87</v>
      </c>
      <c r="G412" s="411">
        <f>SUM(G413:G417)</f>
        <v>0.30646457968000002</v>
      </c>
      <c r="H412" s="411">
        <f>SUM(H413:H417)</f>
        <v>0</v>
      </c>
      <c r="I412" s="411">
        <f>SUM(I413:I417)</f>
        <v>0.12903771776</v>
      </c>
      <c r="J412" s="411">
        <f>SUM(J413:J417)</f>
        <v>0.17742686191999998</v>
      </c>
      <c r="K412" s="411">
        <f>SUM(K413:K417)</f>
        <v>0</v>
      </c>
      <c r="L412" s="411">
        <f t="shared" si="109"/>
        <v>5</v>
      </c>
      <c r="M412" s="409">
        <f>SUM(M413:M417)</f>
        <v>0</v>
      </c>
      <c r="N412" s="409">
        <f>SUM(N413:N417)</f>
        <v>2</v>
      </c>
      <c r="O412" s="409">
        <f>SUM(O413:O417)</f>
        <v>3</v>
      </c>
      <c r="P412" s="409">
        <f>SUM(P413:P417)</f>
        <v>0</v>
      </c>
      <c r="Q412" s="382"/>
      <c r="R412" s="385" t="str">
        <f t="shared" si="110"/>
        <v>T</v>
      </c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89"/>
      <c r="AF412" s="389"/>
    </row>
    <row r="413" spans="1:32" hidden="1" outlineLevel="3">
      <c r="A413" s="382"/>
      <c r="B413" s="382" t="s">
        <v>276</v>
      </c>
      <c r="C413" s="382" t="s">
        <v>276</v>
      </c>
      <c r="D413" s="382" t="s">
        <v>26</v>
      </c>
      <c r="E413" s="382" t="s">
        <v>27</v>
      </c>
      <c r="F413" s="440" t="s">
        <v>279</v>
      </c>
      <c r="G413" s="411">
        <v>6.4518858880000002E-2</v>
      </c>
      <c r="H413" s="411" t="str">
        <f t="shared" ref="H413:K417" si="111">IF(M413=1,$G413,"")</f>
        <v/>
      </c>
      <c r="I413" s="411">
        <f t="shared" si="111"/>
        <v>6.4518858880000002E-2</v>
      </c>
      <c r="J413" s="411" t="str">
        <f t="shared" si="111"/>
        <v/>
      </c>
      <c r="K413" s="411" t="str">
        <f t="shared" si="111"/>
        <v/>
      </c>
      <c r="L413" s="411">
        <f t="shared" si="109"/>
        <v>1</v>
      </c>
      <c r="M413" s="409"/>
      <c r="N413" s="409">
        <v>1</v>
      </c>
      <c r="O413" s="409"/>
      <c r="P413" s="409"/>
      <c r="Q413" s="382"/>
      <c r="R413" s="385" t="str">
        <f t="shared" si="110"/>
        <v>T</v>
      </c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  <c r="AC413" s="389"/>
      <c r="AD413" s="389"/>
      <c r="AE413" s="389"/>
      <c r="AF413" s="389"/>
    </row>
    <row r="414" spans="1:32" hidden="1" outlineLevel="3">
      <c r="A414" s="382"/>
      <c r="B414" s="382" t="s">
        <v>276</v>
      </c>
      <c r="C414" s="382" t="s">
        <v>276</v>
      </c>
      <c r="D414" s="382" t="s">
        <v>26</v>
      </c>
      <c r="E414" s="382" t="s">
        <v>27</v>
      </c>
      <c r="F414" s="440" t="s">
        <v>280</v>
      </c>
      <c r="G414" s="411">
        <v>6.4518858880000002E-2</v>
      </c>
      <c r="H414" s="411" t="str">
        <f t="shared" si="111"/>
        <v/>
      </c>
      <c r="I414" s="411">
        <f t="shared" si="111"/>
        <v>6.4518858880000002E-2</v>
      </c>
      <c r="J414" s="411" t="str">
        <f t="shared" si="111"/>
        <v/>
      </c>
      <c r="K414" s="411" t="str">
        <f t="shared" si="111"/>
        <v/>
      </c>
      <c r="L414" s="411">
        <f t="shared" si="109"/>
        <v>1</v>
      </c>
      <c r="M414" s="409"/>
      <c r="N414" s="409">
        <v>1</v>
      </c>
      <c r="O414" s="409"/>
      <c r="P414" s="409"/>
      <c r="Q414" s="382"/>
      <c r="R414" s="385" t="str">
        <f t="shared" si="110"/>
        <v>T</v>
      </c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  <c r="AC414" s="389"/>
      <c r="AD414" s="389"/>
      <c r="AE414" s="389"/>
      <c r="AF414" s="389"/>
    </row>
    <row r="415" spans="1:32" hidden="1" outlineLevel="3">
      <c r="A415" s="382"/>
      <c r="B415" s="382" t="s">
        <v>276</v>
      </c>
      <c r="C415" s="382" t="s">
        <v>276</v>
      </c>
      <c r="D415" s="382" t="s">
        <v>26</v>
      </c>
      <c r="E415" s="382" t="s">
        <v>27</v>
      </c>
      <c r="F415" s="440" t="s">
        <v>281</v>
      </c>
      <c r="G415" s="411">
        <v>0.1354399312</v>
      </c>
      <c r="H415" s="411" t="str">
        <f t="shared" si="111"/>
        <v/>
      </c>
      <c r="I415" s="411" t="str">
        <f t="shared" si="111"/>
        <v/>
      </c>
      <c r="J415" s="411">
        <f t="shared" si="111"/>
        <v>0.1354399312</v>
      </c>
      <c r="K415" s="411" t="str">
        <f t="shared" si="111"/>
        <v/>
      </c>
      <c r="L415" s="411">
        <f t="shared" si="109"/>
        <v>1</v>
      </c>
      <c r="M415" s="409"/>
      <c r="N415" s="409"/>
      <c r="O415" s="409">
        <v>1</v>
      </c>
      <c r="P415" s="409"/>
      <c r="Q415" s="382"/>
      <c r="R415" s="385" t="str">
        <f t="shared" si="110"/>
        <v>T</v>
      </c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  <c r="AC415" s="389"/>
      <c r="AD415" s="389"/>
      <c r="AE415" s="389"/>
      <c r="AF415" s="389"/>
    </row>
    <row r="416" spans="1:32" hidden="1" outlineLevel="3">
      <c r="A416" s="382"/>
      <c r="B416" s="382" t="s">
        <v>276</v>
      </c>
      <c r="C416" s="382" t="s">
        <v>276</v>
      </c>
      <c r="D416" s="382" t="s">
        <v>26</v>
      </c>
      <c r="E416" s="382" t="s">
        <v>27</v>
      </c>
      <c r="F416" s="440" t="s">
        <v>282</v>
      </c>
      <c r="G416" s="411">
        <v>1.3543993119999998E-2</v>
      </c>
      <c r="H416" s="411" t="str">
        <f t="shared" si="111"/>
        <v/>
      </c>
      <c r="I416" s="411" t="str">
        <f t="shared" si="111"/>
        <v/>
      </c>
      <c r="J416" s="411">
        <f t="shared" si="111"/>
        <v>1.3543993119999998E-2</v>
      </c>
      <c r="K416" s="411" t="str">
        <f t="shared" si="111"/>
        <v/>
      </c>
      <c r="L416" s="411">
        <f t="shared" si="109"/>
        <v>1</v>
      </c>
      <c r="M416" s="409"/>
      <c r="N416" s="409"/>
      <c r="O416" s="409">
        <v>1</v>
      </c>
      <c r="P416" s="409"/>
      <c r="Q416" s="382"/>
      <c r="R416" s="385" t="str">
        <f t="shared" si="110"/>
        <v>T</v>
      </c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  <c r="AC416" s="389"/>
      <c r="AD416" s="389"/>
      <c r="AE416" s="389"/>
      <c r="AF416" s="389"/>
    </row>
    <row r="417" spans="1:32" hidden="1" outlineLevel="3">
      <c r="A417" s="382"/>
      <c r="B417" s="382" t="s">
        <v>276</v>
      </c>
      <c r="C417" s="382" t="s">
        <v>276</v>
      </c>
      <c r="D417" s="382" t="s">
        <v>26</v>
      </c>
      <c r="E417" s="382" t="s">
        <v>27</v>
      </c>
      <c r="F417" s="440" t="s">
        <v>283</v>
      </c>
      <c r="G417" s="411">
        <v>2.8442937600000006E-2</v>
      </c>
      <c r="H417" s="411" t="str">
        <f t="shared" si="111"/>
        <v/>
      </c>
      <c r="I417" s="411" t="str">
        <f t="shared" si="111"/>
        <v/>
      </c>
      <c r="J417" s="411">
        <f t="shared" si="111"/>
        <v>2.8442937600000006E-2</v>
      </c>
      <c r="K417" s="411" t="str">
        <f t="shared" si="111"/>
        <v/>
      </c>
      <c r="L417" s="411">
        <f t="shared" si="109"/>
        <v>1</v>
      </c>
      <c r="M417" s="409"/>
      <c r="N417" s="409"/>
      <c r="O417" s="409">
        <v>1</v>
      </c>
      <c r="P417" s="409"/>
      <c r="Q417" s="382"/>
      <c r="R417" s="385" t="str">
        <f t="shared" si="110"/>
        <v>T</v>
      </c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  <c r="AC417" s="389"/>
      <c r="AD417" s="389"/>
      <c r="AE417" s="389"/>
      <c r="AF417" s="389"/>
    </row>
    <row r="418" spans="1:32" hidden="1" outlineLevel="2" collapsed="1">
      <c r="A418" s="382"/>
      <c r="B418" s="382" t="s">
        <v>276</v>
      </c>
      <c r="C418" s="382" t="s">
        <v>276</v>
      </c>
      <c r="D418" s="382" t="s">
        <v>28</v>
      </c>
      <c r="E418" s="382"/>
      <c r="F418" s="440" t="s">
        <v>87</v>
      </c>
      <c r="G418" s="411">
        <f>SUM(G419:G425)</f>
        <v>0.17057934152000001</v>
      </c>
      <c r="H418" s="411">
        <f>SUM(H419:H425)</f>
        <v>0</v>
      </c>
      <c r="I418" s="411">
        <f>SUM(I419:I425)</f>
        <v>5.3867160480000009E-2</v>
      </c>
      <c r="J418" s="411">
        <f>SUM(J419:J425)</f>
        <v>8.6557630319999995E-2</v>
      </c>
      <c r="K418" s="411">
        <f>SUM(K419:K425)</f>
        <v>3.0154550720000006E-2</v>
      </c>
      <c r="L418" s="411">
        <f t="shared" si="109"/>
        <v>7</v>
      </c>
      <c r="M418" s="409">
        <f>SUM(M419:M425)</f>
        <v>0</v>
      </c>
      <c r="N418" s="409">
        <f>SUM(N419:N425)</f>
        <v>3</v>
      </c>
      <c r="O418" s="409">
        <f>SUM(O419:O425)</f>
        <v>3</v>
      </c>
      <c r="P418" s="409">
        <f>SUM(P419:P425)</f>
        <v>1</v>
      </c>
      <c r="Q418" s="382"/>
      <c r="R418" s="385" t="str">
        <f t="shared" si="110"/>
        <v>T</v>
      </c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  <c r="AC418" s="389"/>
      <c r="AD418" s="389"/>
      <c r="AE418" s="389"/>
      <c r="AF418" s="389"/>
    </row>
    <row r="419" spans="1:32" hidden="1" outlineLevel="3">
      <c r="A419" s="382"/>
      <c r="B419" s="382" t="s">
        <v>276</v>
      </c>
      <c r="C419" s="382" t="s">
        <v>276</v>
      </c>
      <c r="D419" s="382" t="s">
        <v>28</v>
      </c>
      <c r="E419" s="382" t="s">
        <v>29</v>
      </c>
      <c r="F419" s="440" t="s">
        <v>279</v>
      </c>
      <c r="G419" s="411">
        <v>1.7955720160000004E-2</v>
      </c>
      <c r="H419" s="411" t="str">
        <f t="shared" ref="H419:K425" si="112">IF(M419=1,$G419,"")</f>
        <v/>
      </c>
      <c r="I419" s="411">
        <f t="shared" si="112"/>
        <v>1.7955720160000004E-2</v>
      </c>
      <c r="J419" s="411" t="str">
        <f t="shared" si="112"/>
        <v/>
      </c>
      <c r="K419" s="411" t="str">
        <f t="shared" si="112"/>
        <v/>
      </c>
      <c r="L419" s="411">
        <f t="shared" si="109"/>
        <v>1</v>
      </c>
      <c r="M419" s="409"/>
      <c r="N419" s="409">
        <v>1</v>
      </c>
      <c r="O419" s="409"/>
      <c r="P419" s="409"/>
      <c r="Q419" s="382"/>
      <c r="R419" s="385" t="str">
        <f t="shared" si="110"/>
        <v>T</v>
      </c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</row>
    <row r="420" spans="1:32" hidden="1" outlineLevel="3">
      <c r="A420" s="382"/>
      <c r="B420" s="382" t="s">
        <v>276</v>
      </c>
      <c r="C420" s="382" t="s">
        <v>276</v>
      </c>
      <c r="D420" s="382" t="s">
        <v>28</v>
      </c>
      <c r="E420" s="382" t="s">
        <v>29</v>
      </c>
      <c r="F420" s="440" t="s">
        <v>33</v>
      </c>
      <c r="G420" s="411">
        <v>1.7955720160000004E-2</v>
      </c>
      <c r="H420" s="411" t="str">
        <f t="shared" si="112"/>
        <v/>
      </c>
      <c r="I420" s="411">
        <f t="shared" si="112"/>
        <v>1.7955720160000004E-2</v>
      </c>
      <c r="J420" s="411" t="str">
        <f t="shared" si="112"/>
        <v/>
      </c>
      <c r="K420" s="411" t="str">
        <f t="shared" si="112"/>
        <v/>
      </c>
      <c r="L420" s="411">
        <f t="shared" si="109"/>
        <v>1</v>
      </c>
      <c r="M420" s="409"/>
      <c r="N420" s="409">
        <v>1</v>
      </c>
      <c r="O420" s="409"/>
      <c r="P420" s="409"/>
      <c r="Q420" s="382"/>
      <c r="R420" s="385" t="str">
        <f t="shared" si="110"/>
        <v>T</v>
      </c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</row>
    <row r="421" spans="1:32" hidden="1" outlineLevel="3">
      <c r="A421" s="382"/>
      <c r="B421" s="382" t="s">
        <v>276</v>
      </c>
      <c r="C421" s="382" t="s">
        <v>276</v>
      </c>
      <c r="D421" s="382" t="s">
        <v>28</v>
      </c>
      <c r="E421" s="382" t="s">
        <v>29</v>
      </c>
      <c r="F421" s="440" t="s">
        <v>280</v>
      </c>
      <c r="G421" s="411">
        <v>1.7955720160000004E-2</v>
      </c>
      <c r="H421" s="411" t="str">
        <f t="shared" si="112"/>
        <v/>
      </c>
      <c r="I421" s="411">
        <f t="shared" si="112"/>
        <v>1.7955720160000004E-2</v>
      </c>
      <c r="J421" s="411" t="str">
        <f t="shared" si="112"/>
        <v/>
      </c>
      <c r="K421" s="411" t="str">
        <f t="shared" si="112"/>
        <v/>
      </c>
      <c r="L421" s="411">
        <f t="shared" si="109"/>
        <v>1</v>
      </c>
      <c r="M421" s="409"/>
      <c r="N421" s="409">
        <v>1</v>
      </c>
      <c r="O421" s="409"/>
      <c r="P421" s="409"/>
      <c r="Q421" s="382"/>
      <c r="R421" s="385" t="str">
        <f t="shared" si="110"/>
        <v>T</v>
      </c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  <c r="AC421" s="389"/>
      <c r="AD421" s="389"/>
      <c r="AE421" s="389"/>
      <c r="AF421" s="389"/>
    </row>
    <row r="422" spans="1:32" hidden="1" outlineLevel="3">
      <c r="A422" s="382"/>
      <c r="B422" s="382" t="s">
        <v>276</v>
      </c>
      <c r="C422" s="382" t="s">
        <v>276</v>
      </c>
      <c r="D422" s="382" t="s">
        <v>28</v>
      </c>
      <c r="E422" s="382" t="s">
        <v>29</v>
      </c>
      <c r="F422" s="440" t="s">
        <v>281</v>
      </c>
      <c r="G422" s="411">
        <v>3.7693188400000001E-2</v>
      </c>
      <c r="H422" s="411" t="str">
        <f t="shared" si="112"/>
        <v/>
      </c>
      <c r="I422" s="411" t="str">
        <f t="shared" si="112"/>
        <v/>
      </c>
      <c r="J422" s="411">
        <f t="shared" si="112"/>
        <v>3.7693188400000001E-2</v>
      </c>
      <c r="K422" s="411" t="str">
        <f t="shared" si="112"/>
        <v/>
      </c>
      <c r="L422" s="411">
        <f t="shared" si="109"/>
        <v>1</v>
      </c>
      <c r="M422" s="409"/>
      <c r="N422" s="409"/>
      <c r="O422" s="409">
        <v>1</v>
      </c>
      <c r="P422" s="409"/>
      <c r="Q422" s="382"/>
      <c r="R422" s="385" t="str">
        <f t="shared" si="110"/>
        <v>T</v>
      </c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  <c r="AC422" s="389"/>
      <c r="AD422" s="389"/>
      <c r="AE422" s="389"/>
      <c r="AF422" s="389"/>
    </row>
    <row r="423" spans="1:32" hidden="1" outlineLevel="3">
      <c r="A423" s="382"/>
      <c r="B423" s="382" t="s">
        <v>276</v>
      </c>
      <c r="C423" s="382" t="s">
        <v>276</v>
      </c>
      <c r="D423" s="382" t="s">
        <v>28</v>
      </c>
      <c r="E423" s="382" t="s">
        <v>29</v>
      </c>
      <c r="F423" s="440" t="s">
        <v>282</v>
      </c>
      <c r="G423" s="411">
        <v>3.0154550720000006E-2</v>
      </c>
      <c r="H423" s="411" t="str">
        <f t="shared" si="112"/>
        <v/>
      </c>
      <c r="I423" s="411" t="str">
        <f t="shared" si="112"/>
        <v/>
      </c>
      <c r="J423" s="411">
        <f t="shared" si="112"/>
        <v>3.0154550720000006E-2</v>
      </c>
      <c r="K423" s="411" t="str">
        <f t="shared" si="112"/>
        <v/>
      </c>
      <c r="L423" s="411">
        <f t="shared" si="109"/>
        <v>1</v>
      </c>
      <c r="M423" s="409"/>
      <c r="N423" s="409"/>
      <c r="O423" s="409">
        <v>1</v>
      </c>
      <c r="P423" s="409"/>
      <c r="Q423" s="382"/>
      <c r="R423" s="385" t="str">
        <f t="shared" si="110"/>
        <v>T</v>
      </c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  <c r="AC423" s="389"/>
      <c r="AD423" s="389"/>
      <c r="AE423" s="389"/>
      <c r="AF423" s="389"/>
    </row>
    <row r="424" spans="1:32" hidden="1" outlineLevel="3">
      <c r="A424" s="382"/>
      <c r="B424" s="382" t="s">
        <v>276</v>
      </c>
      <c r="C424" s="382" t="s">
        <v>276</v>
      </c>
      <c r="D424" s="382" t="s">
        <v>28</v>
      </c>
      <c r="E424" s="382" t="s">
        <v>29</v>
      </c>
      <c r="F424" s="440" t="s">
        <v>283</v>
      </c>
      <c r="G424" s="411">
        <v>1.8709891199999999E-2</v>
      </c>
      <c r="H424" s="411" t="str">
        <f t="shared" si="112"/>
        <v/>
      </c>
      <c r="I424" s="411" t="str">
        <f t="shared" si="112"/>
        <v/>
      </c>
      <c r="J424" s="411">
        <f t="shared" si="112"/>
        <v>1.8709891199999999E-2</v>
      </c>
      <c r="K424" s="411" t="str">
        <f t="shared" si="112"/>
        <v/>
      </c>
      <c r="L424" s="411">
        <f t="shared" si="109"/>
        <v>1</v>
      </c>
      <c r="M424" s="409"/>
      <c r="N424" s="409"/>
      <c r="O424" s="409">
        <v>1</v>
      </c>
      <c r="P424" s="409"/>
      <c r="Q424" s="382"/>
      <c r="R424" s="385" t="str">
        <f t="shared" si="110"/>
        <v>T</v>
      </c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  <c r="AC424" s="389"/>
      <c r="AD424" s="389"/>
      <c r="AE424" s="389"/>
      <c r="AF424" s="389"/>
    </row>
    <row r="425" spans="1:32" hidden="1" outlineLevel="3">
      <c r="A425" s="382"/>
      <c r="B425" s="382" t="s">
        <v>276</v>
      </c>
      <c r="C425" s="382" t="s">
        <v>276</v>
      </c>
      <c r="D425" s="382" t="s">
        <v>28</v>
      </c>
      <c r="E425" s="382" t="s">
        <v>29</v>
      </c>
      <c r="F425" s="440" t="s">
        <v>284</v>
      </c>
      <c r="G425" s="411">
        <v>3.0154550720000006E-2</v>
      </c>
      <c r="H425" s="411" t="str">
        <f t="shared" si="112"/>
        <v/>
      </c>
      <c r="I425" s="411" t="str">
        <f t="shared" si="112"/>
        <v/>
      </c>
      <c r="J425" s="411" t="str">
        <f t="shared" si="112"/>
        <v/>
      </c>
      <c r="K425" s="411">
        <f t="shared" si="112"/>
        <v>3.0154550720000006E-2</v>
      </c>
      <c r="L425" s="411">
        <f t="shared" si="109"/>
        <v>1</v>
      </c>
      <c r="M425" s="409"/>
      <c r="N425" s="409"/>
      <c r="O425" s="409"/>
      <c r="P425" s="409">
        <v>1</v>
      </c>
      <c r="Q425" s="382"/>
      <c r="R425" s="385" t="str">
        <f t="shared" si="110"/>
        <v>T</v>
      </c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  <c r="AC425" s="389"/>
      <c r="AD425" s="389"/>
      <c r="AE425" s="389"/>
      <c r="AF425" s="389"/>
    </row>
    <row r="426" spans="1:32" hidden="1" outlineLevel="2" collapsed="1">
      <c r="A426" s="382"/>
      <c r="B426" s="382" t="s">
        <v>276</v>
      </c>
      <c r="C426" s="382" t="s">
        <v>276</v>
      </c>
      <c r="D426" s="382" t="s">
        <v>64</v>
      </c>
      <c r="E426" s="382"/>
      <c r="F426" s="440" t="s">
        <v>87</v>
      </c>
      <c r="G426" s="411">
        <f>SUM(G427:G431)</f>
        <v>9.5408784239999989E-2</v>
      </c>
      <c r="H426" s="411">
        <f>SUM(H427:H431)</f>
        <v>0</v>
      </c>
      <c r="I426" s="411">
        <f>SUM(I427:I431)</f>
        <v>4.017211968E-2</v>
      </c>
      <c r="J426" s="411">
        <f>SUM(J427:J431)</f>
        <v>5.5236664560000003E-2</v>
      </c>
      <c r="K426" s="411">
        <f>SUM(K427:K431)</f>
        <v>0</v>
      </c>
      <c r="L426" s="411">
        <f t="shared" si="109"/>
        <v>5</v>
      </c>
      <c r="M426" s="409">
        <f>SUM(M427:M431)</f>
        <v>0</v>
      </c>
      <c r="N426" s="409">
        <f>SUM(N427:N431)</f>
        <v>3</v>
      </c>
      <c r="O426" s="409">
        <f>SUM(O427:O431)</f>
        <v>2</v>
      </c>
      <c r="P426" s="409">
        <f>SUM(P427:P431)</f>
        <v>0</v>
      </c>
      <c r="Q426" s="382"/>
      <c r="R426" s="385" t="str">
        <f t="shared" si="110"/>
        <v>T</v>
      </c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  <c r="AC426" s="389"/>
      <c r="AD426" s="389"/>
      <c r="AE426" s="389"/>
      <c r="AF426" s="389"/>
    </row>
    <row r="427" spans="1:32" hidden="1" outlineLevel="3">
      <c r="A427" s="382"/>
      <c r="B427" s="382" t="s">
        <v>276</v>
      </c>
      <c r="C427" s="382" t="s">
        <v>276</v>
      </c>
      <c r="D427" s="382" t="s">
        <v>64</v>
      </c>
      <c r="E427" s="382" t="s">
        <v>29</v>
      </c>
      <c r="F427" s="440" t="s">
        <v>279</v>
      </c>
      <c r="G427" s="411">
        <v>1.5064544879999999E-2</v>
      </c>
      <c r="H427" s="411" t="str">
        <f t="shared" ref="H427:K431" si="113">IF(M427=1,$G427,"")</f>
        <v/>
      </c>
      <c r="I427" s="411">
        <f t="shared" si="113"/>
        <v>1.5064544879999999E-2</v>
      </c>
      <c r="J427" s="411" t="str">
        <f t="shared" si="113"/>
        <v/>
      </c>
      <c r="K427" s="411" t="str">
        <f t="shared" si="113"/>
        <v/>
      </c>
      <c r="L427" s="411">
        <f t="shared" si="109"/>
        <v>1</v>
      </c>
      <c r="M427" s="409"/>
      <c r="N427" s="409">
        <v>1</v>
      </c>
      <c r="O427" s="409"/>
      <c r="P427" s="409"/>
      <c r="Q427" s="382"/>
      <c r="R427" s="385" t="str">
        <f t="shared" si="110"/>
        <v>T</v>
      </c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  <c r="AC427" s="389"/>
      <c r="AD427" s="389"/>
      <c r="AE427" s="389"/>
      <c r="AF427" s="389"/>
    </row>
    <row r="428" spans="1:32" hidden="1" outlineLevel="3">
      <c r="A428" s="382"/>
      <c r="B428" s="382" t="s">
        <v>276</v>
      </c>
      <c r="C428" s="382" t="s">
        <v>276</v>
      </c>
      <c r="D428" s="382" t="s">
        <v>64</v>
      </c>
      <c r="E428" s="382" t="s">
        <v>29</v>
      </c>
      <c r="F428" s="440" t="s">
        <v>33</v>
      </c>
      <c r="G428" s="411">
        <v>1.5064544879999999E-2</v>
      </c>
      <c r="H428" s="411" t="str">
        <f t="shared" si="113"/>
        <v/>
      </c>
      <c r="I428" s="411">
        <f t="shared" si="113"/>
        <v>1.5064544879999999E-2</v>
      </c>
      <c r="J428" s="411" t="str">
        <f t="shared" si="113"/>
        <v/>
      </c>
      <c r="K428" s="411" t="str">
        <f t="shared" si="113"/>
        <v/>
      </c>
      <c r="L428" s="411">
        <f t="shared" si="109"/>
        <v>1</v>
      </c>
      <c r="M428" s="409"/>
      <c r="N428" s="409">
        <v>1</v>
      </c>
      <c r="O428" s="409"/>
      <c r="P428" s="409"/>
      <c r="Q428" s="382"/>
      <c r="R428" s="385" t="str">
        <f t="shared" si="110"/>
        <v>T</v>
      </c>
      <c r="S428" s="389"/>
      <c r="T428" s="389"/>
      <c r="U428" s="389"/>
      <c r="V428" s="389"/>
      <c r="W428" s="389"/>
      <c r="X428" s="389"/>
      <c r="Y428" s="389"/>
      <c r="Z428" s="389"/>
      <c r="AA428" s="389"/>
      <c r="AB428" s="389"/>
      <c r="AC428" s="389"/>
      <c r="AD428" s="389"/>
      <c r="AE428" s="389"/>
      <c r="AF428" s="389"/>
    </row>
    <row r="429" spans="1:32" hidden="1" outlineLevel="3">
      <c r="A429" s="382"/>
      <c r="B429" s="382" t="s">
        <v>276</v>
      </c>
      <c r="C429" s="382" t="s">
        <v>276</v>
      </c>
      <c r="D429" s="382" t="s">
        <v>64</v>
      </c>
      <c r="E429" s="382" t="s">
        <v>29</v>
      </c>
      <c r="F429" s="440" t="s">
        <v>280</v>
      </c>
      <c r="G429" s="411">
        <v>1.0043029920000002E-2</v>
      </c>
      <c r="H429" s="411" t="str">
        <f t="shared" si="113"/>
        <v/>
      </c>
      <c r="I429" s="411">
        <f t="shared" si="113"/>
        <v>1.0043029920000002E-2</v>
      </c>
      <c r="J429" s="411" t="str">
        <f t="shared" si="113"/>
        <v/>
      </c>
      <c r="K429" s="411" t="str">
        <f t="shared" si="113"/>
        <v/>
      </c>
      <c r="L429" s="411">
        <f t="shared" si="109"/>
        <v>1</v>
      </c>
      <c r="M429" s="409"/>
      <c r="N429" s="409">
        <v>1</v>
      </c>
      <c r="O429" s="409"/>
      <c r="P429" s="409"/>
      <c r="Q429" s="382"/>
      <c r="R429" s="385" t="str">
        <f t="shared" si="110"/>
        <v>T</v>
      </c>
      <c r="S429" s="389"/>
      <c r="T429" s="389"/>
      <c r="U429" s="389"/>
      <c r="V429" s="389"/>
      <c r="W429" s="389"/>
      <c r="X429" s="389"/>
      <c r="Y429" s="389"/>
      <c r="Z429" s="389"/>
      <c r="AA429" s="389"/>
      <c r="AB429" s="389"/>
      <c r="AC429" s="389"/>
      <c r="AD429" s="389"/>
      <c r="AE429" s="389"/>
      <c r="AF429" s="389"/>
    </row>
    <row r="430" spans="1:32" hidden="1" outlineLevel="3">
      <c r="A430" s="382"/>
      <c r="B430" s="382" t="s">
        <v>276</v>
      </c>
      <c r="C430" s="382" t="s">
        <v>276</v>
      </c>
      <c r="D430" s="382" t="s">
        <v>64</v>
      </c>
      <c r="E430" s="382" t="s">
        <v>29</v>
      </c>
      <c r="F430" s="440" t="s">
        <v>282</v>
      </c>
      <c r="G430" s="411">
        <v>4.6381787760000001E-2</v>
      </c>
      <c r="H430" s="411" t="str">
        <f t="shared" si="113"/>
        <v/>
      </c>
      <c r="I430" s="411" t="str">
        <f t="shared" si="113"/>
        <v/>
      </c>
      <c r="J430" s="411">
        <f t="shared" si="113"/>
        <v>4.6381787760000001E-2</v>
      </c>
      <c r="K430" s="411" t="str">
        <f t="shared" si="113"/>
        <v/>
      </c>
      <c r="L430" s="411">
        <f t="shared" si="109"/>
        <v>1</v>
      </c>
      <c r="M430" s="409"/>
      <c r="N430" s="409"/>
      <c r="O430" s="409">
        <v>1</v>
      </c>
      <c r="P430" s="409"/>
      <c r="Q430" s="382"/>
      <c r="R430" s="385" t="str">
        <f t="shared" si="110"/>
        <v>T</v>
      </c>
      <c r="S430" s="389"/>
      <c r="T430" s="389"/>
      <c r="U430" s="389"/>
      <c r="V430" s="389"/>
      <c r="W430" s="389"/>
      <c r="X430" s="389"/>
      <c r="Y430" s="389"/>
      <c r="Z430" s="389"/>
      <c r="AA430" s="389"/>
      <c r="AB430" s="389"/>
      <c r="AC430" s="389"/>
      <c r="AD430" s="389"/>
      <c r="AE430" s="389"/>
      <c r="AF430" s="389"/>
    </row>
    <row r="431" spans="1:32" hidden="1" outlineLevel="3">
      <c r="A431" s="382"/>
      <c r="B431" s="382" t="s">
        <v>276</v>
      </c>
      <c r="C431" s="382" t="s">
        <v>276</v>
      </c>
      <c r="D431" s="382" t="s">
        <v>64</v>
      </c>
      <c r="E431" s="382" t="s">
        <v>29</v>
      </c>
      <c r="F431" s="440" t="s">
        <v>283</v>
      </c>
      <c r="G431" s="411">
        <v>8.8548768000000014E-3</v>
      </c>
      <c r="H431" s="411" t="str">
        <f t="shared" si="113"/>
        <v/>
      </c>
      <c r="I431" s="411" t="str">
        <f t="shared" si="113"/>
        <v/>
      </c>
      <c r="J431" s="411">
        <f t="shared" si="113"/>
        <v>8.8548768000000014E-3</v>
      </c>
      <c r="K431" s="411" t="str">
        <f t="shared" si="113"/>
        <v/>
      </c>
      <c r="L431" s="411">
        <f t="shared" si="109"/>
        <v>1</v>
      </c>
      <c r="M431" s="409"/>
      <c r="N431" s="409"/>
      <c r="O431" s="409">
        <v>1</v>
      </c>
      <c r="P431" s="409"/>
      <c r="Q431" s="382"/>
      <c r="R431" s="385" t="str">
        <f t="shared" si="110"/>
        <v>T</v>
      </c>
      <c r="S431" s="389"/>
      <c r="T431" s="389"/>
      <c r="U431" s="389"/>
      <c r="V431" s="389"/>
      <c r="W431" s="389"/>
      <c r="X431" s="389"/>
      <c r="Y431" s="389"/>
      <c r="Z431" s="389"/>
      <c r="AA431" s="389"/>
      <c r="AB431" s="389"/>
      <c r="AC431" s="389"/>
      <c r="AD431" s="389"/>
      <c r="AE431" s="389"/>
      <c r="AF431" s="389"/>
    </row>
    <row r="432" spans="1:32" outlineLevel="1" collapsed="1">
      <c r="A432" s="382"/>
      <c r="B432" s="390" t="s">
        <v>285</v>
      </c>
      <c r="C432" s="390" t="s">
        <v>285</v>
      </c>
      <c r="D432" s="390"/>
      <c r="E432" s="390"/>
      <c r="F432" s="442" t="s">
        <v>277</v>
      </c>
      <c r="G432" s="424">
        <f>SUM(G433,G441,G446,G453)</f>
        <v>0</v>
      </c>
      <c r="H432" s="424">
        <f>H433+H441+H446+H453</f>
        <v>0</v>
      </c>
      <c r="I432" s="424">
        <f>I433+I441+I446+I453</f>
        <v>0</v>
      </c>
      <c r="J432" s="424">
        <f>J433+J441+J446+J453</f>
        <v>0</v>
      </c>
      <c r="K432" s="424">
        <f>K433+K441+K446+K453</f>
        <v>0</v>
      </c>
      <c r="L432" s="424">
        <f t="shared" si="109"/>
        <v>0</v>
      </c>
      <c r="M432" s="408">
        <f>M433+M441+M446+M453</f>
        <v>0</v>
      </c>
      <c r="N432" s="408">
        <f>N433+N441+N446+N453</f>
        <v>0</v>
      </c>
      <c r="O432" s="408">
        <f>O433+O441+O446+O453</f>
        <v>0</v>
      </c>
      <c r="P432" s="408">
        <f>P433+P441+P446+P453</f>
        <v>0</v>
      </c>
      <c r="Q432" s="382"/>
      <c r="R432" s="385" t="str">
        <f t="shared" si="110"/>
        <v>T</v>
      </c>
      <c r="S432" s="389"/>
      <c r="T432" s="389"/>
      <c r="U432" s="389"/>
      <c r="V432" s="389"/>
      <c r="W432" s="389"/>
      <c r="X432" s="389"/>
      <c r="Y432" s="389"/>
      <c r="Z432" s="389"/>
      <c r="AA432" s="389"/>
      <c r="AB432" s="389"/>
      <c r="AC432" s="389"/>
      <c r="AD432" s="389"/>
      <c r="AE432" s="389"/>
      <c r="AF432" s="389"/>
    </row>
    <row r="433" spans="1:32" hidden="1" outlineLevel="2" collapsed="1">
      <c r="A433" s="382"/>
      <c r="B433" s="386" t="s">
        <v>285</v>
      </c>
      <c r="C433" s="386" t="s">
        <v>285</v>
      </c>
      <c r="D433" s="382" t="s">
        <v>18</v>
      </c>
      <c r="E433" s="386"/>
      <c r="F433" s="440" t="s">
        <v>87</v>
      </c>
      <c r="G433" s="387">
        <v>0</v>
      </c>
      <c r="H433" s="387">
        <f>SUM(H435:H440)</f>
        <v>0</v>
      </c>
      <c r="I433" s="387">
        <f>SUM(I435:I440)</f>
        <v>0</v>
      </c>
      <c r="J433" s="387">
        <f>SUM(J435:J440)</f>
        <v>0</v>
      </c>
      <c r="K433" s="387">
        <f>SUM(K435:K440)</f>
        <v>0</v>
      </c>
      <c r="L433" s="387">
        <f t="shared" si="109"/>
        <v>0</v>
      </c>
      <c r="M433" s="388">
        <f>SUM(M434:M440)</f>
        <v>0</v>
      </c>
      <c r="N433" s="388">
        <f>SUM(N434:N440)</f>
        <v>0</v>
      </c>
      <c r="O433" s="388">
        <f>SUM(O434:O440)</f>
        <v>0</v>
      </c>
      <c r="P433" s="388">
        <f>SUM(P434:P440)</f>
        <v>0</v>
      </c>
      <c r="Q433" s="382"/>
      <c r="R433" s="385" t="str">
        <f t="shared" si="110"/>
        <v>T</v>
      </c>
      <c r="S433" s="389"/>
      <c r="T433" s="389"/>
      <c r="U433" s="389"/>
      <c r="V433" s="389"/>
      <c r="W433" s="389"/>
      <c r="X433" s="389"/>
      <c r="Y433" s="389"/>
      <c r="Z433" s="389"/>
      <c r="AA433" s="389"/>
      <c r="AB433" s="389"/>
      <c r="AC433" s="389"/>
      <c r="AD433" s="389"/>
      <c r="AE433" s="389"/>
      <c r="AF433" s="389"/>
    </row>
    <row r="434" spans="1:32" hidden="1" outlineLevel="3">
      <c r="A434" s="382"/>
      <c r="B434" s="386" t="s">
        <v>285</v>
      </c>
      <c r="C434" s="386" t="s">
        <v>285</v>
      </c>
      <c r="D434" s="382" t="s">
        <v>18</v>
      </c>
      <c r="E434" s="386" t="s">
        <v>286</v>
      </c>
      <c r="F434" s="440" t="s">
        <v>278</v>
      </c>
      <c r="G434" s="411">
        <v>0</v>
      </c>
      <c r="H434" s="411" t="str">
        <f t="shared" ref="H434:K440" si="114">IF(M434=1,$G434,"")</f>
        <v/>
      </c>
      <c r="I434" s="411" t="str">
        <f t="shared" si="114"/>
        <v/>
      </c>
      <c r="J434" s="411" t="str">
        <f t="shared" si="114"/>
        <v/>
      </c>
      <c r="K434" s="411" t="str">
        <f t="shared" si="114"/>
        <v/>
      </c>
      <c r="L434" s="411">
        <f t="shared" si="109"/>
        <v>0</v>
      </c>
      <c r="M434" s="409">
        <v>0</v>
      </c>
      <c r="N434" s="409"/>
      <c r="O434" s="409"/>
      <c r="P434" s="409"/>
      <c r="Q434" s="382"/>
      <c r="R434" s="385" t="str">
        <f t="shared" si="110"/>
        <v>T</v>
      </c>
      <c r="S434" s="389"/>
      <c r="T434" s="389"/>
      <c r="U434" s="389"/>
      <c r="V434" s="389"/>
      <c r="W434" s="389"/>
      <c r="X434" s="389"/>
      <c r="Y434" s="389"/>
      <c r="Z434" s="389"/>
      <c r="AA434" s="389"/>
      <c r="AB434" s="389"/>
      <c r="AC434" s="389"/>
      <c r="AD434" s="389"/>
      <c r="AE434" s="389"/>
      <c r="AF434" s="389"/>
    </row>
    <row r="435" spans="1:32" hidden="1" outlineLevel="3">
      <c r="A435" s="382"/>
      <c r="B435" s="386" t="s">
        <v>285</v>
      </c>
      <c r="C435" s="386" t="s">
        <v>285</v>
      </c>
      <c r="D435" s="382" t="s">
        <v>18</v>
      </c>
      <c r="E435" s="386" t="s">
        <v>286</v>
      </c>
      <c r="F435" s="440" t="s">
        <v>279</v>
      </c>
      <c r="G435" s="411">
        <v>0</v>
      </c>
      <c r="H435" s="411" t="str">
        <f t="shared" si="114"/>
        <v/>
      </c>
      <c r="I435" s="411" t="str">
        <f t="shared" si="114"/>
        <v/>
      </c>
      <c r="J435" s="411" t="str">
        <f t="shared" si="114"/>
        <v/>
      </c>
      <c r="K435" s="411" t="str">
        <f t="shared" si="114"/>
        <v/>
      </c>
      <c r="L435" s="411">
        <f t="shared" si="109"/>
        <v>0</v>
      </c>
      <c r="M435" s="409">
        <v>0</v>
      </c>
      <c r="N435" s="409"/>
      <c r="O435" s="409"/>
      <c r="P435" s="409"/>
      <c r="Q435" s="382"/>
      <c r="R435" s="385" t="str">
        <f t="shared" si="110"/>
        <v>T</v>
      </c>
      <c r="S435" s="389"/>
      <c r="T435" s="389"/>
      <c r="U435" s="389"/>
      <c r="V435" s="389"/>
      <c r="W435" s="389"/>
      <c r="X435" s="389"/>
      <c r="Y435" s="389"/>
      <c r="Z435" s="389"/>
      <c r="AA435" s="389"/>
      <c r="AB435" s="389"/>
      <c r="AC435" s="389"/>
      <c r="AD435" s="389"/>
      <c r="AE435" s="389"/>
      <c r="AF435" s="389"/>
    </row>
    <row r="436" spans="1:32" hidden="1" outlineLevel="3">
      <c r="A436" s="382"/>
      <c r="B436" s="386" t="s">
        <v>285</v>
      </c>
      <c r="C436" s="386" t="s">
        <v>285</v>
      </c>
      <c r="D436" s="382" t="s">
        <v>18</v>
      </c>
      <c r="E436" s="386" t="s">
        <v>286</v>
      </c>
      <c r="F436" s="440" t="s">
        <v>33</v>
      </c>
      <c r="G436" s="411">
        <v>0</v>
      </c>
      <c r="H436" s="411" t="str">
        <f t="shared" si="114"/>
        <v/>
      </c>
      <c r="I436" s="411" t="str">
        <f t="shared" si="114"/>
        <v/>
      </c>
      <c r="J436" s="411" t="str">
        <f t="shared" si="114"/>
        <v/>
      </c>
      <c r="K436" s="411" t="str">
        <f t="shared" si="114"/>
        <v/>
      </c>
      <c r="L436" s="411">
        <f t="shared" si="109"/>
        <v>0</v>
      </c>
      <c r="M436" s="409">
        <v>0</v>
      </c>
      <c r="N436" s="409"/>
      <c r="O436" s="409"/>
      <c r="P436" s="409"/>
      <c r="Q436" s="382"/>
      <c r="R436" s="385" t="str">
        <f t="shared" si="110"/>
        <v>T</v>
      </c>
      <c r="S436" s="389"/>
      <c r="T436" s="389"/>
      <c r="U436" s="389"/>
      <c r="V436" s="389"/>
      <c r="W436" s="389"/>
      <c r="X436" s="389"/>
      <c r="Y436" s="389"/>
      <c r="Z436" s="389"/>
      <c r="AA436" s="389"/>
      <c r="AB436" s="389"/>
      <c r="AC436" s="389"/>
      <c r="AD436" s="389"/>
      <c r="AE436" s="389"/>
      <c r="AF436" s="389"/>
    </row>
    <row r="437" spans="1:32" hidden="1" outlineLevel="3">
      <c r="A437" s="382"/>
      <c r="B437" s="386" t="s">
        <v>285</v>
      </c>
      <c r="C437" s="386" t="s">
        <v>285</v>
      </c>
      <c r="D437" s="382" t="s">
        <v>18</v>
      </c>
      <c r="E437" s="386" t="s">
        <v>286</v>
      </c>
      <c r="F437" s="440" t="s">
        <v>280</v>
      </c>
      <c r="G437" s="411">
        <v>0</v>
      </c>
      <c r="H437" s="411" t="str">
        <f t="shared" si="114"/>
        <v/>
      </c>
      <c r="I437" s="411" t="str">
        <f t="shared" si="114"/>
        <v/>
      </c>
      <c r="J437" s="411" t="str">
        <f t="shared" si="114"/>
        <v/>
      </c>
      <c r="K437" s="411" t="str">
        <f t="shared" si="114"/>
        <v/>
      </c>
      <c r="L437" s="411">
        <f t="shared" ref="L437:L468" si="115">SUM(M437:P437)</f>
        <v>0</v>
      </c>
      <c r="M437" s="409"/>
      <c r="N437" s="409">
        <v>0</v>
      </c>
      <c r="O437" s="409"/>
      <c r="P437" s="409"/>
      <c r="Q437" s="382"/>
      <c r="R437" s="385" t="str">
        <f t="shared" ref="R437:R468" si="116">IF(SUM(M437:P437)=L437,"T","F")</f>
        <v>T</v>
      </c>
      <c r="S437" s="389"/>
      <c r="T437" s="389"/>
      <c r="U437" s="389"/>
      <c r="V437" s="389"/>
      <c r="W437" s="389"/>
      <c r="X437" s="389"/>
      <c r="Y437" s="389"/>
      <c r="Z437" s="389"/>
      <c r="AA437" s="389"/>
      <c r="AB437" s="389"/>
      <c r="AC437" s="389"/>
      <c r="AD437" s="389"/>
      <c r="AE437" s="389"/>
      <c r="AF437" s="389"/>
    </row>
    <row r="438" spans="1:32" hidden="1" outlineLevel="3">
      <c r="A438" s="382"/>
      <c r="B438" s="386" t="s">
        <v>285</v>
      </c>
      <c r="C438" s="386" t="s">
        <v>285</v>
      </c>
      <c r="D438" s="382" t="s">
        <v>18</v>
      </c>
      <c r="E438" s="386" t="s">
        <v>286</v>
      </c>
      <c r="F438" s="440" t="s">
        <v>281</v>
      </c>
      <c r="G438" s="411">
        <v>0</v>
      </c>
      <c r="H438" s="411" t="str">
        <f t="shared" si="114"/>
        <v/>
      </c>
      <c r="I438" s="411" t="str">
        <f t="shared" si="114"/>
        <v/>
      </c>
      <c r="J438" s="411" t="str">
        <f t="shared" si="114"/>
        <v/>
      </c>
      <c r="K438" s="411" t="str">
        <f t="shared" si="114"/>
        <v/>
      </c>
      <c r="L438" s="411">
        <f t="shared" si="115"/>
        <v>0</v>
      </c>
      <c r="M438" s="409"/>
      <c r="N438" s="409"/>
      <c r="O438" s="409">
        <v>0</v>
      </c>
      <c r="P438" s="409"/>
      <c r="Q438" s="382"/>
      <c r="R438" s="385" t="str">
        <f t="shared" si="116"/>
        <v>T</v>
      </c>
      <c r="S438" s="389"/>
      <c r="T438" s="389"/>
      <c r="U438" s="389"/>
      <c r="V438" s="389"/>
      <c r="W438" s="389"/>
      <c r="X438" s="389"/>
      <c r="Y438" s="389"/>
      <c r="Z438" s="389"/>
      <c r="AA438" s="389"/>
      <c r="AB438" s="389"/>
      <c r="AC438" s="389"/>
      <c r="AD438" s="389"/>
      <c r="AE438" s="389"/>
      <c r="AF438" s="389"/>
    </row>
    <row r="439" spans="1:32" hidden="1" outlineLevel="3">
      <c r="A439" s="382"/>
      <c r="B439" s="386" t="s">
        <v>285</v>
      </c>
      <c r="C439" s="386" t="s">
        <v>285</v>
      </c>
      <c r="D439" s="382" t="s">
        <v>18</v>
      </c>
      <c r="E439" s="386" t="s">
        <v>286</v>
      </c>
      <c r="F439" s="440" t="s">
        <v>287</v>
      </c>
      <c r="G439" s="411">
        <v>0</v>
      </c>
      <c r="H439" s="411" t="str">
        <f t="shared" si="114"/>
        <v/>
      </c>
      <c r="I439" s="411" t="str">
        <f t="shared" si="114"/>
        <v/>
      </c>
      <c r="J439" s="411" t="str">
        <f t="shared" si="114"/>
        <v/>
      </c>
      <c r="K439" s="411" t="str">
        <f t="shared" si="114"/>
        <v/>
      </c>
      <c r="L439" s="411">
        <f t="shared" si="115"/>
        <v>0</v>
      </c>
      <c r="M439" s="409"/>
      <c r="N439" s="409"/>
      <c r="O439" s="409">
        <v>0</v>
      </c>
      <c r="P439" s="409"/>
      <c r="Q439" s="382"/>
      <c r="R439" s="385" t="str">
        <f t="shared" si="116"/>
        <v>T</v>
      </c>
      <c r="S439" s="389"/>
      <c r="T439" s="389"/>
      <c r="U439" s="389"/>
      <c r="V439" s="389"/>
      <c r="W439" s="389"/>
      <c r="X439" s="389"/>
      <c r="Y439" s="389"/>
      <c r="Z439" s="389"/>
      <c r="AA439" s="389"/>
      <c r="AB439" s="389"/>
      <c r="AC439" s="389"/>
      <c r="AD439" s="389"/>
      <c r="AE439" s="389"/>
      <c r="AF439" s="389"/>
    </row>
    <row r="440" spans="1:32" hidden="1" outlineLevel="3">
      <c r="A440" s="382"/>
      <c r="B440" s="386" t="s">
        <v>285</v>
      </c>
      <c r="C440" s="386" t="s">
        <v>285</v>
      </c>
      <c r="D440" s="382" t="s">
        <v>18</v>
      </c>
      <c r="E440" s="386" t="s">
        <v>286</v>
      </c>
      <c r="F440" s="440" t="s">
        <v>284</v>
      </c>
      <c r="G440" s="411">
        <v>0</v>
      </c>
      <c r="H440" s="411" t="str">
        <f t="shared" si="114"/>
        <v/>
      </c>
      <c r="I440" s="411" t="str">
        <f t="shared" si="114"/>
        <v/>
      </c>
      <c r="J440" s="411" t="str">
        <f t="shared" si="114"/>
        <v/>
      </c>
      <c r="K440" s="411" t="str">
        <f t="shared" si="114"/>
        <v/>
      </c>
      <c r="L440" s="411">
        <f t="shared" si="115"/>
        <v>0</v>
      </c>
      <c r="M440" s="409"/>
      <c r="N440" s="409"/>
      <c r="O440" s="409"/>
      <c r="P440" s="409">
        <v>0</v>
      </c>
      <c r="Q440" s="382"/>
      <c r="R440" s="385" t="str">
        <f t="shared" si="116"/>
        <v>T</v>
      </c>
      <c r="S440" s="389"/>
      <c r="T440" s="389"/>
      <c r="U440" s="389"/>
      <c r="V440" s="389"/>
      <c r="W440" s="389"/>
      <c r="X440" s="389"/>
      <c r="Y440" s="389"/>
      <c r="Z440" s="389"/>
      <c r="AA440" s="389"/>
      <c r="AB440" s="389"/>
      <c r="AC440" s="389"/>
      <c r="AD440" s="389"/>
      <c r="AE440" s="389"/>
      <c r="AF440" s="389"/>
    </row>
    <row r="441" spans="1:32" hidden="1" outlineLevel="2" collapsed="1">
      <c r="A441" s="382"/>
      <c r="B441" s="386" t="s">
        <v>285</v>
      </c>
      <c r="C441" s="386" t="s">
        <v>285</v>
      </c>
      <c r="D441" s="382" t="s">
        <v>26</v>
      </c>
      <c r="E441" s="382"/>
      <c r="F441" s="440" t="s">
        <v>87</v>
      </c>
      <c r="G441" s="387">
        <v>0</v>
      </c>
      <c r="H441" s="387">
        <f>SUM(H442:H445)</f>
        <v>0</v>
      </c>
      <c r="I441" s="387">
        <f>SUM(I442:I445)</f>
        <v>0</v>
      </c>
      <c r="J441" s="387">
        <f>SUM(J442:J445)</f>
        <v>0</v>
      </c>
      <c r="K441" s="387">
        <f>SUM(K442:K445)</f>
        <v>0</v>
      </c>
      <c r="L441" s="387">
        <f t="shared" si="115"/>
        <v>0</v>
      </c>
      <c r="M441" s="388">
        <f>SUM(M442:M445)</f>
        <v>0</v>
      </c>
      <c r="N441" s="388">
        <f>SUM(N442:N445)</f>
        <v>0</v>
      </c>
      <c r="O441" s="388">
        <f>SUM(O442:O445)</f>
        <v>0</v>
      </c>
      <c r="P441" s="388">
        <f>SUM(P442:P445)</f>
        <v>0</v>
      </c>
      <c r="Q441" s="382"/>
      <c r="R441" s="385" t="str">
        <f t="shared" si="116"/>
        <v>T</v>
      </c>
      <c r="S441" s="389"/>
      <c r="T441" s="389"/>
      <c r="U441" s="389"/>
      <c r="V441" s="389"/>
      <c r="W441" s="389"/>
      <c r="X441" s="389"/>
      <c r="Y441" s="389"/>
      <c r="Z441" s="389"/>
      <c r="AA441" s="389"/>
      <c r="AB441" s="389"/>
      <c r="AC441" s="389"/>
      <c r="AD441" s="389"/>
      <c r="AE441" s="389"/>
      <c r="AF441" s="389"/>
    </row>
    <row r="442" spans="1:32" hidden="1" outlineLevel="3">
      <c r="A442" s="382"/>
      <c r="B442" s="386" t="s">
        <v>285</v>
      </c>
      <c r="C442" s="386" t="s">
        <v>285</v>
      </c>
      <c r="D442" s="382" t="s">
        <v>26</v>
      </c>
      <c r="E442" s="382" t="s">
        <v>27</v>
      </c>
      <c r="F442" s="440" t="s">
        <v>279</v>
      </c>
      <c r="G442" s="411">
        <v>0</v>
      </c>
      <c r="H442" s="411" t="str">
        <f t="shared" ref="H442:K445" si="117">IF(M442=1,$G442,"")</f>
        <v/>
      </c>
      <c r="I442" s="411" t="str">
        <f t="shared" si="117"/>
        <v/>
      </c>
      <c r="J442" s="411" t="str">
        <f t="shared" si="117"/>
        <v/>
      </c>
      <c r="K442" s="411" t="str">
        <f t="shared" si="117"/>
        <v/>
      </c>
      <c r="L442" s="411">
        <f t="shared" si="115"/>
        <v>0</v>
      </c>
      <c r="M442" s="409">
        <v>0</v>
      </c>
      <c r="N442" s="409"/>
      <c r="O442" s="409"/>
      <c r="P442" s="409"/>
      <c r="Q442" s="382"/>
      <c r="R442" s="385" t="str">
        <f t="shared" si="116"/>
        <v>T</v>
      </c>
      <c r="S442" s="389"/>
      <c r="T442" s="389"/>
      <c r="U442" s="389"/>
      <c r="V442" s="389"/>
      <c r="W442" s="389"/>
      <c r="X442" s="389"/>
      <c r="Y442" s="389"/>
      <c r="Z442" s="389"/>
      <c r="AA442" s="389"/>
      <c r="AB442" s="389"/>
      <c r="AC442" s="389"/>
      <c r="AD442" s="389"/>
      <c r="AE442" s="389"/>
      <c r="AF442" s="389"/>
    </row>
    <row r="443" spans="1:32" hidden="1" outlineLevel="3">
      <c r="A443" s="382"/>
      <c r="B443" s="386" t="s">
        <v>285</v>
      </c>
      <c r="C443" s="386" t="s">
        <v>285</v>
      </c>
      <c r="D443" s="382" t="s">
        <v>26</v>
      </c>
      <c r="E443" s="382" t="s">
        <v>27</v>
      </c>
      <c r="F443" s="440" t="s">
        <v>280</v>
      </c>
      <c r="G443" s="411">
        <v>0</v>
      </c>
      <c r="H443" s="411" t="str">
        <f t="shared" si="117"/>
        <v/>
      </c>
      <c r="I443" s="411" t="str">
        <f t="shared" si="117"/>
        <v/>
      </c>
      <c r="J443" s="411" t="str">
        <f t="shared" si="117"/>
        <v/>
      </c>
      <c r="K443" s="411" t="str">
        <f t="shared" si="117"/>
        <v/>
      </c>
      <c r="L443" s="411">
        <f t="shared" si="115"/>
        <v>0</v>
      </c>
      <c r="M443" s="409"/>
      <c r="N443" s="409">
        <v>0</v>
      </c>
      <c r="O443" s="409"/>
      <c r="P443" s="409"/>
      <c r="Q443" s="382"/>
      <c r="R443" s="385" t="str">
        <f t="shared" si="116"/>
        <v>T</v>
      </c>
      <c r="S443" s="389"/>
      <c r="T443" s="389"/>
      <c r="U443" s="389"/>
      <c r="V443" s="389"/>
      <c r="W443" s="389"/>
      <c r="X443" s="389"/>
      <c r="Y443" s="389"/>
      <c r="Z443" s="389"/>
      <c r="AA443" s="389"/>
      <c r="AB443" s="389"/>
      <c r="AC443" s="389"/>
      <c r="AD443" s="389"/>
      <c r="AE443" s="389"/>
      <c r="AF443" s="389"/>
    </row>
    <row r="444" spans="1:32" hidden="1" outlineLevel="3">
      <c r="A444" s="382"/>
      <c r="B444" s="386" t="s">
        <v>285</v>
      </c>
      <c r="C444" s="386" t="s">
        <v>285</v>
      </c>
      <c r="D444" s="382" t="s">
        <v>26</v>
      </c>
      <c r="E444" s="382" t="s">
        <v>27</v>
      </c>
      <c r="F444" s="440" t="s">
        <v>281</v>
      </c>
      <c r="G444" s="411">
        <v>0</v>
      </c>
      <c r="H444" s="411" t="str">
        <f t="shared" si="117"/>
        <v/>
      </c>
      <c r="I444" s="411" t="str">
        <f t="shared" si="117"/>
        <v/>
      </c>
      <c r="J444" s="411" t="str">
        <f t="shared" si="117"/>
        <v/>
      </c>
      <c r="K444" s="411" t="str">
        <f t="shared" si="117"/>
        <v/>
      </c>
      <c r="L444" s="411">
        <f t="shared" si="115"/>
        <v>0</v>
      </c>
      <c r="M444" s="409"/>
      <c r="N444" s="409"/>
      <c r="O444" s="409">
        <v>0</v>
      </c>
      <c r="P444" s="409"/>
      <c r="Q444" s="382"/>
      <c r="R444" s="385" t="str">
        <f t="shared" si="116"/>
        <v>T</v>
      </c>
      <c r="S444" s="389"/>
      <c r="T444" s="389"/>
      <c r="U444" s="389"/>
      <c r="V444" s="389"/>
      <c r="W444" s="389"/>
      <c r="X444" s="389"/>
      <c r="Y444" s="389"/>
      <c r="Z444" s="389"/>
      <c r="AA444" s="389"/>
      <c r="AB444" s="389"/>
      <c r="AC444" s="389"/>
      <c r="AD444" s="389"/>
      <c r="AE444" s="389"/>
      <c r="AF444" s="389"/>
    </row>
    <row r="445" spans="1:32" hidden="1" outlineLevel="3">
      <c r="A445" s="382"/>
      <c r="B445" s="386" t="s">
        <v>285</v>
      </c>
      <c r="C445" s="386" t="s">
        <v>285</v>
      </c>
      <c r="D445" s="382" t="s">
        <v>26</v>
      </c>
      <c r="E445" s="382" t="s">
        <v>27</v>
      </c>
      <c r="F445" s="440" t="s">
        <v>287</v>
      </c>
      <c r="G445" s="411">
        <v>0</v>
      </c>
      <c r="H445" s="411" t="str">
        <f t="shared" si="117"/>
        <v/>
      </c>
      <c r="I445" s="411" t="str">
        <f t="shared" si="117"/>
        <v/>
      </c>
      <c r="J445" s="411" t="str">
        <f t="shared" si="117"/>
        <v/>
      </c>
      <c r="K445" s="411" t="str">
        <f t="shared" si="117"/>
        <v/>
      </c>
      <c r="L445" s="411">
        <f t="shared" si="115"/>
        <v>0</v>
      </c>
      <c r="M445" s="409"/>
      <c r="N445" s="409"/>
      <c r="O445" s="409">
        <v>0</v>
      </c>
      <c r="P445" s="409"/>
      <c r="Q445" s="382"/>
      <c r="R445" s="385" t="str">
        <f t="shared" si="116"/>
        <v>T</v>
      </c>
      <c r="S445" s="389"/>
      <c r="T445" s="389"/>
      <c r="U445" s="389"/>
      <c r="V445" s="389"/>
      <c r="W445" s="389"/>
      <c r="X445" s="389"/>
      <c r="Y445" s="389"/>
      <c r="Z445" s="389"/>
      <c r="AA445" s="389"/>
      <c r="AB445" s="389"/>
      <c r="AC445" s="389"/>
      <c r="AD445" s="389"/>
      <c r="AE445" s="389"/>
      <c r="AF445" s="389"/>
    </row>
    <row r="446" spans="1:32" hidden="1" outlineLevel="2" collapsed="1">
      <c r="A446" s="382"/>
      <c r="B446" s="386" t="s">
        <v>285</v>
      </c>
      <c r="C446" s="386" t="s">
        <v>285</v>
      </c>
      <c r="D446" s="382" t="s">
        <v>28</v>
      </c>
      <c r="E446" s="382"/>
      <c r="F446" s="440" t="s">
        <v>87</v>
      </c>
      <c r="G446" s="387">
        <v>0</v>
      </c>
      <c r="H446" s="387">
        <f>SUM(H447:H452)</f>
        <v>0</v>
      </c>
      <c r="I446" s="387">
        <f>SUM(I447:I452)</f>
        <v>0</v>
      </c>
      <c r="J446" s="387">
        <f>SUM(J447:J452)</f>
        <v>0</v>
      </c>
      <c r="K446" s="387">
        <f>SUM(K447:K452)</f>
        <v>0</v>
      </c>
      <c r="L446" s="387">
        <f t="shared" si="115"/>
        <v>0</v>
      </c>
      <c r="M446" s="388">
        <f>SUM(M447:M452)</f>
        <v>0</v>
      </c>
      <c r="N446" s="388">
        <f>SUM(N447:N452)</f>
        <v>0</v>
      </c>
      <c r="O446" s="388">
        <f>SUM(O447:O452)</f>
        <v>0</v>
      </c>
      <c r="P446" s="388">
        <f>SUM(P447:P452)</f>
        <v>0</v>
      </c>
      <c r="Q446" s="382"/>
      <c r="R446" s="385" t="str">
        <f t="shared" si="116"/>
        <v>T</v>
      </c>
      <c r="S446" s="389"/>
      <c r="T446" s="389"/>
      <c r="U446" s="389"/>
      <c r="V446" s="389"/>
      <c r="W446" s="389"/>
      <c r="X446" s="389"/>
      <c r="Y446" s="389"/>
      <c r="Z446" s="389"/>
      <c r="AA446" s="389"/>
      <c r="AB446" s="389"/>
      <c r="AC446" s="389"/>
      <c r="AD446" s="389"/>
      <c r="AE446" s="389"/>
      <c r="AF446" s="389"/>
    </row>
    <row r="447" spans="1:32" hidden="1" outlineLevel="3">
      <c r="A447" s="382"/>
      <c r="B447" s="386" t="s">
        <v>285</v>
      </c>
      <c r="C447" s="386" t="s">
        <v>285</v>
      </c>
      <c r="D447" s="382" t="s">
        <v>28</v>
      </c>
      <c r="E447" s="382" t="s">
        <v>29</v>
      </c>
      <c r="F447" s="440" t="s">
        <v>279</v>
      </c>
      <c r="G447" s="411">
        <v>0</v>
      </c>
      <c r="H447" s="411" t="str">
        <f t="shared" ref="H447:K452" si="118">IF(M447=1,$G447,"")</f>
        <v/>
      </c>
      <c r="I447" s="411" t="str">
        <f t="shared" si="118"/>
        <v/>
      </c>
      <c r="J447" s="411" t="str">
        <f t="shared" si="118"/>
        <v/>
      </c>
      <c r="K447" s="411" t="str">
        <f t="shared" si="118"/>
        <v/>
      </c>
      <c r="L447" s="411">
        <f t="shared" si="115"/>
        <v>0</v>
      </c>
      <c r="M447" s="409">
        <v>0</v>
      </c>
      <c r="N447" s="409"/>
      <c r="O447" s="409"/>
      <c r="P447" s="409"/>
      <c r="Q447" s="382"/>
      <c r="R447" s="385" t="str">
        <f t="shared" si="116"/>
        <v>T</v>
      </c>
      <c r="S447" s="389"/>
      <c r="T447" s="389"/>
      <c r="U447" s="389"/>
      <c r="V447" s="389"/>
      <c r="W447" s="389"/>
      <c r="X447" s="389"/>
      <c r="Y447" s="389"/>
      <c r="Z447" s="389"/>
      <c r="AA447" s="389"/>
      <c r="AB447" s="389"/>
      <c r="AC447" s="389"/>
      <c r="AD447" s="389"/>
      <c r="AE447" s="389"/>
      <c r="AF447" s="389"/>
    </row>
    <row r="448" spans="1:32" hidden="1" outlineLevel="3">
      <c r="A448" s="382"/>
      <c r="B448" s="386" t="s">
        <v>285</v>
      </c>
      <c r="C448" s="386" t="s">
        <v>285</v>
      </c>
      <c r="D448" s="382" t="s">
        <v>28</v>
      </c>
      <c r="E448" s="382" t="s">
        <v>29</v>
      </c>
      <c r="F448" s="440" t="s">
        <v>33</v>
      </c>
      <c r="G448" s="411">
        <v>0</v>
      </c>
      <c r="H448" s="411" t="str">
        <f t="shared" si="118"/>
        <v/>
      </c>
      <c r="I448" s="411" t="str">
        <f t="shared" si="118"/>
        <v/>
      </c>
      <c r="J448" s="411" t="str">
        <f t="shared" si="118"/>
        <v/>
      </c>
      <c r="K448" s="411" t="str">
        <f t="shared" si="118"/>
        <v/>
      </c>
      <c r="L448" s="411">
        <f t="shared" si="115"/>
        <v>0</v>
      </c>
      <c r="M448" s="409">
        <v>0</v>
      </c>
      <c r="N448" s="409"/>
      <c r="O448" s="409"/>
      <c r="P448" s="409"/>
      <c r="Q448" s="382"/>
      <c r="R448" s="385" t="str">
        <f t="shared" si="116"/>
        <v>T</v>
      </c>
      <c r="S448" s="389"/>
      <c r="T448" s="389"/>
      <c r="U448" s="389"/>
      <c r="V448" s="389"/>
      <c r="W448" s="389"/>
      <c r="X448" s="389"/>
      <c r="Y448" s="389"/>
      <c r="Z448" s="389"/>
      <c r="AA448" s="389"/>
      <c r="AB448" s="389"/>
      <c r="AC448" s="389"/>
      <c r="AD448" s="389"/>
      <c r="AE448" s="389"/>
      <c r="AF448" s="389"/>
    </row>
    <row r="449" spans="1:32" hidden="1" outlineLevel="3">
      <c r="A449" s="382"/>
      <c r="B449" s="386" t="s">
        <v>285</v>
      </c>
      <c r="C449" s="386" t="s">
        <v>285</v>
      </c>
      <c r="D449" s="382" t="s">
        <v>28</v>
      </c>
      <c r="E449" s="382" t="s">
        <v>29</v>
      </c>
      <c r="F449" s="440" t="s">
        <v>280</v>
      </c>
      <c r="G449" s="411">
        <v>0</v>
      </c>
      <c r="H449" s="411" t="str">
        <f t="shared" si="118"/>
        <v/>
      </c>
      <c r="I449" s="411" t="str">
        <f t="shared" si="118"/>
        <v/>
      </c>
      <c r="J449" s="411" t="str">
        <f t="shared" si="118"/>
        <v/>
      </c>
      <c r="K449" s="411" t="str">
        <f t="shared" si="118"/>
        <v/>
      </c>
      <c r="L449" s="411">
        <f t="shared" si="115"/>
        <v>0</v>
      </c>
      <c r="M449" s="409"/>
      <c r="N449" s="409">
        <v>0</v>
      </c>
      <c r="O449" s="409"/>
      <c r="P449" s="409"/>
      <c r="Q449" s="382"/>
      <c r="R449" s="385" t="str">
        <f t="shared" si="116"/>
        <v>T</v>
      </c>
      <c r="S449" s="389"/>
      <c r="T449" s="389"/>
      <c r="U449" s="389"/>
      <c r="V449" s="389"/>
      <c r="W449" s="389"/>
      <c r="X449" s="389"/>
      <c r="Y449" s="389"/>
      <c r="Z449" s="389"/>
      <c r="AA449" s="389"/>
      <c r="AB449" s="389"/>
      <c r="AC449" s="389"/>
      <c r="AD449" s="389"/>
      <c r="AE449" s="389"/>
      <c r="AF449" s="389"/>
    </row>
    <row r="450" spans="1:32" hidden="1" outlineLevel="3">
      <c r="A450" s="382"/>
      <c r="B450" s="386" t="s">
        <v>285</v>
      </c>
      <c r="C450" s="386" t="s">
        <v>285</v>
      </c>
      <c r="D450" s="382" t="s">
        <v>28</v>
      </c>
      <c r="E450" s="382" t="s">
        <v>29</v>
      </c>
      <c r="F450" s="440" t="s">
        <v>281</v>
      </c>
      <c r="G450" s="411">
        <v>0</v>
      </c>
      <c r="H450" s="411" t="str">
        <f t="shared" si="118"/>
        <v/>
      </c>
      <c r="I450" s="411" t="str">
        <f t="shared" si="118"/>
        <v/>
      </c>
      <c r="J450" s="411" t="str">
        <f t="shared" si="118"/>
        <v/>
      </c>
      <c r="K450" s="411" t="str">
        <f t="shared" si="118"/>
        <v/>
      </c>
      <c r="L450" s="411">
        <f t="shared" si="115"/>
        <v>0</v>
      </c>
      <c r="M450" s="409"/>
      <c r="N450" s="409"/>
      <c r="O450" s="409">
        <v>0</v>
      </c>
      <c r="P450" s="409"/>
      <c r="Q450" s="382"/>
      <c r="R450" s="385" t="str">
        <f t="shared" si="116"/>
        <v>T</v>
      </c>
      <c r="S450" s="389"/>
      <c r="T450" s="389"/>
      <c r="U450" s="389"/>
      <c r="V450" s="389"/>
      <c r="W450" s="389"/>
      <c r="X450" s="389"/>
      <c r="Y450" s="389"/>
      <c r="Z450" s="389"/>
      <c r="AA450" s="389"/>
      <c r="AB450" s="389"/>
      <c r="AC450" s="389"/>
      <c r="AD450" s="389"/>
      <c r="AE450" s="389"/>
      <c r="AF450" s="389"/>
    </row>
    <row r="451" spans="1:32" hidden="1" outlineLevel="3">
      <c r="A451" s="382"/>
      <c r="B451" s="386" t="s">
        <v>285</v>
      </c>
      <c r="C451" s="386" t="s">
        <v>285</v>
      </c>
      <c r="D451" s="382" t="s">
        <v>28</v>
      </c>
      <c r="E451" s="382" t="s">
        <v>29</v>
      </c>
      <c r="F451" s="440" t="s">
        <v>287</v>
      </c>
      <c r="G451" s="411">
        <v>0</v>
      </c>
      <c r="H451" s="411" t="str">
        <f t="shared" si="118"/>
        <v/>
      </c>
      <c r="I451" s="411" t="str">
        <f t="shared" si="118"/>
        <v/>
      </c>
      <c r="J451" s="411" t="str">
        <f t="shared" si="118"/>
        <v/>
      </c>
      <c r="K451" s="411" t="str">
        <f t="shared" si="118"/>
        <v/>
      </c>
      <c r="L451" s="411">
        <f t="shared" si="115"/>
        <v>0</v>
      </c>
      <c r="M451" s="409"/>
      <c r="N451" s="409"/>
      <c r="O451" s="409">
        <v>0</v>
      </c>
      <c r="P451" s="409"/>
      <c r="Q451" s="382"/>
      <c r="R451" s="385" t="str">
        <f t="shared" si="116"/>
        <v>T</v>
      </c>
      <c r="S451" s="389"/>
      <c r="T451" s="389"/>
      <c r="U451" s="389"/>
      <c r="V451" s="389"/>
      <c r="W451" s="389"/>
      <c r="X451" s="389"/>
      <c r="Y451" s="389"/>
      <c r="Z451" s="389"/>
      <c r="AA451" s="389"/>
      <c r="AB451" s="389"/>
      <c r="AC451" s="389"/>
      <c r="AD451" s="389"/>
      <c r="AE451" s="389"/>
      <c r="AF451" s="389"/>
    </row>
    <row r="452" spans="1:32" hidden="1" outlineLevel="3">
      <c r="A452" s="382"/>
      <c r="B452" s="386" t="s">
        <v>285</v>
      </c>
      <c r="C452" s="386" t="s">
        <v>285</v>
      </c>
      <c r="D452" s="382" t="s">
        <v>28</v>
      </c>
      <c r="E452" s="382" t="s">
        <v>29</v>
      </c>
      <c r="F452" s="440" t="s">
        <v>284</v>
      </c>
      <c r="G452" s="411">
        <v>0</v>
      </c>
      <c r="H452" s="411" t="str">
        <f t="shared" si="118"/>
        <v/>
      </c>
      <c r="I452" s="411" t="str">
        <f t="shared" si="118"/>
        <v/>
      </c>
      <c r="J452" s="411" t="str">
        <f t="shared" si="118"/>
        <v/>
      </c>
      <c r="K452" s="411" t="str">
        <f t="shared" si="118"/>
        <v/>
      </c>
      <c r="L452" s="411">
        <f t="shared" si="115"/>
        <v>0</v>
      </c>
      <c r="M452" s="409"/>
      <c r="N452" s="409"/>
      <c r="O452" s="409"/>
      <c r="P452" s="409">
        <v>0</v>
      </c>
      <c r="Q452" s="382"/>
      <c r="R452" s="385" t="str">
        <f t="shared" si="116"/>
        <v>T</v>
      </c>
      <c r="S452" s="389"/>
      <c r="T452" s="389"/>
      <c r="U452" s="389"/>
      <c r="V452" s="389"/>
      <c r="W452" s="389"/>
      <c r="X452" s="389"/>
      <c r="Y452" s="389"/>
      <c r="Z452" s="389"/>
      <c r="AA452" s="389"/>
      <c r="AB452" s="389"/>
      <c r="AC452" s="389"/>
      <c r="AD452" s="389"/>
      <c r="AE452" s="389"/>
      <c r="AF452" s="389"/>
    </row>
    <row r="453" spans="1:32" hidden="1" outlineLevel="2" collapsed="1">
      <c r="A453" s="382"/>
      <c r="B453" s="386" t="s">
        <v>285</v>
      </c>
      <c r="C453" s="386" t="s">
        <v>285</v>
      </c>
      <c r="D453" s="382" t="s">
        <v>64</v>
      </c>
      <c r="E453" s="382"/>
      <c r="F453" s="440" t="s">
        <v>87</v>
      </c>
      <c r="G453" s="387">
        <v>0</v>
      </c>
      <c r="H453" s="387">
        <f>SUM(H454:H457)</f>
        <v>0</v>
      </c>
      <c r="I453" s="387">
        <f>SUM(I454:I457)</f>
        <v>0</v>
      </c>
      <c r="J453" s="387">
        <f>SUM(J454:J457)</f>
        <v>0</v>
      </c>
      <c r="K453" s="387">
        <f>SUM(K454:K457)</f>
        <v>0</v>
      </c>
      <c r="L453" s="387">
        <f t="shared" si="115"/>
        <v>0</v>
      </c>
      <c r="M453" s="388">
        <f>SUM(M454:M457)</f>
        <v>0</v>
      </c>
      <c r="N453" s="388">
        <f>SUM(N454:N457)</f>
        <v>0</v>
      </c>
      <c r="O453" s="388">
        <f>SUM(O454:O457)</f>
        <v>0</v>
      </c>
      <c r="P453" s="388">
        <f>SUM(P454:P457)</f>
        <v>0</v>
      </c>
      <c r="Q453" s="382"/>
      <c r="R453" s="385" t="str">
        <f t="shared" si="116"/>
        <v>T</v>
      </c>
      <c r="S453" s="389"/>
      <c r="T453" s="389"/>
      <c r="U453" s="389"/>
      <c r="V453" s="389"/>
      <c r="W453" s="389"/>
      <c r="X453" s="389"/>
      <c r="Y453" s="389"/>
      <c r="Z453" s="389"/>
      <c r="AA453" s="389"/>
      <c r="AB453" s="389"/>
      <c r="AC453" s="389"/>
      <c r="AD453" s="389"/>
      <c r="AE453" s="389"/>
      <c r="AF453" s="389"/>
    </row>
    <row r="454" spans="1:32" hidden="1" outlineLevel="3">
      <c r="A454" s="382"/>
      <c r="B454" s="386" t="s">
        <v>285</v>
      </c>
      <c r="C454" s="386" t="s">
        <v>285</v>
      </c>
      <c r="D454" s="382" t="s">
        <v>64</v>
      </c>
      <c r="E454" s="382" t="s">
        <v>29</v>
      </c>
      <c r="F454" s="440" t="s">
        <v>279</v>
      </c>
      <c r="G454" s="411">
        <v>0</v>
      </c>
      <c r="H454" s="411" t="str">
        <f t="shared" ref="H454:K457" si="119">IF(M454=1,$G454,"")</f>
        <v/>
      </c>
      <c r="I454" s="411" t="str">
        <f t="shared" si="119"/>
        <v/>
      </c>
      <c r="J454" s="411" t="str">
        <f t="shared" si="119"/>
        <v/>
      </c>
      <c r="K454" s="411" t="str">
        <f t="shared" si="119"/>
        <v/>
      </c>
      <c r="L454" s="411">
        <f t="shared" si="115"/>
        <v>0</v>
      </c>
      <c r="M454" s="409">
        <v>0</v>
      </c>
      <c r="N454" s="409"/>
      <c r="O454" s="409"/>
      <c r="P454" s="409"/>
      <c r="Q454" s="382"/>
      <c r="R454" s="385" t="str">
        <f t="shared" si="116"/>
        <v>T</v>
      </c>
      <c r="S454" s="389"/>
      <c r="T454" s="389"/>
      <c r="U454" s="389"/>
      <c r="V454" s="389"/>
      <c r="W454" s="389"/>
      <c r="X454" s="389"/>
      <c r="Y454" s="389"/>
      <c r="Z454" s="389"/>
      <c r="AA454" s="389"/>
      <c r="AB454" s="389"/>
      <c r="AC454" s="389"/>
      <c r="AD454" s="389"/>
      <c r="AE454" s="389"/>
      <c r="AF454" s="389"/>
    </row>
    <row r="455" spans="1:32" hidden="1" outlineLevel="3">
      <c r="A455" s="382"/>
      <c r="B455" s="386" t="s">
        <v>285</v>
      </c>
      <c r="C455" s="386" t="s">
        <v>285</v>
      </c>
      <c r="D455" s="382" t="s">
        <v>64</v>
      </c>
      <c r="E455" s="382" t="s">
        <v>29</v>
      </c>
      <c r="F455" s="440" t="s">
        <v>33</v>
      </c>
      <c r="G455" s="411">
        <v>0</v>
      </c>
      <c r="H455" s="411" t="str">
        <f t="shared" si="119"/>
        <v/>
      </c>
      <c r="I455" s="411" t="str">
        <f t="shared" si="119"/>
        <v/>
      </c>
      <c r="J455" s="411" t="str">
        <f t="shared" si="119"/>
        <v/>
      </c>
      <c r="K455" s="411" t="str">
        <f t="shared" si="119"/>
        <v/>
      </c>
      <c r="L455" s="411">
        <f t="shared" si="115"/>
        <v>0</v>
      </c>
      <c r="M455" s="409">
        <v>0</v>
      </c>
      <c r="N455" s="409"/>
      <c r="O455" s="409"/>
      <c r="P455" s="409"/>
      <c r="Q455" s="382"/>
      <c r="R455" s="385" t="str">
        <f t="shared" si="116"/>
        <v>T</v>
      </c>
      <c r="S455" s="389"/>
      <c r="T455" s="389"/>
      <c r="U455" s="389"/>
      <c r="V455" s="389"/>
      <c r="W455" s="389"/>
      <c r="X455" s="389"/>
      <c r="Y455" s="389"/>
      <c r="Z455" s="389"/>
      <c r="AA455" s="389"/>
      <c r="AB455" s="389"/>
      <c r="AC455" s="389"/>
      <c r="AD455" s="389"/>
      <c r="AE455" s="389"/>
      <c r="AF455" s="389"/>
    </row>
    <row r="456" spans="1:32" hidden="1" outlineLevel="3">
      <c r="A456" s="382"/>
      <c r="B456" s="386" t="s">
        <v>285</v>
      </c>
      <c r="C456" s="386" t="s">
        <v>285</v>
      </c>
      <c r="D456" s="382" t="s">
        <v>64</v>
      </c>
      <c r="E456" s="382" t="s">
        <v>29</v>
      </c>
      <c r="F456" s="440" t="s">
        <v>280</v>
      </c>
      <c r="G456" s="411">
        <v>0</v>
      </c>
      <c r="H456" s="411" t="str">
        <f t="shared" si="119"/>
        <v/>
      </c>
      <c r="I456" s="411" t="str">
        <f t="shared" si="119"/>
        <v/>
      </c>
      <c r="J456" s="411" t="str">
        <f t="shared" si="119"/>
        <v/>
      </c>
      <c r="K456" s="411" t="str">
        <f t="shared" si="119"/>
        <v/>
      </c>
      <c r="L456" s="411">
        <f t="shared" si="115"/>
        <v>0</v>
      </c>
      <c r="M456" s="409"/>
      <c r="N456" s="409">
        <v>0</v>
      </c>
      <c r="O456" s="409"/>
      <c r="P456" s="409"/>
      <c r="Q456" s="382"/>
      <c r="R456" s="385" t="str">
        <f t="shared" si="116"/>
        <v>T</v>
      </c>
      <c r="S456" s="389"/>
      <c r="T456" s="389"/>
      <c r="U456" s="389"/>
      <c r="V456" s="389"/>
      <c r="W456" s="389"/>
      <c r="X456" s="389"/>
      <c r="Y456" s="389"/>
      <c r="Z456" s="389"/>
      <c r="AA456" s="389"/>
      <c r="AB456" s="389"/>
      <c r="AC456" s="389"/>
      <c r="AD456" s="389"/>
      <c r="AE456" s="389"/>
      <c r="AF456" s="389"/>
    </row>
    <row r="457" spans="1:32" hidden="1" outlineLevel="3">
      <c r="A457" s="382"/>
      <c r="B457" s="386" t="s">
        <v>285</v>
      </c>
      <c r="C457" s="386" t="s">
        <v>285</v>
      </c>
      <c r="D457" s="382" t="s">
        <v>64</v>
      </c>
      <c r="E457" s="382" t="s">
        <v>29</v>
      </c>
      <c r="F457" s="440" t="s">
        <v>287</v>
      </c>
      <c r="G457" s="411">
        <v>0</v>
      </c>
      <c r="H457" s="411" t="str">
        <f t="shared" si="119"/>
        <v/>
      </c>
      <c r="I457" s="411" t="str">
        <f t="shared" si="119"/>
        <v/>
      </c>
      <c r="J457" s="411" t="str">
        <f t="shared" si="119"/>
        <v/>
      </c>
      <c r="K457" s="411" t="str">
        <f t="shared" si="119"/>
        <v/>
      </c>
      <c r="L457" s="411">
        <f t="shared" si="115"/>
        <v>0</v>
      </c>
      <c r="M457" s="409"/>
      <c r="N457" s="409"/>
      <c r="O457" s="409">
        <v>0</v>
      </c>
      <c r="P457" s="409"/>
      <c r="Q457" s="382"/>
      <c r="R457" s="385" t="str">
        <f t="shared" si="116"/>
        <v>T</v>
      </c>
      <c r="S457" s="389"/>
      <c r="T457" s="389"/>
      <c r="U457" s="389"/>
      <c r="V457" s="389"/>
      <c r="W457" s="389"/>
      <c r="X457" s="389"/>
      <c r="Y457" s="389"/>
      <c r="Z457" s="389"/>
      <c r="AA457" s="389"/>
      <c r="AB457" s="389"/>
      <c r="AC457" s="389"/>
      <c r="AD457" s="389"/>
      <c r="AE457" s="389"/>
      <c r="AF457" s="389"/>
    </row>
    <row r="458" spans="1:32" outlineLevel="1" collapsed="1">
      <c r="A458" s="382"/>
      <c r="B458" s="390" t="s">
        <v>288</v>
      </c>
      <c r="C458" s="390" t="s">
        <v>288</v>
      </c>
      <c r="D458" s="390"/>
      <c r="E458" s="390"/>
      <c r="F458" s="442" t="s">
        <v>289</v>
      </c>
      <c r="G458" s="418">
        <f>SUM(G459,G467,G472,G479)</f>
        <v>2.1239858750000002</v>
      </c>
      <c r="H458" s="418">
        <f>H459+H467+H472+H479</f>
        <v>0.69534587499999978</v>
      </c>
      <c r="I458" s="418">
        <f>I459+I467+I472+I479</f>
        <v>0.80026162499999998</v>
      </c>
      <c r="J458" s="418">
        <f>J459+J467+J472+J479</f>
        <v>0.62837837499999982</v>
      </c>
      <c r="K458" s="418">
        <f>K459+K467+K472+K479</f>
        <v>0</v>
      </c>
      <c r="L458" s="418">
        <f t="shared" si="115"/>
        <v>21</v>
      </c>
      <c r="M458" s="417">
        <f>M459+M467+M472+M479</f>
        <v>8</v>
      </c>
      <c r="N458" s="417">
        <f>N459+N467+N472+N479</f>
        <v>7</v>
      </c>
      <c r="O458" s="417">
        <f>O459+O467+O472+O479</f>
        <v>6</v>
      </c>
      <c r="P458" s="417">
        <f>P459+P467+P472+P479</f>
        <v>0</v>
      </c>
      <c r="Q458" s="382"/>
      <c r="R458" s="385" t="str">
        <f t="shared" si="116"/>
        <v>T</v>
      </c>
      <c r="S458" s="389"/>
      <c r="T458" s="389"/>
      <c r="U458" s="389"/>
      <c r="V458" s="389"/>
      <c r="W458" s="389"/>
      <c r="X458" s="389"/>
      <c r="Y458" s="389"/>
      <c r="Z458" s="389"/>
      <c r="AA458" s="389"/>
      <c r="AB458" s="389"/>
      <c r="AC458" s="389"/>
      <c r="AD458" s="389"/>
      <c r="AE458" s="389"/>
      <c r="AF458" s="389"/>
    </row>
    <row r="459" spans="1:32" hidden="1" outlineLevel="2" collapsed="1">
      <c r="A459" s="382"/>
      <c r="B459" s="386" t="s">
        <v>288</v>
      </c>
      <c r="C459" s="386" t="s">
        <v>288</v>
      </c>
      <c r="D459" s="382" t="s">
        <v>18</v>
      </c>
      <c r="E459" s="386"/>
      <c r="F459" s="440" t="s">
        <v>87</v>
      </c>
      <c r="G459" s="411">
        <f>SUM(G460:G466)</f>
        <v>1.48444625</v>
      </c>
      <c r="H459" s="411">
        <f>SUM(H460:H466)</f>
        <v>0.54690124999999989</v>
      </c>
      <c r="I459" s="411">
        <f>SUM(I460:I466)</f>
        <v>0.46877249999999998</v>
      </c>
      <c r="J459" s="411">
        <f>SUM(J460:J466)</f>
        <v>0.46877249999999993</v>
      </c>
      <c r="K459" s="411">
        <f>SUM(K460:K466)</f>
        <v>0</v>
      </c>
      <c r="L459" s="411">
        <f t="shared" si="115"/>
        <v>7</v>
      </c>
      <c r="M459" s="409">
        <f>SUM(M460:M466)</f>
        <v>3</v>
      </c>
      <c r="N459" s="409">
        <f>SUM(N460:N466)</f>
        <v>2</v>
      </c>
      <c r="O459" s="409">
        <f>SUM(O460:O466)</f>
        <v>2</v>
      </c>
      <c r="P459" s="409">
        <f>SUM(P460:P466)</f>
        <v>0</v>
      </c>
      <c r="Q459" s="382"/>
      <c r="R459" s="385" t="str">
        <f t="shared" si="116"/>
        <v>T</v>
      </c>
      <c r="S459" s="389"/>
      <c r="T459" s="389"/>
      <c r="U459" s="389"/>
      <c r="V459" s="389"/>
      <c r="W459" s="389"/>
      <c r="X459" s="389"/>
      <c r="Y459" s="389"/>
      <c r="Z459" s="389"/>
      <c r="AA459" s="389"/>
      <c r="AB459" s="389"/>
      <c r="AC459" s="389"/>
      <c r="AD459" s="389"/>
      <c r="AE459" s="389"/>
      <c r="AF459" s="389"/>
    </row>
    <row r="460" spans="1:32" hidden="1" outlineLevel="3">
      <c r="A460" s="382"/>
      <c r="B460" s="386" t="s">
        <v>288</v>
      </c>
      <c r="C460" s="386" t="s">
        <v>288</v>
      </c>
      <c r="D460" s="382" t="s">
        <v>18</v>
      </c>
      <c r="E460" s="386" t="s">
        <v>286</v>
      </c>
      <c r="F460" s="440" t="s">
        <v>278</v>
      </c>
      <c r="G460" s="411">
        <v>0.15625749999999999</v>
      </c>
      <c r="H460" s="411">
        <f t="shared" ref="H460:K466" si="120">IF(M460=1,$G460,"")</f>
        <v>0.15625749999999999</v>
      </c>
      <c r="I460" s="411" t="str">
        <f t="shared" si="120"/>
        <v/>
      </c>
      <c r="J460" s="411" t="str">
        <f t="shared" si="120"/>
        <v/>
      </c>
      <c r="K460" s="411" t="str">
        <f t="shared" si="120"/>
        <v/>
      </c>
      <c r="L460" s="411">
        <f t="shared" si="115"/>
        <v>1</v>
      </c>
      <c r="M460" s="409">
        <v>1</v>
      </c>
      <c r="N460" s="409"/>
      <c r="O460" s="409"/>
      <c r="P460" s="409"/>
      <c r="Q460" s="382"/>
      <c r="R460" s="385" t="str">
        <f t="shared" si="116"/>
        <v>T</v>
      </c>
      <c r="S460" s="389"/>
      <c r="T460" s="389"/>
      <c r="U460" s="389"/>
      <c r="V460" s="389"/>
      <c r="W460" s="389"/>
      <c r="X460" s="389"/>
      <c r="Y460" s="389"/>
      <c r="Z460" s="389"/>
      <c r="AA460" s="389"/>
      <c r="AB460" s="389"/>
      <c r="AC460" s="389"/>
      <c r="AD460" s="389"/>
      <c r="AE460" s="389"/>
      <c r="AF460" s="389"/>
    </row>
    <row r="461" spans="1:32" hidden="1" outlineLevel="3">
      <c r="A461" s="382"/>
      <c r="B461" s="386" t="s">
        <v>288</v>
      </c>
      <c r="C461" s="386" t="s">
        <v>288</v>
      </c>
      <c r="D461" s="382" t="s">
        <v>18</v>
      </c>
      <c r="E461" s="386" t="s">
        <v>286</v>
      </c>
      <c r="F461" s="440" t="s">
        <v>279</v>
      </c>
      <c r="G461" s="411">
        <v>0.23438624999999996</v>
      </c>
      <c r="H461" s="411">
        <f t="shared" si="120"/>
        <v>0.23438624999999996</v>
      </c>
      <c r="I461" s="411" t="str">
        <f t="shared" si="120"/>
        <v/>
      </c>
      <c r="J461" s="411" t="str">
        <f t="shared" si="120"/>
        <v/>
      </c>
      <c r="K461" s="411" t="str">
        <f t="shared" si="120"/>
        <v/>
      </c>
      <c r="L461" s="411">
        <f t="shared" si="115"/>
        <v>1</v>
      </c>
      <c r="M461" s="409">
        <v>1</v>
      </c>
      <c r="N461" s="409"/>
      <c r="O461" s="409"/>
      <c r="P461" s="409"/>
      <c r="Q461" s="382"/>
      <c r="R461" s="385" t="str">
        <f t="shared" si="116"/>
        <v>T</v>
      </c>
      <c r="S461" s="389"/>
      <c r="T461" s="389"/>
      <c r="U461" s="389"/>
      <c r="V461" s="389"/>
      <c r="W461" s="389"/>
      <c r="X461" s="389"/>
      <c r="Y461" s="389"/>
      <c r="Z461" s="389"/>
      <c r="AA461" s="389"/>
      <c r="AB461" s="389"/>
      <c r="AC461" s="389"/>
      <c r="AD461" s="389"/>
      <c r="AE461" s="389"/>
      <c r="AF461" s="389"/>
    </row>
    <row r="462" spans="1:32" hidden="1" outlineLevel="3">
      <c r="A462" s="382"/>
      <c r="B462" s="386" t="s">
        <v>288</v>
      </c>
      <c r="C462" s="386" t="s">
        <v>288</v>
      </c>
      <c r="D462" s="382" t="s">
        <v>18</v>
      </c>
      <c r="E462" s="386" t="s">
        <v>286</v>
      </c>
      <c r="F462" s="440" t="s">
        <v>33</v>
      </c>
      <c r="G462" s="411">
        <v>0.15625749999999999</v>
      </c>
      <c r="H462" s="411">
        <f t="shared" si="120"/>
        <v>0.15625749999999999</v>
      </c>
      <c r="I462" s="411" t="str">
        <f t="shared" si="120"/>
        <v/>
      </c>
      <c r="J462" s="411" t="str">
        <f t="shared" si="120"/>
        <v/>
      </c>
      <c r="K462" s="411" t="str">
        <f t="shared" si="120"/>
        <v/>
      </c>
      <c r="L462" s="411">
        <f t="shared" si="115"/>
        <v>1</v>
      </c>
      <c r="M462" s="409">
        <v>1</v>
      </c>
      <c r="N462" s="409"/>
      <c r="O462" s="409"/>
      <c r="P462" s="409"/>
      <c r="Q462" s="382"/>
      <c r="R462" s="385" t="str">
        <f t="shared" si="116"/>
        <v>T</v>
      </c>
      <c r="S462" s="389"/>
      <c r="T462" s="389"/>
      <c r="U462" s="389"/>
      <c r="V462" s="389"/>
      <c r="W462" s="389"/>
      <c r="X462" s="389"/>
      <c r="Y462" s="389"/>
      <c r="Z462" s="389"/>
      <c r="AA462" s="389"/>
      <c r="AB462" s="389"/>
      <c r="AC462" s="389"/>
      <c r="AD462" s="389"/>
      <c r="AE462" s="389"/>
      <c r="AF462" s="389"/>
    </row>
    <row r="463" spans="1:32" hidden="1" outlineLevel="3">
      <c r="A463" s="382"/>
      <c r="B463" s="386" t="s">
        <v>288</v>
      </c>
      <c r="C463" s="386" t="s">
        <v>288</v>
      </c>
      <c r="D463" s="382" t="s">
        <v>18</v>
      </c>
      <c r="E463" s="386" t="s">
        <v>286</v>
      </c>
      <c r="F463" s="440" t="s">
        <v>280</v>
      </c>
      <c r="G463" s="411">
        <v>0.15625749999999999</v>
      </c>
      <c r="H463" s="411" t="str">
        <f t="shared" si="120"/>
        <v/>
      </c>
      <c r="I463" s="411">
        <f t="shared" si="120"/>
        <v>0.15625749999999999</v>
      </c>
      <c r="J463" s="411" t="str">
        <f t="shared" si="120"/>
        <v/>
      </c>
      <c r="K463" s="411" t="str">
        <f t="shared" si="120"/>
        <v/>
      </c>
      <c r="L463" s="411">
        <f t="shared" si="115"/>
        <v>1</v>
      </c>
      <c r="M463" s="409"/>
      <c r="N463" s="409">
        <v>1</v>
      </c>
      <c r="O463" s="409"/>
      <c r="P463" s="409"/>
      <c r="Q463" s="382"/>
      <c r="R463" s="385" t="str">
        <f t="shared" si="116"/>
        <v>T</v>
      </c>
      <c r="S463" s="389"/>
      <c r="T463" s="389"/>
      <c r="U463" s="389"/>
      <c r="V463" s="389"/>
      <c r="W463" s="389"/>
      <c r="X463" s="389"/>
      <c r="Y463" s="389"/>
      <c r="Z463" s="389"/>
      <c r="AA463" s="389"/>
      <c r="AB463" s="389"/>
      <c r="AC463" s="389"/>
      <c r="AD463" s="389"/>
      <c r="AE463" s="389"/>
      <c r="AF463" s="389"/>
    </row>
    <row r="464" spans="1:32" hidden="1" outlineLevel="3">
      <c r="A464" s="382"/>
      <c r="B464" s="386" t="s">
        <v>288</v>
      </c>
      <c r="C464" s="386" t="s">
        <v>288</v>
      </c>
      <c r="D464" s="382" t="s">
        <v>18</v>
      </c>
      <c r="E464" s="386" t="s">
        <v>286</v>
      </c>
      <c r="F464" s="440" t="s">
        <v>281</v>
      </c>
      <c r="G464" s="411">
        <v>0.31251499999999999</v>
      </c>
      <c r="H464" s="411" t="str">
        <f t="shared" si="120"/>
        <v/>
      </c>
      <c r="I464" s="411">
        <f t="shared" si="120"/>
        <v>0.31251499999999999</v>
      </c>
      <c r="J464" s="411" t="str">
        <f t="shared" si="120"/>
        <v/>
      </c>
      <c r="K464" s="411" t="str">
        <f t="shared" si="120"/>
        <v/>
      </c>
      <c r="L464" s="411">
        <f t="shared" si="115"/>
        <v>1</v>
      </c>
      <c r="M464" s="409"/>
      <c r="N464" s="409">
        <v>1</v>
      </c>
      <c r="O464" s="409"/>
      <c r="P464" s="409"/>
      <c r="Q464" s="382"/>
      <c r="R464" s="385" t="str">
        <f t="shared" si="116"/>
        <v>T</v>
      </c>
      <c r="S464" s="389"/>
      <c r="T464" s="389"/>
      <c r="U464" s="389"/>
      <c r="V464" s="389"/>
      <c r="W464" s="389"/>
      <c r="X464" s="389"/>
      <c r="Y464" s="389"/>
      <c r="Z464" s="389"/>
      <c r="AA464" s="389"/>
      <c r="AB464" s="389"/>
      <c r="AC464" s="389"/>
      <c r="AD464" s="389"/>
      <c r="AE464" s="389"/>
      <c r="AF464" s="389"/>
    </row>
    <row r="465" spans="1:32" hidden="1" outlineLevel="3">
      <c r="A465" s="382"/>
      <c r="B465" s="386" t="s">
        <v>288</v>
      </c>
      <c r="C465" s="386" t="s">
        <v>288</v>
      </c>
      <c r="D465" s="382" t="s">
        <v>18</v>
      </c>
      <c r="E465" s="386" t="s">
        <v>286</v>
      </c>
      <c r="F465" s="440" t="s">
        <v>287</v>
      </c>
      <c r="G465" s="411">
        <v>0.23438624999999996</v>
      </c>
      <c r="H465" s="411" t="str">
        <f t="shared" si="120"/>
        <v/>
      </c>
      <c r="I465" s="411" t="str">
        <f t="shared" si="120"/>
        <v/>
      </c>
      <c r="J465" s="411">
        <f t="shared" si="120"/>
        <v>0.23438624999999996</v>
      </c>
      <c r="K465" s="411" t="str">
        <f t="shared" si="120"/>
        <v/>
      </c>
      <c r="L465" s="411">
        <f t="shared" si="115"/>
        <v>1</v>
      </c>
      <c r="M465" s="409"/>
      <c r="N465" s="409"/>
      <c r="O465" s="409">
        <v>1</v>
      </c>
      <c r="P465" s="409"/>
      <c r="Q465" s="382"/>
      <c r="R465" s="385" t="str">
        <f t="shared" si="116"/>
        <v>T</v>
      </c>
      <c r="S465" s="389"/>
      <c r="T465" s="389"/>
      <c r="U465" s="389"/>
      <c r="V465" s="389"/>
      <c r="W465" s="389"/>
      <c r="X465" s="389"/>
      <c r="Y465" s="389"/>
      <c r="Z465" s="389"/>
      <c r="AA465" s="389"/>
      <c r="AB465" s="389"/>
      <c r="AC465" s="389"/>
      <c r="AD465" s="389"/>
      <c r="AE465" s="389"/>
      <c r="AF465" s="389"/>
    </row>
    <row r="466" spans="1:32" hidden="1" outlineLevel="3">
      <c r="A466" s="382"/>
      <c r="B466" s="386" t="s">
        <v>288</v>
      </c>
      <c r="C466" s="386" t="s">
        <v>288</v>
      </c>
      <c r="D466" s="382" t="s">
        <v>18</v>
      </c>
      <c r="E466" s="386" t="s">
        <v>286</v>
      </c>
      <c r="F466" s="440" t="s">
        <v>284</v>
      </c>
      <c r="G466" s="411">
        <v>0.23438624999999996</v>
      </c>
      <c r="H466" s="411" t="str">
        <f t="shared" si="120"/>
        <v/>
      </c>
      <c r="I466" s="411" t="str">
        <f t="shared" si="120"/>
        <v/>
      </c>
      <c r="J466" s="411">
        <f t="shared" si="120"/>
        <v>0.23438624999999996</v>
      </c>
      <c r="K466" s="411" t="str">
        <f t="shared" si="120"/>
        <v/>
      </c>
      <c r="L466" s="411">
        <f t="shared" si="115"/>
        <v>1</v>
      </c>
      <c r="M466" s="409"/>
      <c r="N466" s="409"/>
      <c r="O466" s="409">
        <v>1</v>
      </c>
      <c r="P466" s="409"/>
      <c r="Q466" s="382"/>
      <c r="R466" s="385" t="str">
        <f t="shared" si="116"/>
        <v>T</v>
      </c>
      <c r="S466" s="389"/>
      <c r="T466" s="389"/>
      <c r="U466" s="389"/>
      <c r="V466" s="389"/>
      <c r="W466" s="389"/>
      <c r="X466" s="389"/>
      <c r="Y466" s="389"/>
      <c r="Z466" s="389"/>
      <c r="AA466" s="389"/>
      <c r="AB466" s="389"/>
      <c r="AC466" s="389"/>
      <c r="AD466" s="389"/>
      <c r="AE466" s="389"/>
      <c r="AF466" s="389"/>
    </row>
    <row r="467" spans="1:32" hidden="1" outlineLevel="2" collapsed="1">
      <c r="A467" s="382"/>
      <c r="B467" s="386" t="s">
        <v>288</v>
      </c>
      <c r="C467" s="386" t="s">
        <v>288</v>
      </c>
      <c r="D467" s="382" t="s">
        <v>26</v>
      </c>
      <c r="E467" s="382"/>
      <c r="F467" s="440" t="s">
        <v>87</v>
      </c>
      <c r="G467" s="411">
        <f>SUM(G468:G471)</f>
        <v>0.33930199999999994</v>
      </c>
      <c r="H467" s="411">
        <f>SUM(H468:H471)</f>
        <v>7.1431999999999995E-2</v>
      </c>
      <c r="I467" s="411">
        <f>SUM(I468:I471)</f>
        <v>0.25001200000000001</v>
      </c>
      <c r="J467" s="411">
        <f>SUM(J468:J471)</f>
        <v>1.7857999999999999E-2</v>
      </c>
      <c r="K467" s="411">
        <f>SUM(K468:K471)</f>
        <v>0</v>
      </c>
      <c r="L467" s="411">
        <f t="shared" si="115"/>
        <v>4</v>
      </c>
      <c r="M467" s="409">
        <f>SUM(M468:M471)</f>
        <v>1</v>
      </c>
      <c r="N467" s="409">
        <f>SUM(N468:N471)</f>
        <v>2</v>
      </c>
      <c r="O467" s="409">
        <f>SUM(O468:O471)</f>
        <v>1</v>
      </c>
      <c r="P467" s="409">
        <f>SUM(P468:P471)</f>
        <v>0</v>
      </c>
      <c r="Q467" s="382"/>
      <c r="R467" s="385" t="str">
        <f t="shared" si="116"/>
        <v>T</v>
      </c>
      <c r="S467" s="389"/>
      <c r="T467" s="389"/>
      <c r="U467" s="389"/>
      <c r="V467" s="389"/>
      <c r="W467" s="389"/>
      <c r="X467" s="389"/>
      <c r="Y467" s="389"/>
      <c r="Z467" s="389"/>
      <c r="AA467" s="389"/>
      <c r="AB467" s="389"/>
      <c r="AC467" s="389"/>
      <c r="AD467" s="389"/>
      <c r="AE467" s="389"/>
      <c r="AF467" s="389"/>
    </row>
    <row r="468" spans="1:32" hidden="1" outlineLevel="3">
      <c r="A468" s="382"/>
      <c r="B468" s="386" t="s">
        <v>288</v>
      </c>
      <c r="C468" s="386" t="s">
        <v>288</v>
      </c>
      <c r="D468" s="382" t="s">
        <v>26</v>
      </c>
      <c r="E468" s="386" t="s">
        <v>286</v>
      </c>
      <c r="F468" s="440" t="s">
        <v>279</v>
      </c>
      <c r="G468" s="411">
        <v>7.1431999999999995E-2</v>
      </c>
      <c r="H468" s="411">
        <f t="shared" ref="H468:K471" si="121">IF(M468=1,$G468,"")</f>
        <v>7.1431999999999995E-2</v>
      </c>
      <c r="I468" s="411" t="str">
        <f t="shared" si="121"/>
        <v/>
      </c>
      <c r="J468" s="411" t="str">
        <f t="shared" si="121"/>
        <v/>
      </c>
      <c r="K468" s="411" t="str">
        <f t="shared" si="121"/>
        <v/>
      </c>
      <c r="L468" s="411">
        <f t="shared" si="115"/>
        <v>1</v>
      </c>
      <c r="M468" s="409">
        <v>1</v>
      </c>
      <c r="N468" s="409"/>
      <c r="O468" s="409"/>
      <c r="P468" s="409"/>
      <c r="Q468" s="382"/>
      <c r="R468" s="385" t="str">
        <f t="shared" si="116"/>
        <v>T</v>
      </c>
      <c r="S468" s="389"/>
      <c r="T468" s="389"/>
      <c r="U468" s="389"/>
      <c r="V468" s="389"/>
      <c r="W468" s="389"/>
      <c r="X468" s="389"/>
      <c r="Y468" s="389"/>
      <c r="Z468" s="389"/>
      <c r="AA468" s="389"/>
      <c r="AB468" s="389"/>
      <c r="AC468" s="389"/>
      <c r="AD468" s="389"/>
      <c r="AE468" s="389"/>
      <c r="AF468" s="389"/>
    </row>
    <row r="469" spans="1:32" hidden="1" outlineLevel="3">
      <c r="A469" s="382"/>
      <c r="B469" s="386" t="s">
        <v>288</v>
      </c>
      <c r="C469" s="386" t="s">
        <v>288</v>
      </c>
      <c r="D469" s="382" t="s">
        <v>26</v>
      </c>
      <c r="E469" s="386" t="s">
        <v>286</v>
      </c>
      <c r="F469" s="440" t="s">
        <v>280</v>
      </c>
      <c r="G469" s="411">
        <v>7.1431999999999995E-2</v>
      </c>
      <c r="H469" s="411" t="str">
        <f t="shared" si="121"/>
        <v/>
      </c>
      <c r="I469" s="411">
        <f t="shared" si="121"/>
        <v>7.1431999999999995E-2</v>
      </c>
      <c r="J469" s="411" t="str">
        <f t="shared" si="121"/>
        <v/>
      </c>
      <c r="K469" s="411" t="str">
        <f t="shared" si="121"/>
        <v/>
      </c>
      <c r="L469" s="411">
        <f t="shared" ref="L469:L500" si="122">SUM(M469:P469)</f>
        <v>1</v>
      </c>
      <c r="M469" s="409"/>
      <c r="N469" s="409">
        <v>1</v>
      </c>
      <c r="O469" s="409"/>
      <c r="P469" s="409"/>
      <c r="Q469" s="382"/>
      <c r="R469" s="385" t="str">
        <f t="shared" ref="R469:R500" si="123">IF(SUM(M469:P469)=L469,"T","F")</f>
        <v>T</v>
      </c>
      <c r="S469" s="389"/>
      <c r="T469" s="389"/>
      <c r="U469" s="389"/>
      <c r="V469" s="389"/>
      <c r="W469" s="389"/>
      <c r="X469" s="389"/>
      <c r="Y469" s="389"/>
      <c r="Z469" s="389"/>
      <c r="AA469" s="389"/>
      <c r="AB469" s="389"/>
      <c r="AC469" s="389"/>
      <c r="AD469" s="389"/>
      <c r="AE469" s="389"/>
      <c r="AF469" s="389"/>
    </row>
    <row r="470" spans="1:32" hidden="1" outlineLevel="3">
      <c r="A470" s="382"/>
      <c r="B470" s="386" t="s">
        <v>288</v>
      </c>
      <c r="C470" s="386" t="s">
        <v>288</v>
      </c>
      <c r="D470" s="382" t="s">
        <v>26</v>
      </c>
      <c r="E470" s="386" t="s">
        <v>286</v>
      </c>
      <c r="F470" s="440" t="s">
        <v>281</v>
      </c>
      <c r="G470" s="411">
        <v>0.17857999999999999</v>
      </c>
      <c r="H470" s="411" t="str">
        <f t="shared" si="121"/>
        <v/>
      </c>
      <c r="I470" s="411">
        <f t="shared" si="121"/>
        <v>0.17857999999999999</v>
      </c>
      <c r="J470" s="411" t="str">
        <f t="shared" si="121"/>
        <v/>
      </c>
      <c r="K470" s="411" t="str">
        <f t="shared" si="121"/>
        <v/>
      </c>
      <c r="L470" s="411">
        <f t="shared" si="122"/>
        <v>1</v>
      </c>
      <c r="M470" s="409"/>
      <c r="N470" s="409">
        <v>1</v>
      </c>
      <c r="O470" s="409"/>
      <c r="P470" s="409"/>
      <c r="Q470" s="382"/>
      <c r="R470" s="385" t="str">
        <f t="shared" si="123"/>
        <v>T</v>
      </c>
      <c r="S470" s="389"/>
      <c r="T470" s="389"/>
      <c r="U470" s="389"/>
      <c r="V470" s="389"/>
      <c r="W470" s="389"/>
      <c r="X470" s="389"/>
      <c r="Y470" s="389"/>
      <c r="Z470" s="389"/>
      <c r="AA470" s="389"/>
      <c r="AB470" s="389"/>
      <c r="AC470" s="389"/>
      <c r="AD470" s="389"/>
      <c r="AE470" s="389"/>
      <c r="AF470" s="389"/>
    </row>
    <row r="471" spans="1:32" hidden="1" outlineLevel="3">
      <c r="A471" s="382"/>
      <c r="B471" s="386" t="s">
        <v>288</v>
      </c>
      <c r="C471" s="386" t="s">
        <v>288</v>
      </c>
      <c r="D471" s="382" t="s">
        <v>26</v>
      </c>
      <c r="E471" s="386" t="s">
        <v>286</v>
      </c>
      <c r="F471" s="440" t="s">
        <v>287</v>
      </c>
      <c r="G471" s="411">
        <v>1.7857999999999999E-2</v>
      </c>
      <c r="H471" s="411" t="str">
        <f t="shared" si="121"/>
        <v/>
      </c>
      <c r="I471" s="411" t="str">
        <f t="shared" si="121"/>
        <v/>
      </c>
      <c r="J471" s="411">
        <f t="shared" si="121"/>
        <v>1.7857999999999999E-2</v>
      </c>
      <c r="K471" s="411" t="str">
        <f t="shared" si="121"/>
        <v/>
      </c>
      <c r="L471" s="411">
        <f t="shared" si="122"/>
        <v>1</v>
      </c>
      <c r="M471" s="409"/>
      <c r="N471" s="409"/>
      <c r="O471" s="409">
        <v>1</v>
      </c>
      <c r="P471" s="409"/>
      <c r="Q471" s="382"/>
      <c r="R471" s="385" t="str">
        <f t="shared" si="123"/>
        <v>T</v>
      </c>
      <c r="S471" s="389"/>
      <c r="T471" s="389"/>
      <c r="U471" s="389"/>
      <c r="V471" s="389"/>
      <c r="W471" s="389"/>
      <c r="X471" s="389"/>
      <c r="Y471" s="389"/>
      <c r="Z471" s="389"/>
      <c r="AA471" s="389"/>
      <c r="AB471" s="389"/>
      <c r="AC471" s="389"/>
      <c r="AD471" s="389"/>
      <c r="AE471" s="389"/>
      <c r="AF471" s="389"/>
    </row>
    <row r="472" spans="1:32" hidden="1" outlineLevel="2" collapsed="1">
      <c r="A472" s="382"/>
      <c r="B472" s="386" t="s">
        <v>288</v>
      </c>
      <c r="C472" s="386" t="s">
        <v>288</v>
      </c>
      <c r="D472" s="382" t="s">
        <v>28</v>
      </c>
      <c r="E472" s="382"/>
      <c r="F472" s="440" t="s">
        <v>87</v>
      </c>
      <c r="G472" s="411">
        <f>SUM(G473:G478)</f>
        <v>0.19085737500000002</v>
      </c>
      <c r="H472" s="411">
        <f>SUM(H473:H478)</f>
        <v>4.0180500000000001E-2</v>
      </c>
      <c r="I472" s="411">
        <f>SUM(I473:I478)</f>
        <v>7.0315875E-2</v>
      </c>
      <c r="J472" s="411">
        <f>SUM(J473:J478)</f>
        <v>8.0361000000000002E-2</v>
      </c>
      <c r="K472" s="411">
        <f>SUM(K473:K478)</f>
        <v>0</v>
      </c>
      <c r="L472" s="411">
        <f t="shared" si="122"/>
        <v>6</v>
      </c>
      <c r="M472" s="409">
        <f>SUM(M473:M478)</f>
        <v>2</v>
      </c>
      <c r="N472" s="409">
        <f>SUM(N473:N478)</f>
        <v>2</v>
      </c>
      <c r="O472" s="409">
        <f>SUM(O473:O478)</f>
        <v>2</v>
      </c>
      <c r="P472" s="409">
        <f>SUM(P473:P478)</f>
        <v>0</v>
      </c>
      <c r="Q472" s="382"/>
      <c r="R472" s="385" t="str">
        <f t="shared" si="123"/>
        <v>T</v>
      </c>
      <c r="S472" s="389"/>
      <c r="T472" s="389"/>
      <c r="U472" s="389"/>
      <c r="V472" s="389"/>
      <c r="W472" s="389"/>
      <c r="X472" s="389"/>
      <c r="Y472" s="389"/>
      <c r="Z472" s="389"/>
      <c r="AA472" s="389"/>
      <c r="AB472" s="389"/>
      <c r="AC472" s="389"/>
      <c r="AD472" s="389"/>
      <c r="AE472" s="389"/>
      <c r="AF472" s="389"/>
    </row>
    <row r="473" spans="1:32" hidden="1" outlineLevel="3">
      <c r="A473" s="382"/>
      <c r="B473" s="386" t="s">
        <v>288</v>
      </c>
      <c r="C473" s="386" t="s">
        <v>288</v>
      </c>
      <c r="D473" s="382" t="s">
        <v>28</v>
      </c>
      <c r="E473" s="386" t="s">
        <v>286</v>
      </c>
      <c r="F473" s="440" t="s">
        <v>279</v>
      </c>
      <c r="G473" s="411">
        <v>2.009025E-2</v>
      </c>
      <c r="H473" s="411">
        <f t="shared" ref="H473:K478" si="124">IF(M473=1,$G473,"")</f>
        <v>2.009025E-2</v>
      </c>
      <c r="I473" s="411" t="str">
        <f t="shared" si="124"/>
        <v/>
      </c>
      <c r="J473" s="411" t="str">
        <f t="shared" si="124"/>
        <v/>
      </c>
      <c r="K473" s="411" t="str">
        <f t="shared" si="124"/>
        <v/>
      </c>
      <c r="L473" s="411">
        <f t="shared" si="122"/>
        <v>1</v>
      </c>
      <c r="M473" s="409">
        <v>1</v>
      </c>
      <c r="N473" s="409"/>
      <c r="O473" s="409"/>
      <c r="P473" s="409"/>
      <c r="Q473" s="382"/>
      <c r="R473" s="385" t="str">
        <f t="shared" si="123"/>
        <v>T</v>
      </c>
      <c r="S473" s="389"/>
      <c r="T473" s="389"/>
      <c r="U473" s="389"/>
      <c r="V473" s="389"/>
      <c r="W473" s="389"/>
      <c r="X473" s="389"/>
      <c r="Y473" s="389"/>
      <c r="Z473" s="389"/>
      <c r="AA473" s="389"/>
      <c r="AB473" s="389"/>
      <c r="AC473" s="389"/>
      <c r="AD473" s="389"/>
      <c r="AE473" s="389"/>
      <c r="AF473" s="389"/>
    </row>
    <row r="474" spans="1:32" hidden="1" outlineLevel="3">
      <c r="A474" s="382"/>
      <c r="B474" s="386" t="s">
        <v>288</v>
      </c>
      <c r="C474" s="386" t="s">
        <v>288</v>
      </c>
      <c r="D474" s="382" t="s">
        <v>28</v>
      </c>
      <c r="E474" s="386" t="s">
        <v>286</v>
      </c>
      <c r="F474" s="440" t="s">
        <v>33</v>
      </c>
      <c r="G474" s="411">
        <v>2.009025E-2</v>
      </c>
      <c r="H474" s="411">
        <f t="shared" si="124"/>
        <v>2.009025E-2</v>
      </c>
      <c r="I474" s="411" t="str">
        <f t="shared" si="124"/>
        <v/>
      </c>
      <c r="J474" s="411" t="str">
        <f t="shared" si="124"/>
        <v/>
      </c>
      <c r="K474" s="411" t="str">
        <f t="shared" si="124"/>
        <v/>
      </c>
      <c r="L474" s="411">
        <f t="shared" si="122"/>
        <v>1</v>
      </c>
      <c r="M474" s="409">
        <v>1</v>
      </c>
      <c r="N474" s="409"/>
      <c r="O474" s="409"/>
      <c r="P474" s="409"/>
      <c r="Q474" s="382"/>
      <c r="R474" s="385" t="str">
        <f t="shared" si="123"/>
        <v>T</v>
      </c>
      <c r="S474" s="389"/>
      <c r="T474" s="389"/>
      <c r="U474" s="389"/>
      <c r="V474" s="389"/>
      <c r="W474" s="389"/>
      <c r="X474" s="389"/>
      <c r="Y474" s="389"/>
      <c r="Z474" s="389"/>
      <c r="AA474" s="389"/>
      <c r="AB474" s="389"/>
      <c r="AC474" s="389"/>
      <c r="AD474" s="389"/>
      <c r="AE474" s="389"/>
      <c r="AF474" s="389"/>
    </row>
    <row r="475" spans="1:32" hidden="1" outlineLevel="3">
      <c r="A475" s="382"/>
      <c r="B475" s="386" t="s">
        <v>288</v>
      </c>
      <c r="C475" s="386" t="s">
        <v>288</v>
      </c>
      <c r="D475" s="382" t="s">
        <v>28</v>
      </c>
      <c r="E475" s="386" t="s">
        <v>286</v>
      </c>
      <c r="F475" s="440" t="s">
        <v>280</v>
      </c>
      <c r="G475" s="411">
        <v>2.009025E-2</v>
      </c>
      <c r="H475" s="411" t="str">
        <f t="shared" si="124"/>
        <v/>
      </c>
      <c r="I475" s="411">
        <f t="shared" si="124"/>
        <v>2.009025E-2</v>
      </c>
      <c r="J475" s="411" t="str">
        <f t="shared" si="124"/>
        <v/>
      </c>
      <c r="K475" s="411" t="str">
        <f t="shared" si="124"/>
        <v/>
      </c>
      <c r="L475" s="411">
        <f t="shared" si="122"/>
        <v>1</v>
      </c>
      <c r="M475" s="409"/>
      <c r="N475" s="409">
        <v>1</v>
      </c>
      <c r="O475" s="409"/>
      <c r="P475" s="409"/>
      <c r="Q475" s="382"/>
      <c r="R475" s="385" t="str">
        <f t="shared" si="123"/>
        <v>T</v>
      </c>
      <c r="S475" s="389"/>
      <c r="T475" s="389"/>
      <c r="U475" s="389"/>
      <c r="V475" s="389"/>
      <c r="W475" s="389"/>
      <c r="X475" s="389"/>
      <c r="Y475" s="389"/>
      <c r="Z475" s="389"/>
      <c r="AA475" s="389"/>
      <c r="AB475" s="389"/>
      <c r="AC475" s="389"/>
      <c r="AD475" s="389"/>
      <c r="AE475" s="389"/>
      <c r="AF475" s="389"/>
    </row>
    <row r="476" spans="1:32" hidden="1" outlineLevel="3">
      <c r="A476" s="382"/>
      <c r="B476" s="386" t="s">
        <v>288</v>
      </c>
      <c r="C476" s="386" t="s">
        <v>288</v>
      </c>
      <c r="D476" s="382" t="s">
        <v>28</v>
      </c>
      <c r="E476" s="386" t="s">
        <v>286</v>
      </c>
      <c r="F476" s="440" t="s">
        <v>281</v>
      </c>
      <c r="G476" s="411">
        <v>5.0225625000000003E-2</v>
      </c>
      <c r="H476" s="411" t="str">
        <f t="shared" si="124"/>
        <v/>
      </c>
      <c r="I476" s="411">
        <f t="shared" si="124"/>
        <v>5.0225625000000003E-2</v>
      </c>
      <c r="J476" s="411" t="str">
        <f t="shared" si="124"/>
        <v/>
      </c>
      <c r="K476" s="411" t="str">
        <f t="shared" si="124"/>
        <v/>
      </c>
      <c r="L476" s="411">
        <f t="shared" si="122"/>
        <v>1</v>
      </c>
      <c r="M476" s="409"/>
      <c r="N476" s="409">
        <v>1</v>
      </c>
      <c r="O476" s="409"/>
      <c r="P476" s="409"/>
      <c r="Q476" s="382"/>
      <c r="R476" s="385" t="str">
        <f t="shared" si="123"/>
        <v>T</v>
      </c>
      <c r="S476" s="389"/>
      <c r="T476" s="389"/>
      <c r="U476" s="389"/>
      <c r="V476" s="389"/>
      <c r="W476" s="389"/>
      <c r="X476" s="389"/>
      <c r="Y476" s="389"/>
      <c r="Z476" s="389"/>
      <c r="AA476" s="389"/>
      <c r="AB476" s="389"/>
      <c r="AC476" s="389"/>
      <c r="AD476" s="389"/>
      <c r="AE476" s="389"/>
      <c r="AF476" s="389"/>
    </row>
    <row r="477" spans="1:32" hidden="1" outlineLevel="3">
      <c r="A477" s="382"/>
      <c r="B477" s="386" t="s">
        <v>288</v>
      </c>
      <c r="C477" s="386" t="s">
        <v>288</v>
      </c>
      <c r="D477" s="382" t="s">
        <v>28</v>
      </c>
      <c r="E477" s="386" t="s">
        <v>286</v>
      </c>
      <c r="F477" s="440" t="s">
        <v>287</v>
      </c>
      <c r="G477" s="411">
        <v>4.0180500000000001E-2</v>
      </c>
      <c r="H477" s="411" t="str">
        <f t="shared" si="124"/>
        <v/>
      </c>
      <c r="I477" s="411" t="str">
        <f t="shared" si="124"/>
        <v/>
      </c>
      <c r="J477" s="411">
        <f t="shared" si="124"/>
        <v>4.0180500000000001E-2</v>
      </c>
      <c r="K477" s="411" t="str">
        <f t="shared" si="124"/>
        <v/>
      </c>
      <c r="L477" s="411">
        <f t="shared" si="122"/>
        <v>1</v>
      </c>
      <c r="M477" s="409"/>
      <c r="N477" s="409"/>
      <c r="O477" s="409">
        <v>1</v>
      </c>
      <c r="P477" s="409"/>
      <c r="Q477" s="382"/>
      <c r="R477" s="385" t="str">
        <f t="shared" si="123"/>
        <v>T</v>
      </c>
      <c r="S477" s="389"/>
      <c r="T477" s="389"/>
      <c r="U477" s="389"/>
      <c r="V477" s="389"/>
      <c r="W477" s="389"/>
      <c r="X477" s="389"/>
      <c r="Y477" s="389"/>
      <c r="Z477" s="389"/>
      <c r="AA477" s="389"/>
      <c r="AB477" s="389"/>
      <c r="AC477" s="389"/>
      <c r="AD477" s="389"/>
      <c r="AE477" s="389"/>
      <c r="AF477" s="389"/>
    </row>
    <row r="478" spans="1:32" hidden="1" outlineLevel="3">
      <c r="A478" s="382"/>
      <c r="B478" s="386" t="s">
        <v>288</v>
      </c>
      <c r="C478" s="386" t="s">
        <v>288</v>
      </c>
      <c r="D478" s="382" t="s">
        <v>28</v>
      </c>
      <c r="E478" s="386" t="s">
        <v>286</v>
      </c>
      <c r="F478" s="440" t="s">
        <v>284</v>
      </c>
      <c r="G478" s="411">
        <v>4.0180500000000001E-2</v>
      </c>
      <c r="H478" s="411" t="str">
        <f t="shared" si="124"/>
        <v/>
      </c>
      <c r="I478" s="411" t="str">
        <f t="shared" si="124"/>
        <v/>
      </c>
      <c r="J478" s="411">
        <f t="shared" si="124"/>
        <v>4.0180500000000001E-2</v>
      </c>
      <c r="K478" s="411" t="str">
        <f t="shared" si="124"/>
        <v/>
      </c>
      <c r="L478" s="411">
        <f t="shared" si="122"/>
        <v>1</v>
      </c>
      <c r="M478" s="409"/>
      <c r="N478" s="409"/>
      <c r="O478" s="409">
        <v>1</v>
      </c>
      <c r="P478" s="409"/>
      <c r="Q478" s="382"/>
      <c r="R478" s="385" t="str">
        <f t="shared" si="123"/>
        <v>T</v>
      </c>
      <c r="S478" s="389"/>
      <c r="T478" s="389"/>
      <c r="U478" s="389"/>
      <c r="V478" s="389"/>
      <c r="W478" s="389"/>
      <c r="X478" s="389"/>
      <c r="Y478" s="389"/>
      <c r="Z478" s="389"/>
      <c r="AA478" s="389"/>
      <c r="AB478" s="389"/>
      <c r="AC478" s="389"/>
      <c r="AD478" s="389"/>
      <c r="AE478" s="389"/>
      <c r="AF478" s="389"/>
    </row>
    <row r="479" spans="1:32" hidden="1" outlineLevel="2" collapsed="1">
      <c r="A479" s="382"/>
      <c r="B479" s="386" t="s">
        <v>288</v>
      </c>
      <c r="C479" s="386" t="s">
        <v>288</v>
      </c>
      <c r="D479" s="382" t="s">
        <v>64</v>
      </c>
      <c r="E479" s="386"/>
      <c r="F479" s="440" t="s">
        <v>87</v>
      </c>
      <c r="G479" s="411">
        <f>SUM(G480:G483)</f>
        <v>0.10938025</v>
      </c>
      <c r="H479" s="411">
        <f>SUM(H480:H483)</f>
        <v>3.6832125E-2</v>
      </c>
      <c r="I479" s="411">
        <f>SUM(I480:I483)</f>
        <v>1.1161249999999999E-2</v>
      </c>
      <c r="J479" s="411">
        <f>SUM(J480:J483)</f>
        <v>6.1386875E-2</v>
      </c>
      <c r="K479" s="411">
        <f>SUM(K480:K483)</f>
        <v>0</v>
      </c>
      <c r="L479" s="411">
        <f t="shared" si="122"/>
        <v>4</v>
      </c>
      <c r="M479" s="409">
        <f>SUM(M480:M483)</f>
        <v>2</v>
      </c>
      <c r="N479" s="409">
        <f>SUM(N480:N483)</f>
        <v>1</v>
      </c>
      <c r="O479" s="409">
        <f>SUM(O480:O483)</f>
        <v>1</v>
      </c>
      <c r="P479" s="409">
        <f>SUM(P480:P483)</f>
        <v>0</v>
      </c>
      <c r="Q479" s="382"/>
      <c r="R479" s="385" t="str">
        <f t="shared" si="123"/>
        <v>T</v>
      </c>
      <c r="S479" s="389"/>
      <c r="T479" s="389"/>
      <c r="U479" s="389"/>
      <c r="V479" s="389"/>
      <c r="W479" s="389"/>
      <c r="X479" s="389"/>
      <c r="Y479" s="389"/>
      <c r="Z479" s="389"/>
      <c r="AA479" s="389"/>
      <c r="AB479" s="389"/>
      <c r="AC479" s="389"/>
      <c r="AD479" s="389"/>
      <c r="AE479" s="389"/>
      <c r="AF479" s="389"/>
    </row>
    <row r="480" spans="1:32" hidden="1" outlineLevel="3">
      <c r="A480" s="382"/>
      <c r="B480" s="386" t="s">
        <v>288</v>
      </c>
      <c r="C480" s="386" t="s">
        <v>288</v>
      </c>
      <c r="D480" s="382" t="s">
        <v>64</v>
      </c>
      <c r="E480" s="386" t="s">
        <v>286</v>
      </c>
      <c r="F480" s="440" t="s">
        <v>279</v>
      </c>
      <c r="G480" s="411">
        <v>1.6741875E-2</v>
      </c>
      <c r="H480" s="411">
        <f t="shared" ref="H480:K483" si="125">IF(M480=1,$G480,"")</f>
        <v>1.6741875E-2</v>
      </c>
      <c r="I480" s="411" t="str">
        <f t="shared" si="125"/>
        <v/>
      </c>
      <c r="J480" s="411" t="str">
        <f t="shared" si="125"/>
        <v/>
      </c>
      <c r="K480" s="411" t="str">
        <f t="shared" si="125"/>
        <v/>
      </c>
      <c r="L480" s="411">
        <f t="shared" si="122"/>
        <v>1</v>
      </c>
      <c r="M480" s="409">
        <v>1</v>
      </c>
      <c r="N480" s="409"/>
      <c r="O480" s="409"/>
      <c r="P480" s="409"/>
      <c r="Q480" s="382"/>
      <c r="R480" s="385" t="str">
        <f t="shared" si="123"/>
        <v>T</v>
      </c>
      <c r="S480" s="389"/>
      <c r="T480" s="389"/>
      <c r="U480" s="389"/>
      <c r="V480" s="389"/>
      <c r="W480" s="389"/>
      <c r="X480" s="389"/>
      <c r="Y480" s="389"/>
      <c r="Z480" s="389"/>
      <c r="AA480" s="389"/>
      <c r="AB480" s="389"/>
      <c r="AC480" s="389"/>
      <c r="AD480" s="389"/>
      <c r="AE480" s="389"/>
      <c r="AF480" s="389"/>
    </row>
    <row r="481" spans="1:32" hidden="1" outlineLevel="3">
      <c r="A481" s="382"/>
      <c r="B481" s="386" t="s">
        <v>288</v>
      </c>
      <c r="C481" s="386" t="s">
        <v>288</v>
      </c>
      <c r="D481" s="382" t="s">
        <v>64</v>
      </c>
      <c r="E481" s="386" t="s">
        <v>286</v>
      </c>
      <c r="F481" s="440" t="s">
        <v>33</v>
      </c>
      <c r="G481" s="411">
        <v>2.009025E-2</v>
      </c>
      <c r="H481" s="411">
        <f t="shared" si="125"/>
        <v>2.009025E-2</v>
      </c>
      <c r="I481" s="411" t="str">
        <f t="shared" si="125"/>
        <v/>
      </c>
      <c r="J481" s="411" t="str">
        <f t="shared" si="125"/>
        <v/>
      </c>
      <c r="K481" s="411" t="str">
        <f t="shared" si="125"/>
        <v/>
      </c>
      <c r="L481" s="411">
        <f t="shared" si="122"/>
        <v>1</v>
      </c>
      <c r="M481" s="409">
        <v>1</v>
      </c>
      <c r="N481" s="409"/>
      <c r="O481" s="409"/>
      <c r="P481" s="409"/>
      <c r="Q481" s="382"/>
      <c r="R481" s="385" t="str">
        <f t="shared" si="123"/>
        <v>T</v>
      </c>
      <c r="S481" s="389"/>
      <c r="T481" s="389"/>
      <c r="U481" s="389"/>
      <c r="V481" s="389"/>
      <c r="W481" s="389"/>
      <c r="X481" s="389"/>
      <c r="Y481" s="389"/>
      <c r="Z481" s="389"/>
      <c r="AA481" s="389"/>
      <c r="AB481" s="389"/>
      <c r="AC481" s="389"/>
      <c r="AD481" s="389"/>
      <c r="AE481" s="389"/>
      <c r="AF481" s="389"/>
    </row>
    <row r="482" spans="1:32" hidden="1" outlineLevel="3">
      <c r="A482" s="382"/>
      <c r="B482" s="386" t="s">
        <v>288</v>
      </c>
      <c r="C482" s="386" t="s">
        <v>288</v>
      </c>
      <c r="D482" s="382" t="s">
        <v>64</v>
      </c>
      <c r="E482" s="386" t="s">
        <v>286</v>
      </c>
      <c r="F482" s="440" t="s">
        <v>280</v>
      </c>
      <c r="G482" s="411">
        <v>1.1161249999999999E-2</v>
      </c>
      <c r="H482" s="411" t="str">
        <f t="shared" si="125"/>
        <v/>
      </c>
      <c r="I482" s="411">
        <f t="shared" si="125"/>
        <v>1.1161249999999999E-2</v>
      </c>
      <c r="J482" s="411" t="str">
        <f t="shared" si="125"/>
        <v/>
      </c>
      <c r="K482" s="411" t="str">
        <f t="shared" si="125"/>
        <v/>
      </c>
      <c r="L482" s="411">
        <f t="shared" si="122"/>
        <v>1</v>
      </c>
      <c r="M482" s="409"/>
      <c r="N482" s="409">
        <v>1</v>
      </c>
      <c r="O482" s="409"/>
      <c r="P482" s="409"/>
      <c r="Q482" s="382"/>
      <c r="R482" s="385" t="str">
        <f t="shared" si="123"/>
        <v>T</v>
      </c>
      <c r="S482" s="389"/>
      <c r="T482" s="389"/>
      <c r="U482" s="389"/>
      <c r="V482" s="389"/>
      <c r="W482" s="389"/>
      <c r="X482" s="389"/>
      <c r="Y482" s="389"/>
      <c r="Z482" s="389"/>
      <c r="AA482" s="389"/>
      <c r="AB482" s="389"/>
      <c r="AC482" s="389"/>
      <c r="AD482" s="389"/>
      <c r="AE482" s="389"/>
      <c r="AF482" s="389"/>
    </row>
    <row r="483" spans="1:32" hidden="1" outlineLevel="3">
      <c r="A483" s="382"/>
      <c r="B483" s="386" t="s">
        <v>288</v>
      </c>
      <c r="C483" s="386" t="s">
        <v>288</v>
      </c>
      <c r="D483" s="382" t="s">
        <v>64</v>
      </c>
      <c r="E483" s="386" t="s">
        <v>286</v>
      </c>
      <c r="F483" s="440" t="s">
        <v>287</v>
      </c>
      <c r="G483" s="411">
        <v>6.1386875E-2</v>
      </c>
      <c r="H483" s="411" t="str">
        <f t="shared" si="125"/>
        <v/>
      </c>
      <c r="I483" s="411" t="str">
        <f t="shared" si="125"/>
        <v/>
      </c>
      <c r="J483" s="411">
        <f t="shared" si="125"/>
        <v>6.1386875E-2</v>
      </c>
      <c r="K483" s="411" t="str">
        <f t="shared" si="125"/>
        <v/>
      </c>
      <c r="L483" s="411">
        <f t="shared" si="122"/>
        <v>1</v>
      </c>
      <c r="M483" s="409"/>
      <c r="N483" s="409"/>
      <c r="O483" s="409">
        <v>1</v>
      </c>
      <c r="P483" s="409"/>
      <c r="Q483" s="382"/>
      <c r="R483" s="385" t="str">
        <f t="shared" si="123"/>
        <v>T</v>
      </c>
      <c r="S483" s="389"/>
      <c r="T483" s="389"/>
      <c r="U483" s="389"/>
      <c r="V483" s="389"/>
      <c r="W483" s="389"/>
      <c r="X483" s="389"/>
      <c r="Y483" s="389"/>
      <c r="Z483" s="389"/>
      <c r="AA483" s="389"/>
      <c r="AB483" s="389"/>
      <c r="AC483" s="389"/>
      <c r="AD483" s="389"/>
      <c r="AE483" s="389"/>
      <c r="AF483" s="389"/>
    </row>
    <row r="484" spans="1:32" outlineLevel="1" collapsed="1">
      <c r="A484" s="382"/>
      <c r="B484" s="390" t="s">
        <v>290</v>
      </c>
      <c r="C484" s="390" t="s">
        <v>291</v>
      </c>
      <c r="D484" s="395"/>
      <c r="E484" s="390"/>
      <c r="F484" s="442" t="s">
        <v>292</v>
      </c>
      <c r="G484" s="428">
        <f>SUM(G485,G492,G497,G504)</f>
        <v>0.52260000000000006</v>
      </c>
      <c r="H484" s="424">
        <f>SUM(H485,H492,H497,H504)</f>
        <v>0.14100000000000001</v>
      </c>
      <c r="I484" s="424">
        <f>SUM(I485,I492,I497,I504)</f>
        <v>0.31320000000000003</v>
      </c>
      <c r="J484" s="424">
        <f>SUM(J485,J492,J497,J504)</f>
        <v>6.8400000000000002E-2</v>
      </c>
      <c r="K484" s="424">
        <f>SUM(K485,K492,K497,K504)</f>
        <v>0</v>
      </c>
      <c r="L484" s="428">
        <f t="shared" si="122"/>
        <v>19</v>
      </c>
      <c r="M484" s="408">
        <f>SUM(M485,M492,M497,M504)</f>
        <v>6</v>
      </c>
      <c r="N484" s="408">
        <f>SUM(N485,N492,N497,N504)</f>
        <v>11</v>
      </c>
      <c r="O484" s="408">
        <f>SUM(O485,O492,O497,O504)</f>
        <v>2</v>
      </c>
      <c r="P484" s="408">
        <f>SUM(P485,P492,P497,P504)</f>
        <v>0</v>
      </c>
      <c r="Q484" s="382"/>
      <c r="R484" s="385" t="str">
        <f t="shared" si="123"/>
        <v>T</v>
      </c>
      <c r="S484" s="389"/>
      <c r="T484" s="389"/>
      <c r="U484" s="389"/>
      <c r="V484" s="389"/>
      <c r="W484" s="389"/>
      <c r="X484" s="389">
        <v>500</v>
      </c>
      <c r="Y484" s="389">
        <f>Z484-X484</f>
        <v>13</v>
      </c>
      <c r="Z484" s="389">
        <v>513</v>
      </c>
      <c r="AA484" s="389"/>
      <c r="AB484" s="389"/>
      <c r="AC484" s="389"/>
      <c r="AD484" s="389"/>
      <c r="AE484" s="389"/>
      <c r="AF484" s="389"/>
    </row>
    <row r="485" spans="1:32" hidden="1" outlineLevel="2" collapsed="1">
      <c r="A485" s="382"/>
      <c r="B485" s="386" t="s">
        <v>290</v>
      </c>
      <c r="C485" s="386" t="s">
        <v>291</v>
      </c>
      <c r="D485" s="382" t="s">
        <v>18</v>
      </c>
      <c r="E485" s="386"/>
      <c r="F485" s="440" t="s">
        <v>87</v>
      </c>
      <c r="G485" s="387">
        <f>SUM(G486:G491)</f>
        <v>0.35700000000000004</v>
      </c>
      <c r="H485" s="411">
        <f>SUM(H486:H491)</f>
        <v>0.10500000000000001</v>
      </c>
      <c r="I485" s="411">
        <f>SUM(I486:I491)</f>
        <v>0.189</v>
      </c>
      <c r="J485" s="411">
        <f>SUM(J486:J491)</f>
        <v>6.3E-2</v>
      </c>
      <c r="K485" s="411">
        <f>SUM(K486:K491)</f>
        <v>0</v>
      </c>
      <c r="L485" s="387">
        <f t="shared" si="122"/>
        <v>6</v>
      </c>
      <c r="M485" s="388">
        <f>SUM(M486:M491)</f>
        <v>2</v>
      </c>
      <c r="N485" s="388">
        <f>SUM(N486:N491)</f>
        <v>3</v>
      </c>
      <c r="O485" s="388">
        <f>SUM(O486:O491)</f>
        <v>1</v>
      </c>
      <c r="P485" s="388">
        <f>SUM(P486:P491)</f>
        <v>0</v>
      </c>
      <c r="Q485" s="382"/>
      <c r="R485" s="385" t="str">
        <f t="shared" si="123"/>
        <v>T</v>
      </c>
      <c r="S485" s="389"/>
      <c r="T485" s="389"/>
      <c r="U485" s="389"/>
      <c r="V485" s="389"/>
      <c r="W485" s="389"/>
      <c r="X485" s="389"/>
      <c r="Y485" s="389"/>
      <c r="Z485" s="389"/>
      <c r="AA485" s="389"/>
      <c r="AB485" s="389"/>
      <c r="AC485" s="389"/>
      <c r="AD485" s="389"/>
      <c r="AE485" s="389"/>
      <c r="AF485" s="389"/>
    </row>
    <row r="486" spans="1:32" hidden="1" outlineLevel="3">
      <c r="A486" s="382"/>
      <c r="B486" s="386" t="s">
        <v>290</v>
      </c>
      <c r="C486" s="386" t="s">
        <v>291</v>
      </c>
      <c r="D486" s="382" t="s">
        <v>18</v>
      </c>
      <c r="E486" s="386" t="s">
        <v>144</v>
      </c>
      <c r="F486" s="440" t="s">
        <v>279</v>
      </c>
      <c r="G486" s="387">
        <v>6.3E-2</v>
      </c>
      <c r="H486" s="411">
        <f t="shared" ref="H486:K491" si="126">IF(M486=1,$G486,"")</f>
        <v>6.3E-2</v>
      </c>
      <c r="I486" s="411" t="str">
        <f t="shared" si="126"/>
        <v/>
      </c>
      <c r="J486" s="411" t="str">
        <f t="shared" si="126"/>
        <v/>
      </c>
      <c r="K486" s="411" t="str">
        <f t="shared" si="126"/>
        <v/>
      </c>
      <c r="L486" s="387">
        <f t="shared" si="122"/>
        <v>1</v>
      </c>
      <c r="M486" s="388">
        <v>1</v>
      </c>
      <c r="N486" s="388"/>
      <c r="O486" s="388"/>
      <c r="P486" s="388"/>
      <c r="Q486" s="382"/>
      <c r="R486" s="385" t="str">
        <f t="shared" si="123"/>
        <v>T</v>
      </c>
      <c r="S486" s="389"/>
      <c r="T486" s="389"/>
      <c r="U486" s="389"/>
      <c r="V486" s="389"/>
      <c r="W486" s="389"/>
      <c r="X486" s="389"/>
      <c r="Y486" s="389"/>
      <c r="Z486" s="389"/>
      <c r="AA486" s="389"/>
      <c r="AB486" s="389"/>
      <c r="AC486" s="389"/>
      <c r="AD486" s="389"/>
      <c r="AE486" s="389"/>
      <c r="AF486" s="389"/>
    </row>
    <row r="487" spans="1:32" hidden="1" outlineLevel="3">
      <c r="A487" s="382"/>
      <c r="B487" s="386" t="s">
        <v>290</v>
      </c>
      <c r="C487" s="386" t="s">
        <v>291</v>
      </c>
      <c r="D487" s="382" t="s">
        <v>18</v>
      </c>
      <c r="E487" s="386" t="s">
        <v>144</v>
      </c>
      <c r="F487" s="440" t="s">
        <v>33</v>
      </c>
      <c r="G487" s="387">
        <v>4.2000000000000003E-2</v>
      </c>
      <c r="H487" s="411">
        <f t="shared" si="126"/>
        <v>4.2000000000000003E-2</v>
      </c>
      <c r="I487" s="411" t="str">
        <f t="shared" si="126"/>
        <v/>
      </c>
      <c r="J487" s="411" t="str">
        <f t="shared" si="126"/>
        <v/>
      </c>
      <c r="K487" s="411" t="str">
        <f t="shared" si="126"/>
        <v/>
      </c>
      <c r="L487" s="387">
        <f t="shared" si="122"/>
        <v>1</v>
      </c>
      <c r="M487" s="388">
        <v>1</v>
      </c>
      <c r="N487" s="388"/>
      <c r="O487" s="388"/>
      <c r="P487" s="388"/>
      <c r="Q487" s="382"/>
      <c r="R487" s="385" t="str">
        <f t="shared" si="123"/>
        <v>T</v>
      </c>
      <c r="S487" s="389"/>
      <c r="T487" s="389"/>
      <c r="U487" s="389"/>
      <c r="V487" s="389"/>
      <c r="W487" s="389"/>
      <c r="X487" s="389"/>
      <c r="Y487" s="389"/>
      <c r="Z487" s="389"/>
      <c r="AA487" s="389"/>
      <c r="AB487" s="389"/>
      <c r="AC487" s="389"/>
      <c r="AD487" s="389"/>
      <c r="AE487" s="389"/>
      <c r="AF487" s="389"/>
    </row>
    <row r="488" spans="1:32" hidden="1" outlineLevel="3">
      <c r="A488" s="382"/>
      <c r="B488" s="386" t="s">
        <v>290</v>
      </c>
      <c r="C488" s="386" t="s">
        <v>291</v>
      </c>
      <c r="D488" s="382" t="s">
        <v>18</v>
      </c>
      <c r="E488" s="386" t="s">
        <v>144</v>
      </c>
      <c r="F488" s="440" t="s">
        <v>280</v>
      </c>
      <c r="G488" s="387">
        <v>4.2000000000000003E-2</v>
      </c>
      <c r="H488" s="411" t="str">
        <f t="shared" si="126"/>
        <v/>
      </c>
      <c r="I488" s="411">
        <f t="shared" si="126"/>
        <v>4.2000000000000003E-2</v>
      </c>
      <c r="J488" s="411" t="str">
        <f t="shared" si="126"/>
        <v/>
      </c>
      <c r="K488" s="411" t="str">
        <f t="shared" si="126"/>
        <v/>
      </c>
      <c r="L488" s="387">
        <f t="shared" si="122"/>
        <v>1</v>
      </c>
      <c r="M488" s="388"/>
      <c r="N488" s="388">
        <v>1</v>
      </c>
      <c r="O488" s="388"/>
      <c r="P488" s="388"/>
      <c r="Q488" s="382"/>
      <c r="R488" s="385" t="str">
        <f t="shared" si="123"/>
        <v>T</v>
      </c>
      <c r="S488" s="389"/>
      <c r="T488" s="389"/>
      <c r="U488" s="389"/>
      <c r="V488" s="389"/>
      <c r="W488" s="389"/>
      <c r="X488" s="389"/>
      <c r="Y488" s="389"/>
      <c r="Z488" s="389"/>
      <c r="AA488" s="389"/>
      <c r="AB488" s="389"/>
      <c r="AC488" s="389"/>
      <c r="AD488" s="389"/>
      <c r="AE488" s="389"/>
      <c r="AF488" s="389"/>
    </row>
    <row r="489" spans="1:32" hidden="1" outlineLevel="3">
      <c r="A489" s="382"/>
      <c r="B489" s="386" t="s">
        <v>290</v>
      </c>
      <c r="C489" s="386" t="s">
        <v>291</v>
      </c>
      <c r="D489" s="382" t="s">
        <v>18</v>
      </c>
      <c r="E489" s="386" t="s">
        <v>144</v>
      </c>
      <c r="F489" s="440" t="s">
        <v>281</v>
      </c>
      <c r="G489" s="387">
        <v>8.4000000000000005E-2</v>
      </c>
      <c r="H489" s="411" t="str">
        <f t="shared" si="126"/>
        <v/>
      </c>
      <c r="I489" s="411">
        <f t="shared" si="126"/>
        <v>8.4000000000000005E-2</v>
      </c>
      <c r="J489" s="411" t="str">
        <f t="shared" si="126"/>
        <v/>
      </c>
      <c r="K489" s="411" t="str">
        <f t="shared" si="126"/>
        <v/>
      </c>
      <c r="L489" s="387">
        <f t="shared" si="122"/>
        <v>1</v>
      </c>
      <c r="M489" s="388"/>
      <c r="N489" s="388">
        <v>1</v>
      </c>
      <c r="O489" s="388"/>
      <c r="P489" s="388"/>
      <c r="Q489" s="382"/>
      <c r="R489" s="385" t="str">
        <f t="shared" si="123"/>
        <v>T</v>
      </c>
      <c r="S489" s="389"/>
      <c r="T489" s="389"/>
      <c r="U489" s="389"/>
      <c r="V489" s="389"/>
      <c r="W489" s="389"/>
      <c r="X489" s="389"/>
      <c r="Y489" s="389"/>
      <c r="Z489" s="389"/>
      <c r="AA489" s="389"/>
      <c r="AB489" s="389"/>
      <c r="AC489" s="389"/>
      <c r="AD489" s="389"/>
      <c r="AE489" s="389"/>
      <c r="AF489" s="389"/>
    </row>
    <row r="490" spans="1:32" hidden="1" outlineLevel="3">
      <c r="A490" s="382"/>
      <c r="B490" s="386" t="s">
        <v>290</v>
      </c>
      <c r="C490" s="386" t="s">
        <v>291</v>
      </c>
      <c r="D490" s="382" t="s">
        <v>18</v>
      </c>
      <c r="E490" s="386" t="s">
        <v>144</v>
      </c>
      <c r="F490" s="440" t="s">
        <v>287</v>
      </c>
      <c r="G490" s="387">
        <v>6.3E-2</v>
      </c>
      <c r="H490" s="411" t="str">
        <f t="shared" si="126"/>
        <v/>
      </c>
      <c r="I490" s="411">
        <f t="shared" si="126"/>
        <v>6.3E-2</v>
      </c>
      <c r="J490" s="411" t="str">
        <f t="shared" si="126"/>
        <v/>
      </c>
      <c r="K490" s="411" t="str">
        <f t="shared" si="126"/>
        <v/>
      </c>
      <c r="L490" s="387">
        <f t="shared" si="122"/>
        <v>1</v>
      </c>
      <c r="M490" s="388"/>
      <c r="N490" s="388">
        <v>1</v>
      </c>
      <c r="O490" s="388"/>
      <c r="P490" s="388"/>
      <c r="Q490" s="382"/>
      <c r="R490" s="385" t="str">
        <f t="shared" si="123"/>
        <v>T</v>
      </c>
      <c r="S490" s="389"/>
      <c r="T490" s="389"/>
      <c r="U490" s="389"/>
      <c r="V490" s="389"/>
      <c r="W490" s="389"/>
      <c r="X490" s="389"/>
      <c r="Y490" s="389"/>
      <c r="Z490" s="389"/>
      <c r="AA490" s="389"/>
      <c r="AB490" s="389"/>
      <c r="AC490" s="389"/>
      <c r="AD490" s="389"/>
      <c r="AE490" s="389"/>
      <c r="AF490" s="389"/>
    </row>
    <row r="491" spans="1:32" hidden="1" outlineLevel="3">
      <c r="A491" s="382"/>
      <c r="B491" s="386" t="s">
        <v>290</v>
      </c>
      <c r="C491" s="386" t="s">
        <v>291</v>
      </c>
      <c r="D491" s="382" t="s">
        <v>18</v>
      </c>
      <c r="E491" s="386" t="s">
        <v>144</v>
      </c>
      <c r="F491" s="440" t="s">
        <v>284</v>
      </c>
      <c r="G491" s="387">
        <v>6.3E-2</v>
      </c>
      <c r="H491" s="411" t="str">
        <f t="shared" si="126"/>
        <v/>
      </c>
      <c r="I491" s="411" t="str">
        <f t="shared" si="126"/>
        <v/>
      </c>
      <c r="J491" s="411">
        <f t="shared" si="126"/>
        <v>6.3E-2</v>
      </c>
      <c r="K491" s="411" t="str">
        <f t="shared" si="126"/>
        <v/>
      </c>
      <c r="L491" s="387">
        <f t="shared" si="122"/>
        <v>1</v>
      </c>
      <c r="M491" s="388"/>
      <c r="N491" s="388"/>
      <c r="O491" s="388">
        <v>1</v>
      </c>
      <c r="P491" s="388"/>
      <c r="Q491" s="382"/>
      <c r="R491" s="385" t="str">
        <f t="shared" si="123"/>
        <v>T</v>
      </c>
      <c r="S491" s="389"/>
      <c r="T491" s="389"/>
      <c r="U491" s="389"/>
      <c r="V491" s="389"/>
      <c r="W491" s="389"/>
      <c r="X491" s="389"/>
      <c r="Y491" s="389"/>
      <c r="Z491" s="389"/>
      <c r="AA491" s="389"/>
      <c r="AB491" s="389"/>
      <c r="AC491" s="389"/>
      <c r="AD491" s="389"/>
      <c r="AE491" s="389"/>
      <c r="AF491" s="389"/>
    </row>
    <row r="492" spans="1:32" hidden="1" outlineLevel="2" collapsed="1">
      <c r="A492" s="382"/>
      <c r="B492" s="386" t="s">
        <v>290</v>
      </c>
      <c r="C492" s="386" t="s">
        <v>291</v>
      </c>
      <c r="D492" s="382" t="s">
        <v>26</v>
      </c>
      <c r="E492" s="382"/>
      <c r="F492" s="440" t="s">
        <v>87</v>
      </c>
      <c r="G492" s="387">
        <f>SUM(G493:G496)</f>
        <v>9.1200000000000003E-2</v>
      </c>
      <c r="H492" s="387">
        <f>SUM(H493:H496)</f>
        <v>1.9200000000000002E-2</v>
      </c>
      <c r="I492" s="387">
        <f>SUM(I493:I496)</f>
        <v>7.2000000000000008E-2</v>
      </c>
      <c r="J492" s="387">
        <f>SUM(J493:J496)</f>
        <v>0</v>
      </c>
      <c r="K492" s="387">
        <f>SUM(K493:K496)</f>
        <v>0</v>
      </c>
      <c r="L492" s="387">
        <f t="shared" si="122"/>
        <v>4</v>
      </c>
      <c r="M492" s="388">
        <f>SUM(M493:M496)</f>
        <v>1</v>
      </c>
      <c r="N492" s="388">
        <f>SUM(N493:N496)</f>
        <v>3</v>
      </c>
      <c r="O492" s="388">
        <f>SUM(O493:O496)</f>
        <v>0</v>
      </c>
      <c r="P492" s="388">
        <f>SUM(P493:P496)</f>
        <v>0</v>
      </c>
      <c r="Q492" s="382"/>
      <c r="R492" s="385" t="str">
        <f t="shared" si="123"/>
        <v>T</v>
      </c>
      <c r="S492" s="389"/>
      <c r="T492" s="389"/>
      <c r="U492" s="389"/>
      <c r="V492" s="389"/>
      <c r="W492" s="389"/>
      <c r="X492" s="389"/>
      <c r="Y492" s="389"/>
      <c r="Z492" s="389"/>
      <c r="AA492" s="389"/>
      <c r="AB492" s="389"/>
      <c r="AC492" s="389"/>
      <c r="AD492" s="389"/>
      <c r="AE492" s="389"/>
      <c r="AF492" s="389"/>
    </row>
    <row r="493" spans="1:32" hidden="1" outlineLevel="3">
      <c r="A493" s="382"/>
      <c r="B493" s="386" t="s">
        <v>290</v>
      </c>
      <c r="C493" s="386" t="s">
        <v>291</v>
      </c>
      <c r="D493" s="382" t="s">
        <v>26</v>
      </c>
      <c r="E493" s="382" t="s">
        <v>27</v>
      </c>
      <c r="F493" s="440" t="s">
        <v>279</v>
      </c>
      <c r="G493" s="411">
        <v>1.9200000000000002E-2</v>
      </c>
      <c r="H493" s="411">
        <f t="shared" ref="H493:K496" si="127">IF(M493=1,$G493,"")</f>
        <v>1.9200000000000002E-2</v>
      </c>
      <c r="I493" s="411" t="str">
        <f t="shared" si="127"/>
        <v/>
      </c>
      <c r="J493" s="411" t="str">
        <f t="shared" si="127"/>
        <v/>
      </c>
      <c r="K493" s="411" t="str">
        <f t="shared" si="127"/>
        <v/>
      </c>
      <c r="L493" s="411">
        <f t="shared" si="122"/>
        <v>1</v>
      </c>
      <c r="M493" s="409">
        <v>1</v>
      </c>
      <c r="N493" s="409"/>
      <c r="O493" s="409"/>
      <c r="P493" s="409"/>
      <c r="Q493" s="382"/>
      <c r="R493" s="385" t="str">
        <f t="shared" si="123"/>
        <v>T</v>
      </c>
      <c r="S493" s="389"/>
      <c r="T493" s="389"/>
      <c r="U493" s="389"/>
      <c r="V493" s="389"/>
      <c r="W493" s="389"/>
      <c r="X493" s="389"/>
      <c r="Y493" s="389"/>
      <c r="Z493" s="389"/>
      <c r="AA493" s="389"/>
      <c r="AB493" s="389"/>
      <c r="AC493" s="389"/>
      <c r="AD493" s="389"/>
      <c r="AE493" s="389"/>
      <c r="AF493" s="389"/>
    </row>
    <row r="494" spans="1:32" hidden="1" outlineLevel="3">
      <c r="A494" s="382"/>
      <c r="B494" s="386" t="s">
        <v>290</v>
      </c>
      <c r="C494" s="386" t="s">
        <v>291</v>
      </c>
      <c r="D494" s="382" t="s">
        <v>26</v>
      </c>
      <c r="E494" s="382" t="s">
        <v>27</v>
      </c>
      <c r="F494" s="440" t="s">
        <v>280</v>
      </c>
      <c r="G494" s="411">
        <v>1.9200000000000002E-2</v>
      </c>
      <c r="H494" s="411" t="str">
        <f t="shared" si="127"/>
        <v/>
      </c>
      <c r="I494" s="411">
        <f t="shared" si="127"/>
        <v>1.9200000000000002E-2</v>
      </c>
      <c r="J494" s="411" t="str">
        <f t="shared" si="127"/>
        <v/>
      </c>
      <c r="K494" s="411" t="str">
        <f t="shared" si="127"/>
        <v/>
      </c>
      <c r="L494" s="411">
        <f t="shared" si="122"/>
        <v>1</v>
      </c>
      <c r="M494" s="409"/>
      <c r="N494" s="409">
        <v>1</v>
      </c>
      <c r="O494" s="409"/>
      <c r="P494" s="409"/>
      <c r="Q494" s="382"/>
      <c r="R494" s="385" t="str">
        <f t="shared" si="123"/>
        <v>T</v>
      </c>
      <c r="S494" s="389"/>
      <c r="T494" s="389"/>
      <c r="U494" s="389"/>
      <c r="V494" s="389"/>
      <c r="W494" s="389"/>
      <c r="X494" s="389"/>
      <c r="Y494" s="389"/>
      <c r="Z494" s="389"/>
      <c r="AA494" s="389"/>
      <c r="AB494" s="389"/>
      <c r="AC494" s="389"/>
      <c r="AD494" s="389"/>
      <c r="AE494" s="389"/>
      <c r="AF494" s="389"/>
    </row>
    <row r="495" spans="1:32" hidden="1" outlineLevel="3">
      <c r="A495" s="382"/>
      <c r="B495" s="386" t="s">
        <v>290</v>
      </c>
      <c r="C495" s="386" t="s">
        <v>291</v>
      </c>
      <c r="D495" s="382" t="s">
        <v>26</v>
      </c>
      <c r="E495" s="382" t="s">
        <v>27</v>
      </c>
      <c r="F495" s="440" t="s">
        <v>281</v>
      </c>
      <c r="G495" s="411">
        <v>4.8000000000000001E-2</v>
      </c>
      <c r="H495" s="411" t="str">
        <f t="shared" si="127"/>
        <v/>
      </c>
      <c r="I495" s="411">
        <f t="shared" si="127"/>
        <v>4.8000000000000001E-2</v>
      </c>
      <c r="J495" s="411" t="str">
        <f t="shared" si="127"/>
        <v/>
      </c>
      <c r="K495" s="411" t="str">
        <f t="shared" si="127"/>
        <v/>
      </c>
      <c r="L495" s="411">
        <f t="shared" si="122"/>
        <v>1</v>
      </c>
      <c r="M495" s="409"/>
      <c r="N495" s="409">
        <v>1</v>
      </c>
      <c r="O495" s="409"/>
      <c r="P495" s="409"/>
      <c r="Q495" s="382"/>
      <c r="R495" s="385" t="str">
        <f t="shared" si="123"/>
        <v>T</v>
      </c>
      <c r="S495" s="389"/>
      <c r="T495" s="389"/>
      <c r="U495" s="389"/>
      <c r="V495" s="389"/>
      <c r="W495" s="389"/>
      <c r="X495" s="389"/>
      <c r="Y495" s="389"/>
      <c r="Z495" s="389"/>
      <c r="AA495" s="389"/>
      <c r="AB495" s="389"/>
      <c r="AC495" s="389"/>
      <c r="AD495" s="389"/>
      <c r="AE495" s="389"/>
      <c r="AF495" s="389"/>
    </row>
    <row r="496" spans="1:32" hidden="1" outlineLevel="3">
      <c r="A496" s="382"/>
      <c r="B496" s="386" t="s">
        <v>290</v>
      </c>
      <c r="C496" s="386" t="s">
        <v>291</v>
      </c>
      <c r="D496" s="382" t="s">
        <v>26</v>
      </c>
      <c r="E496" s="382" t="s">
        <v>27</v>
      </c>
      <c r="F496" s="440" t="s">
        <v>287</v>
      </c>
      <c r="G496" s="411">
        <v>4.8000000000000004E-3</v>
      </c>
      <c r="H496" s="411" t="str">
        <f t="shared" si="127"/>
        <v/>
      </c>
      <c r="I496" s="411">
        <f t="shared" si="127"/>
        <v>4.8000000000000004E-3</v>
      </c>
      <c r="J496" s="411" t="str">
        <f t="shared" si="127"/>
        <v/>
      </c>
      <c r="K496" s="411" t="str">
        <f t="shared" si="127"/>
        <v/>
      </c>
      <c r="L496" s="411">
        <f t="shared" si="122"/>
        <v>1</v>
      </c>
      <c r="M496" s="409"/>
      <c r="N496" s="409">
        <v>1</v>
      </c>
      <c r="O496" s="409"/>
      <c r="P496" s="409"/>
      <c r="Q496" s="382"/>
      <c r="R496" s="385" t="str">
        <f t="shared" si="123"/>
        <v>T</v>
      </c>
      <c r="S496" s="389"/>
      <c r="T496" s="389"/>
      <c r="U496" s="389"/>
      <c r="V496" s="389"/>
      <c r="W496" s="389"/>
      <c r="X496" s="389"/>
      <c r="Y496" s="389"/>
      <c r="Z496" s="389"/>
      <c r="AA496" s="389"/>
      <c r="AB496" s="389"/>
      <c r="AC496" s="389"/>
      <c r="AD496" s="389"/>
      <c r="AE496" s="389"/>
      <c r="AF496" s="389"/>
    </row>
    <row r="497" spans="1:32" hidden="1" outlineLevel="2" collapsed="1">
      <c r="A497" s="382"/>
      <c r="B497" s="386" t="s">
        <v>290</v>
      </c>
      <c r="C497" s="386" t="s">
        <v>291</v>
      </c>
      <c r="D497" s="382" t="s">
        <v>28</v>
      </c>
      <c r="E497" s="382"/>
      <c r="F497" s="440" t="s">
        <v>87</v>
      </c>
      <c r="G497" s="387">
        <f>SUM(G498:G503)</f>
        <v>4.5900000000000003E-2</v>
      </c>
      <c r="H497" s="387">
        <f>SUM(H498:H503)</f>
        <v>1.0800000000000001E-2</v>
      </c>
      <c r="I497" s="387">
        <f>SUM(I498:I503)</f>
        <v>2.9700000000000004E-2</v>
      </c>
      <c r="J497" s="387">
        <f>SUM(J498:J503)</f>
        <v>5.4000000000000003E-3</v>
      </c>
      <c r="K497" s="387">
        <f>SUM(K498:K503)</f>
        <v>0</v>
      </c>
      <c r="L497" s="387">
        <f t="shared" si="122"/>
        <v>6</v>
      </c>
      <c r="M497" s="388">
        <f>SUM(M498:M503)</f>
        <v>2</v>
      </c>
      <c r="N497" s="388">
        <f>SUM(N498:N503)</f>
        <v>3</v>
      </c>
      <c r="O497" s="388">
        <f>SUM(O498:O503)</f>
        <v>1</v>
      </c>
      <c r="P497" s="388">
        <f>SUM(P498:P503)</f>
        <v>0</v>
      </c>
      <c r="Q497" s="382"/>
      <c r="R497" s="385" t="str">
        <f t="shared" si="123"/>
        <v>T</v>
      </c>
      <c r="S497" s="389"/>
      <c r="T497" s="389"/>
      <c r="U497" s="389"/>
      <c r="V497" s="389"/>
      <c r="W497" s="389"/>
      <c r="X497" s="389"/>
      <c r="Y497" s="389"/>
      <c r="Z497" s="389"/>
      <c r="AA497" s="389"/>
      <c r="AB497" s="389"/>
      <c r="AC497" s="389"/>
      <c r="AD497" s="389"/>
      <c r="AE497" s="389"/>
      <c r="AF497" s="389"/>
    </row>
    <row r="498" spans="1:32" hidden="1" outlineLevel="3">
      <c r="A498" s="382"/>
      <c r="B498" s="386" t="s">
        <v>290</v>
      </c>
      <c r="C498" s="386" t="s">
        <v>291</v>
      </c>
      <c r="D498" s="382" t="s">
        <v>28</v>
      </c>
      <c r="E498" s="382" t="s">
        <v>29</v>
      </c>
      <c r="F498" s="440" t="s">
        <v>279</v>
      </c>
      <c r="G498" s="411">
        <v>5.4000000000000003E-3</v>
      </c>
      <c r="H498" s="411">
        <f t="shared" ref="H498:K503" si="128">IF(M498=1,$G498,"")</f>
        <v>5.4000000000000003E-3</v>
      </c>
      <c r="I498" s="411" t="str">
        <f t="shared" si="128"/>
        <v/>
      </c>
      <c r="J498" s="411" t="str">
        <f t="shared" si="128"/>
        <v/>
      </c>
      <c r="K498" s="411" t="str">
        <f t="shared" si="128"/>
        <v/>
      </c>
      <c r="L498" s="411">
        <f t="shared" si="122"/>
        <v>1</v>
      </c>
      <c r="M498" s="409">
        <v>1</v>
      </c>
      <c r="N498" s="409"/>
      <c r="O498" s="409"/>
      <c r="P498" s="409"/>
      <c r="Q498" s="382"/>
      <c r="R498" s="385" t="str">
        <f t="shared" si="123"/>
        <v>T</v>
      </c>
      <c r="S498" s="389"/>
      <c r="T498" s="389"/>
      <c r="U498" s="389"/>
      <c r="V498" s="389"/>
      <c r="W498" s="389"/>
      <c r="X498" s="389"/>
      <c r="Y498" s="389"/>
      <c r="Z498" s="389"/>
      <c r="AA498" s="389"/>
      <c r="AB498" s="389"/>
      <c r="AC498" s="389"/>
      <c r="AD498" s="389"/>
      <c r="AE498" s="389"/>
      <c r="AF498" s="389"/>
    </row>
    <row r="499" spans="1:32" hidden="1" outlineLevel="3">
      <c r="A499" s="382"/>
      <c r="B499" s="386" t="s">
        <v>290</v>
      </c>
      <c r="C499" s="386" t="s">
        <v>291</v>
      </c>
      <c r="D499" s="382" t="s">
        <v>28</v>
      </c>
      <c r="E499" s="382" t="s">
        <v>29</v>
      </c>
      <c r="F499" s="440" t="s">
        <v>33</v>
      </c>
      <c r="G499" s="411">
        <v>5.4000000000000003E-3</v>
      </c>
      <c r="H499" s="411">
        <f t="shared" si="128"/>
        <v>5.4000000000000003E-3</v>
      </c>
      <c r="I499" s="411" t="str">
        <f t="shared" si="128"/>
        <v/>
      </c>
      <c r="J499" s="411" t="str">
        <f t="shared" si="128"/>
        <v/>
      </c>
      <c r="K499" s="411" t="str">
        <f t="shared" si="128"/>
        <v/>
      </c>
      <c r="L499" s="411">
        <f t="shared" si="122"/>
        <v>1</v>
      </c>
      <c r="M499" s="409">
        <v>1</v>
      </c>
      <c r="N499" s="409"/>
      <c r="O499" s="409"/>
      <c r="P499" s="409"/>
      <c r="Q499" s="382"/>
      <c r="R499" s="385" t="str">
        <f t="shared" si="123"/>
        <v>T</v>
      </c>
      <c r="S499" s="389"/>
      <c r="T499" s="389"/>
      <c r="U499" s="389"/>
      <c r="V499" s="389"/>
      <c r="W499" s="389"/>
      <c r="X499" s="389"/>
      <c r="Y499" s="389"/>
      <c r="Z499" s="389"/>
      <c r="AA499" s="389"/>
      <c r="AB499" s="389"/>
      <c r="AC499" s="389"/>
      <c r="AD499" s="389"/>
      <c r="AE499" s="389"/>
      <c r="AF499" s="389"/>
    </row>
    <row r="500" spans="1:32" hidden="1" outlineLevel="3">
      <c r="A500" s="382"/>
      <c r="B500" s="386" t="s">
        <v>290</v>
      </c>
      <c r="C500" s="386" t="s">
        <v>291</v>
      </c>
      <c r="D500" s="382" t="s">
        <v>28</v>
      </c>
      <c r="E500" s="382" t="s">
        <v>29</v>
      </c>
      <c r="F500" s="440" t="s">
        <v>280</v>
      </c>
      <c r="G500" s="411">
        <v>5.4000000000000003E-3</v>
      </c>
      <c r="H500" s="411" t="str">
        <f t="shared" si="128"/>
        <v/>
      </c>
      <c r="I500" s="411">
        <f t="shared" si="128"/>
        <v>5.4000000000000003E-3</v>
      </c>
      <c r="J500" s="411" t="str">
        <f t="shared" si="128"/>
        <v/>
      </c>
      <c r="K500" s="411" t="str">
        <f t="shared" si="128"/>
        <v/>
      </c>
      <c r="L500" s="411">
        <f t="shared" si="122"/>
        <v>1</v>
      </c>
      <c r="M500" s="409"/>
      <c r="N500" s="409">
        <v>1</v>
      </c>
      <c r="O500" s="409"/>
      <c r="P500" s="409"/>
      <c r="Q500" s="382"/>
      <c r="R500" s="385" t="str">
        <f t="shared" si="123"/>
        <v>T</v>
      </c>
      <c r="S500" s="389"/>
      <c r="T500" s="389"/>
      <c r="U500" s="389"/>
      <c r="V500" s="389"/>
      <c r="W500" s="389"/>
      <c r="X500" s="389"/>
      <c r="Y500" s="389"/>
      <c r="Z500" s="389"/>
      <c r="AA500" s="389"/>
      <c r="AB500" s="389"/>
      <c r="AC500" s="389"/>
      <c r="AD500" s="389"/>
      <c r="AE500" s="389"/>
      <c r="AF500" s="389"/>
    </row>
    <row r="501" spans="1:32" hidden="1" outlineLevel="3">
      <c r="A501" s="382"/>
      <c r="B501" s="386" t="s">
        <v>290</v>
      </c>
      <c r="C501" s="386" t="s">
        <v>291</v>
      </c>
      <c r="D501" s="382" t="s">
        <v>28</v>
      </c>
      <c r="E501" s="382" t="s">
        <v>29</v>
      </c>
      <c r="F501" s="440" t="s">
        <v>281</v>
      </c>
      <c r="G501" s="411">
        <v>1.89E-2</v>
      </c>
      <c r="H501" s="411" t="str">
        <f t="shared" si="128"/>
        <v/>
      </c>
      <c r="I501" s="411">
        <f t="shared" si="128"/>
        <v>1.89E-2</v>
      </c>
      <c r="J501" s="411" t="str">
        <f t="shared" si="128"/>
        <v/>
      </c>
      <c r="K501" s="411" t="str">
        <f t="shared" si="128"/>
        <v/>
      </c>
      <c r="L501" s="411">
        <f t="shared" ref="L501:L532" si="129">SUM(M501:P501)</f>
        <v>1</v>
      </c>
      <c r="M501" s="409"/>
      <c r="N501" s="409">
        <v>1</v>
      </c>
      <c r="O501" s="409"/>
      <c r="P501" s="409"/>
      <c r="Q501" s="382"/>
      <c r="R501" s="385" t="str">
        <f t="shared" ref="R501:R530" si="130">IF(SUM(M501:P501)=L501,"T","F")</f>
        <v>T</v>
      </c>
      <c r="S501" s="389"/>
      <c r="T501" s="389"/>
      <c r="U501" s="389"/>
      <c r="V501" s="389"/>
      <c r="W501" s="389"/>
      <c r="X501" s="389"/>
      <c r="Y501" s="389"/>
      <c r="Z501" s="389"/>
      <c r="AA501" s="389"/>
      <c r="AB501" s="389"/>
      <c r="AC501" s="389"/>
      <c r="AD501" s="389"/>
      <c r="AE501" s="389"/>
      <c r="AF501" s="389"/>
    </row>
    <row r="502" spans="1:32" hidden="1" outlineLevel="3">
      <c r="A502" s="382"/>
      <c r="B502" s="386" t="s">
        <v>290</v>
      </c>
      <c r="C502" s="386" t="s">
        <v>291</v>
      </c>
      <c r="D502" s="382" t="s">
        <v>28</v>
      </c>
      <c r="E502" s="382" t="s">
        <v>29</v>
      </c>
      <c r="F502" s="440" t="s">
        <v>287</v>
      </c>
      <c r="G502" s="411">
        <v>5.4000000000000003E-3</v>
      </c>
      <c r="H502" s="411" t="str">
        <f t="shared" si="128"/>
        <v/>
      </c>
      <c r="I502" s="411">
        <f t="shared" si="128"/>
        <v>5.4000000000000003E-3</v>
      </c>
      <c r="J502" s="411" t="str">
        <f t="shared" si="128"/>
        <v/>
      </c>
      <c r="K502" s="411" t="str">
        <f t="shared" si="128"/>
        <v/>
      </c>
      <c r="L502" s="411">
        <f t="shared" si="129"/>
        <v>1</v>
      </c>
      <c r="M502" s="409"/>
      <c r="N502" s="409">
        <v>1</v>
      </c>
      <c r="O502" s="409"/>
      <c r="P502" s="409"/>
      <c r="Q502" s="382"/>
      <c r="R502" s="385" t="str">
        <f t="shared" si="130"/>
        <v>T</v>
      </c>
      <c r="S502" s="389"/>
      <c r="T502" s="389"/>
      <c r="U502" s="389"/>
      <c r="V502" s="389"/>
      <c r="W502" s="389"/>
      <c r="X502" s="389"/>
      <c r="Y502" s="389"/>
      <c r="Z502" s="389"/>
      <c r="AA502" s="389"/>
      <c r="AB502" s="389"/>
      <c r="AC502" s="389"/>
      <c r="AD502" s="389"/>
      <c r="AE502" s="389"/>
      <c r="AF502" s="389"/>
    </row>
    <row r="503" spans="1:32" hidden="1" outlineLevel="3">
      <c r="A503" s="382"/>
      <c r="B503" s="386" t="s">
        <v>290</v>
      </c>
      <c r="C503" s="386" t="s">
        <v>291</v>
      </c>
      <c r="D503" s="382" t="s">
        <v>28</v>
      </c>
      <c r="E503" s="382" t="s">
        <v>29</v>
      </c>
      <c r="F503" s="440" t="s">
        <v>284</v>
      </c>
      <c r="G503" s="411">
        <v>5.4000000000000003E-3</v>
      </c>
      <c r="H503" s="411" t="str">
        <f t="shared" si="128"/>
        <v/>
      </c>
      <c r="I503" s="411" t="str">
        <f t="shared" si="128"/>
        <v/>
      </c>
      <c r="J503" s="411">
        <f t="shared" si="128"/>
        <v>5.4000000000000003E-3</v>
      </c>
      <c r="K503" s="411" t="str">
        <f t="shared" si="128"/>
        <v/>
      </c>
      <c r="L503" s="411">
        <f t="shared" si="129"/>
        <v>1</v>
      </c>
      <c r="M503" s="409"/>
      <c r="N503" s="409"/>
      <c r="O503" s="409">
        <v>1</v>
      </c>
      <c r="P503" s="409"/>
      <c r="Q503" s="382"/>
      <c r="R503" s="385" t="str">
        <f t="shared" si="130"/>
        <v>T</v>
      </c>
      <c r="S503" s="389"/>
      <c r="T503" s="389"/>
      <c r="U503" s="389"/>
      <c r="V503" s="389"/>
      <c r="W503" s="389"/>
      <c r="X503" s="389"/>
      <c r="Y503" s="389"/>
      <c r="Z503" s="389"/>
      <c r="AA503" s="389"/>
      <c r="AB503" s="389"/>
      <c r="AC503" s="389"/>
      <c r="AD503" s="389"/>
      <c r="AE503" s="389"/>
      <c r="AF503" s="389"/>
    </row>
    <row r="504" spans="1:32" hidden="1" outlineLevel="2" collapsed="1">
      <c r="A504" s="382"/>
      <c r="B504" s="386" t="s">
        <v>290</v>
      </c>
      <c r="C504" s="386" t="s">
        <v>291</v>
      </c>
      <c r="D504" s="382" t="s">
        <v>64</v>
      </c>
      <c r="E504" s="382"/>
      <c r="F504" s="440" t="s">
        <v>87</v>
      </c>
      <c r="G504" s="387">
        <f>SUM(G505:G507)</f>
        <v>2.8500000000000001E-2</v>
      </c>
      <c r="H504" s="387">
        <f>SUM(H505:H507)</f>
        <v>6.0000000000000001E-3</v>
      </c>
      <c r="I504" s="387">
        <f>SUM(I505:I507)</f>
        <v>2.2499999999999999E-2</v>
      </c>
      <c r="J504" s="387">
        <f>SUM(J505:J507)</f>
        <v>0</v>
      </c>
      <c r="K504" s="387">
        <f>SUM(K505:K507)</f>
        <v>0</v>
      </c>
      <c r="L504" s="387">
        <f t="shared" si="129"/>
        <v>3</v>
      </c>
      <c r="M504" s="388">
        <f>SUM(M505:M507)</f>
        <v>1</v>
      </c>
      <c r="N504" s="388">
        <f>SUM(N505:N507)</f>
        <v>2</v>
      </c>
      <c r="O504" s="388">
        <f>SUM(O505:O507)</f>
        <v>0</v>
      </c>
      <c r="P504" s="388">
        <f>SUM(P505:P507)</f>
        <v>0</v>
      </c>
      <c r="Q504" s="382"/>
      <c r="R504" s="385" t="str">
        <f t="shared" si="130"/>
        <v>T</v>
      </c>
      <c r="S504" s="389"/>
      <c r="T504" s="389"/>
      <c r="U504" s="389"/>
      <c r="V504" s="389"/>
      <c r="W504" s="389"/>
      <c r="X504" s="389"/>
      <c r="Y504" s="389"/>
      <c r="Z504" s="389"/>
      <c r="AA504" s="389"/>
      <c r="AB504" s="389"/>
      <c r="AC504" s="389"/>
      <c r="AD504" s="389"/>
      <c r="AE504" s="389"/>
      <c r="AF504" s="389"/>
    </row>
    <row r="505" spans="1:32" hidden="1" outlineLevel="3">
      <c r="A505" s="382"/>
      <c r="B505" s="386" t="s">
        <v>290</v>
      </c>
      <c r="C505" s="386" t="s">
        <v>291</v>
      </c>
      <c r="D505" s="382" t="s">
        <v>64</v>
      </c>
      <c r="E505" s="382" t="s">
        <v>29</v>
      </c>
      <c r="F505" s="440" t="s">
        <v>279</v>
      </c>
      <c r="G505" s="411">
        <v>6.0000000000000001E-3</v>
      </c>
      <c r="H505" s="411">
        <f t="shared" ref="H505:K507" si="131">IF(M505=1,$G505,"")</f>
        <v>6.0000000000000001E-3</v>
      </c>
      <c r="I505" s="411" t="str">
        <f t="shared" si="131"/>
        <v/>
      </c>
      <c r="J505" s="411" t="str">
        <f t="shared" si="131"/>
        <v/>
      </c>
      <c r="K505" s="411" t="str">
        <f t="shared" si="131"/>
        <v/>
      </c>
      <c r="L505" s="411">
        <f t="shared" si="129"/>
        <v>1</v>
      </c>
      <c r="M505" s="409">
        <v>1</v>
      </c>
      <c r="N505" s="409"/>
      <c r="O505" s="409"/>
      <c r="P505" s="409"/>
      <c r="Q505" s="382"/>
      <c r="R505" s="385" t="str">
        <f t="shared" si="130"/>
        <v>T</v>
      </c>
      <c r="S505" s="389"/>
      <c r="T505" s="389"/>
      <c r="U505" s="389"/>
      <c r="V505" s="389"/>
      <c r="W505" s="389"/>
      <c r="X505" s="389"/>
      <c r="Y505" s="389"/>
      <c r="Z505" s="389"/>
      <c r="AA505" s="389"/>
      <c r="AB505" s="389"/>
      <c r="AC505" s="389"/>
      <c r="AD505" s="389"/>
      <c r="AE505" s="389"/>
      <c r="AF505" s="389"/>
    </row>
    <row r="506" spans="1:32" hidden="1" outlineLevel="3">
      <c r="A506" s="382"/>
      <c r="B506" s="386" t="s">
        <v>290</v>
      </c>
      <c r="C506" s="386" t="s">
        <v>291</v>
      </c>
      <c r="D506" s="382" t="s">
        <v>64</v>
      </c>
      <c r="E506" s="382" t="s">
        <v>29</v>
      </c>
      <c r="F506" s="440" t="s">
        <v>280</v>
      </c>
      <c r="G506" s="411">
        <v>6.0000000000000001E-3</v>
      </c>
      <c r="H506" s="411" t="str">
        <f t="shared" si="131"/>
        <v/>
      </c>
      <c r="I506" s="411">
        <f t="shared" si="131"/>
        <v>6.0000000000000001E-3</v>
      </c>
      <c r="J506" s="411" t="str">
        <f t="shared" si="131"/>
        <v/>
      </c>
      <c r="K506" s="411" t="str">
        <f t="shared" si="131"/>
        <v/>
      </c>
      <c r="L506" s="411">
        <f t="shared" si="129"/>
        <v>1</v>
      </c>
      <c r="M506" s="409"/>
      <c r="N506" s="409">
        <v>1</v>
      </c>
      <c r="O506" s="409"/>
      <c r="P506" s="409"/>
      <c r="Q506" s="382"/>
      <c r="R506" s="385" t="str">
        <f t="shared" si="130"/>
        <v>T</v>
      </c>
      <c r="S506" s="389"/>
      <c r="T506" s="389"/>
      <c r="U506" s="389"/>
      <c r="V506" s="389"/>
      <c r="W506" s="389"/>
      <c r="X506" s="389"/>
      <c r="Y506" s="389"/>
      <c r="Z506" s="389"/>
      <c r="AA506" s="389"/>
      <c r="AB506" s="389"/>
      <c r="AC506" s="389"/>
      <c r="AD506" s="389"/>
      <c r="AE506" s="389"/>
      <c r="AF506" s="389"/>
    </row>
    <row r="507" spans="1:32" hidden="1" outlineLevel="3">
      <c r="A507" s="382"/>
      <c r="B507" s="386" t="s">
        <v>290</v>
      </c>
      <c r="C507" s="386" t="s">
        <v>291</v>
      </c>
      <c r="D507" s="382" t="s">
        <v>64</v>
      </c>
      <c r="E507" s="382" t="s">
        <v>29</v>
      </c>
      <c r="F507" s="440" t="s">
        <v>287</v>
      </c>
      <c r="G507" s="411">
        <v>1.6500000000000001E-2</v>
      </c>
      <c r="H507" s="411" t="str">
        <f t="shared" si="131"/>
        <v/>
      </c>
      <c r="I507" s="411">
        <f t="shared" si="131"/>
        <v>1.6500000000000001E-2</v>
      </c>
      <c r="J507" s="411" t="str">
        <f t="shared" si="131"/>
        <v/>
      </c>
      <c r="K507" s="411" t="str">
        <f t="shared" si="131"/>
        <v/>
      </c>
      <c r="L507" s="411">
        <f t="shared" si="129"/>
        <v>1</v>
      </c>
      <c r="M507" s="409"/>
      <c r="N507" s="409">
        <v>1</v>
      </c>
      <c r="O507" s="409"/>
      <c r="P507" s="409"/>
      <c r="Q507" s="382"/>
      <c r="R507" s="385" t="str">
        <f t="shared" si="130"/>
        <v>T</v>
      </c>
      <c r="S507" s="389"/>
      <c r="T507" s="389"/>
      <c r="U507" s="389"/>
      <c r="V507" s="389"/>
      <c r="W507" s="389"/>
      <c r="X507" s="389"/>
      <c r="Y507" s="389"/>
      <c r="Z507" s="389"/>
      <c r="AA507" s="389"/>
      <c r="AB507" s="389"/>
      <c r="AC507" s="389"/>
      <c r="AD507" s="389"/>
      <c r="AE507" s="389"/>
      <c r="AF507" s="389"/>
    </row>
    <row r="508" spans="1:32" ht="26.45" outlineLevel="1" collapsed="1">
      <c r="A508" s="382"/>
      <c r="B508" s="390" t="s">
        <v>293</v>
      </c>
      <c r="C508" s="390" t="s">
        <v>294</v>
      </c>
      <c r="D508" s="395"/>
      <c r="E508" s="390"/>
      <c r="F508" s="442" t="s">
        <v>295</v>
      </c>
      <c r="G508" s="428">
        <f>SUM(G509,G514,G518,G524)</f>
        <v>1.2330479999999999</v>
      </c>
      <c r="H508" s="424">
        <f>SUM(H509,H514,H518,H524)</f>
        <v>1.2330479999999999</v>
      </c>
      <c r="I508" s="424">
        <f>SUM(I509,I514,I518,I524)</f>
        <v>0</v>
      </c>
      <c r="J508" s="424">
        <f>SUM(J509,J514,J518,J524)</f>
        <v>0</v>
      </c>
      <c r="K508" s="424">
        <f>SUM(K509,K514,K518,K524)</f>
        <v>0</v>
      </c>
      <c r="L508" s="428">
        <f t="shared" si="129"/>
        <v>15</v>
      </c>
      <c r="M508" s="408">
        <f>SUM(M509,M514,M518,M524)</f>
        <v>15</v>
      </c>
      <c r="N508" s="408">
        <f>SUM(N509,N514,N518,N524)</f>
        <v>0</v>
      </c>
      <c r="O508" s="408">
        <f>SUM(O509,O514,O518,O524)</f>
        <v>0</v>
      </c>
      <c r="P508" s="408">
        <f>SUM(P509,P514,P518,P524)</f>
        <v>0</v>
      </c>
      <c r="Q508" s="382"/>
      <c r="R508" s="385" t="str">
        <f t="shared" si="130"/>
        <v>T</v>
      </c>
      <c r="S508" s="389"/>
      <c r="T508" s="389"/>
      <c r="U508" s="389"/>
      <c r="V508" s="389"/>
      <c r="W508" s="389"/>
      <c r="X508" s="389"/>
      <c r="Y508" s="389" t="s">
        <v>296</v>
      </c>
      <c r="Z508" s="389">
        <v>1</v>
      </c>
      <c r="AA508" s="389"/>
      <c r="AB508" s="389"/>
      <c r="AC508" s="389"/>
      <c r="AD508" s="389"/>
      <c r="AE508" s="389"/>
      <c r="AF508" s="389"/>
    </row>
    <row r="509" spans="1:32" hidden="1" outlineLevel="2" collapsed="1">
      <c r="A509" s="382"/>
      <c r="B509" s="382" t="s">
        <v>293</v>
      </c>
      <c r="C509" s="386" t="s">
        <v>294</v>
      </c>
      <c r="D509" s="382" t="s">
        <v>18</v>
      </c>
      <c r="E509" s="386"/>
      <c r="F509" s="440" t="s">
        <v>87</v>
      </c>
      <c r="G509" s="387">
        <f>SUM(G510:G513)</f>
        <v>0.77993999999999997</v>
      </c>
      <c r="H509" s="387">
        <f>SUM(H510:H513)</f>
        <v>0.77993999999999997</v>
      </c>
      <c r="I509" s="387">
        <f>SUM(I510:I513)</f>
        <v>0</v>
      </c>
      <c r="J509" s="387">
        <f>SUM(J510:J513)</f>
        <v>0</v>
      </c>
      <c r="K509" s="387">
        <f>SUM(K510:K513)</f>
        <v>0</v>
      </c>
      <c r="L509" s="387">
        <f t="shared" si="129"/>
        <v>4</v>
      </c>
      <c r="M509" s="388">
        <f>SUM(M510:M513)</f>
        <v>4</v>
      </c>
      <c r="N509" s="388">
        <f>SUM(N510:N513)</f>
        <v>0</v>
      </c>
      <c r="O509" s="388">
        <f>SUM(O510:O513)</f>
        <v>0</v>
      </c>
      <c r="P509" s="388">
        <f>SUM(P510:P513)</f>
        <v>0</v>
      </c>
      <c r="Q509" s="382"/>
      <c r="R509" s="385" t="str">
        <f t="shared" si="130"/>
        <v>T</v>
      </c>
      <c r="S509" s="389"/>
      <c r="T509" s="389"/>
      <c r="U509" s="389"/>
      <c r="V509" s="389"/>
      <c r="W509" s="389"/>
      <c r="X509" s="389"/>
      <c r="Y509" s="389"/>
      <c r="Z509" s="389"/>
      <c r="AA509" s="389"/>
      <c r="AB509" s="389"/>
      <c r="AC509" s="389"/>
      <c r="AD509" s="389"/>
      <c r="AE509" s="389"/>
      <c r="AF509" s="389"/>
    </row>
    <row r="510" spans="1:32" hidden="1" outlineLevel="3">
      <c r="A510" s="382"/>
      <c r="B510" s="382" t="s">
        <v>293</v>
      </c>
      <c r="C510" s="386" t="s">
        <v>294</v>
      </c>
      <c r="D510" s="382" t="s">
        <v>18</v>
      </c>
      <c r="E510" s="386" t="s">
        <v>144</v>
      </c>
      <c r="F510" s="440" t="s">
        <v>280</v>
      </c>
      <c r="G510" s="411">
        <v>0.12999000000000002</v>
      </c>
      <c r="H510" s="411">
        <f t="shared" ref="H510:K513" si="132">IF(M510=1,$G510,"")</f>
        <v>0.12999000000000002</v>
      </c>
      <c r="I510" s="411" t="str">
        <f t="shared" si="132"/>
        <v/>
      </c>
      <c r="J510" s="411" t="str">
        <f t="shared" si="132"/>
        <v/>
      </c>
      <c r="K510" s="411" t="str">
        <f t="shared" si="132"/>
        <v/>
      </c>
      <c r="L510" s="411">
        <f t="shared" si="129"/>
        <v>1</v>
      </c>
      <c r="M510" s="388">
        <v>1</v>
      </c>
      <c r="N510" s="388"/>
      <c r="O510" s="388"/>
      <c r="P510" s="388"/>
      <c r="Q510" s="382"/>
      <c r="R510" s="385" t="str">
        <f t="shared" si="130"/>
        <v>T</v>
      </c>
      <c r="S510" s="389"/>
      <c r="T510" s="389"/>
      <c r="U510" s="389"/>
      <c r="V510" s="389"/>
      <c r="W510" s="389"/>
      <c r="X510" s="389"/>
      <c r="Y510" s="389"/>
      <c r="Z510" s="389"/>
      <c r="AA510" s="389"/>
      <c r="AB510" s="389"/>
      <c r="AC510" s="389"/>
      <c r="AD510" s="389"/>
      <c r="AE510" s="389"/>
      <c r="AF510" s="389"/>
    </row>
    <row r="511" spans="1:32" hidden="1" outlineLevel="3">
      <c r="A511" s="382"/>
      <c r="B511" s="382" t="s">
        <v>293</v>
      </c>
      <c r="C511" s="386" t="s">
        <v>294</v>
      </c>
      <c r="D511" s="382" t="s">
        <v>18</v>
      </c>
      <c r="E511" s="386" t="s">
        <v>144</v>
      </c>
      <c r="F511" s="440" t="s">
        <v>281</v>
      </c>
      <c r="G511" s="387">
        <v>0.25998000000000004</v>
      </c>
      <c r="H511" s="411">
        <f t="shared" si="132"/>
        <v>0.25998000000000004</v>
      </c>
      <c r="I511" s="411" t="str">
        <f t="shared" si="132"/>
        <v/>
      </c>
      <c r="J511" s="411" t="str">
        <f t="shared" si="132"/>
        <v/>
      </c>
      <c r="K511" s="411" t="str">
        <f t="shared" si="132"/>
        <v/>
      </c>
      <c r="L511" s="387">
        <f t="shared" si="129"/>
        <v>1</v>
      </c>
      <c r="M511" s="388">
        <v>1</v>
      </c>
      <c r="N511" s="388"/>
      <c r="O511" s="388"/>
      <c r="P511" s="388"/>
      <c r="Q511" s="382"/>
      <c r="R511" s="385" t="str">
        <f t="shared" si="130"/>
        <v>T</v>
      </c>
      <c r="S511" s="389"/>
      <c r="T511" s="389"/>
      <c r="U511" s="389"/>
      <c r="V511" s="389"/>
      <c r="W511" s="389"/>
      <c r="X511" s="389"/>
      <c r="Y511" s="389"/>
      <c r="Z511" s="389"/>
      <c r="AA511" s="389"/>
      <c r="AB511" s="389"/>
      <c r="AC511" s="389"/>
      <c r="AD511" s="389"/>
      <c r="AE511" s="389"/>
      <c r="AF511" s="389"/>
    </row>
    <row r="512" spans="1:32" hidden="1" outlineLevel="3">
      <c r="A512" s="382"/>
      <c r="B512" s="382" t="s">
        <v>293</v>
      </c>
      <c r="C512" s="386" t="s">
        <v>294</v>
      </c>
      <c r="D512" s="382" t="s">
        <v>18</v>
      </c>
      <c r="E512" s="386" t="s">
        <v>144</v>
      </c>
      <c r="F512" s="440" t="s">
        <v>287</v>
      </c>
      <c r="G512" s="387">
        <v>0.19498499999999999</v>
      </c>
      <c r="H512" s="411">
        <f t="shared" si="132"/>
        <v>0.19498499999999999</v>
      </c>
      <c r="I512" s="411" t="str">
        <f t="shared" si="132"/>
        <v/>
      </c>
      <c r="J512" s="411" t="str">
        <f t="shared" si="132"/>
        <v/>
      </c>
      <c r="K512" s="411" t="str">
        <f t="shared" si="132"/>
        <v/>
      </c>
      <c r="L512" s="387">
        <f t="shared" si="129"/>
        <v>1</v>
      </c>
      <c r="M512" s="388">
        <v>1</v>
      </c>
      <c r="N512" s="388"/>
      <c r="O512" s="388"/>
      <c r="P512" s="388"/>
      <c r="Q512" s="382"/>
      <c r="R512" s="385" t="str">
        <f t="shared" si="130"/>
        <v>T</v>
      </c>
      <c r="S512" s="389"/>
      <c r="T512" s="389"/>
      <c r="U512" s="389"/>
      <c r="V512" s="389"/>
      <c r="W512" s="389"/>
      <c r="X512" s="389"/>
      <c r="Y512" s="389"/>
      <c r="Z512" s="389"/>
      <c r="AA512" s="389"/>
      <c r="AB512" s="389"/>
      <c r="AC512" s="389"/>
      <c r="AD512" s="389"/>
      <c r="AE512" s="389"/>
      <c r="AF512" s="389"/>
    </row>
    <row r="513" spans="1:32" hidden="1" outlineLevel="3">
      <c r="A513" s="382"/>
      <c r="B513" s="382" t="s">
        <v>293</v>
      </c>
      <c r="C513" s="386" t="s">
        <v>294</v>
      </c>
      <c r="D513" s="382" t="s">
        <v>18</v>
      </c>
      <c r="E513" s="386" t="s">
        <v>144</v>
      </c>
      <c r="F513" s="440" t="s">
        <v>284</v>
      </c>
      <c r="G513" s="387">
        <v>0.19498499999999999</v>
      </c>
      <c r="H513" s="411">
        <f t="shared" si="132"/>
        <v>0.19498499999999999</v>
      </c>
      <c r="I513" s="411" t="str">
        <f t="shared" si="132"/>
        <v/>
      </c>
      <c r="J513" s="411" t="str">
        <f t="shared" si="132"/>
        <v/>
      </c>
      <c r="K513" s="411" t="str">
        <f t="shared" si="132"/>
        <v/>
      </c>
      <c r="L513" s="387">
        <f t="shared" si="129"/>
        <v>1</v>
      </c>
      <c r="M513" s="388">
        <v>1</v>
      </c>
      <c r="N513" s="388"/>
      <c r="O513" s="388"/>
      <c r="P513" s="388"/>
      <c r="Q513" s="382"/>
      <c r="R513" s="385" t="str">
        <f t="shared" si="130"/>
        <v>T</v>
      </c>
      <c r="S513" s="389"/>
      <c r="T513" s="389"/>
      <c r="U513" s="389"/>
      <c r="V513" s="389"/>
      <c r="W513" s="389"/>
      <c r="X513" s="389"/>
      <c r="Y513" s="389"/>
      <c r="Z513" s="389"/>
      <c r="AA513" s="389"/>
      <c r="AB513" s="389"/>
      <c r="AC513" s="389"/>
      <c r="AD513" s="389"/>
      <c r="AE513" s="389"/>
      <c r="AF513" s="389"/>
    </row>
    <row r="514" spans="1:32" hidden="1" outlineLevel="2" collapsed="1">
      <c r="A514" s="382"/>
      <c r="B514" s="382" t="s">
        <v>293</v>
      </c>
      <c r="C514" s="386" t="s">
        <v>294</v>
      </c>
      <c r="D514" s="382" t="s">
        <v>26</v>
      </c>
      <c r="E514" s="382"/>
      <c r="F514" s="440" t="s">
        <v>87</v>
      </c>
      <c r="G514" s="411">
        <f>SUM(G515:G517)</f>
        <v>0.22284000000000001</v>
      </c>
      <c r="H514" s="411">
        <f>SUM(H515:H517)</f>
        <v>0.22284000000000001</v>
      </c>
      <c r="I514" s="411">
        <f>SUM(I515:I517)</f>
        <v>0</v>
      </c>
      <c r="J514" s="411">
        <f>SUM(J515:J517)</f>
        <v>0</v>
      </c>
      <c r="K514" s="411">
        <f>SUM(K515:K517)</f>
        <v>0</v>
      </c>
      <c r="L514" s="411">
        <f t="shared" si="129"/>
        <v>3</v>
      </c>
      <c r="M514" s="409">
        <f>SUM(M515:M517)</f>
        <v>3</v>
      </c>
      <c r="N514" s="409">
        <f>SUM(N515:N517)</f>
        <v>0</v>
      </c>
      <c r="O514" s="409">
        <f>SUM(O515:O517)</f>
        <v>0</v>
      </c>
      <c r="P514" s="409">
        <f>SUM(P515:P517)</f>
        <v>0</v>
      </c>
      <c r="Q514" s="382"/>
      <c r="R514" s="385" t="str">
        <f t="shared" si="130"/>
        <v>T</v>
      </c>
      <c r="S514" s="389"/>
      <c r="T514" s="389"/>
      <c r="U514" s="389"/>
      <c r="V514" s="389"/>
      <c r="W514" s="389"/>
      <c r="X514" s="389"/>
      <c r="Y514" s="389"/>
      <c r="Z514" s="389"/>
      <c r="AA514" s="389"/>
      <c r="AB514" s="389"/>
      <c r="AC514" s="389"/>
      <c r="AD514" s="389"/>
      <c r="AE514" s="389"/>
      <c r="AF514" s="389"/>
    </row>
    <row r="515" spans="1:32" hidden="1" outlineLevel="3">
      <c r="A515" s="382"/>
      <c r="B515" s="382" t="s">
        <v>293</v>
      </c>
      <c r="C515" s="386" t="s">
        <v>294</v>
      </c>
      <c r="D515" s="382" t="s">
        <v>26</v>
      </c>
      <c r="E515" s="382" t="s">
        <v>27</v>
      </c>
      <c r="F515" s="440" t="s">
        <v>280</v>
      </c>
      <c r="G515" s="411">
        <v>5.9424000000000005E-2</v>
      </c>
      <c r="H515" s="411">
        <f t="shared" ref="H515:K517" si="133">IF(M515=1,$G515,"")</f>
        <v>5.9424000000000005E-2</v>
      </c>
      <c r="I515" s="411" t="str">
        <f t="shared" si="133"/>
        <v/>
      </c>
      <c r="J515" s="411" t="str">
        <f t="shared" si="133"/>
        <v/>
      </c>
      <c r="K515" s="411" t="str">
        <f t="shared" si="133"/>
        <v/>
      </c>
      <c r="L515" s="411">
        <f t="shared" si="129"/>
        <v>1</v>
      </c>
      <c r="M515" s="409">
        <v>1</v>
      </c>
      <c r="N515" s="409"/>
      <c r="O515" s="409"/>
      <c r="P515" s="409"/>
      <c r="Q515" s="382"/>
      <c r="R515" s="385" t="str">
        <f t="shared" si="130"/>
        <v>T</v>
      </c>
      <c r="S515" s="389"/>
      <c r="T515" s="389"/>
      <c r="U515" s="389"/>
      <c r="V515" s="389"/>
      <c r="W515" s="389"/>
      <c r="X515" s="389"/>
      <c r="Y515" s="389"/>
      <c r="Z515" s="389"/>
      <c r="AA515" s="389"/>
      <c r="AB515" s="389"/>
      <c r="AC515" s="389"/>
      <c r="AD515" s="389"/>
      <c r="AE515" s="389"/>
      <c r="AF515" s="389"/>
    </row>
    <row r="516" spans="1:32" hidden="1" outlineLevel="3">
      <c r="A516" s="382"/>
      <c r="B516" s="382" t="s">
        <v>293</v>
      </c>
      <c r="C516" s="386" t="s">
        <v>294</v>
      </c>
      <c r="D516" s="382" t="s">
        <v>26</v>
      </c>
      <c r="E516" s="382" t="s">
        <v>27</v>
      </c>
      <c r="F516" s="440" t="s">
        <v>281</v>
      </c>
      <c r="G516" s="411">
        <v>0.14856</v>
      </c>
      <c r="H516" s="411">
        <f t="shared" si="133"/>
        <v>0.14856</v>
      </c>
      <c r="I516" s="411" t="str">
        <f t="shared" si="133"/>
        <v/>
      </c>
      <c r="J516" s="411" t="str">
        <f t="shared" si="133"/>
        <v/>
      </c>
      <c r="K516" s="411" t="str">
        <f t="shared" si="133"/>
        <v/>
      </c>
      <c r="L516" s="411">
        <f t="shared" si="129"/>
        <v>1</v>
      </c>
      <c r="M516" s="409">
        <v>1</v>
      </c>
      <c r="N516" s="409"/>
      <c r="O516" s="409"/>
      <c r="P516" s="409"/>
      <c r="Q516" s="382"/>
      <c r="R516" s="385" t="str">
        <f t="shared" si="130"/>
        <v>T</v>
      </c>
      <c r="S516" s="389"/>
      <c r="T516" s="389"/>
      <c r="U516" s="389"/>
      <c r="V516" s="389"/>
      <c r="W516" s="389"/>
      <c r="X516" s="389"/>
      <c r="Y516" s="389"/>
      <c r="Z516" s="389"/>
      <c r="AA516" s="389"/>
      <c r="AB516" s="389"/>
      <c r="AC516" s="389"/>
      <c r="AD516" s="389"/>
      <c r="AE516" s="389"/>
      <c r="AF516" s="389"/>
    </row>
    <row r="517" spans="1:32" hidden="1" outlineLevel="3">
      <c r="A517" s="382"/>
      <c r="B517" s="382" t="s">
        <v>293</v>
      </c>
      <c r="C517" s="386" t="s">
        <v>294</v>
      </c>
      <c r="D517" s="382" t="s">
        <v>26</v>
      </c>
      <c r="E517" s="382" t="s">
        <v>27</v>
      </c>
      <c r="F517" s="440" t="s">
        <v>287</v>
      </c>
      <c r="G517" s="411">
        <v>1.4856000000000001E-2</v>
      </c>
      <c r="H517" s="411">
        <f t="shared" si="133"/>
        <v>1.4856000000000001E-2</v>
      </c>
      <c r="I517" s="411" t="str">
        <f t="shared" si="133"/>
        <v/>
      </c>
      <c r="J517" s="411" t="str">
        <f t="shared" si="133"/>
        <v/>
      </c>
      <c r="K517" s="411" t="str">
        <f t="shared" si="133"/>
        <v/>
      </c>
      <c r="L517" s="411">
        <f t="shared" si="129"/>
        <v>1</v>
      </c>
      <c r="M517" s="409">
        <v>1</v>
      </c>
      <c r="N517" s="409"/>
      <c r="O517" s="409"/>
      <c r="P517" s="409"/>
      <c r="Q517" s="382"/>
      <c r="R517" s="385" t="str">
        <f t="shared" si="130"/>
        <v>T</v>
      </c>
      <c r="S517" s="389"/>
      <c r="T517" s="389"/>
      <c r="U517" s="389"/>
      <c r="V517" s="389"/>
      <c r="W517" s="389"/>
      <c r="X517" s="389"/>
      <c r="Y517" s="389"/>
      <c r="Z517" s="389"/>
      <c r="AA517" s="389"/>
      <c r="AB517" s="389"/>
      <c r="AC517" s="389"/>
      <c r="AD517" s="389"/>
      <c r="AE517" s="389"/>
      <c r="AF517" s="389"/>
    </row>
    <row r="518" spans="1:32" hidden="1" outlineLevel="2" collapsed="1">
      <c r="A518" s="382"/>
      <c r="B518" s="382" t="s">
        <v>293</v>
      </c>
      <c r="C518" s="386" t="s">
        <v>294</v>
      </c>
      <c r="D518" s="382" t="s">
        <v>28</v>
      </c>
      <c r="E518" s="382"/>
      <c r="F518" s="440" t="s">
        <v>87</v>
      </c>
      <c r="G518" s="411">
        <f>SUM(G519:G523)</f>
        <v>0.14206050000000001</v>
      </c>
      <c r="H518" s="411">
        <f>SUM(H519:H523)</f>
        <v>0.14206050000000001</v>
      </c>
      <c r="I518" s="411">
        <f>SUM(I519:I523)</f>
        <v>0</v>
      </c>
      <c r="J518" s="411">
        <f>SUM(J519:J523)</f>
        <v>0</v>
      </c>
      <c r="K518" s="411">
        <f>SUM(K519:K523)</f>
        <v>0</v>
      </c>
      <c r="L518" s="411">
        <f t="shared" si="129"/>
        <v>5</v>
      </c>
      <c r="M518" s="409">
        <f>SUM(M519:M523)</f>
        <v>5</v>
      </c>
      <c r="N518" s="409">
        <f>SUM(N519:N523)</f>
        <v>0</v>
      </c>
      <c r="O518" s="409">
        <f>SUM(O519:O523)</f>
        <v>0</v>
      </c>
      <c r="P518" s="409">
        <f>SUM(P519:P523)</f>
        <v>0</v>
      </c>
      <c r="Q518" s="382"/>
      <c r="R518" s="385" t="str">
        <f t="shared" si="130"/>
        <v>T</v>
      </c>
      <c r="S518" s="389"/>
      <c r="T518" s="389"/>
      <c r="U518" s="389"/>
      <c r="V518" s="389"/>
      <c r="W518" s="389"/>
      <c r="X518" s="389"/>
      <c r="Y518" s="389"/>
      <c r="Z518" s="389"/>
      <c r="AA518" s="389"/>
      <c r="AB518" s="389"/>
      <c r="AC518" s="389"/>
      <c r="AD518" s="389"/>
      <c r="AE518" s="389"/>
      <c r="AF518" s="389"/>
    </row>
    <row r="519" spans="1:32" hidden="1" outlineLevel="3">
      <c r="A519" s="382"/>
      <c r="B519" s="382" t="s">
        <v>293</v>
      </c>
      <c r="C519" s="386" t="s">
        <v>294</v>
      </c>
      <c r="D519" s="382" t="s">
        <v>28</v>
      </c>
      <c r="E519" s="382" t="s">
        <v>29</v>
      </c>
      <c r="F519" s="442" t="s">
        <v>33</v>
      </c>
      <c r="G519" s="411">
        <v>1.6713000000000002E-2</v>
      </c>
      <c r="H519" s="411">
        <f t="shared" ref="H519:K523" si="134">IF(M519=1,$G519,"")</f>
        <v>1.6713000000000002E-2</v>
      </c>
      <c r="I519" s="411" t="str">
        <f t="shared" si="134"/>
        <v/>
      </c>
      <c r="J519" s="411" t="str">
        <f t="shared" si="134"/>
        <v/>
      </c>
      <c r="K519" s="411" t="str">
        <f t="shared" si="134"/>
        <v/>
      </c>
      <c r="L519" s="411">
        <f t="shared" si="129"/>
        <v>1</v>
      </c>
      <c r="M519" s="409">
        <v>1</v>
      </c>
      <c r="N519" s="409"/>
      <c r="O519" s="409"/>
      <c r="P519" s="409"/>
      <c r="Q519" s="382"/>
      <c r="R519" s="385" t="str">
        <f t="shared" si="130"/>
        <v>T</v>
      </c>
      <c r="S519" s="389"/>
      <c r="T519" s="389"/>
      <c r="U519" s="389"/>
      <c r="V519" s="389"/>
      <c r="W519" s="389"/>
      <c r="X519" s="389"/>
      <c r="Y519" s="389"/>
      <c r="Z519" s="389"/>
      <c r="AA519" s="389"/>
      <c r="AB519" s="389"/>
      <c r="AC519" s="389"/>
      <c r="AD519" s="389"/>
      <c r="AE519" s="389"/>
      <c r="AF519" s="389"/>
    </row>
    <row r="520" spans="1:32" hidden="1" outlineLevel="3">
      <c r="A520" s="382"/>
      <c r="B520" s="382" t="s">
        <v>293</v>
      </c>
      <c r="C520" s="386" t="s">
        <v>294</v>
      </c>
      <c r="D520" s="382" t="s">
        <v>28</v>
      </c>
      <c r="E520" s="382" t="s">
        <v>29</v>
      </c>
      <c r="F520" s="442" t="s">
        <v>280</v>
      </c>
      <c r="G520" s="411">
        <v>1.6713000000000002E-2</v>
      </c>
      <c r="H520" s="411">
        <f t="shared" si="134"/>
        <v>1.6713000000000002E-2</v>
      </c>
      <c r="I520" s="411" t="str">
        <f t="shared" si="134"/>
        <v/>
      </c>
      <c r="J520" s="411" t="str">
        <f t="shared" si="134"/>
        <v/>
      </c>
      <c r="K520" s="411" t="str">
        <f t="shared" si="134"/>
        <v/>
      </c>
      <c r="L520" s="411">
        <f t="shared" si="129"/>
        <v>1</v>
      </c>
      <c r="M520" s="409">
        <v>1</v>
      </c>
      <c r="N520" s="409"/>
      <c r="O520" s="409"/>
      <c r="P520" s="409"/>
      <c r="Q520" s="382"/>
      <c r="R520" s="385" t="str">
        <f t="shared" si="130"/>
        <v>T</v>
      </c>
      <c r="S520" s="389"/>
      <c r="T520" s="389"/>
      <c r="U520" s="389"/>
      <c r="V520" s="389"/>
      <c r="W520" s="389"/>
      <c r="X520" s="389"/>
      <c r="Y520" s="389"/>
      <c r="Z520" s="389"/>
      <c r="AA520" s="389"/>
      <c r="AB520" s="389"/>
      <c r="AC520" s="389"/>
      <c r="AD520" s="389"/>
      <c r="AE520" s="389"/>
      <c r="AF520" s="389"/>
    </row>
    <row r="521" spans="1:32" hidden="1" outlineLevel="3">
      <c r="A521" s="382"/>
      <c r="B521" s="382" t="s">
        <v>293</v>
      </c>
      <c r="C521" s="386" t="s">
        <v>294</v>
      </c>
      <c r="D521" s="382" t="s">
        <v>28</v>
      </c>
      <c r="E521" s="382" t="s">
        <v>29</v>
      </c>
      <c r="F521" s="440" t="s">
        <v>281</v>
      </c>
      <c r="G521" s="411">
        <v>5.8495499999999999E-2</v>
      </c>
      <c r="H521" s="411">
        <f t="shared" si="134"/>
        <v>5.8495499999999999E-2</v>
      </c>
      <c r="I521" s="411" t="str">
        <f t="shared" si="134"/>
        <v/>
      </c>
      <c r="J521" s="411" t="str">
        <f t="shared" si="134"/>
        <v/>
      </c>
      <c r="K521" s="411" t="str">
        <f t="shared" si="134"/>
        <v/>
      </c>
      <c r="L521" s="411">
        <f t="shared" si="129"/>
        <v>1</v>
      </c>
      <c r="M521" s="409">
        <v>1</v>
      </c>
      <c r="N521" s="409"/>
      <c r="O521" s="409"/>
      <c r="P521" s="409"/>
      <c r="Q521" s="382"/>
      <c r="R521" s="385" t="str">
        <f t="shared" si="130"/>
        <v>T</v>
      </c>
      <c r="S521" s="389"/>
      <c r="T521" s="389"/>
      <c r="U521" s="389"/>
      <c r="V521" s="389"/>
      <c r="W521" s="389"/>
      <c r="X521" s="389"/>
      <c r="Y521" s="389"/>
      <c r="Z521" s="389"/>
      <c r="AA521" s="389"/>
      <c r="AB521" s="389"/>
      <c r="AC521" s="389"/>
      <c r="AD521" s="389"/>
      <c r="AE521" s="389"/>
      <c r="AF521" s="389"/>
    </row>
    <row r="522" spans="1:32" hidden="1" outlineLevel="3">
      <c r="A522" s="382"/>
      <c r="B522" s="382" t="s">
        <v>293</v>
      </c>
      <c r="C522" s="386" t="s">
        <v>294</v>
      </c>
      <c r="D522" s="382" t="s">
        <v>28</v>
      </c>
      <c r="E522" s="382" t="s">
        <v>29</v>
      </c>
      <c r="F522" s="440" t="s">
        <v>287</v>
      </c>
      <c r="G522" s="411">
        <v>2.5069499999999998E-2</v>
      </c>
      <c r="H522" s="411">
        <f t="shared" si="134"/>
        <v>2.5069499999999998E-2</v>
      </c>
      <c r="I522" s="411" t="str">
        <f t="shared" si="134"/>
        <v/>
      </c>
      <c r="J522" s="411" t="str">
        <f t="shared" si="134"/>
        <v/>
      </c>
      <c r="K522" s="411" t="str">
        <f t="shared" si="134"/>
        <v/>
      </c>
      <c r="L522" s="411">
        <f t="shared" si="129"/>
        <v>1</v>
      </c>
      <c r="M522" s="409">
        <v>1</v>
      </c>
      <c r="N522" s="409"/>
      <c r="O522" s="409"/>
      <c r="P522" s="409"/>
      <c r="Q522" s="382"/>
      <c r="R522" s="385" t="str">
        <f t="shared" si="130"/>
        <v>T</v>
      </c>
      <c r="S522" s="389"/>
      <c r="T522" s="389"/>
      <c r="U522" s="389"/>
      <c r="V522" s="389"/>
      <c r="W522" s="389"/>
      <c r="X522" s="389"/>
      <c r="Y522" s="389"/>
      <c r="Z522" s="389"/>
      <c r="AA522" s="389"/>
      <c r="AB522" s="389"/>
      <c r="AC522" s="389"/>
      <c r="AD522" s="389"/>
      <c r="AE522" s="389"/>
      <c r="AF522" s="389"/>
    </row>
    <row r="523" spans="1:32" hidden="1" outlineLevel="3">
      <c r="A523" s="382"/>
      <c r="B523" s="382" t="s">
        <v>293</v>
      </c>
      <c r="C523" s="386" t="s">
        <v>294</v>
      </c>
      <c r="D523" s="382" t="s">
        <v>28</v>
      </c>
      <c r="E523" s="382" t="s">
        <v>29</v>
      </c>
      <c r="F523" s="440" t="s">
        <v>284</v>
      </c>
      <c r="G523" s="411">
        <v>2.5069499999999998E-2</v>
      </c>
      <c r="H523" s="411">
        <f t="shared" si="134"/>
        <v>2.5069499999999998E-2</v>
      </c>
      <c r="I523" s="411" t="str">
        <f t="shared" si="134"/>
        <v/>
      </c>
      <c r="J523" s="411" t="str">
        <f t="shared" si="134"/>
        <v/>
      </c>
      <c r="K523" s="411" t="str">
        <f t="shared" si="134"/>
        <v/>
      </c>
      <c r="L523" s="411">
        <f t="shared" si="129"/>
        <v>1</v>
      </c>
      <c r="M523" s="409">
        <v>1</v>
      </c>
      <c r="N523" s="409"/>
      <c r="O523" s="409"/>
      <c r="P523" s="409"/>
      <c r="Q523" s="382"/>
      <c r="R523" s="385" t="str">
        <f t="shared" si="130"/>
        <v>T</v>
      </c>
      <c r="S523" s="389"/>
      <c r="T523" s="389"/>
      <c r="U523" s="389"/>
      <c r="V523" s="389"/>
      <c r="W523" s="389"/>
      <c r="X523" s="389"/>
      <c r="Y523" s="389"/>
      <c r="Z523" s="389"/>
      <c r="AA523" s="389"/>
      <c r="AB523" s="389"/>
      <c r="AC523" s="389"/>
      <c r="AD523" s="389"/>
      <c r="AE523" s="389"/>
      <c r="AF523" s="389"/>
    </row>
    <row r="524" spans="1:32" hidden="1" outlineLevel="2" collapsed="1">
      <c r="A524" s="382"/>
      <c r="B524" s="382" t="s">
        <v>293</v>
      </c>
      <c r="C524" s="386" t="s">
        <v>294</v>
      </c>
      <c r="D524" s="382" t="s">
        <v>64</v>
      </c>
      <c r="E524" s="382"/>
      <c r="F524" s="440" t="s">
        <v>87</v>
      </c>
      <c r="G524" s="411">
        <f>SUM(G525:G527)</f>
        <v>8.8207499999999994E-2</v>
      </c>
      <c r="H524" s="411">
        <f>SUM(H525:H527)</f>
        <v>8.8207499999999994E-2</v>
      </c>
      <c r="I524" s="411">
        <f>SUM(I525:I527)</f>
        <v>0</v>
      </c>
      <c r="J524" s="411">
        <f>SUM(J525:J527)</f>
        <v>0</v>
      </c>
      <c r="K524" s="411">
        <f>SUM(K525:K527)</f>
        <v>0</v>
      </c>
      <c r="L524" s="411">
        <f t="shared" si="129"/>
        <v>3</v>
      </c>
      <c r="M524" s="409">
        <f>SUM(M525:M527)</f>
        <v>3</v>
      </c>
      <c r="N524" s="409">
        <f>SUM(N525:N527)</f>
        <v>0</v>
      </c>
      <c r="O524" s="409">
        <f>SUM(O525:O527)</f>
        <v>0</v>
      </c>
      <c r="P524" s="409">
        <f>SUM(P525:P527)</f>
        <v>0</v>
      </c>
      <c r="Q524" s="382"/>
      <c r="R524" s="385" t="str">
        <f t="shared" si="130"/>
        <v>T</v>
      </c>
      <c r="S524" s="389"/>
      <c r="T524" s="389"/>
      <c r="U524" s="389"/>
      <c r="V524" s="389"/>
      <c r="W524" s="389"/>
      <c r="X524" s="389"/>
      <c r="Y524" s="389"/>
      <c r="Z524" s="389"/>
      <c r="AA524" s="389"/>
      <c r="AB524" s="389"/>
      <c r="AC524" s="389"/>
      <c r="AD524" s="389"/>
      <c r="AE524" s="389"/>
      <c r="AF524" s="389"/>
    </row>
    <row r="525" spans="1:32" hidden="1" outlineLevel="3">
      <c r="A525" s="382"/>
      <c r="B525" s="382" t="s">
        <v>293</v>
      </c>
      <c r="C525" s="386" t="s">
        <v>294</v>
      </c>
      <c r="D525" s="382" t="s">
        <v>64</v>
      </c>
      <c r="E525" s="382" t="s">
        <v>29</v>
      </c>
      <c r="F525" s="440" t="s">
        <v>279</v>
      </c>
      <c r="G525" s="411">
        <v>1.857E-2</v>
      </c>
      <c r="H525" s="411">
        <f t="shared" ref="H525:K527" si="135">IF(M525=1,$G525,"")</f>
        <v>1.857E-2</v>
      </c>
      <c r="I525" s="411" t="str">
        <f t="shared" si="135"/>
        <v/>
      </c>
      <c r="J525" s="411" t="str">
        <f t="shared" si="135"/>
        <v/>
      </c>
      <c r="K525" s="411" t="str">
        <f t="shared" si="135"/>
        <v/>
      </c>
      <c r="L525" s="411">
        <f t="shared" si="129"/>
        <v>1</v>
      </c>
      <c r="M525" s="409">
        <v>1</v>
      </c>
      <c r="N525" s="409"/>
      <c r="O525" s="409"/>
      <c r="P525" s="409"/>
      <c r="Q525" s="382"/>
      <c r="R525" s="385" t="str">
        <f t="shared" si="130"/>
        <v>T</v>
      </c>
      <c r="S525" s="389"/>
      <c r="T525" s="389"/>
      <c r="U525" s="389"/>
      <c r="V525" s="389"/>
      <c r="W525" s="389"/>
      <c r="X525" s="389"/>
      <c r="Y525" s="389"/>
      <c r="Z525" s="389"/>
      <c r="AA525" s="389"/>
      <c r="AB525" s="389"/>
      <c r="AC525" s="389"/>
      <c r="AD525" s="389"/>
      <c r="AE525" s="389"/>
      <c r="AF525" s="389"/>
    </row>
    <row r="526" spans="1:32" hidden="1" outlineLevel="3">
      <c r="A526" s="382"/>
      <c r="B526" s="382" t="s">
        <v>293</v>
      </c>
      <c r="C526" s="386" t="s">
        <v>294</v>
      </c>
      <c r="D526" s="382" t="s">
        <v>64</v>
      </c>
      <c r="E526" s="382" t="s">
        <v>29</v>
      </c>
      <c r="F526" s="442" t="s">
        <v>280</v>
      </c>
      <c r="G526" s="411">
        <v>1.857E-2</v>
      </c>
      <c r="H526" s="411">
        <f t="shared" si="135"/>
        <v>1.857E-2</v>
      </c>
      <c r="I526" s="411" t="str">
        <f t="shared" si="135"/>
        <v/>
      </c>
      <c r="J526" s="411" t="str">
        <f t="shared" si="135"/>
        <v/>
      </c>
      <c r="K526" s="411" t="str">
        <f t="shared" si="135"/>
        <v/>
      </c>
      <c r="L526" s="411">
        <f t="shared" si="129"/>
        <v>1</v>
      </c>
      <c r="M526" s="409">
        <v>1</v>
      </c>
      <c r="N526" s="409"/>
      <c r="O526" s="409"/>
      <c r="P526" s="409"/>
      <c r="Q526" s="382"/>
      <c r="R526" s="385" t="str">
        <f t="shared" si="130"/>
        <v>T</v>
      </c>
      <c r="S526" s="389"/>
      <c r="T526" s="389"/>
      <c r="U526" s="389"/>
      <c r="V526" s="389"/>
      <c r="W526" s="389"/>
      <c r="X526" s="389"/>
      <c r="Y526" s="389"/>
      <c r="Z526" s="389"/>
      <c r="AA526" s="389"/>
      <c r="AB526" s="389"/>
      <c r="AC526" s="389"/>
      <c r="AD526" s="389"/>
      <c r="AE526" s="389"/>
      <c r="AF526" s="389"/>
    </row>
    <row r="527" spans="1:32" hidden="1" outlineLevel="3">
      <c r="A527" s="382"/>
      <c r="B527" s="382" t="s">
        <v>293</v>
      </c>
      <c r="C527" s="386" t="s">
        <v>294</v>
      </c>
      <c r="D527" s="382" t="s">
        <v>64</v>
      </c>
      <c r="E527" s="382" t="s">
        <v>29</v>
      </c>
      <c r="F527" s="440" t="s">
        <v>287</v>
      </c>
      <c r="G527" s="411">
        <v>5.1067500000000002E-2</v>
      </c>
      <c r="H527" s="411">
        <f t="shared" si="135"/>
        <v>5.1067500000000002E-2</v>
      </c>
      <c r="I527" s="411" t="str">
        <f t="shared" si="135"/>
        <v/>
      </c>
      <c r="J527" s="411" t="str">
        <f t="shared" si="135"/>
        <v/>
      </c>
      <c r="K527" s="411" t="str">
        <f t="shared" si="135"/>
        <v/>
      </c>
      <c r="L527" s="411">
        <f t="shared" si="129"/>
        <v>1</v>
      </c>
      <c r="M527" s="409">
        <v>1</v>
      </c>
      <c r="N527" s="409"/>
      <c r="O527" s="409"/>
      <c r="P527" s="409"/>
      <c r="Q527" s="382"/>
      <c r="R527" s="385" t="str">
        <f t="shared" si="130"/>
        <v>T</v>
      </c>
      <c r="S527" s="389"/>
      <c r="T527" s="389"/>
      <c r="U527" s="389"/>
      <c r="V527" s="389"/>
      <c r="W527" s="389"/>
      <c r="X527" s="389"/>
      <c r="Y527" s="389"/>
      <c r="Z527" s="389"/>
      <c r="AA527" s="389"/>
      <c r="AB527" s="389"/>
      <c r="AC527" s="389"/>
      <c r="AD527" s="389"/>
      <c r="AE527" s="389"/>
      <c r="AF527" s="389"/>
    </row>
    <row r="528" spans="1:32" outlineLevel="1">
      <c r="A528" s="382"/>
      <c r="B528" s="390" t="s">
        <v>297</v>
      </c>
      <c r="C528" s="390" t="s">
        <v>298</v>
      </c>
      <c r="D528" s="395"/>
      <c r="E528" s="390"/>
      <c r="F528" s="442" t="s">
        <v>17</v>
      </c>
      <c r="G528" s="424">
        <f>SUM(G529+G534)</f>
        <v>4.1130000000000003E-3</v>
      </c>
      <c r="H528" s="545">
        <f>SUM(H529+H534)</f>
        <v>4.1130000000000003E-3</v>
      </c>
      <c r="I528" s="545">
        <f>SUM(I529+I534)</f>
        <v>0</v>
      </c>
      <c r="J528" s="545">
        <f>SUM(J529+J534)</f>
        <v>0</v>
      </c>
      <c r="K528" s="545">
        <f>SUM(K529+K534)</f>
        <v>0</v>
      </c>
      <c r="L528" s="424">
        <f t="shared" si="129"/>
        <v>6</v>
      </c>
      <c r="M528" s="408">
        <f>SUM(M529+M534+M536)</f>
        <v>6</v>
      </c>
      <c r="N528" s="408">
        <f>SUM(N529+N534)</f>
        <v>0</v>
      </c>
      <c r="O528" s="408">
        <f>SUM(O529+O534)</f>
        <v>0</v>
      </c>
      <c r="P528" s="408">
        <f>SUM(P529+P534)</f>
        <v>0</v>
      </c>
      <c r="Q528" s="382"/>
      <c r="R528" s="385" t="str">
        <f t="shared" si="130"/>
        <v>T</v>
      </c>
      <c r="S528" s="389"/>
      <c r="T528" s="389"/>
      <c r="U528" s="389"/>
      <c r="V528" s="389"/>
      <c r="W528" s="389"/>
      <c r="X528" s="389"/>
      <c r="Y528" s="389" t="s">
        <v>299</v>
      </c>
      <c r="Z528" s="389">
        <v>11</v>
      </c>
      <c r="AA528" s="389"/>
      <c r="AB528" s="389"/>
      <c r="AC528" s="389"/>
      <c r="AD528" s="389"/>
      <c r="AE528" s="389"/>
      <c r="AF528" s="389"/>
    </row>
    <row r="529" spans="1:32" outlineLevel="2" collapsed="1">
      <c r="A529" s="382"/>
      <c r="B529" s="382" t="s">
        <v>297</v>
      </c>
      <c r="C529" s="386" t="s">
        <v>298</v>
      </c>
      <c r="D529" s="382" t="s">
        <v>18</v>
      </c>
      <c r="E529" s="386"/>
      <c r="F529" s="440" t="s">
        <v>87</v>
      </c>
      <c r="G529" s="387">
        <f>SUM(G530:G533)</f>
        <v>4.0000000000000001E-3</v>
      </c>
      <c r="H529" s="546">
        <f>SUM(H530:H533)</f>
        <v>4.0000000000000001E-3</v>
      </c>
      <c r="I529" s="546">
        <f>SUM(I530:I533)</f>
        <v>0</v>
      </c>
      <c r="J529" s="546">
        <f>SUM(J530:J533)</f>
        <v>0</v>
      </c>
      <c r="K529" s="546">
        <f>SUM(K530:K533)</f>
        <v>0</v>
      </c>
      <c r="L529" s="387">
        <f t="shared" si="129"/>
        <v>4</v>
      </c>
      <c r="M529" s="388">
        <f>SUM(M530:M533)</f>
        <v>4</v>
      </c>
      <c r="N529" s="388">
        <f>SUM(N530:N532)</f>
        <v>0</v>
      </c>
      <c r="O529" s="388">
        <f>SUM(O530:O532)</f>
        <v>0</v>
      </c>
      <c r="P529" s="388">
        <f>SUM(P530:P532)</f>
        <v>0</v>
      </c>
      <c r="Q529" s="382"/>
      <c r="R529" s="385" t="str">
        <f t="shared" si="130"/>
        <v>T</v>
      </c>
      <c r="S529" s="389"/>
      <c r="T529" s="389"/>
      <c r="U529" s="389"/>
      <c r="V529" s="389"/>
      <c r="W529" s="389"/>
      <c r="X529" s="389"/>
      <c r="Y529" s="389"/>
      <c r="Z529" s="389"/>
      <c r="AA529" s="389"/>
      <c r="AB529" s="389"/>
      <c r="AC529" s="389"/>
      <c r="AD529" s="389"/>
      <c r="AE529" s="389"/>
      <c r="AF529" s="389"/>
    </row>
    <row r="530" spans="1:32" hidden="1" outlineLevel="3">
      <c r="A530" s="382"/>
      <c r="B530" s="382" t="s">
        <v>297</v>
      </c>
      <c r="C530" s="386" t="s">
        <v>298</v>
      </c>
      <c r="D530" s="382" t="s">
        <v>18</v>
      </c>
      <c r="E530" s="386" t="s">
        <v>286</v>
      </c>
      <c r="F530" s="440" t="s">
        <v>300</v>
      </c>
      <c r="G530" s="411">
        <v>2.0999999999999999E-3</v>
      </c>
      <c r="H530" s="546">
        <f>IF(M530=1,$G530,"")</f>
        <v>2.0999999999999999E-3</v>
      </c>
      <c r="I530" s="546" t="str">
        <f>IF(N530=1,$G530,"")</f>
        <v/>
      </c>
      <c r="J530" s="546" t="str">
        <f>IF(O530=1,$G530,"")</f>
        <v/>
      </c>
      <c r="K530" s="546" t="str">
        <f>IF(P530=1,$G530,"")</f>
        <v/>
      </c>
      <c r="L530" s="411">
        <f t="shared" si="129"/>
        <v>1</v>
      </c>
      <c r="M530" s="388">
        <v>1</v>
      </c>
      <c r="N530" s="388"/>
      <c r="O530" s="388"/>
      <c r="P530" s="388"/>
      <c r="Q530" s="382"/>
      <c r="R530" s="385" t="str">
        <f t="shared" si="130"/>
        <v>T</v>
      </c>
      <c r="S530" s="389"/>
      <c r="T530" s="389"/>
      <c r="U530" s="389"/>
      <c r="V530" s="389"/>
      <c r="W530" s="389"/>
      <c r="X530" s="389"/>
      <c r="Y530" s="389"/>
      <c r="Z530" s="389"/>
      <c r="AA530" s="389"/>
      <c r="AB530" s="389"/>
      <c r="AC530" s="389"/>
      <c r="AD530" s="389"/>
      <c r="AE530" s="389"/>
      <c r="AF530" s="389"/>
    </row>
    <row r="531" spans="1:32" hidden="1" outlineLevel="3">
      <c r="A531" s="382"/>
      <c r="B531" s="382" t="s">
        <v>297</v>
      </c>
      <c r="C531" s="386" t="s">
        <v>298</v>
      </c>
      <c r="D531" s="382" t="s">
        <v>18</v>
      </c>
      <c r="E531" s="386" t="s">
        <v>286</v>
      </c>
      <c r="F531" s="440" t="s">
        <v>301</v>
      </c>
      <c r="G531" s="411">
        <v>8.7500000000000002E-4</v>
      </c>
      <c r="H531" s="546">
        <f>IF(M531=1,$G531,"")</f>
        <v>8.7500000000000002E-4</v>
      </c>
      <c r="I531" s="546"/>
      <c r="J531" s="546"/>
      <c r="K531" s="546"/>
      <c r="L531" s="411">
        <f t="shared" si="129"/>
        <v>1</v>
      </c>
      <c r="M531" s="388">
        <v>1</v>
      </c>
      <c r="N531" s="388"/>
      <c r="O531" s="388"/>
      <c r="P531" s="388"/>
      <c r="Q531" s="382"/>
      <c r="R531" s="385"/>
      <c r="S531" s="389"/>
      <c r="T531" s="389"/>
      <c r="U531" s="389"/>
      <c r="V531" s="389"/>
      <c r="W531" s="389"/>
      <c r="X531" s="389"/>
      <c r="Y531" s="389"/>
      <c r="Z531" s="389"/>
      <c r="AA531" s="389"/>
      <c r="AB531" s="389"/>
      <c r="AC531" s="389"/>
      <c r="AD531" s="389"/>
      <c r="AE531" s="389"/>
      <c r="AF531" s="389"/>
    </row>
    <row r="532" spans="1:32" hidden="1" outlineLevel="3">
      <c r="A532" s="382"/>
      <c r="B532" s="382" t="s">
        <v>297</v>
      </c>
      <c r="C532" s="386" t="s">
        <v>298</v>
      </c>
      <c r="D532" s="382" t="s">
        <v>18</v>
      </c>
      <c r="E532" s="386" t="s">
        <v>286</v>
      </c>
      <c r="F532" s="440" t="s">
        <v>302</v>
      </c>
      <c r="G532" s="411">
        <v>5.2499999999999997E-4</v>
      </c>
      <c r="H532" s="546">
        <f>IF(M532=1,$G532,"")</f>
        <v>5.2499999999999997E-4</v>
      </c>
      <c r="I532" s="546"/>
      <c r="J532" s="546"/>
      <c r="K532" s="546"/>
      <c r="L532" s="411">
        <f t="shared" si="129"/>
        <v>1</v>
      </c>
      <c r="M532" s="388">
        <v>1</v>
      </c>
      <c r="N532" s="388"/>
      <c r="O532" s="388"/>
      <c r="P532" s="388"/>
      <c r="Q532" s="382"/>
      <c r="R532" s="385"/>
      <c r="S532" s="389"/>
      <c r="T532" s="389"/>
      <c r="U532" s="389"/>
      <c r="V532" s="389"/>
      <c r="W532" s="389"/>
      <c r="X532" s="389"/>
      <c r="Y532" s="389"/>
      <c r="Z532" s="389"/>
      <c r="AA532" s="389"/>
      <c r="AB532" s="389"/>
      <c r="AC532" s="389"/>
      <c r="AD532" s="389"/>
      <c r="AE532" s="389"/>
      <c r="AF532" s="389"/>
    </row>
    <row r="533" spans="1:32" hidden="1" outlineLevel="3">
      <c r="A533" s="382"/>
      <c r="B533" s="382" t="s">
        <v>297</v>
      </c>
      <c r="C533" s="386" t="s">
        <v>298</v>
      </c>
      <c r="D533" s="382" t="s">
        <v>18</v>
      </c>
      <c r="E533" s="386" t="s">
        <v>286</v>
      </c>
      <c r="F533" s="440" t="s">
        <v>303</v>
      </c>
      <c r="G533" s="411">
        <v>5.0000000000000001E-4</v>
      </c>
      <c r="H533" s="546">
        <f>IF(M533=1,$G533,"")</f>
        <v>5.0000000000000001E-4</v>
      </c>
      <c r="I533" s="546"/>
      <c r="J533" s="546"/>
      <c r="K533" s="546"/>
      <c r="L533" s="411">
        <f t="shared" ref="L533:L566" si="136">SUM(M533:P533)</f>
        <v>1</v>
      </c>
      <c r="M533" s="388">
        <v>1</v>
      </c>
      <c r="N533" s="388"/>
      <c r="O533" s="388"/>
      <c r="P533" s="388"/>
      <c r="Q533" s="382"/>
      <c r="R533" s="385"/>
      <c r="S533" s="389"/>
      <c r="T533" s="389"/>
      <c r="U533" s="389"/>
      <c r="V533" s="389"/>
      <c r="W533" s="389"/>
      <c r="X533" s="389"/>
      <c r="Y533" s="389"/>
      <c r="Z533" s="389"/>
      <c r="AA533" s="389"/>
      <c r="AB533" s="389"/>
      <c r="AC533" s="389"/>
      <c r="AD533" s="389"/>
      <c r="AE533" s="389"/>
      <c r="AF533" s="389"/>
    </row>
    <row r="534" spans="1:32" outlineLevel="2" collapsed="1">
      <c r="A534" s="382"/>
      <c r="B534" s="382" t="s">
        <v>297</v>
      </c>
      <c r="C534" s="386" t="s">
        <v>298</v>
      </c>
      <c r="D534" s="382" t="s">
        <v>64</v>
      </c>
      <c r="E534" s="382"/>
      <c r="F534" s="440" t="s">
        <v>87</v>
      </c>
      <c r="G534" s="387">
        <f>SUM(G535:G535)</f>
        <v>1.13E-4</v>
      </c>
      <c r="H534" s="546">
        <f>SUM(H535:H535)</f>
        <v>1.13E-4</v>
      </c>
      <c r="I534" s="546">
        <f>SUM(I535:I535)</f>
        <v>0</v>
      </c>
      <c r="J534" s="546">
        <f>SUM(J535:J535)</f>
        <v>0</v>
      </c>
      <c r="K534" s="546">
        <f>SUM(K535:K535)</f>
        <v>0</v>
      </c>
      <c r="L534" s="387">
        <f t="shared" si="136"/>
        <v>1</v>
      </c>
      <c r="M534" s="388">
        <f>SUM(M535:M535)</f>
        <v>1</v>
      </c>
      <c r="N534" s="388">
        <f>SUM(N535:N535)</f>
        <v>0</v>
      </c>
      <c r="O534" s="388">
        <f>SUM(O535:O535)</f>
        <v>0</v>
      </c>
      <c r="P534" s="388">
        <f>SUM(P535:P535)</f>
        <v>0</v>
      </c>
      <c r="Q534" s="382"/>
      <c r="R534" s="385" t="str">
        <f>IF(SUM(M534:P534)=L534,"T","F")</f>
        <v>T</v>
      </c>
      <c r="S534" s="389"/>
      <c r="T534" s="389"/>
      <c r="U534" s="389"/>
      <c r="V534" s="389"/>
      <c r="W534" s="389"/>
      <c r="X534" s="389"/>
      <c r="Y534" s="389"/>
      <c r="Z534" s="389"/>
      <c r="AA534" s="389"/>
      <c r="AB534" s="389"/>
      <c r="AC534" s="389"/>
      <c r="AD534" s="389"/>
      <c r="AE534" s="389"/>
      <c r="AF534" s="389"/>
    </row>
    <row r="535" spans="1:32" hidden="1" outlineLevel="3">
      <c r="A535" s="382"/>
      <c r="B535" s="382" t="s">
        <v>297</v>
      </c>
      <c r="C535" s="386" t="s">
        <v>298</v>
      </c>
      <c r="D535" s="382" t="s">
        <v>64</v>
      </c>
      <c r="E535" s="382" t="s">
        <v>29</v>
      </c>
      <c r="F535" s="440" t="s">
        <v>304</v>
      </c>
      <c r="G535" s="411">
        <v>1.13E-4</v>
      </c>
      <c r="H535" s="546">
        <f>IF(M535=1,$G535,"")</f>
        <v>1.13E-4</v>
      </c>
      <c r="I535" s="546"/>
      <c r="J535" s="546"/>
      <c r="K535" s="546"/>
      <c r="L535" s="411">
        <f t="shared" si="136"/>
        <v>1</v>
      </c>
      <c r="M535" s="388">
        <v>1</v>
      </c>
      <c r="N535" s="388"/>
      <c r="O535" s="388"/>
      <c r="P535" s="388"/>
      <c r="Q535" s="382"/>
      <c r="R535" s="385"/>
      <c r="S535" s="389"/>
      <c r="T535" s="389"/>
      <c r="U535" s="389"/>
      <c r="V535" s="389"/>
      <c r="W535" s="389"/>
      <c r="X535" s="389"/>
      <c r="Y535" s="389"/>
      <c r="Z535" s="389"/>
      <c r="AA535" s="389"/>
      <c r="AB535" s="389"/>
      <c r="AC535" s="389"/>
      <c r="AD535" s="389"/>
      <c r="AE535" s="389"/>
      <c r="AF535" s="389"/>
    </row>
    <row r="536" spans="1:32" outlineLevel="2">
      <c r="A536" s="382"/>
      <c r="B536" s="382" t="s">
        <v>297</v>
      </c>
      <c r="C536" s="386" t="s">
        <v>298</v>
      </c>
      <c r="D536" s="382" t="s">
        <v>26</v>
      </c>
      <c r="E536" s="386"/>
      <c r="F536" s="440" t="s">
        <v>87</v>
      </c>
      <c r="G536" s="387">
        <f>SUM(G537:G537)</f>
        <v>8.0000000000000004E-4</v>
      </c>
      <c r="H536" s="546">
        <f>SUM(H537:H537)</f>
        <v>8.0000000000000004E-4</v>
      </c>
      <c r="I536" s="546">
        <f>SUM(I537:I537)</f>
        <v>0</v>
      </c>
      <c r="J536" s="546">
        <f>SUM(J537:J537)</f>
        <v>0</v>
      </c>
      <c r="K536" s="546">
        <f>SUM(K537:K537)</f>
        <v>0</v>
      </c>
      <c r="L536" s="387">
        <f t="shared" si="136"/>
        <v>1</v>
      </c>
      <c r="M536" s="388">
        <f>SUM(M537:M537)</f>
        <v>1</v>
      </c>
      <c r="N536" s="388">
        <f t="shared" ref="N536:P536" si="137">SUM(N537:N537)</f>
        <v>0</v>
      </c>
      <c r="O536" s="388">
        <f t="shared" si="137"/>
        <v>0</v>
      </c>
      <c r="P536" s="388">
        <f t="shared" si="137"/>
        <v>0</v>
      </c>
      <c r="Q536" s="382"/>
      <c r="R536" s="385"/>
      <c r="S536" s="389"/>
      <c r="T536" s="389"/>
      <c r="U536" s="389"/>
      <c r="V536" s="389"/>
      <c r="W536" s="389"/>
      <c r="X536" s="389"/>
      <c r="Y536" s="389"/>
      <c r="Z536" s="389"/>
      <c r="AA536" s="389"/>
      <c r="AB536" s="389"/>
      <c r="AC536" s="389"/>
      <c r="AD536" s="389"/>
      <c r="AE536" s="389"/>
      <c r="AF536" s="389"/>
    </row>
    <row r="537" spans="1:32" outlineLevel="3">
      <c r="A537" s="382"/>
      <c r="B537" s="382" t="s">
        <v>297</v>
      </c>
      <c r="C537" s="386" t="s">
        <v>298</v>
      </c>
      <c r="D537" s="382" t="s">
        <v>26</v>
      </c>
      <c r="E537" s="386" t="s">
        <v>27</v>
      </c>
      <c r="F537" s="440" t="s">
        <v>303</v>
      </c>
      <c r="G537" s="411">
        <v>8.0000000000000004E-4</v>
      </c>
      <c r="H537" s="546">
        <f>IF(M537=1,$G537,"")</f>
        <v>8.0000000000000004E-4</v>
      </c>
      <c r="I537" s="546"/>
      <c r="J537" s="546"/>
      <c r="K537" s="546"/>
      <c r="L537" s="411">
        <f t="shared" si="136"/>
        <v>1</v>
      </c>
      <c r="M537" s="388">
        <v>1</v>
      </c>
      <c r="N537" s="388"/>
      <c r="O537" s="388"/>
      <c r="P537" s="388"/>
      <c r="Q537" s="382"/>
      <c r="R537" s="385"/>
      <c r="S537" s="389"/>
      <c r="T537" s="389"/>
      <c r="U537" s="389"/>
      <c r="V537" s="389"/>
      <c r="W537" s="389"/>
      <c r="X537" s="389"/>
      <c r="Y537" s="389"/>
      <c r="Z537" s="389"/>
      <c r="AA537" s="389"/>
      <c r="AB537" s="389"/>
      <c r="AC537" s="389"/>
      <c r="AD537" s="389"/>
      <c r="AE537" s="389"/>
      <c r="AF537" s="389"/>
    </row>
    <row r="538" spans="1:32" outlineLevel="1" collapsed="1">
      <c r="A538" s="382"/>
      <c r="B538" s="390" t="s">
        <v>305</v>
      </c>
      <c r="C538" s="390" t="s">
        <v>306</v>
      </c>
      <c r="D538" s="395"/>
      <c r="E538" s="390"/>
      <c r="F538" s="442" t="s">
        <v>264</v>
      </c>
      <c r="G538" s="418">
        <f>SUM(G539,G548,G554,G562)</f>
        <v>2.3883544159999999</v>
      </c>
      <c r="H538" s="424">
        <f>H539+H548+H554+H562</f>
        <v>0.43996002400000001</v>
      </c>
      <c r="I538" s="424">
        <f>I539+I548+I554+I562</f>
        <v>1.1827158772799999</v>
      </c>
      <c r="J538" s="424">
        <f>J539+J548+J554+J562</f>
        <v>0.76567851472000004</v>
      </c>
      <c r="K538" s="424">
        <f>K539+K548+K554+K562</f>
        <v>0</v>
      </c>
      <c r="L538" s="418">
        <f t="shared" si="136"/>
        <v>25</v>
      </c>
      <c r="M538" s="408">
        <f>M539+M548+M554+M562</f>
        <v>2</v>
      </c>
      <c r="N538" s="408">
        <f>N539+N548+N554+N562</f>
        <v>13</v>
      </c>
      <c r="O538" s="408">
        <f>O539+O548+O554+O562</f>
        <v>10</v>
      </c>
      <c r="P538" s="408">
        <f>P539+P548+P554+P562</f>
        <v>0</v>
      </c>
      <c r="Q538" s="382"/>
      <c r="R538" s="385" t="str">
        <f t="shared" ref="R538:R573" si="138">IF(SUM(M538:P538)=L538,"T","F")</f>
        <v>T</v>
      </c>
      <c r="S538" s="389"/>
      <c r="T538" s="389"/>
      <c r="U538" s="389"/>
      <c r="V538" s="389"/>
      <c r="W538" s="389"/>
      <c r="X538" s="389"/>
      <c r="Y538" s="389" t="s">
        <v>307</v>
      </c>
      <c r="Z538" s="389">
        <v>1</v>
      </c>
      <c r="AA538" s="389"/>
      <c r="AB538" s="389"/>
      <c r="AC538" s="389"/>
      <c r="AD538" s="389"/>
      <c r="AE538" s="389"/>
      <c r="AF538" s="389"/>
    </row>
    <row r="539" spans="1:32" hidden="1" outlineLevel="2" collapsed="1">
      <c r="A539" s="382"/>
      <c r="B539" s="386" t="s">
        <v>305</v>
      </c>
      <c r="C539" s="386" t="s">
        <v>306</v>
      </c>
      <c r="D539" s="382" t="s">
        <v>18</v>
      </c>
      <c r="E539" s="386"/>
      <c r="F539" s="440" t="s">
        <v>87</v>
      </c>
      <c r="G539" s="411">
        <f>SUM(G540:G547)</f>
        <v>1.6718480912000002</v>
      </c>
      <c r="H539" s="546">
        <f>SUM(H540:H547)</f>
        <v>0.43996002400000001</v>
      </c>
      <c r="I539" s="546">
        <f>SUM(I540:I547)</f>
        <v>0.6704680192000001</v>
      </c>
      <c r="J539" s="546">
        <f>SUM(J540:J547)</f>
        <v>0.561420048</v>
      </c>
      <c r="K539" s="546">
        <f>SUM(K540:K547)</f>
        <v>0</v>
      </c>
      <c r="L539" s="411">
        <f t="shared" si="136"/>
        <v>8</v>
      </c>
      <c r="M539" s="409">
        <f>SUM(M540:M547)</f>
        <v>2</v>
      </c>
      <c r="N539" s="409">
        <f>SUM(N540:N547)</f>
        <v>3</v>
      </c>
      <c r="O539" s="409">
        <f>SUM(O540:O547)</f>
        <v>3</v>
      </c>
      <c r="P539" s="409">
        <f>SUM(P540:P547)</f>
        <v>0</v>
      </c>
      <c r="Q539" s="382"/>
      <c r="R539" s="385" t="str">
        <f t="shared" si="138"/>
        <v>T</v>
      </c>
      <c r="S539" s="389"/>
      <c r="T539" s="389"/>
      <c r="U539" s="389"/>
      <c r="V539" s="389"/>
      <c r="W539" s="389"/>
      <c r="X539" s="389"/>
      <c r="Y539" s="389"/>
      <c r="Z539" s="389"/>
      <c r="AA539" s="389"/>
      <c r="AB539" s="389"/>
      <c r="AC539" s="389"/>
      <c r="AD539" s="389"/>
      <c r="AE539" s="389"/>
      <c r="AF539" s="389"/>
    </row>
    <row r="540" spans="1:32" hidden="1" outlineLevel="3">
      <c r="A540" s="382"/>
      <c r="B540" s="386" t="s">
        <v>305</v>
      </c>
      <c r="C540" s="386" t="s">
        <v>306</v>
      </c>
      <c r="D540" s="382" t="s">
        <v>18</v>
      </c>
      <c r="E540" s="386" t="s">
        <v>144</v>
      </c>
      <c r="F540" s="440" t="s">
        <v>278</v>
      </c>
      <c r="G540" s="411">
        <v>0.17598400959999999</v>
      </c>
      <c r="H540" s="546">
        <f t="shared" ref="H540:K547" si="139">IF(M540=1,$G540,"")</f>
        <v>0.17598400959999999</v>
      </c>
      <c r="I540" s="546" t="str">
        <f t="shared" si="139"/>
        <v/>
      </c>
      <c r="J540" s="546" t="str">
        <f t="shared" si="139"/>
        <v/>
      </c>
      <c r="K540" s="546" t="str">
        <f t="shared" si="139"/>
        <v/>
      </c>
      <c r="L540" s="411">
        <f t="shared" si="136"/>
        <v>1</v>
      </c>
      <c r="M540" s="409">
        <v>1</v>
      </c>
      <c r="N540" s="409"/>
      <c r="O540" s="409"/>
      <c r="P540" s="409"/>
      <c r="Q540" s="382"/>
      <c r="R540" s="385" t="str">
        <f t="shared" si="138"/>
        <v>T</v>
      </c>
      <c r="S540" s="389"/>
      <c r="T540" s="389"/>
      <c r="U540" s="389"/>
      <c r="V540" s="389"/>
      <c r="W540" s="389"/>
      <c r="X540" s="389"/>
      <c r="Y540" s="389"/>
      <c r="Z540" s="389"/>
      <c r="AA540" s="389"/>
      <c r="AB540" s="389"/>
      <c r="AC540" s="389"/>
      <c r="AD540" s="389"/>
      <c r="AE540" s="389"/>
      <c r="AF540" s="389"/>
    </row>
    <row r="541" spans="1:32" hidden="1" outlineLevel="3">
      <c r="A541" s="382"/>
      <c r="B541" s="386" t="s">
        <v>305</v>
      </c>
      <c r="C541" s="386" t="s">
        <v>306</v>
      </c>
      <c r="D541" s="382" t="s">
        <v>18</v>
      </c>
      <c r="E541" s="386" t="s">
        <v>144</v>
      </c>
      <c r="F541" s="440" t="s">
        <v>279</v>
      </c>
      <c r="G541" s="411">
        <v>0.26397601440000001</v>
      </c>
      <c r="H541" s="546">
        <f t="shared" si="139"/>
        <v>0.26397601440000001</v>
      </c>
      <c r="I541" s="546" t="str">
        <f t="shared" si="139"/>
        <v/>
      </c>
      <c r="J541" s="546" t="str">
        <f t="shared" si="139"/>
        <v/>
      </c>
      <c r="K541" s="546" t="str">
        <f t="shared" si="139"/>
        <v/>
      </c>
      <c r="L541" s="411">
        <f t="shared" si="136"/>
        <v>1</v>
      </c>
      <c r="M541" s="409">
        <v>1</v>
      </c>
      <c r="N541" s="409"/>
      <c r="O541" s="409"/>
      <c r="P541" s="409"/>
      <c r="Q541" s="382"/>
      <c r="R541" s="385" t="str">
        <f t="shared" si="138"/>
        <v>T</v>
      </c>
      <c r="S541" s="389"/>
      <c r="T541" s="389"/>
      <c r="U541" s="389"/>
      <c r="V541" s="389"/>
      <c r="W541" s="389"/>
      <c r="X541" s="389"/>
      <c r="Y541" s="389"/>
      <c r="Z541" s="389"/>
      <c r="AA541" s="389"/>
      <c r="AB541" s="389"/>
      <c r="AC541" s="389"/>
      <c r="AD541" s="389"/>
      <c r="AE541" s="389"/>
      <c r="AF541" s="389"/>
    </row>
    <row r="542" spans="1:32" hidden="1" outlineLevel="3">
      <c r="A542" s="382"/>
      <c r="B542" s="386" t="s">
        <v>305</v>
      </c>
      <c r="C542" s="386" t="s">
        <v>306</v>
      </c>
      <c r="D542" s="382" t="s">
        <v>18</v>
      </c>
      <c r="E542" s="386" t="s">
        <v>144</v>
      </c>
      <c r="F542" s="440" t="s">
        <v>33</v>
      </c>
      <c r="G542" s="411">
        <v>0.17598400960000002</v>
      </c>
      <c r="H542" s="546" t="str">
        <f t="shared" si="139"/>
        <v/>
      </c>
      <c r="I542" s="546">
        <f t="shared" si="139"/>
        <v>0.17598400960000002</v>
      </c>
      <c r="J542" s="546" t="str">
        <f t="shared" si="139"/>
        <v/>
      </c>
      <c r="K542" s="546" t="str">
        <f t="shared" si="139"/>
        <v/>
      </c>
      <c r="L542" s="411">
        <f t="shared" si="136"/>
        <v>1</v>
      </c>
      <c r="M542" s="409"/>
      <c r="N542" s="409">
        <v>1</v>
      </c>
      <c r="O542" s="409"/>
      <c r="P542" s="409"/>
      <c r="Q542" s="382"/>
      <c r="R542" s="385" t="str">
        <f t="shared" si="138"/>
        <v>T</v>
      </c>
      <c r="S542" s="389"/>
      <c r="T542" s="389"/>
      <c r="U542" s="389"/>
      <c r="V542" s="389"/>
      <c r="W542" s="389"/>
      <c r="X542" s="389"/>
      <c r="Y542" s="389"/>
      <c r="Z542" s="389"/>
      <c r="AA542" s="389"/>
      <c r="AB542" s="389"/>
      <c r="AC542" s="389"/>
      <c r="AD542" s="389"/>
      <c r="AE542" s="389"/>
      <c r="AF542" s="389"/>
    </row>
    <row r="543" spans="1:32" hidden="1" outlineLevel="3">
      <c r="A543" s="382"/>
      <c r="B543" s="386" t="s">
        <v>305</v>
      </c>
      <c r="C543" s="386" t="s">
        <v>306</v>
      </c>
      <c r="D543" s="382" t="s">
        <v>18</v>
      </c>
      <c r="E543" s="386" t="s">
        <v>144</v>
      </c>
      <c r="F543" s="440" t="s">
        <v>280</v>
      </c>
      <c r="G543" s="411">
        <v>0.17598400960000002</v>
      </c>
      <c r="H543" s="546" t="str">
        <f t="shared" si="139"/>
        <v/>
      </c>
      <c r="I543" s="546">
        <f t="shared" si="139"/>
        <v>0.17598400960000002</v>
      </c>
      <c r="J543" s="546" t="str">
        <f t="shared" si="139"/>
        <v/>
      </c>
      <c r="K543" s="546" t="str">
        <f t="shared" si="139"/>
        <v/>
      </c>
      <c r="L543" s="411">
        <f t="shared" si="136"/>
        <v>1</v>
      </c>
      <c r="M543" s="409"/>
      <c r="N543" s="409">
        <v>1</v>
      </c>
      <c r="O543" s="409"/>
      <c r="P543" s="409"/>
      <c r="Q543" s="382"/>
      <c r="R543" s="385" t="str">
        <f t="shared" si="138"/>
        <v>T</v>
      </c>
      <c r="S543" s="389"/>
      <c r="T543" s="389"/>
      <c r="U543" s="389"/>
      <c r="V543" s="389"/>
      <c r="W543" s="389"/>
      <c r="X543" s="389"/>
      <c r="Y543" s="389"/>
      <c r="Z543" s="389"/>
      <c r="AA543" s="389"/>
      <c r="AB543" s="389"/>
      <c r="AC543" s="389"/>
      <c r="AD543" s="389"/>
      <c r="AE543" s="389"/>
      <c r="AF543" s="389"/>
    </row>
    <row r="544" spans="1:32" hidden="1" outlineLevel="3">
      <c r="A544" s="382"/>
      <c r="B544" s="386" t="s">
        <v>305</v>
      </c>
      <c r="C544" s="386" t="s">
        <v>306</v>
      </c>
      <c r="D544" s="382" t="s">
        <v>18</v>
      </c>
      <c r="E544" s="386" t="s">
        <v>144</v>
      </c>
      <c r="F544" s="440" t="s">
        <v>281</v>
      </c>
      <c r="G544" s="411">
        <v>0.31850000000000006</v>
      </c>
      <c r="H544" s="546" t="str">
        <f t="shared" si="139"/>
        <v/>
      </c>
      <c r="I544" s="546">
        <f t="shared" si="139"/>
        <v>0.31850000000000006</v>
      </c>
      <c r="J544" s="546" t="str">
        <f t="shared" si="139"/>
        <v/>
      </c>
      <c r="K544" s="546" t="str">
        <f t="shared" si="139"/>
        <v/>
      </c>
      <c r="L544" s="411">
        <f t="shared" si="136"/>
        <v>1</v>
      </c>
      <c r="M544" s="409"/>
      <c r="N544" s="409">
        <v>1</v>
      </c>
      <c r="O544" s="409"/>
      <c r="P544" s="409"/>
      <c r="Q544" s="382"/>
      <c r="R544" s="385" t="str">
        <f t="shared" si="138"/>
        <v>T</v>
      </c>
      <c r="S544" s="389"/>
      <c r="T544" s="389"/>
      <c r="U544" s="389"/>
      <c r="V544" s="389"/>
      <c r="W544" s="389"/>
      <c r="X544" s="389"/>
      <c r="Y544" s="389"/>
      <c r="Z544" s="389"/>
      <c r="AA544" s="389"/>
      <c r="AB544" s="389"/>
      <c r="AC544" s="389"/>
      <c r="AD544" s="389"/>
      <c r="AE544" s="389"/>
      <c r="AF544" s="389"/>
    </row>
    <row r="545" spans="1:32" hidden="1" outlineLevel="3">
      <c r="A545" s="382"/>
      <c r="B545" s="386" t="s">
        <v>305</v>
      </c>
      <c r="C545" s="386" t="s">
        <v>306</v>
      </c>
      <c r="D545" s="382" t="s">
        <v>18</v>
      </c>
      <c r="E545" s="386" t="s">
        <v>144</v>
      </c>
      <c r="F545" s="440" t="s">
        <v>282</v>
      </c>
      <c r="G545" s="411">
        <v>0.238875</v>
      </c>
      <c r="H545" s="546" t="str">
        <f t="shared" si="139"/>
        <v/>
      </c>
      <c r="I545" s="546" t="str">
        <f t="shared" si="139"/>
        <v/>
      </c>
      <c r="J545" s="546">
        <f t="shared" si="139"/>
        <v>0.238875</v>
      </c>
      <c r="K545" s="546" t="str">
        <f t="shared" si="139"/>
        <v/>
      </c>
      <c r="L545" s="411">
        <f t="shared" si="136"/>
        <v>1</v>
      </c>
      <c r="M545" s="409"/>
      <c r="O545" s="409">
        <v>1</v>
      </c>
      <c r="P545" s="409"/>
      <c r="Q545" s="382"/>
      <c r="R545" s="385" t="str">
        <f t="shared" si="138"/>
        <v>T</v>
      </c>
      <c r="S545" s="389"/>
      <c r="T545" s="389"/>
      <c r="U545" s="389"/>
      <c r="V545" s="389"/>
      <c r="W545" s="389"/>
      <c r="X545" s="389"/>
      <c r="Y545" s="389"/>
      <c r="Z545" s="389"/>
      <c r="AA545" s="389"/>
      <c r="AB545" s="389"/>
      <c r="AC545" s="389"/>
      <c r="AD545" s="389"/>
      <c r="AE545" s="389"/>
      <c r="AF545" s="389"/>
    </row>
    <row r="546" spans="1:32" hidden="1" outlineLevel="3">
      <c r="A546" s="382"/>
      <c r="B546" s="386" t="s">
        <v>305</v>
      </c>
      <c r="C546" s="386" t="s">
        <v>306</v>
      </c>
      <c r="D546" s="382" t="s">
        <v>18</v>
      </c>
      <c r="E546" s="386" t="s">
        <v>144</v>
      </c>
      <c r="F546" s="440" t="s">
        <v>283</v>
      </c>
      <c r="G546" s="411">
        <v>8.3670048000000011E-2</v>
      </c>
      <c r="H546" s="546" t="str">
        <f t="shared" si="139"/>
        <v/>
      </c>
      <c r="I546" s="546" t="str">
        <f t="shared" si="139"/>
        <v/>
      </c>
      <c r="J546" s="546">
        <f t="shared" si="139"/>
        <v>8.3670048000000011E-2</v>
      </c>
      <c r="K546" s="546" t="str">
        <f t="shared" si="139"/>
        <v/>
      </c>
      <c r="L546" s="411">
        <f t="shared" si="136"/>
        <v>1</v>
      </c>
      <c r="M546" s="409"/>
      <c r="O546" s="409">
        <v>1</v>
      </c>
      <c r="P546" s="409"/>
      <c r="Q546" s="382"/>
      <c r="R546" s="385" t="str">
        <f t="shared" si="138"/>
        <v>T</v>
      </c>
      <c r="S546" s="389"/>
      <c r="T546" s="389"/>
      <c r="U546" s="389"/>
      <c r="V546" s="389"/>
      <c r="W546" s="389"/>
      <c r="X546" s="389"/>
      <c r="Y546" s="389"/>
      <c r="Z546" s="389"/>
      <c r="AA546" s="389"/>
      <c r="AB546" s="389"/>
      <c r="AC546" s="389"/>
      <c r="AD546" s="389"/>
      <c r="AE546" s="389"/>
      <c r="AF546" s="389"/>
    </row>
    <row r="547" spans="1:32" hidden="1" outlineLevel="3">
      <c r="A547" s="382"/>
      <c r="B547" s="386" t="s">
        <v>305</v>
      </c>
      <c r="C547" s="386" t="s">
        <v>306</v>
      </c>
      <c r="D547" s="382" t="s">
        <v>18</v>
      </c>
      <c r="E547" s="386" t="s">
        <v>144</v>
      </c>
      <c r="F547" s="440" t="s">
        <v>284</v>
      </c>
      <c r="G547" s="411">
        <v>0.238875</v>
      </c>
      <c r="H547" s="546" t="str">
        <f t="shared" si="139"/>
        <v/>
      </c>
      <c r="I547" s="546" t="str">
        <f t="shared" si="139"/>
        <v/>
      </c>
      <c r="J547" s="546">
        <f t="shared" si="139"/>
        <v>0.238875</v>
      </c>
      <c r="K547" s="546" t="str">
        <f t="shared" si="139"/>
        <v/>
      </c>
      <c r="L547" s="411">
        <f t="shared" si="136"/>
        <v>1</v>
      </c>
      <c r="M547" s="409"/>
      <c r="O547" s="409">
        <v>1</v>
      </c>
      <c r="P547" s="409"/>
      <c r="Q547" s="382"/>
      <c r="R547" s="385" t="str">
        <f t="shared" si="138"/>
        <v>T</v>
      </c>
      <c r="S547" s="389"/>
      <c r="T547" s="389"/>
      <c r="U547" s="389"/>
      <c r="V547" s="389"/>
      <c r="W547" s="389"/>
      <c r="X547" s="389"/>
      <c r="Y547" s="389"/>
      <c r="Z547" s="389"/>
      <c r="AA547" s="389"/>
      <c r="AB547" s="389"/>
      <c r="AC547" s="389"/>
      <c r="AD547" s="389"/>
      <c r="AE547" s="389"/>
      <c r="AF547" s="389"/>
    </row>
    <row r="548" spans="1:32" hidden="1" outlineLevel="2" collapsed="1">
      <c r="A548" s="382"/>
      <c r="B548" s="386" t="s">
        <v>305</v>
      </c>
      <c r="C548" s="386" t="s">
        <v>306</v>
      </c>
      <c r="D548" s="382" t="s">
        <v>26</v>
      </c>
      <c r="E548" s="382"/>
      <c r="F548" s="440" t="s">
        <v>87</v>
      </c>
      <c r="G548" s="411">
        <f>SUM(G549:G553)</f>
        <v>0.38213670655999998</v>
      </c>
      <c r="H548" s="546">
        <f>SUM(H549:H553)</f>
        <v>0</v>
      </c>
      <c r="I548" s="546">
        <f>SUM(I549:I553)</f>
        <v>0.34289966591999999</v>
      </c>
      <c r="J548" s="546">
        <f>SUM(J549:J553)</f>
        <v>3.9237040639999998E-2</v>
      </c>
      <c r="K548" s="546">
        <f>SUM(K549:K553)</f>
        <v>0</v>
      </c>
      <c r="L548" s="411">
        <f t="shared" si="136"/>
        <v>5</v>
      </c>
      <c r="M548" s="409">
        <f>SUM(M549:M553)</f>
        <v>0</v>
      </c>
      <c r="N548" s="409">
        <f>SUM(N549:N553)</f>
        <v>3</v>
      </c>
      <c r="O548" s="409">
        <f>SUM(O549:O553)</f>
        <v>2</v>
      </c>
      <c r="P548" s="409">
        <f>SUM(P549:P553)</f>
        <v>0</v>
      </c>
      <c r="Q548" s="382"/>
      <c r="R548" s="385" t="str">
        <f t="shared" si="138"/>
        <v>T</v>
      </c>
      <c r="S548" s="389"/>
      <c r="T548" s="389"/>
      <c r="U548" s="389"/>
      <c r="V548" s="389"/>
      <c r="W548" s="389"/>
      <c r="X548" s="389"/>
      <c r="Y548" s="389"/>
      <c r="Z548" s="389"/>
      <c r="AA548" s="389"/>
      <c r="AB548" s="389"/>
      <c r="AC548" s="389"/>
      <c r="AD548" s="389"/>
      <c r="AE548" s="389"/>
      <c r="AF548" s="389"/>
    </row>
    <row r="549" spans="1:32" hidden="1" outlineLevel="3">
      <c r="A549" s="382"/>
      <c r="B549" s="386" t="s">
        <v>305</v>
      </c>
      <c r="C549" s="386" t="s">
        <v>306</v>
      </c>
      <c r="D549" s="382" t="s">
        <v>26</v>
      </c>
      <c r="E549" s="382" t="s">
        <v>27</v>
      </c>
      <c r="F549" s="440" t="s">
        <v>279</v>
      </c>
      <c r="G549" s="411">
        <v>8.0449832960000009E-2</v>
      </c>
      <c r="H549" s="546" t="str">
        <f t="shared" ref="H549:K553" si="140">IF(M549=1,$G549,"")</f>
        <v/>
      </c>
      <c r="I549" s="546">
        <f t="shared" si="140"/>
        <v>8.0449832960000009E-2</v>
      </c>
      <c r="J549" s="546" t="str">
        <f t="shared" si="140"/>
        <v/>
      </c>
      <c r="K549" s="546" t="str">
        <f t="shared" si="140"/>
        <v/>
      </c>
      <c r="L549" s="411">
        <f t="shared" si="136"/>
        <v>1</v>
      </c>
      <c r="M549" s="409"/>
      <c r="N549" s="409">
        <v>1</v>
      </c>
      <c r="O549" s="409"/>
      <c r="P549" s="409"/>
      <c r="Q549" s="382"/>
      <c r="R549" s="385" t="str">
        <f t="shared" si="138"/>
        <v>T</v>
      </c>
      <c r="S549" s="389"/>
      <c r="T549" s="389"/>
      <c r="U549" s="389"/>
      <c r="V549" s="389"/>
      <c r="W549" s="389"/>
      <c r="X549" s="389"/>
      <c r="Y549" s="389"/>
      <c r="Z549" s="389"/>
      <c r="AA549" s="389"/>
      <c r="AB549" s="389"/>
      <c r="AC549" s="389"/>
      <c r="AD549" s="389"/>
      <c r="AE549" s="389"/>
      <c r="AF549" s="389"/>
    </row>
    <row r="550" spans="1:32" hidden="1" outlineLevel="3">
      <c r="A550" s="382"/>
      <c r="B550" s="386" t="s">
        <v>305</v>
      </c>
      <c r="C550" s="386" t="s">
        <v>306</v>
      </c>
      <c r="D550" s="382" t="s">
        <v>26</v>
      </c>
      <c r="E550" s="382" t="s">
        <v>27</v>
      </c>
      <c r="F550" s="440" t="s">
        <v>280</v>
      </c>
      <c r="G550" s="411">
        <v>8.0449832960000009E-2</v>
      </c>
      <c r="H550" s="546" t="str">
        <f t="shared" si="140"/>
        <v/>
      </c>
      <c r="I550" s="546">
        <f t="shared" si="140"/>
        <v>8.0449832960000009E-2</v>
      </c>
      <c r="J550" s="546" t="str">
        <f t="shared" si="140"/>
        <v/>
      </c>
      <c r="K550" s="546" t="str">
        <f t="shared" si="140"/>
        <v/>
      </c>
      <c r="L550" s="411">
        <f t="shared" si="136"/>
        <v>1</v>
      </c>
      <c r="M550" s="409"/>
      <c r="N550" s="409">
        <v>1</v>
      </c>
      <c r="O550" s="409"/>
      <c r="P550" s="409"/>
      <c r="Q550" s="382"/>
      <c r="R550" s="385" t="str">
        <f t="shared" si="138"/>
        <v>T</v>
      </c>
      <c r="S550" s="389"/>
      <c r="T550" s="389"/>
      <c r="U550" s="389"/>
      <c r="V550" s="389"/>
      <c r="W550" s="389"/>
      <c r="X550" s="389"/>
      <c r="Y550" s="389"/>
      <c r="Z550" s="389"/>
      <c r="AA550" s="389"/>
      <c r="AB550" s="389"/>
      <c r="AC550" s="389"/>
      <c r="AD550" s="389"/>
      <c r="AE550" s="389"/>
      <c r="AF550" s="389"/>
    </row>
    <row r="551" spans="1:32" hidden="1" outlineLevel="3">
      <c r="A551" s="382"/>
      <c r="B551" s="386" t="s">
        <v>305</v>
      </c>
      <c r="C551" s="386" t="s">
        <v>306</v>
      </c>
      <c r="D551" s="382" t="s">
        <v>26</v>
      </c>
      <c r="E551" s="382" t="s">
        <v>27</v>
      </c>
      <c r="F551" s="440" t="s">
        <v>281</v>
      </c>
      <c r="G551" s="411">
        <v>0.182</v>
      </c>
      <c r="H551" s="546" t="str">
        <f t="shared" si="140"/>
        <v/>
      </c>
      <c r="I551" s="546">
        <f t="shared" si="140"/>
        <v>0.182</v>
      </c>
      <c r="J551" s="546" t="str">
        <f t="shared" si="140"/>
        <v/>
      </c>
      <c r="K551" s="546" t="str">
        <f t="shared" si="140"/>
        <v/>
      </c>
      <c r="L551" s="411">
        <f t="shared" si="136"/>
        <v>1</v>
      </c>
      <c r="M551" s="409"/>
      <c r="N551" s="409">
        <v>1</v>
      </c>
      <c r="O551" s="409"/>
      <c r="P551" s="409"/>
      <c r="Q551" s="382"/>
      <c r="R551" s="385" t="str">
        <f t="shared" si="138"/>
        <v>T</v>
      </c>
      <c r="S551" s="389"/>
      <c r="T551" s="389"/>
      <c r="U551" s="389"/>
      <c r="V551" s="389"/>
      <c r="W551" s="389"/>
      <c r="X551" s="389"/>
      <c r="Y551" s="389"/>
      <c r="Z551" s="389"/>
      <c r="AA551" s="389"/>
      <c r="AB551" s="389"/>
      <c r="AC551" s="389"/>
      <c r="AD551" s="389"/>
      <c r="AE551" s="389"/>
      <c r="AF551" s="389"/>
    </row>
    <row r="552" spans="1:32" hidden="1" outlineLevel="3">
      <c r="A552" s="382"/>
      <c r="B552" s="386" t="s">
        <v>305</v>
      </c>
      <c r="C552" s="386" t="s">
        <v>306</v>
      </c>
      <c r="D552" s="382" t="s">
        <v>26</v>
      </c>
      <c r="E552" s="382" t="s">
        <v>27</v>
      </c>
      <c r="F552" s="440" t="s">
        <v>282</v>
      </c>
      <c r="G552" s="411">
        <v>1.8200000000000001E-2</v>
      </c>
      <c r="H552" s="546" t="str">
        <f t="shared" si="140"/>
        <v/>
      </c>
      <c r="I552" s="546" t="str">
        <f t="shared" si="140"/>
        <v/>
      </c>
      <c r="J552" s="546">
        <f t="shared" si="140"/>
        <v>1.8200000000000001E-2</v>
      </c>
      <c r="K552" s="546" t="str">
        <f t="shared" si="140"/>
        <v/>
      </c>
      <c r="L552" s="411">
        <f t="shared" si="136"/>
        <v>1</v>
      </c>
      <c r="M552" s="409"/>
      <c r="N552" s="409"/>
      <c r="O552" s="409">
        <v>1</v>
      </c>
      <c r="P552" s="409"/>
      <c r="Q552" s="382"/>
      <c r="R552" s="385" t="str">
        <f t="shared" si="138"/>
        <v>T</v>
      </c>
      <c r="S552" s="389"/>
      <c r="T552" s="389"/>
      <c r="U552" s="389"/>
      <c r="V552" s="389"/>
      <c r="W552" s="389"/>
      <c r="X552" s="389"/>
      <c r="Y552" s="389"/>
      <c r="Z552" s="389"/>
      <c r="AA552" s="389"/>
      <c r="AB552" s="389"/>
      <c r="AC552" s="389"/>
      <c r="AD552" s="389"/>
      <c r="AE552" s="389"/>
      <c r="AF552" s="389"/>
    </row>
    <row r="553" spans="1:32" hidden="1" outlineLevel="3">
      <c r="A553" s="382"/>
      <c r="B553" s="386" t="s">
        <v>305</v>
      </c>
      <c r="C553" s="386" t="s">
        <v>306</v>
      </c>
      <c r="D553" s="382" t="s">
        <v>26</v>
      </c>
      <c r="E553" s="382" t="s">
        <v>27</v>
      </c>
      <c r="F553" s="440" t="s">
        <v>283</v>
      </c>
      <c r="G553" s="411">
        <v>2.1037040640000001E-2</v>
      </c>
      <c r="H553" s="546" t="str">
        <f t="shared" si="140"/>
        <v/>
      </c>
      <c r="I553" s="546" t="str">
        <f t="shared" si="140"/>
        <v/>
      </c>
      <c r="J553" s="546">
        <f t="shared" si="140"/>
        <v>2.1037040640000001E-2</v>
      </c>
      <c r="K553" s="546" t="str">
        <f t="shared" si="140"/>
        <v/>
      </c>
      <c r="L553" s="411">
        <f t="shared" si="136"/>
        <v>1</v>
      </c>
      <c r="M553" s="409"/>
      <c r="N553" s="409"/>
      <c r="O553" s="409">
        <v>1</v>
      </c>
      <c r="P553" s="409"/>
      <c r="Q553" s="382"/>
      <c r="R553" s="385" t="str">
        <f t="shared" si="138"/>
        <v>T</v>
      </c>
      <c r="S553" s="389"/>
      <c r="T553" s="389"/>
      <c r="U553" s="389"/>
      <c r="V553" s="389"/>
      <c r="W553" s="389"/>
      <c r="X553" s="389"/>
      <c r="Y553" s="389"/>
      <c r="Z553" s="389"/>
      <c r="AA553" s="389"/>
      <c r="AB553" s="389"/>
      <c r="AC553" s="389"/>
      <c r="AD553" s="389"/>
      <c r="AE553" s="389"/>
      <c r="AF553" s="389"/>
    </row>
    <row r="554" spans="1:32" hidden="1" outlineLevel="2" collapsed="1">
      <c r="A554" s="382"/>
      <c r="B554" s="386" t="s">
        <v>305</v>
      </c>
      <c r="C554" s="386" t="s">
        <v>306</v>
      </c>
      <c r="D554" s="382" t="s">
        <v>28</v>
      </c>
      <c r="E554" s="382"/>
      <c r="F554" s="440" t="s">
        <v>87</v>
      </c>
      <c r="G554" s="411">
        <f>SUM(G555:G561)</f>
        <v>0.21495189743999998</v>
      </c>
      <c r="H554" s="546">
        <f>SUM(H555:H561)</f>
        <v>0</v>
      </c>
      <c r="I554" s="546">
        <f>SUM(I555:I561)</f>
        <v>0.11906704655999999</v>
      </c>
      <c r="J554" s="546">
        <f>SUM(J555:J561)</f>
        <v>9.5884850880000011E-2</v>
      </c>
      <c r="K554" s="546">
        <f>SUM(K555:K561)</f>
        <v>0</v>
      </c>
      <c r="L554" s="411">
        <f t="shared" si="136"/>
        <v>7</v>
      </c>
      <c r="M554" s="409">
        <f>SUM(M555:M561)</f>
        <v>0</v>
      </c>
      <c r="N554" s="409">
        <f>SUM(N555:N561)</f>
        <v>4</v>
      </c>
      <c r="O554" s="409">
        <f>SUM(O555:O561)</f>
        <v>3</v>
      </c>
      <c r="P554" s="409">
        <f>SUM(P555:P561)</f>
        <v>0</v>
      </c>
      <c r="Q554" s="382"/>
      <c r="R554" s="385" t="str">
        <f t="shared" si="138"/>
        <v>T</v>
      </c>
      <c r="S554" s="389"/>
      <c r="T554" s="389"/>
      <c r="U554" s="389"/>
      <c r="V554" s="389"/>
      <c r="W554" s="389"/>
      <c r="X554" s="389"/>
      <c r="Y554" s="389"/>
      <c r="Z554" s="389"/>
      <c r="AA554" s="389"/>
      <c r="AB554" s="389"/>
      <c r="AC554" s="389"/>
      <c r="AD554" s="389"/>
      <c r="AE554" s="389"/>
      <c r="AF554" s="389"/>
    </row>
    <row r="555" spans="1:32" hidden="1" outlineLevel="3">
      <c r="A555" s="382"/>
      <c r="B555" s="386" t="s">
        <v>305</v>
      </c>
      <c r="C555" s="386" t="s">
        <v>306</v>
      </c>
      <c r="D555" s="382" t="s">
        <v>28</v>
      </c>
      <c r="E555" s="382" t="s">
        <v>29</v>
      </c>
      <c r="F555" s="440" t="s">
        <v>279</v>
      </c>
      <c r="G555" s="411">
        <v>2.2626515519999998E-2</v>
      </c>
      <c r="H555" s="546" t="str">
        <f t="shared" ref="H555:K561" si="141">IF(M555=1,$G555,"")</f>
        <v/>
      </c>
      <c r="I555" s="546">
        <f t="shared" si="141"/>
        <v>2.2626515519999998E-2</v>
      </c>
      <c r="J555" s="546" t="str">
        <f t="shared" si="141"/>
        <v/>
      </c>
      <c r="K555" s="546" t="str">
        <f t="shared" si="141"/>
        <v/>
      </c>
      <c r="L555" s="411">
        <f t="shared" si="136"/>
        <v>1</v>
      </c>
      <c r="M555" s="409"/>
      <c r="N555" s="409">
        <v>1</v>
      </c>
      <c r="O555" s="409"/>
      <c r="P555" s="409"/>
      <c r="Q555" s="382"/>
      <c r="R555" s="385" t="str">
        <f t="shared" si="138"/>
        <v>T</v>
      </c>
      <c r="S555" s="389"/>
      <c r="T555" s="389"/>
      <c r="U555" s="389"/>
      <c r="V555" s="389"/>
      <c r="W555" s="389"/>
      <c r="X555" s="389"/>
      <c r="Y555" s="389"/>
      <c r="Z555" s="389"/>
      <c r="AA555" s="389"/>
      <c r="AB555" s="389"/>
      <c r="AC555" s="389"/>
      <c r="AD555" s="389"/>
      <c r="AE555" s="389"/>
      <c r="AF555" s="389"/>
    </row>
    <row r="556" spans="1:32" hidden="1" outlineLevel="3">
      <c r="A556" s="382"/>
      <c r="B556" s="386" t="s">
        <v>305</v>
      </c>
      <c r="C556" s="386" t="s">
        <v>306</v>
      </c>
      <c r="D556" s="382" t="s">
        <v>28</v>
      </c>
      <c r="E556" s="382" t="s">
        <v>29</v>
      </c>
      <c r="F556" s="440" t="s">
        <v>33</v>
      </c>
      <c r="G556" s="411">
        <v>2.2626515519999998E-2</v>
      </c>
      <c r="H556" s="546" t="str">
        <f t="shared" si="141"/>
        <v/>
      </c>
      <c r="I556" s="546">
        <f t="shared" si="141"/>
        <v>2.2626515519999998E-2</v>
      </c>
      <c r="J556" s="546" t="str">
        <f t="shared" si="141"/>
        <v/>
      </c>
      <c r="K556" s="546" t="str">
        <f t="shared" si="141"/>
        <v/>
      </c>
      <c r="L556" s="411">
        <f t="shared" si="136"/>
        <v>1</v>
      </c>
      <c r="M556" s="409"/>
      <c r="N556" s="409">
        <v>1</v>
      </c>
      <c r="O556" s="409"/>
      <c r="P556" s="409"/>
      <c r="Q556" s="382"/>
      <c r="R556" s="385" t="str">
        <f t="shared" si="138"/>
        <v>T</v>
      </c>
      <c r="S556" s="389"/>
      <c r="T556" s="389"/>
      <c r="U556" s="389"/>
      <c r="V556" s="389"/>
      <c r="W556" s="389"/>
      <c r="X556" s="389"/>
      <c r="Y556" s="389"/>
      <c r="Z556" s="389"/>
      <c r="AA556" s="389"/>
      <c r="AB556" s="389"/>
      <c r="AC556" s="389"/>
      <c r="AD556" s="389"/>
      <c r="AE556" s="389"/>
      <c r="AF556" s="389"/>
    </row>
    <row r="557" spans="1:32" hidden="1" outlineLevel="3">
      <c r="A557" s="382"/>
      <c r="B557" s="386" t="s">
        <v>305</v>
      </c>
      <c r="C557" s="386" t="s">
        <v>306</v>
      </c>
      <c r="D557" s="382" t="s">
        <v>28</v>
      </c>
      <c r="E557" s="382" t="s">
        <v>29</v>
      </c>
      <c r="F557" s="440" t="s">
        <v>280</v>
      </c>
      <c r="G557" s="411">
        <v>2.2626515519999998E-2</v>
      </c>
      <c r="H557" s="546" t="str">
        <f t="shared" si="141"/>
        <v/>
      </c>
      <c r="I557" s="546">
        <f t="shared" si="141"/>
        <v>2.2626515519999998E-2</v>
      </c>
      <c r="J557" s="546" t="str">
        <f t="shared" si="141"/>
        <v/>
      </c>
      <c r="K557" s="546" t="str">
        <f t="shared" si="141"/>
        <v/>
      </c>
      <c r="L557" s="411">
        <f t="shared" si="136"/>
        <v>1</v>
      </c>
      <c r="M557" s="409"/>
      <c r="N557" s="409">
        <v>1</v>
      </c>
      <c r="O557" s="409"/>
      <c r="P557" s="409"/>
      <c r="Q557" s="382"/>
      <c r="R557" s="385" t="str">
        <f t="shared" si="138"/>
        <v>T</v>
      </c>
      <c r="S557" s="389"/>
      <c r="T557" s="389"/>
      <c r="U557" s="389"/>
      <c r="V557" s="389"/>
      <c r="W557" s="389"/>
      <c r="X557" s="389"/>
      <c r="Y557" s="389"/>
      <c r="Z557" s="389"/>
      <c r="AA557" s="389"/>
      <c r="AB557" s="389"/>
      <c r="AC557" s="389"/>
      <c r="AD557" s="389"/>
      <c r="AE557" s="389"/>
      <c r="AF557" s="389"/>
    </row>
    <row r="558" spans="1:32" hidden="1" outlineLevel="3">
      <c r="A558" s="382"/>
      <c r="B558" s="386" t="s">
        <v>305</v>
      </c>
      <c r="C558" s="386" t="s">
        <v>306</v>
      </c>
      <c r="D558" s="382" t="s">
        <v>28</v>
      </c>
      <c r="E558" s="382" t="s">
        <v>29</v>
      </c>
      <c r="F558" s="440" t="s">
        <v>281</v>
      </c>
      <c r="G558" s="411">
        <v>5.1187499999999997E-2</v>
      </c>
      <c r="H558" s="546" t="str">
        <f t="shared" si="141"/>
        <v/>
      </c>
      <c r="I558" s="546">
        <f t="shared" si="141"/>
        <v>5.1187499999999997E-2</v>
      </c>
      <c r="J558" s="546" t="str">
        <f t="shared" si="141"/>
        <v/>
      </c>
      <c r="K558" s="546" t="str">
        <f t="shared" si="141"/>
        <v/>
      </c>
      <c r="L558" s="411">
        <f t="shared" si="136"/>
        <v>1</v>
      </c>
      <c r="M558" s="409"/>
      <c r="N558" s="409">
        <v>1</v>
      </c>
      <c r="O558" s="409"/>
      <c r="P558" s="409"/>
      <c r="Q558" s="382"/>
      <c r="R558" s="385" t="str">
        <f t="shared" si="138"/>
        <v>T</v>
      </c>
      <c r="S558" s="389"/>
      <c r="T558" s="389"/>
      <c r="U558" s="389"/>
      <c r="V558" s="389"/>
      <c r="W558" s="389"/>
      <c r="X558" s="389"/>
      <c r="Y558" s="389"/>
      <c r="Z558" s="389"/>
      <c r="AA558" s="389"/>
      <c r="AB558" s="389"/>
      <c r="AC558" s="389"/>
      <c r="AD558" s="389"/>
      <c r="AE558" s="389"/>
      <c r="AF558" s="389"/>
    </row>
    <row r="559" spans="1:32" hidden="1" outlineLevel="3">
      <c r="A559" s="382"/>
      <c r="B559" s="386" t="s">
        <v>305</v>
      </c>
      <c r="C559" s="386" t="s">
        <v>306</v>
      </c>
      <c r="D559" s="382" t="s">
        <v>28</v>
      </c>
      <c r="E559" s="382" t="s">
        <v>29</v>
      </c>
      <c r="F559" s="440" t="s">
        <v>282</v>
      </c>
      <c r="G559" s="411">
        <v>4.095E-2</v>
      </c>
      <c r="H559" s="546" t="str">
        <f t="shared" si="141"/>
        <v/>
      </c>
      <c r="I559" s="546" t="str">
        <f t="shared" si="141"/>
        <v/>
      </c>
      <c r="J559" s="546">
        <f t="shared" si="141"/>
        <v>4.095E-2</v>
      </c>
      <c r="K559" s="546" t="str">
        <f t="shared" si="141"/>
        <v/>
      </c>
      <c r="L559" s="411">
        <f t="shared" si="136"/>
        <v>1</v>
      </c>
      <c r="M559" s="409"/>
      <c r="N559" s="409"/>
      <c r="O559" s="409">
        <v>1</v>
      </c>
      <c r="P559" s="409"/>
      <c r="Q559" s="382"/>
      <c r="R559" s="385" t="str">
        <f t="shared" si="138"/>
        <v>T</v>
      </c>
      <c r="S559" s="389"/>
      <c r="T559" s="389"/>
      <c r="U559" s="389"/>
      <c r="V559" s="389"/>
      <c r="W559" s="389"/>
      <c r="X559" s="389"/>
      <c r="Y559" s="389"/>
      <c r="Z559" s="389"/>
      <c r="AA559" s="389"/>
      <c r="AB559" s="389"/>
      <c r="AC559" s="389"/>
      <c r="AD559" s="389"/>
      <c r="AE559" s="389"/>
      <c r="AF559" s="389"/>
    </row>
    <row r="560" spans="1:32" hidden="1" outlineLevel="3">
      <c r="A560" s="382"/>
      <c r="B560" s="386" t="s">
        <v>305</v>
      </c>
      <c r="C560" s="386" t="s">
        <v>306</v>
      </c>
      <c r="D560" s="382" t="s">
        <v>28</v>
      </c>
      <c r="E560" s="382" t="s">
        <v>29</v>
      </c>
      <c r="F560" s="440" t="s">
        <v>283</v>
      </c>
      <c r="G560" s="411">
        <v>1.3984850880000002E-2</v>
      </c>
      <c r="H560" s="546" t="str">
        <f t="shared" si="141"/>
        <v/>
      </c>
      <c r="I560" s="546" t="str">
        <f t="shared" si="141"/>
        <v/>
      </c>
      <c r="J560" s="546">
        <f t="shared" si="141"/>
        <v>1.3984850880000002E-2</v>
      </c>
      <c r="K560" s="546" t="str">
        <f t="shared" si="141"/>
        <v/>
      </c>
      <c r="L560" s="411">
        <f t="shared" si="136"/>
        <v>1</v>
      </c>
      <c r="M560" s="409"/>
      <c r="N560" s="409"/>
      <c r="O560" s="409">
        <v>1</v>
      </c>
      <c r="P560" s="409"/>
      <c r="Q560" s="382"/>
      <c r="R560" s="385" t="str">
        <f t="shared" si="138"/>
        <v>T</v>
      </c>
      <c r="S560" s="389"/>
      <c r="T560" s="389"/>
      <c r="U560" s="389"/>
      <c r="V560" s="389"/>
      <c r="W560" s="389"/>
      <c r="X560" s="389"/>
      <c r="Y560" s="389"/>
      <c r="Z560" s="389"/>
      <c r="AA560" s="389"/>
      <c r="AB560" s="389"/>
      <c r="AC560" s="389"/>
      <c r="AD560" s="389"/>
      <c r="AE560" s="389"/>
      <c r="AF560" s="389"/>
    </row>
    <row r="561" spans="1:32" hidden="1" outlineLevel="3">
      <c r="A561" s="382"/>
      <c r="B561" s="386" t="s">
        <v>305</v>
      </c>
      <c r="C561" s="386" t="s">
        <v>306</v>
      </c>
      <c r="D561" s="382" t="s">
        <v>28</v>
      </c>
      <c r="E561" s="382" t="s">
        <v>29</v>
      </c>
      <c r="F561" s="440" t="s">
        <v>284</v>
      </c>
      <c r="G561" s="411">
        <v>4.095E-2</v>
      </c>
      <c r="H561" s="546" t="str">
        <f t="shared" si="141"/>
        <v/>
      </c>
      <c r="I561" s="546" t="str">
        <f t="shared" si="141"/>
        <v/>
      </c>
      <c r="J561" s="546">
        <f t="shared" si="141"/>
        <v>4.095E-2</v>
      </c>
      <c r="K561" s="546" t="str">
        <f t="shared" si="141"/>
        <v/>
      </c>
      <c r="L561" s="411">
        <f t="shared" si="136"/>
        <v>1</v>
      </c>
      <c r="M561" s="409"/>
      <c r="N561" s="409"/>
      <c r="O561" s="409">
        <v>1</v>
      </c>
      <c r="P561" s="409"/>
      <c r="Q561" s="382"/>
      <c r="R561" s="385" t="str">
        <f t="shared" si="138"/>
        <v>T</v>
      </c>
      <c r="S561" s="389"/>
      <c r="T561" s="389"/>
      <c r="U561" s="389"/>
      <c r="V561" s="389"/>
      <c r="W561" s="389"/>
      <c r="X561" s="389"/>
      <c r="Y561" s="389"/>
      <c r="Z561" s="389"/>
      <c r="AA561" s="389"/>
      <c r="AB561" s="389"/>
      <c r="AC561" s="389"/>
      <c r="AD561" s="389"/>
      <c r="AE561" s="389"/>
      <c r="AF561" s="389"/>
    </row>
    <row r="562" spans="1:32" hidden="1" outlineLevel="2" collapsed="1">
      <c r="A562" s="382"/>
      <c r="B562" s="386" t="s">
        <v>305</v>
      </c>
      <c r="C562" s="386" t="s">
        <v>306</v>
      </c>
      <c r="D562" s="382" t="s">
        <v>64</v>
      </c>
      <c r="E562" s="382"/>
      <c r="F562" s="440" t="s">
        <v>87</v>
      </c>
      <c r="G562" s="411">
        <f>SUM(G563:G567)</f>
        <v>0.1194177208</v>
      </c>
      <c r="H562" s="546">
        <f>SUM(H563:H567)</f>
        <v>0</v>
      </c>
      <c r="I562" s="546">
        <f>SUM(I563:I567)</f>
        <v>5.0281145600000007E-2</v>
      </c>
      <c r="J562" s="546">
        <f>SUM(J563:J567)</f>
        <v>6.9136575199999994E-2</v>
      </c>
      <c r="K562" s="546">
        <f>SUM(K563:K567)</f>
        <v>0</v>
      </c>
      <c r="L562" s="411">
        <f t="shared" si="136"/>
        <v>5</v>
      </c>
      <c r="M562" s="409">
        <f>SUM(M563:M567)</f>
        <v>0</v>
      </c>
      <c r="N562" s="409">
        <f>SUM(N563:N567)</f>
        <v>3</v>
      </c>
      <c r="O562" s="409">
        <f>SUM(O563:O567)</f>
        <v>2</v>
      </c>
      <c r="P562" s="409">
        <f>SUM(P563:P567)</f>
        <v>0</v>
      </c>
      <c r="Q562" s="382"/>
      <c r="R562" s="385" t="str">
        <f t="shared" si="138"/>
        <v>T</v>
      </c>
      <c r="S562" s="389"/>
      <c r="T562" s="389"/>
      <c r="U562" s="389"/>
      <c r="V562" s="389"/>
      <c r="W562" s="389"/>
      <c r="X562" s="389"/>
      <c r="Y562" s="389"/>
      <c r="Z562" s="389"/>
      <c r="AA562" s="389"/>
      <c r="AB562" s="389"/>
      <c r="AC562" s="389"/>
      <c r="AD562" s="389"/>
      <c r="AE562" s="389"/>
      <c r="AF562" s="389"/>
    </row>
    <row r="563" spans="1:32" hidden="1" outlineLevel="3">
      <c r="A563" s="382"/>
      <c r="B563" s="386" t="s">
        <v>305</v>
      </c>
      <c r="C563" s="386" t="s">
        <v>306</v>
      </c>
      <c r="D563" s="382" t="s">
        <v>64</v>
      </c>
      <c r="E563" s="382" t="s">
        <v>29</v>
      </c>
      <c r="F563" s="440" t="s">
        <v>279</v>
      </c>
      <c r="G563" s="411">
        <v>1.8855429600000001E-2</v>
      </c>
      <c r="H563" s="546" t="str">
        <f t="shared" ref="H563:K567" si="142">IF(M563=1,$G563,"")</f>
        <v/>
      </c>
      <c r="I563" s="546">
        <f t="shared" si="142"/>
        <v>1.8855429600000001E-2</v>
      </c>
      <c r="J563" s="546" t="str">
        <f t="shared" si="142"/>
        <v/>
      </c>
      <c r="K563" s="546" t="str">
        <f t="shared" si="142"/>
        <v/>
      </c>
      <c r="L563" s="411">
        <f t="shared" si="136"/>
        <v>1</v>
      </c>
      <c r="M563" s="409"/>
      <c r="N563" s="409">
        <v>1</v>
      </c>
      <c r="O563" s="409"/>
      <c r="P563" s="409"/>
      <c r="Q563" s="382"/>
      <c r="R563" s="385" t="str">
        <f t="shared" si="138"/>
        <v>T</v>
      </c>
      <c r="S563" s="389"/>
      <c r="T563" s="389"/>
      <c r="U563" s="389"/>
      <c r="V563" s="389"/>
      <c r="W563" s="389"/>
      <c r="X563" s="389"/>
      <c r="Y563" s="389"/>
      <c r="Z563" s="389"/>
      <c r="AA563" s="389"/>
      <c r="AB563" s="389"/>
      <c r="AC563" s="389"/>
      <c r="AD563" s="389"/>
      <c r="AE563" s="389"/>
      <c r="AF563" s="389"/>
    </row>
    <row r="564" spans="1:32" hidden="1" outlineLevel="3">
      <c r="A564" s="382"/>
      <c r="B564" s="386" t="s">
        <v>305</v>
      </c>
      <c r="C564" s="386" t="s">
        <v>306</v>
      </c>
      <c r="D564" s="382" t="s">
        <v>64</v>
      </c>
      <c r="E564" s="382" t="s">
        <v>29</v>
      </c>
      <c r="F564" s="440" t="s">
        <v>33</v>
      </c>
      <c r="G564" s="411">
        <v>1.8855429600000001E-2</v>
      </c>
      <c r="H564" s="546" t="str">
        <f t="shared" si="142"/>
        <v/>
      </c>
      <c r="I564" s="546">
        <f t="shared" si="142"/>
        <v>1.8855429600000001E-2</v>
      </c>
      <c r="J564" s="546" t="str">
        <f t="shared" si="142"/>
        <v/>
      </c>
      <c r="K564" s="546" t="str">
        <f t="shared" si="142"/>
        <v/>
      </c>
      <c r="L564" s="411">
        <f t="shared" si="136"/>
        <v>1</v>
      </c>
      <c r="M564" s="409"/>
      <c r="N564" s="409">
        <v>1</v>
      </c>
      <c r="O564" s="409"/>
      <c r="P564" s="409"/>
      <c r="Q564" s="382"/>
      <c r="R564" s="385" t="str">
        <f t="shared" si="138"/>
        <v>T</v>
      </c>
      <c r="S564" s="389"/>
      <c r="T564" s="389"/>
      <c r="U564" s="389"/>
      <c r="V564" s="389"/>
      <c r="W564" s="389"/>
      <c r="X564" s="389"/>
      <c r="Y564" s="389"/>
      <c r="Z564" s="389"/>
      <c r="AA564" s="389"/>
      <c r="AB564" s="389"/>
      <c r="AC564" s="389"/>
      <c r="AD564" s="389"/>
      <c r="AE564" s="389"/>
      <c r="AF564" s="389"/>
    </row>
    <row r="565" spans="1:32" hidden="1" outlineLevel="3">
      <c r="A565" s="382"/>
      <c r="B565" s="386" t="s">
        <v>305</v>
      </c>
      <c r="C565" s="386" t="s">
        <v>306</v>
      </c>
      <c r="D565" s="382" t="s">
        <v>64</v>
      </c>
      <c r="E565" s="382" t="s">
        <v>29</v>
      </c>
      <c r="F565" s="440" t="s">
        <v>280</v>
      </c>
      <c r="G565" s="411">
        <v>1.2570286400000002E-2</v>
      </c>
      <c r="H565" s="546" t="str">
        <f t="shared" si="142"/>
        <v/>
      </c>
      <c r="I565" s="546">
        <f t="shared" si="142"/>
        <v>1.2570286400000002E-2</v>
      </c>
      <c r="J565" s="546" t="str">
        <f t="shared" si="142"/>
        <v/>
      </c>
      <c r="K565" s="546" t="str">
        <f t="shared" si="142"/>
        <v/>
      </c>
      <c r="L565" s="411">
        <f t="shared" si="136"/>
        <v>1</v>
      </c>
      <c r="M565" s="409"/>
      <c r="N565" s="409">
        <v>1</v>
      </c>
      <c r="O565" s="409"/>
      <c r="P565" s="409"/>
      <c r="Q565" s="382"/>
      <c r="R565" s="385" t="str">
        <f t="shared" si="138"/>
        <v>T</v>
      </c>
      <c r="S565" s="389"/>
      <c r="T565" s="389"/>
      <c r="U565" s="389"/>
      <c r="V565" s="389"/>
      <c r="W565" s="389"/>
      <c r="X565" s="389"/>
      <c r="Y565" s="389"/>
      <c r="Z565" s="389"/>
      <c r="AA565" s="389"/>
      <c r="AB565" s="389"/>
      <c r="AC565" s="389"/>
      <c r="AD565" s="389"/>
      <c r="AE565" s="389"/>
      <c r="AF565" s="389"/>
    </row>
    <row r="566" spans="1:32" hidden="1" outlineLevel="3">
      <c r="A566" s="382"/>
      <c r="B566" s="386" t="s">
        <v>305</v>
      </c>
      <c r="C566" s="386" t="s">
        <v>306</v>
      </c>
      <c r="D566" s="382" t="s">
        <v>64</v>
      </c>
      <c r="E566" s="382" t="s">
        <v>29</v>
      </c>
      <c r="F566" s="440" t="s">
        <v>282</v>
      </c>
      <c r="G566" s="411">
        <v>6.2562499999999993E-2</v>
      </c>
      <c r="H566" s="546" t="str">
        <f t="shared" si="142"/>
        <v/>
      </c>
      <c r="I566" s="546" t="str">
        <f t="shared" si="142"/>
        <v/>
      </c>
      <c r="J566" s="546">
        <f t="shared" si="142"/>
        <v>6.2562499999999993E-2</v>
      </c>
      <c r="K566" s="546" t="str">
        <f t="shared" si="142"/>
        <v/>
      </c>
      <c r="L566" s="411">
        <f t="shared" si="136"/>
        <v>1</v>
      </c>
      <c r="M566" s="409"/>
      <c r="N566" s="409"/>
      <c r="O566" s="409">
        <v>1</v>
      </c>
      <c r="P566" s="409"/>
      <c r="Q566" s="382"/>
      <c r="R566" s="385" t="str">
        <f t="shared" si="138"/>
        <v>T</v>
      </c>
      <c r="S566" s="389"/>
      <c r="T566" s="389"/>
      <c r="U566" s="389"/>
      <c r="V566" s="389"/>
      <c r="W566" s="389"/>
      <c r="X566" s="389"/>
      <c r="Y566" s="389"/>
      <c r="Z566" s="389"/>
      <c r="AA566" s="389"/>
      <c r="AB566" s="389"/>
      <c r="AC566" s="389"/>
      <c r="AD566" s="389"/>
      <c r="AE566" s="389"/>
      <c r="AF566" s="389"/>
    </row>
    <row r="567" spans="1:32" hidden="1" outlineLevel="3">
      <c r="A567" s="382"/>
      <c r="B567" s="386" t="s">
        <v>305</v>
      </c>
      <c r="C567" s="386" t="s">
        <v>306</v>
      </c>
      <c r="D567" s="382" t="s">
        <v>64</v>
      </c>
      <c r="E567" s="382" t="s">
        <v>29</v>
      </c>
      <c r="F567" s="440" t="s">
        <v>283</v>
      </c>
      <c r="G567" s="411">
        <v>6.5740752000000005E-3</v>
      </c>
      <c r="H567" s="546" t="str">
        <f t="shared" si="142"/>
        <v/>
      </c>
      <c r="I567" s="546" t="str">
        <f t="shared" si="142"/>
        <v/>
      </c>
      <c r="J567" s="546">
        <f t="shared" si="142"/>
        <v>6.5740752000000005E-3</v>
      </c>
      <c r="K567" s="546" t="str">
        <f t="shared" si="142"/>
        <v/>
      </c>
      <c r="L567" s="411">
        <f t="shared" ref="L567:L573" si="143">SUM(M567:P567)</f>
        <v>1</v>
      </c>
      <c r="M567" s="409"/>
      <c r="N567" s="409"/>
      <c r="O567" s="409">
        <v>1</v>
      </c>
      <c r="P567" s="409"/>
      <c r="Q567" s="382"/>
      <c r="R567" s="385" t="str">
        <f t="shared" si="138"/>
        <v>T</v>
      </c>
      <c r="S567" s="389"/>
      <c r="T567" s="389"/>
      <c r="U567" s="389"/>
      <c r="V567" s="389"/>
      <c r="W567" s="389"/>
      <c r="X567" s="389"/>
      <c r="Y567" s="389"/>
      <c r="Z567" s="389"/>
      <c r="AA567" s="389"/>
      <c r="AB567" s="389"/>
      <c r="AC567" s="389"/>
      <c r="AD567" s="389"/>
      <c r="AE567" s="389"/>
      <c r="AF567" s="389"/>
    </row>
    <row r="568" spans="1:32" outlineLevel="1" collapsed="1">
      <c r="A568" s="382"/>
      <c r="B568" s="403" t="s">
        <v>308</v>
      </c>
      <c r="C568" s="396" t="s">
        <v>309</v>
      </c>
      <c r="D568" s="396"/>
      <c r="E568" s="396"/>
      <c r="F568" s="442" t="s">
        <v>310</v>
      </c>
      <c r="G568" s="422">
        <f>SUM(G569:G572)</f>
        <v>0</v>
      </c>
      <c r="H568" s="547">
        <f>SUM(H569:H573)</f>
        <v>0</v>
      </c>
      <c r="I568" s="547">
        <f>SUM(I569:I573)</f>
        <v>0</v>
      </c>
      <c r="J568" s="547">
        <f>SUM(J569:J573)</f>
        <v>0</v>
      </c>
      <c r="K568" s="547">
        <f>SUM(K569:K573)</f>
        <v>0</v>
      </c>
      <c r="L568" s="422">
        <f t="shared" si="143"/>
        <v>11</v>
      </c>
      <c r="M568" s="423">
        <f>SUM(M569:M573)</f>
        <v>11</v>
      </c>
      <c r="N568" s="423">
        <f>SUM(N569:N573)</f>
        <v>0</v>
      </c>
      <c r="O568" s="423">
        <f>SUM(O569:O573)</f>
        <v>0</v>
      </c>
      <c r="P568" s="423">
        <f>SUM(P569:P573)</f>
        <v>0</v>
      </c>
      <c r="Q568" s="382"/>
      <c r="R568" s="385" t="str">
        <f t="shared" si="138"/>
        <v>T</v>
      </c>
      <c r="S568" s="389"/>
      <c r="T568" s="389"/>
      <c r="U568" s="389"/>
      <c r="V568" s="389"/>
      <c r="W568" s="389"/>
      <c r="X568" s="389"/>
      <c r="Y568" s="389"/>
      <c r="Z568" s="389"/>
      <c r="AA568" s="389"/>
      <c r="AB568" s="389"/>
      <c r="AC568" s="389"/>
      <c r="AD568" s="389"/>
      <c r="AE568" s="389"/>
      <c r="AF568" s="389"/>
    </row>
    <row r="569" spans="1:32" hidden="1" outlineLevel="2">
      <c r="A569" s="382"/>
      <c r="B569" s="382" t="s">
        <v>200</v>
      </c>
      <c r="C569" s="397" t="s">
        <v>309</v>
      </c>
      <c r="D569" s="382" t="s">
        <v>18</v>
      </c>
      <c r="E569" s="382" t="s">
        <v>311</v>
      </c>
      <c r="F569" s="447" t="s">
        <v>312</v>
      </c>
      <c r="G569" s="387"/>
      <c r="H569" s="546" t="str">
        <f t="shared" ref="H569:K573" si="144">IF(M569=1,$G569,"")</f>
        <v/>
      </c>
      <c r="I569" s="546" t="str">
        <f t="shared" si="144"/>
        <v/>
      </c>
      <c r="J569" s="546" t="str">
        <f t="shared" si="144"/>
        <v/>
      </c>
      <c r="K569" s="546" t="str">
        <f t="shared" si="144"/>
        <v/>
      </c>
      <c r="L569" s="387">
        <f t="shared" si="143"/>
        <v>3</v>
      </c>
      <c r="M569" s="388">
        <v>3</v>
      </c>
      <c r="N569" s="388"/>
      <c r="O569" s="388"/>
      <c r="P569" s="388"/>
      <c r="Q569" s="382"/>
      <c r="R569" s="385" t="str">
        <f t="shared" si="138"/>
        <v>T</v>
      </c>
      <c r="S569" s="389"/>
      <c r="T569" s="389"/>
      <c r="U569" s="389"/>
      <c r="V569" s="389"/>
      <c r="W569" s="389"/>
      <c r="X569" s="389"/>
      <c r="Y569" s="389"/>
      <c r="Z569" s="389">
        <f>SUM(Z508:Z538)</f>
        <v>13</v>
      </c>
      <c r="AA569" s="389"/>
      <c r="AB569" s="389"/>
      <c r="AC569" s="389"/>
      <c r="AD569" s="389"/>
      <c r="AE569" s="389"/>
      <c r="AF569" s="389"/>
    </row>
    <row r="570" spans="1:32" hidden="1" outlineLevel="2">
      <c r="A570" s="382"/>
      <c r="B570" s="382" t="s">
        <v>313</v>
      </c>
      <c r="C570" s="397" t="s">
        <v>309</v>
      </c>
      <c r="D570" s="382" t="s">
        <v>18</v>
      </c>
      <c r="E570" s="382" t="s">
        <v>311</v>
      </c>
      <c r="F570" s="440" t="s">
        <v>314</v>
      </c>
      <c r="G570" s="387"/>
      <c r="H570" s="546" t="str">
        <f t="shared" si="144"/>
        <v/>
      </c>
      <c r="I570" s="546" t="str">
        <f t="shared" si="144"/>
        <v/>
      </c>
      <c r="J570" s="546" t="str">
        <f t="shared" si="144"/>
        <v/>
      </c>
      <c r="K570" s="546" t="str">
        <f t="shared" si="144"/>
        <v/>
      </c>
      <c r="L570" s="387">
        <f t="shared" si="143"/>
        <v>3</v>
      </c>
      <c r="M570" s="388">
        <v>3</v>
      </c>
      <c r="N570" s="388"/>
      <c r="O570" s="388"/>
      <c r="P570" s="388"/>
      <c r="Q570" s="382"/>
      <c r="R570" s="385" t="str">
        <f t="shared" si="138"/>
        <v>T</v>
      </c>
      <c r="S570" s="389"/>
      <c r="T570" s="389"/>
      <c r="U570" s="389"/>
      <c r="V570" s="389"/>
      <c r="W570" s="389"/>
      <c r="X570" s="389"/>
      <c r="Y570" s="389"/>
      <c r="Z570" s="389"/>
      <c r="AA570" s="389"/>
      <c r="AB570" s="389"/>
      <c r="AC570" s="389"/>
      <c r="AD570" s="389"/>
      <c r="AE570" s="389"/>
      <c r="AF570" s="389"/>
    </row>
    <row r="571" spans="1:32" hidden="1" outlineLevel="2">
      <c r="A571" s="382"/>
      <c r="B571" s="382" t="s">
        <v>315</v>
      </c>
      <c r="C571" s="397" t="s">
        <v>309</v>
      </c>
      <c r="D571" s="382" t="s">
        <v>18</v>
      </c>
      <c r="E571" s="382" t="s">
        <v>311</v>
      </c>
      <c r="F571" s="440" t="s">
        <v>316</v>
      </c>
      <c r="G571" s="387"/>
      <c r="H571" s="546" t="str">
        <f t="shared" si="144"/>
        <v/>
      </c>
      <c r="I571" s="546" t="str">
        <f t="shared" si="144"/>
        <v/>
      </c>
      <c r="J571" s="546" t="str">
        <f t="shared" si="144"/>
        <v/>
      </c>
      <c r="K571" s="546" t="str">
        <f t="shared" si="144"/>
        <v/>
      </c>
      <c r="L571" s="387">
        <f t="shared" si="143"/>
        <v>2</v>
      </c>
      <c r="M571" s="388">
        <v>2</v>
      </c>
      <c r="N571" s="388"/>
      <c r="O571" s="388"/>
      <c r="P571" s="388"/>
      <c r="Q571" s="382"/>
      <c r="R571" s="385" t="str">
        <f t="shared" si="138"/>
        <v>T</v>
      </c>
      <c r="S571" s="389"/>
      <c r="T571" s="389"/>
      <c r="U571" s="389"/>
      <c r="V571" s="389"/>
      <c r="W571" s="389"/>
      <c r="X571" s="389"/>
      <c r="Y571" s="389"/>
      <c r="Z571" s="389"/>
      <c r="AA571" s="389"/>
      <c r="AB571" s="389"/>
      <c r="AC571" s="389"/>
      <c r="AD571" s="389"/>
      <c r="AE571" s="389"/>
      <c r="AF571" s="389"/>
    </row>
    <row r="572" spans="1:32" hidden="1" outlineLevel="2">
      <c r="A572" s="382"/>
      <c r="B572" s="382" t="s">
        <v>317</v>
      </c>
      <c r="C572" s="397" t="s">
        <v>309</v>
      </c>
      <c r="D572" s="382" t="s">
        <v>18</v>
      </c>
      <c r="E572" s="382" t="s">
        <v>311</v>
      </c>
      <c r="F572" s="440" t="s">
        <v>318</v>
      </c>
      <c r="G572" s="387"/>
      <c r="H572" s="546">
        <f t="shared" si="144"/>
        <v>0</v>
      </c>
      <c r="I572" s="546" t="str">
        <f t="shared" si="144"/>
        <v/>
      </c>
      <c r="J572" s="546" t="str">
        <f t="shared" si="144"/>
        <v/>
      </c>
      <c r="K572" s="546" t="str">
        <f t="shared" si="144"/>
        <v/>
      </c>
      <c r="L572" s="387">
        <f t="shared" si="143"/>
        <v>1</v>
      </c>
      <c r="M572" s="388">
        <v>1</v>
      </c>
      <c r="N572" s="388"/>
      <c r="O572" s="388"/>
      <c r="P572" s="388"/>
      <c r="Q572" s="382"/>
      <c r="R572" s="385" t="str">
        <f t="shared" si="138"/>
        <v>T</v>
      </c>
      <c r="S572" s="389"/>
      <c r="T572" s="389"/>
      <c r="U572" s="389"/>
      <c r="V572" s="389"/>
      <c r="W572" s="389"/>
      <c r="X572" s="389"/>
      <c r="Y572" s="389"/>
      <c r="Z572" s="389"/>
      <c r="AA572" s="389"/>
      <c r="AB572" s="389"/>
      <c r="AC572" s="389"/>
      <c r="AD572" s="389"/>
      <c r="AE572" s="389"/>
      <c r="AF572" s="389"/>
    </row>
    <row r="573" spans="1:32" hidden="1" outlineLevel="2">
      <c r="A573" s="382"/>
      <c r="B573" s="382" t="s">
        <v>319</v>
      </c>
      <c r="C573" s="397" t="s">
        <v>309</v>
      </c>
      <c r="D573" s="382" t="s">
        <v>18</v>
      </c>
      <c r="E573" s="382" t="s">
        <v>311</v>
      </c>
      <c r="F573" s="440" t="s">
        <v>320</v>
      </c>
      <c r="G573" s="387"/>
      <c r="H573" s="546" t="str">
        <f t="shared" si="144"/>
        <v/>
      </c>
      <c r="I573" s="546" t="str">
        <f t="shared" si="144"/>
        <v/>
      </c>
      <c r="J573" s="546" t="str">
        <f t="shared" si="144"/>
        <v/>
      </c>
      <c r="K573" s="546" t="str">
        <f t="shared" si="144"/>
        <v/>
      </c>
      <c r="L573" s="387">
        <f t="shared" si="143"/>
        <v>2</v>
      </c>
      <c r="M573" s="388">
        <v>2</v>
      </c>
      <c r="N573" s="388"/>
      <c r="O573" s="388"/>
      <c r="P573" s="388"/>
      <c r="Q573" s="382"/>
      <c r="R573" s="385" t="str">
        <f t="shared" si="138"/>
        <v>T</v>
      </c>
      <c r="S573" s="389"/>
      <c r="T573" s="389"/>
      <c r="U573" s="389"/>
      <c r="V573" s="389"/>
      <c r="W573" s="389"/>
      <c r="X573" s="389"/>
      <c r="Y573" s="389"/>
      <c r="Z573" s="389"/>
      <c r="AA573" s="389"/>
      <c r="AB573" s="389"/>
      <c r="AC573" s="389"/>
      <c r="AD573" s="389"/>
      <c r="AE573" s="389"/>
      <c r="AF573" s="389"/>
    </row>
    <row r="574" spans="1:32" hidden="1" outlineLevel="2">
      <c r="A574" s="382"/>
      <c r="B574" s="382" t="s">
        <v>321</v>
      </c>
      <c r="C574" s="397"/>
      <c r="D574" s="382"/>
      <c r="E574" s="382"/>
      <c r="F574" s="440"/>
      <c r="G574" s="387"/>
      <c r="H574" s="546"/>
      <c r="I574" s="546"/>
      <c r="J574" s="546"/>
      <c r="K574" s="546"/>
      <c r="L574" s="387"/>
      <c r="M574" s="388"/>
      <c r="N574" s="388"/>
      <c r="O574" s="388"/>
      <c r="P574" s="388"/>
      <c r="Q574" s="382"/>
      <c r="R574" s="385"/>
      <c r="S574" s="389"/>
      <c r="T574" s="389"/>
      <c r="U574" s="389"/>
      <c r="V574" s="389"/>
      <c r="W574" s="389"/>
      <c r="X574" s="389"/>
      <c r="Y574" s="389"/>
      <c r="Z574" s="389"/>
      <c r="AA574" s="389"/>
      <c r="AB574" s="389"/>
      <c r="AC574" s="389"/>
      <c r="AD574" s="389"/>
      <c r="AE574" s="389"/>
      <c r="AF574" s="389"/>
    </row>
    <row r="575" spans="1:32" outlineLevel="1" collapsed="1">
      <c r="A575" s="382"/>
      <c r="B575" s="425" t="s">
        <v>322</v>
      </c>
      <c r="C575" s="395" t="s">
        <v>323</v>
      </c>
      <c r="D575" s="395"/>
      <c r="E575" s="395"/>
      <c r="F575" s="442"/>
      <c r="G575" s="424">
        <f>SUM(G576:G577)</f>
        <v>0.44</v>
      </c>
      <c r="H575" s="424">
        <f>SUM(H576:H577)</f>
        <v>0.4</v>
      </c>
      <c r="I575" s="424">
        <f>SUM(I576:I577)</f>
        <v>0.04</v>
      </c>
      <c r="J575" s="424">
        <f>SUM(J576:J577)</f>
        <v>0</v>
      </c>
      <c r="K575" s="424">
        <f>SUM(K576:K577)</f>
        <v>0</v>
      </c>
      <c r="L575" s="424">
        <f>SUM(M575:P575)</f>
        <v>2</v>
      </c>
      <c r="M575" s="408">
        <f>SUM(M576)</f>
        <v>1</v>
      </c>
      <c r="N575" s="408">
        <f>SUM(N577:N577)</f>
        <v>1</v>
      </c>
      <c r="O575" s="408">
        <f>SUM(O577:O577)</f>
        <v>0</v>
      </c>
      <c r="P575" s="408">
        <f>SUM(P577:P577)</f>
        <v>0</v>
      </c>
      <c r="Q575" s="382"/>
      <c r="R575" s="385" t="str">
        <f>IF(SUM(M575:P575)=L575,"T","F")</f>
        <v>T</v>
      </c>
      <c r="S575" s="389"/>
      <c r="T575" s="389"/>
      <c r="U575" s="389"/>
      <c r="V575" s="389"/>
      <c r="W575" s="389"/>
      <c r="X575" s="389"/>
      <c r="Y575" s="389"/>
      <c r="Z575" s="389"/>
      <c r="AA575" s="389"/>
      <c r="AB575" s="389"/>
      <c r="AC575" s="389"/>
      <c r="AD575" s="389"/>
      <c r="AE575" s="389"/>
      <c r="AF575" s="389"/>
    </row>
    <row r="576" spans="1:32" hidden="1" outlineLevel="2">
      <c r="A576" s="382"/>
      <c r="B576" s="382" t="s">
        <v>101</v>
      </c>
      <c r="C576" s="382" t="s">
        <v>102</v>
      </c>
      <c r="D576" s="382" t="s">
        <v>26</v>
      </c>
      <c r="E576" s="382" t="s">
        <v>27</v>
      </c>
      <c r="F576" s="440" t="s">
        <v>324</v>
      </c>
      <c r="G576" s="387">
        <v>0.4</v>
      </c>
      <c r="H576" s="411">
        <f>IF(M576=1,$G576,"")</f>
        <v>0.4</v>
      </c>
      <c r="I576" s="411" t="str">
        <f>IF(N576=1,$G576,"")</f>
        <v/>
      </c>
      <c r="J576" s="411" t="str">
        <f>IF(O576=1,$G576,"")</f>
        <v/>
      </c>
      <c r="K576" s="411" t="str">
        <f>IF(P576=1,$G576,"")</f>
        <v/>
      </c>
      <c r="L576" s="387">
        <f>SUM(M576:P576)</f>
        <v>1</v>
      </c>
      <c r="M576" s="388">
        <v>1</v>
      </c>
      <c r="N576" s="388"/>
      <c r="O576" s="388"/>
      <c r="P576" s="388"/>
      <c r="Q576" s="382"/>
      <c r="R576" s="385" t="str">
        <f>IF(SUM(M576:P576)=L576,"T","F")</f>
        <v>T</v>
      </c>
      <c r="S576" s="389"/>
      <c r="T576" s="389"/>
      <c r="U576" s="389">
        <f>10^7</f>
        <v>10000000</v>
      </c>
      <c r="V576" s="389">
        <f>U576*U577</f>
        <v>400000</v>
      </c>
      <c r="W576" s="389"/>
      <c r="X576" s="389"/>
      <c r="Y576" s="389"/>
      <c r="Z576" s="389"/>
      <c r="AA576" s="389"/>
      <c r="AB576" s="389"/>
      <c r="AC576" s="389"/>
      <c r="AD576" s="389"/>
      <c r="AE576" s="389"/>
      <c r="AF576" s="389"/>
    </row>
    <row r="577" spans="1:37" hidden="1" outlineLevel="2">
      <c r="A577" s="529" t="s">
        <v>325</v>
      </c>
      <c r="B577" s="530" t="s">
        <v>326</v>
      </c>
      <c r="C577" s="530" t="s">
        <v>327</v>
      </c>
      <c r="D577" s="530" t="s">
        <v>26</v>
      </c>
      <c r="E577" s="530" t="s">
        <v>27</v>
      </c>
      <c r="F577" s="531" t="s">
        <v>328</v>
      </c>
      <c r="G577" s="532">
        <v>0.04</v>
      </c>
      <c r="H577" s="533" t="s">
        <v>325</v>
      </c>
      <c r="I577" s="533">
        <v>0.04</v>
      </c>
      <c r="J577" s="533" t="s">
        <v>325</v>
      </c>
      <c r="K577" s="533" t="s">
        <v>325</v>
      </c>
      <c r="L577" s="532">
        <v>1</v>
      </c>
      <c r="M577" s="532" t="s">
        <v>325</v>
      </c>
      <c r="N577" s="551">
        <v>1</v>
      </c>
      <c r="O577" s="532" t="s">
        <v>325</v>
      </c>
      <c r="P577" s="532" t="s">
        <v>325</v>
      </c>
      <c r="Q577" s="530" t="s">
        <v>325</v>
      </c>
      <c r="R577" s="385" t="str">
        <f>IF(SUM(M577:P577)=L577,"T","F")</f>
        <v>T</v>
      </c>
      <c r="S577" s="534"/>
      <c r="T577" s="534"/>
      <c r="U577" s="534">
        <v>0.04</v>
      </c>
      <c r="V577" s="552">
        <v>400000</v>
      </c>
      <c r="W577" s="534"/>
      <c r="X577" s="534"/>
      <c r="Y577" s="534"/>
      <c r="Z577" s="534"/>
      <c r="AA577" s="534"/>
      <c r="AB577" s="534"/>
      <c r="AC577" s="534"/>
      <c r="AD577" s="534"/>
      <c r="AE577" s="534"/>
      <c r="AF577" s="534"/>
      <c r="AG577" s="534"/>
      <c r="AH577" s="534"/>
      <c r="AI577" s="534"/>
      <c r="AJ577" s="534"/>
      <c r="AK577" s="534"/>
    </row>
    <row r="578" spans="1:37" ht="3" customHeight="1" outlineLevel="1">
      <c r="A578" s="382"/>
      <c r="B578" s="405"/>
      <c r="C578" s="382"/>
      <c r="D578" s="405"/>
      <c r="E578" s="405"/>
      <c r="F578" s="440"/>
      <c r="G578" s="387"/>
      <c r="H578" s="394"/>
      <c r="I578" s="394"/>
      <c r="J578" s="394"/>
      <c r="K578" s="394"/>
      <c r="L578" s="387"/>
      <c r="M578" s="394"/>
      <c r="N578" s="394"/>
      <c r="O578" s="394"/>
      <c r="P578" s="394"/>
      <c r="Q578" s="382"/>
      <c r="R578" s="385" t="str">
        <f>IF(SUM(M578:P578)=L578,"T","F")</f>
        <v>T</v>
      </c>
      <c r="V578" s="389"/>
      <c r="W578" s="389"/>
      <c r="X578" s="389"/>
      <c r="Y578" s="389"/>
      <c r="Z578" s="389"/>
      <c r="AA578" s="389"/>
      <c r="AB578" s="389"/>
      <c r="AC578" s="389"/>
      <c r="AD578" s="389"/>
      <c r="AE578" s="389"/>
      <c r="AF578" s="389"/>
    </row>
    <row r="579" spans="1:37" ht="15">
      <c r="A579" s="382"/>
      <c r="B579" s="449" t="s">
        <v>329</v>
      </c>
      <c r="C579" s="450"/>
      <c r="D579" s="449"/>
      <c r="E579" s="449"/>
      <c r="F579" s="451"/>
      <c r="G579" s="543">
        <f>SUM(G581,G638,G674,G758,G824,G851,G1315,G877,G1294,G1415,G1437,G1272,G947,G991,G1036,G1481,G1481,G1119,G1146,G1459,G1487,G1514,G1520,G1171,G1193,G1219,G1242,G1526,G1532,G1543,G1549,G580,G1576,G1581,G1607)</f>
        <v>229.97119564925327</v>
      </c>
      <c r="H579" s="527">
        <f t="shared" ref="H579:P579" si="145">SUM(H581,H638,H674,H758,H824,H851,H877,H947,H991,H1036,H1119,H1146,H1171,H1193,H1219,H1242,H1272,H1294,H1315,H1415,H1437,H1459,H1481,H1487,H1514,H1520,H1526,H1532,H1543,H1549,H1576,H1581,H1607)</f>
        <v>77.146601495601089</v>
      </c>
      <c r="I579" s="527">
        <f t="shared" si="145"/>
        <v>46.711308993214296</v>
      </c>
      <c r="J579" s="527">
        <f t="shared" si="145"/>
        <v>52.034727511699238</v>
      </c>
      <c r="K579" s="527">
        <f t="shared" si="145"/>
        <v>54.344911428738662</v>
      </c>
      <c r="L579" s="543">
        <f t="shared" si="145"/>
        <v>698</v>
      </c>
      <c r="M579" s="527">
        <f t="shared" si="145"/>
        <v>150</v>
      </c>
      <c r="N579" s="527">
        <f t="shared" si="145"/>
        <v>115</v>
      </c>
      <c r="O579" s="527">
        <f t="shared" si="145"/>
        <v>213</v>
      </c>
      <c r="P579" s="527">
        <f t="shared" si="145"/>
        <v>220</v>
      </c>
      <c r="Q579" s="382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  <c r="AB579" s="389"/>
      <c r="AC579" s="389"/>
      <c r="AD579" s="389"/>
      <c r="AE579" s="389"/>
      <c r="AF579" s="389"/>
      <c r="AG579" s="389"/>
    </row>
    <row r="580" spans="1:37" ht="3" customHeight="1" outlineLevel="1">
      <c r="A580" s="382"/>
      <c r="B580" s="386"/>
      <c r="C580" s="382"/>
      <c r="D580" s="386"/>
      <c r="E580" s="386"/>
      <c r="F580" s="440"/>
      <c r="G580" s="411"/>
      <c r="H580" s="409"/>
      <c r="I580" s="409"/>
      <c r="J580" s="409"/>
      <c r="K580" s="409"/>
      <c r="L580" s="411"/>
      <c r="M580" s="409"/>
      <c r="N580" s="409"/>
      <c r="O580" s="409"/>
      <c r="P580" s="409"/>
      <c r="Q580" s="382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  <c r="AB580" s="389"/>
      <c r="AC580" s="389"/>
      <c r="AD580" s="389"/>
      <c r="AE580" s="389"/>
      <c r="AF580" s="389"/>
      <c r="AG580" s="389"/>
    </row>
    <row r="581" spans="1:37" outlineLevel="1">
      <c r="A581" s="382"/>
      <c r="B581" s="390" t="s">
        <v>330</v>
      </c>
      <c r="C581" s="395" t="s">
        <v>80</v>
      </c>
      <c r="D581" s="390"/>
      <c r="E581" s="390"/>
      <c r="F581" s="442" t="s">
        <v>331</v>
      </c>
      <c r="G581" s="418">
        <f>SUM(G582,G603,G616,G629)</f>
        <v>10.299704319999998</v>
      </c>
      <c r="H581" s="424">
        <f>SUM(H582,H603,H616,H629)</f>
        <v>1.6885800000000002</v>
      </c>
      <c r="I581" s="424">
        <f>SUM(I582,I603,I616,I629)</f>
        <v>1.37</v>
      </c>
      <c r="J581" s="424">
        <f>SUM(J582,J603,J616,J629)</f>
        <v>3.5535983225000001</v>
      </c>
      <c r="K581" s="424">
        <f>SUM(K582,K603,K616,K629)</f>
        <v>4.0261059975000002</v>
      </c>
      <c r="L581" s="418">
        <f t="shared" ref="L581:L638" si="146">SUM(M581:P581)</f>
        <v>52</v>
      </c>
      <c r="M581" s="408">
        <f>SUM(M582,M603,M616,M629)</f>
        <v>10</v>
      </c>
      <c r="N581" s="408">
        <f>SUM(N582,N603,N616,N629)</f>
        <v>5</v>
      </c>
      <c r="O581" s="408">
        <f>SUM(O582,O603,O616,O629)</f>
        <v>15</v>
      </c>
      <c r="P581" s="408">
        <f>SUM(P582,P603,P616,P629)</f>
        <v>22</v>
      </c>
      <c r="Q581" s="382"/>
      <c r="R581" s="385" t="str">
        <f t="shared" ref="R581:R653" si="147">IF(SUM(M581:P581)=L581,"T","F")</f>
        <v>T</v>
      </c>
      <c r="S581" s="389" t="s">
        <v>332</v>
      </c>
      <c r="T581" s="389"/>
      <c r="U581" s="389"/>
      <c r="V581" s="389"/>
      <c r="W581" s="389"/>
      <c r="X581" s="389"/>
      <c r="Y581" s="389"/>
      <c r="Z581" s="389"/>
      <c r="AA581" s="389"/>
      <c r="AB581" s="389"/>
      <c r="AC581" s="389"/>
      <c r="AD581" s="389"/>
      <c r="AE581" s="389"/>
      <c r="AF581" s="389"/>
    </row>
    <row r="582" spans="1:37" outlineLevel="2" collapsed="1">
      <c r="A582" s="382"/>
      <c r="B582" s="386" t="s">
        <v>330</v>
      </c>
      <c r="C582" s="382" t="s">
        <v>80</v>
      </c>
      <c r="D582" s="382" t="s">
        <v>18</v>
      </c>
      <c r="E582" s="386"/>
      <c r="F582" s="440" t="s">
        <v>333</v>
      </c>
      <c r="G582" s="411">
        <f>SUM(G583:G602)</f>
        <v>6.5883112499999985</v>
      </c>
      <c r="H582" s="411">
        <f>SUM(H583:H602)</f>
        <v>1.35</v>
      </c>
      <c r="I582" s="411">
        <f>SUM(I583:I602)</f>
        <v>0.91</v>
      </c>
      <c r="J582" s="411">
        <f>SUM(J583:J602)</f>
        <v>1.9369925000000001</v>
      </c>
      <c r="K582" s="411">
        <f>SUM(K583:K602)</f>
        <v>2.3913187500000004</v>
      </c>
      <c r="L582" s="411">
        <f t="shared" si="146"/>
        <v>20</v>
      </c>
      <c r="M582" s="388">
        <f>SUM(M583:M602)</f>
        <v>5</v>
      </c>
      <c r="N582" s="388">
        <f>SUM(N583:N602)</f>
        <v>2</v>
      </c>
      <c r="O582" s="388">
        <f>SUM(O583:O602)</f>
        <v>6</v>
      </c>
      <c r="P582" s="388">
        <f>SUM(P583:P602)</f>
        <v>7</v>
      </c>
      <c r="Q582" s="382"/>
      <c r="R582" s="385" t="str">
        <f t="shared" si="147"/>
        <v>T</v>
      </c>
      <c r="S582" s="389"/>
      <c r="T582" s="389"/>
      <c r="U582" s="389"/>
      <c r="V582" s="389"/>
      <c r="W582" s="389"/>
      <c r="X582" s="389"/>
      <c r="Y582" s="389"/>
      <c r="Z582" s="389"/>
      <c r="AA582" s="389"/>
      <c r="AB582" s="389"/>
      <c r="AC582" s="389"/>
      <c r="AD582" s="389"/>
      <c r="AE582" s="389"/>
      <c r="AF582" s="389"/>
    </row>
    <row r="583" spans="1:37" hidden="1" outlineLevel="3">
      <c r="A583" s="382"/>
      <c r="B583" s="386" t="s">
        <v>330</v>
      </c>
      <c r="C583" s="382" t="s">
        <v>80</v>
      </c>
      <c r="D583" s="382" t="s">
        <v>18</v>
      </c>
      <c r="E583" s="386" t="s">
        <v>144</v>
      </c>
      <c r="F583" s="440" t="s">
        <v>334</v>
      </c>
      <c r="G583" s="387">
        <v>0.54</v>
      </c>
      <c r="H583" s="411">
        <f t="shared" ref="H583:H597" si="148">IF(M583=1,$G583,"")</f>
        <v>0.54</v>
      </c>
      <c r="I583" s="411" t="str">
        <f t="shared" ref="I583:I597" si="149">IF(N583=1,$G583,"")</f>
        <v/>
      </c>
      <c r="J583" s="411" t="str">
        <f t="shared" ref="J583:J597" si="150">IF(O583=1,$G583,"")</f>
        <v/>
      </c>
      <c r="K583" s="411" t="str">
        <f t="shared" ref="K583:K597" si="151">IF(P583=1,$G583,"")</f>
        <v/>
      </c>
      <c r="L583" s="387">
        <f t="shared" si="146"/>
        <v>1</v>
      </c>
      <c r="M583" s="388">
        <v>1</v>
      </c>
      <c r="N583" s="388"/>
      <c r="O583" s="388"/>
      <c r="P583" s="388"/>
      <c r="Q583" s="382"/>
      <c r="R583" s="385" t="str">
        <f t="shared" si="147"/>
        <v>T</v>
      </c>
      <c r="S583" s="389"/>
      <c r="T583" s="389"/>
      <c r="U583" s="389"/>
      <c r="V583" s="389"/>
      <c r="W583" s="389"/>
      <c r="X583" s="389"/>
      <c r="Y583" s="389"/>
      <c r="Z583" s="389"/>
      <c r="AA583" s="389"/>
      <c r="AB583" s="389"/>
      <c r="AC583" s="389"/>
      <c r="AD583" s="389"/>
      <c r="AE583" s="389"/>
      <c r="AF583" s="389"/>
    </row>
    <row r="584" spans="1:37" hidden="1" outlineLevel="3">
      <c r="A584" s="382"/>
      <c r="B584" s="386" t="s">
        <v>330</v>
      </c>
      <c r="C584" s="382" t="s">
        <v>80</v>
      </c>
      <c r="D584" s="382" t="s">
        <v>18</v>
      </c>
      <c r="E584" s="386" t="s">
        <v>144</v>
      </c>
      <c r="F584" s="440" t="s">
        <v>32</v>
      </c>
      <c r="G584" s="387">
        <v>0.43</v>
      </c>
      <c r="H584" s="411">
        <f t="shared" si="148"/>
        <v>0.43</v>
      </c>
      <c r="I584" s="411" t="str">
        <f t="shared" si="149"/>
        <v/>
      </c>
      <c r="J584" s="411" t="str">
        <f t="shared" si="150"/>
        <v/>
      </c>
      <c r="K584" s="411" t="str">
        <f t="shared" si="151"/>
        <v/>
      </c>
      <c r="L584" s="387">
        <f t="shared" si="146"/>
        <v>1</v>
      </c>
      <c r="M584" s="388">
        <v>1</v>
      </c>
      <c r="N584" s="388"/>
      <c r="O584" s="388"/>
      <c r="P584" s="388"/>
      <c r="Q584" s="382"/>
      <c r="R584" s="385" t="str">
        <f t="shared" si="147"/>
        <v>T</v>
      </c>
      <c r="S584" s="389"/>
      <c r="T584" s="389"/>
      <c r="U584" s="389"/>
      <c r="V584" s="389"/>
      <c r="W584" s="389"/>
      <c r="X584" s="389"/>
      <c r="Y584" s="389"/>
      <c r="Z584" s="389"/>
      <c r="AA584" s="389"/>
      <c r="AB584" s="389"/>
      <c r="AC584" s="389"/>
      <c r="AD584" s="389"/>
      <c r="AE584" s="389"/>
      <c r="AF584" s="389"/>
    </row>
    <row r="585" spans="1:37" hidden="1" outlineLevel="3">
      <c r="A585" s="382"/>
      <c r="B585" s="386" t="s">
        <v>330</v>
      </c>
      <c r="C585" s="382" t="s">
        <v>80</v>
      </c>
      <c r="D585" s="382" t="s">
        <v>18</v>
      </c>
      <c r="E585" s="386" t="s">
        <v>144</v>
      </c>
      <c r="F585" s="440" t="s">
        <v>33</v>
      </c>
      <c r="G585" s="387">
        <v>0.21</v>
      </c>
      <c r="H585" s="411">
        <f t="shared" si="148"/>
        <v>0.21</v>
      </c>
      <c r="I585" s="411" t="str">
        <f t="shared" si="149"/>
        <v/>
      </c>
      <c r="J585" s="411" t="str">
        <f t="shared" si="150"/>
        <v/>
      </c>
      <c r="K585" s="411" t="str">
        <f t="shared" si="151"/>
        <v/>
      </c>
      <c r="L585" s="387">
        <f t="shared" si="146"/>
        <v>1</v>
      </c>
      <c r="M585" s="388">
        <v>1</v>
      </c>
      <c r="N585" s="388"/>
      <c r="O585" s="388"/>
      <c r="P585" s="388"/>
      <c r="Q585" s="382"/>
      <c r="R585" s="385" t="str">
        <f t="shared" si="147"/>
        <v>T</v>
      </c>
      <c r="S585" s="389"/>
      <c r="T585" s="389"/>
      <c r="U585" s="389"/>
      <c r="V585" s="389"/>
      <c r="W585" s="389"/>
      <c r="X585" s="389"/>
      <c r="Y585" s="389"/>
      <c r="Z585" s="389"/>
      <c r="AA585" s="389"/>
      <c r="AB585" s="389"/>
      <c r="AC585" s="389"/>
      <c r="AD585" s="389"/>
      <c r="AE585" s="389"/>
      <c r="AF585" s="389"/>
    </row>
    <row r="586" spans="1:37" hidden="1" outlineLevel="3">
      <c r="A586" s="382"/>
      <c r="B586" s="386" t="s">
        <v>330</v>
      </c>
      <c r="C586" s="382" t="s">
        <v>80</v>
      </c>
      <c r="D586" s="382" t="s">
        <v>18</v>
      </c>
      <c r="E586" s="386" t="s">
        <v>144</v>
      </c>
      <c r="F586" s="440" t="s">
        <v>34</v>
      </c>
      <c r="G586" s="387">
        <v>0.64</v>
      </c>
      <c r="H586" s="411" t="str">
        <f t="shared" si="148"/>
        <v/>
      </c>
      <c r="I586" s="411">
        <f t="shared" si="149"/>
        <v>0.64</v>
      </c>
      <c r="J586" s="411" t="str">
        <f t="shared" si="150"/>
        <v/>
      </c>
      <c r="K586" s="411" t="str">
        <f t="shared" si="151"/>
        <v/>
      </c>
      <c r="L586" s="387">
        <f t="shared" si="146"/>
        <v>1</v>
      </c>
      <c r="M586" s="388"/>
      <c r="N586" s="388">
        <v>1</v>
      </c>
      <c r="O586" s="388"/>
      <c r="P586" s="388"/>
      <c r="Q586" s="382"/>
      <c r="R586" s="385" t="str">
        <f t="shared" si="147"/>
        <v>T</v>
      </c>
      <c r="S586" s="389"/>
      <c r="T586" s="389"/>
      <c r="U586" s="389"/>
      <c r="V586" s="389"/>
      <c r="W586" s="389"/>
      <c r="X586" s="389"/>
      <c r="Y586" s="389"/>
      <c r="Z586" s="389"/>
      <c r="AA586" s="389"/>
      <c r="AB586" s="389"/>
      <c r="AC586" s="389"/>
      <c r="AD586" s="389"/>
      <c r="AE586" s="389"/>
      <c r="AF586" s="389"/>
    </row>
    <row r="587" spans="1:37" hidden="1" outlineLevel="3">
      <c r="A587" s="382"/>
      <c r="B587" s="386" t="s">
        <v>330</v>
      </c>
      <c r="C587" s="382" t="s">
        <v>80</v>
      </c>
      <c r="D587" s="382" t="s">
        <v>18</v>
      </c>
      <c r="E587" s="386" t="s">
        <v>144</v>
      </c>
      <c r="F587" s="440" t="s">
        <v>335</v>
      </c>
      <c r="G587" s="387">
        <v>0.27</v>
      </c>
      <c r="H587" s="411" t="str">
        <f t="shared" si="148"/>
        <v/>
      </c>
      <c r="I587" s="411">
        <f t="shared" si="149"/>
        <v>0.27</v>
      </c>
      <c r="J587" s="411" t="str">
        <f t="shared" si="150"/>
        <v/>
      </c>
      <c r="K587" s="411" t="str">
        <f t="shared" si="151"/>
        <v/>
      </c>
      <c r="L587" s="387">
        <f t="shared" si="146"/>
        <v>1</v>
      </c>
      <c r="M587" s="388"/>
      <c r="N587" s="388">
        <v>1</v>
      </c>
      <c r="O587" s="388"/>
      <c r="P587" s="388"/>
      <c r="Q587" s="382"/>
      <c r="R587" s="385" t="str">
        <f t="shared" si="147"/>
        <v>T</v>
      </c>
      <c r="S587" s="389"/>
      <c r="T587" s="389"/>
      <c r="U587" s="389"/>
      <c r="V587" s="389"/>
      <c r="W587" s="389"/>
      <c r="X587" s="389"/>
      <c r="Y587" s="389"/>
      <c r="Z587" s="389"/>
      <c r="AA587" s="389"/>
      <c r="AB587" s="389"/>
      <c r="AC587" s="389"/>
      <c r="AD587" s="389"/>
      <c r="AE587" s="389"/>
      <c r="AF587" s="389"/>
    </row>
    <row r="588" spans="1:37" hidden="1" outlineLevel="3">
      <c r="A588" s="382"/>
      <c r="B588" s="386" t="s">
        <v>330</v>
      </c>
      <c r="C588" s="382" t="s">
        <v>80</v>
      </c>
      <c r="D588" s="382" t="s">
        <v>18</v>
      </c>
      <c r="E588" s="386" t="s">
        <v>144</v>
      </c>
      <c r="F588" s="440" t="s">
        <v>336</v>
      </c>
      <c r="G588" s="387">
        <v>0.38432625000000004</v>
      </c>
      <c r="H588" s="411" t="str">
        <f t="shared" si="148"/>
        <v/>
      </c>
      <c r="I588" s="411" t="str">
        <f t="shared" si="149"/>
        <v/>
      </c>
      <c r="J588" s="411">
        <f t="shared" si="150"/>
        <v>0.38432625000000004</v>
      </c>
      <c r="K588" s="411" t="str">
        <f t="shared" si="151"/>
        <v/>
      </c>
      <c r="L588" s="387">
        <f t="shared" si="146"/>
        <v>1</v>
      </c>
      <c r="M588" s="388"/>
      <c r="N588" s="388"/>
      <c r="O588" s="388">
        <v>1</v>
      </c>
      <c r="P588" s="388"/>
      <c r="Q588" s="382"/>
      <c r="R588" s="385" t="str">
        <f t="shared" si="147"/>
        <v>T</v>
      </c>
      <c r="S588" s="389"/>
      <c r="T588" s="389"/>
      <c r="U588" s="389"/>
      <c r="V588" s="389"/>
      <c r="W588" s="389"/>
      <c r="X588" s="389"/>
      <c r="Y588" s="389"/>
      <c r="Z588" s="389"/>
      <c r="AA588" s="389"/>
      <c r="AB588" s="389"/>
      <c r="AC588" s="389"/>
      <c r="AD588" s="389"/>
      <c r="AE588" s="389"/>
      <c r="AF588" s="389"/>
    </row>
    <row r="589" spans="1:37" hidden="1" outlineLevel="3">
      <c r="A589" s="382"/>
      <c r="B589" s="386" t="s">
        <v>330</v>
      </c>
      <c r="C589" s="382" t="s">
        <v>80</v>
      </c>
      <c r="D589" s="382" t="s">
        <v>18</v>
      </c>
      <c r="E589" s="386" t="s">
        <v>144</v>
      </c>
      <c r="F589" s="440" t="s">
        <v>198</v>
      </c>
      <c r="G589" s="387">
        <v>0.76865250000000007</v>
      </c>
      <c r="H589" s="411" t="str">
        <f t="shared" si="148"/>
        <v/>
      </c>
      <c r="I589" s="411" t="str">
        <f t="shared" si="149"/>
        <v/>
      </c>
      <c r="J589" s="411" t="str">
        <f t="shared" si="150"/>
        <v/>
      </c>
      <c r="K589" s="411">
        <f t="shared" si="151"/>
        <v>0.76865250000000007</v>
      </c>
      <c r="L589" s="387">
        <f t="shared" si="146"/>
        <v>1</v>
      </c>
      <c r="M589" s="388"/>
      <c r="N589" s="388"/>
      <c r="O589" s="388"/>
      <c r="P589" s="388">
        <v>1</v>
      </c>
      <c r="Q589" s="382"/>
      <c r="R589" s="385" t="str">
        <f t="shared" si="147"/>
        <v>T</v>
      </c>
      <c r="S589" s="389"/>
      <c r="T589" s="389"/>
      <c r="U589" s="389"/>
      <c r="V589" s="389"/>
      <c r="W589" s="389"/>
      <c r="X589" s="389"/>
      <c r="Y589" s="389"/>
      <c r="Z589" s="389"/>
      <c r="AA589" s="389"/>
      <c r="AB589" s="389"/>
      <c r="AC589" s="389"/>
      <c r="AD589" s="389"/>
      <c r="AE589" s="389"/>
      <c r="AF589" s="389"/>
    </row>
    <row r="590" spans="1:37" hidden="1" outlineLevel="3">
      <c r="A590" s="382"/>
      <c r="B590" s="386" t="s">
        <v>330</v>
      </c>
      <c r="C590" s="382" t="s">
        <v>80</v>
      </c>
      <c r="D590" s="382" t="s">
        <v>18</v>
      </c>
      <c r="E590" s="386" t="s">
        <v>144</v>
      </c>
      <c r="F590" s="440" t="s">
        <v>196</v>
      </c>
      <c r="G590" s="387">
        <v>0.76865250000000007</v>
      </c>
      <c r="H590" s="411" t="str">
        <f t="shared" si="148"/>
        <v/>
      </c>
      <c r="I590" s="411" t="str">
        <f t="shared" si="149"/>
        <v/>
      </c>
      <c r="J590" s="411" t="str">
        <f t="shared" si="150"/>
        <v/>
      </c>
      <c r="K590" s="411">
        <f t="shared" si="151"/>
        <v>0.76865250000000007</v>
      </c>
      <c r="L590" s="387">
        <f t="shared" si="146"/>
        <v>1</v>
      </c>
      <c r="M590" s="388"/>
      <c r="N590" s="388"/>
      <c r="O590" s="388"/>
      <c r="P590" s="388">
        <v>1</v>
      </c>
      <c r="Q590" s="382"/>
      <c r="R590" s="385" t="str">
        <f t="shared" si="147"/>
        <v>T</v>
      </c>
      <c r="S590" s="389"/>
      <c r="T590" s="389"/>
      <c r="U590" s="389"/>
      <c r="V590" s="389"/>
      <c r="W590" s="389"/>
      <c r="X590" s="389"/>
      <c r="Y590" s="389"/>
      <c r="Z590" s="389"/>
      <c r="AA590" s="389"/>
      <c r="AB590" s="389"/>
      <c r="AC590" s="389"/>
      <c r="AD590" s="389"/>
      <c r="AE590" s="389"/>
      <c r="AF590" s="389"/>
    </row>
    <row r="591" spans="1:37" hidden="1" outlineLevel="3">
      <c r="A591" s="382"/>
      <c r="B591" s="386" t="s">
        <v>330</v>
      </c>
      <c r="C591" s="382" t="s">
        <v>80</v>
      </c>
      <c r="D591" s="382" t="s">
        <v>18</v>
      </c>
      <c r="E591" s="386" t="s">
        <v>144</v>
      </c>
      <c r="F591" s="440" t="s">
        <v>337</v>
      </c>
      <c r="G591" s="411">
        <v>6.6020624999999999E-2</v>
      </c>
      <c r="H591" s="411" t="str">
        <f t="shared" ref="H591:K594" si="152">IF(M591=1,$G591,"")</f>
        <v/>
      </c>
      <c r="I591" s="411" t="str">
        <f t="shared" si="152"/>
        <v/>
      </c>
      <c r="J591" s="411">
        <f t="shared" si="152"/>
        <v>6.6020624999999999E-2</v>
      </c>
      <c r="K591" s="411" t="str">
        <f t="shared" si="152"/>
        <v/>
      </c>
      <c r="L591" s="411">
        <f>SUM(M591:P591)</f>
        <v>1</v>
      </c>
      <c r="M591" s="409"/>
      <c r="N591" s="409"/>
      <c r="O591" s="409">
        <v>1</v>
      </c>
      <c r="P591" s="409"/>
      <c r="Q591" s="382"/>
      <c r="R591" s="385" t="str">
        <f>IF(SUM(M591:P591)=L591,"T","F")</f>
        <v>T</v>
      </c>
      <c r="S591" s="389"/>
      <c r="T591" s="389"/>
      <c r="U591" s="389"/>
      <c r="V591" s="389"/>
      <c r="W591" s="389"/>
      <c r="X591" s="389"/>
      <c r="Y591" s="389"/>
      <c r="Z591" s="389"/>
      <c r="AA591" s="389"/>
      <c r="AB591" s="389"/>
      <c r="AC591" s="389"/>
      <c r="AD591" s="389"/>
      <c r="AE591" s="389"/>
      <c r="AF591" s="389"/>
    </row>
    <row r="592" spans="1:37" hidden="1" outlineLevel="3">
      <c r="A592" s="382"/>
      <c r="B592" s="386" t="s">
        <v>330</v>
      </c>
      <c r="C592" s="382" t="s">
        <v>80</v>
      </c>
      <c r="D592" s="382" t="s">
        <v>18</v>
      </c>
      <c r="E592" s="386" t="s">
        <v>144</v>
      </c>
      <c r="F592" s="440" t="s">
        <v>338</v>
      </c>
      <c r="G592" s="411">
        <v>6.6020624999999999E-2</v>
      </c>
      <c r="H592" s="411" t="str">
        <f t="shared" si="152"/>
        <v/>
      </c>
      <c r="I592" s="411" t="str">
        <f t="shared" si="152"/>
        <v/>
      </c>
      <c r="J592" s="411">
        <f t="shared" si="152"/>
        <v>6.6020624999999999E-2</v>
      </c>
      <c r="K592" s="411" t="str">
        <f t="shared" si="152"/>
        <v/>
      </c>
      <c r="L592" s="411">
        <f>SUM(M592:P592)</f>
        <v>1</v>
      </c>
      <c r="M592" s="409"/>
      <c r="N592" s="409"/>
      <c r="O592" s="409">
        <v>1</v>
      </c>
      <c r="P592" s="409"/>
      <c r="Q592" s="382"/>
      <c r="R592" s="385" t="str">
        <f>IF(SUM(M592:P592)=L592,"T","F")</f>
        <v>T</v>
      </c>
      <c r="S592" s="389"/>
      <c r="T592" s="389"/>
      <c r="U592" s="389"/>
      <c r="V592" s="389"/>
      <c r="W592" s="389"/>
      <c r="X592" s="389"/>
      <c r="Y592" s="389"/>
      <c r="Z592" s="389"/>
      <c r="AA592" s="389"/>
      <c r="AB592" s="389"/>
      <c r="AC592" s="389"/>
      <c r="AD592" s="389"/>
      <c r="AE592" s="389"/>
      <c r="AF592" s="389"/>
    </row>
    <row r="593" spans="1:32" hidden="1" outlineLevel="3">
      <c r="A593" s="382"/>
      <c r="B593" s="386" t="s">
        <v>330</v>
      </c>
      <c r="C593" s="382" t="s">
        <v>80</v>
      </c>
      <c r="D593" s="382" t="s">
        <v>18</v>
      </c>
      <c r="E593" s="386" t="s">
        <v>144</v>
      </c>
      <c r="F593" s="440" t="s">
        <v>339</v>
      </c>
      <c r="G593" s="411">
        <v>2.2006875000000002E-2</v>
      </c>
      <c r="H593" s="411" t="str">
        <f t="shared" si="152"/>
        <v/>
      </c>
      <c r="I593" s="411" t="str">
        <f t="shared" si="152"/>
        <v/>
      </c>
      <c r="J593" s="411" t="str">
        <f t="shared" si="152"/>
        <v/>
      </c>
      <c r="K593" s="411">
        <f t="shared" si="152"/>
        <v>2.2006875000000002E-2</v>
      </c>
      <c r="L593" s="411">
        <f>SUM(M593:P593)</f>
        <v>1</v>
      </c>
      <c r="M593" s="409"/>
      <c r="N593" s="409"/>
      <c r="O593" s="409"/>
      <c r="P593" s="409">
        <v>1</v>
      </c>
      <c r="Q593" s="382"/>
      <c r="R593" s="385" t="str">
        <f>IF(SUM(M593:P593)=L593,"T","F")</f>
        <v>T</v>
      </c>
      <c r="S593" s="389"/>
      <c r="T593" s="389"/>
      <c r="U593" s="389"/>
      <c r="V593" s="389"/>
      <c r="W593" s="389"/>
      <c r="X593" s="389"/>
      <c r="Y593" s="389"/>
      <c r="Z593" s="389"/>
      <c r="AA593" s="389"/>
      <c r="AB593" s="389"/>
      <c r="AC593" s="389"/>
      <c r="AD593" s="389"/>
      <c r="AE593" s="389"/>
      <c r="AF593" s="389"/>
    </row>
    <row r="594" spans="1:32" hidden="1" outlineLevel="3">
      <c r="A594" s="382"/>
      <c r="B594" s="386" t="s">
        <v>330</v>
      </c>
      <c r="C594" s="382" t="s">
        <v>80</v>
      </c>
      <c r="D594" s="382" t="s">
        <v>18</v>
      </c>
      <c r="E594" s="386" t="s">
        <v>144</v>
      </c>
      <c r="F594" s="440" t="s">
        <v>340</v>
      </c>
      <c r="G594" s="411">
        <v>2.2006875000000002E-2</v>
      </c>
      <c r="H594" s="411" t="str">
        <f t="shared" si="152"/>
        <v/>
      </c>
      <c r="I594" s="411" t="str">
        <f t="shared" si="152"/>
        <v/>
      </c>
      <c r="J594" s="411" t="str">
        <f t="shared" si="152"/>
        <v/>
      </c>
      <c r="K594" s="411">
        <f t="shared" si="152"/>
        <v>2.2006875000000002E-2</v>
      </c>
      <c r="L594" s="411">
        <f>SUM(M594:P594)</f>
        <v>1</v>
      </c>
      <c r="M594" s="409"/>
      <c r="N594" s="409"/>
      <c r="O594" s="409"/>
      <c r="P594" s="409">
        <v>1</v>
      </c>
      <c r="Q594" s="382"/>
      <c r="R594" s="385" t="str">
        <f>IF(SUM(M594:P594)=L594,"T","F")</f>
        <v>T</v>
      </c>
      <c r="S594" s="389"/>
      <c r="T594" s="389"/>
      <c r="U594" s="389"/>
      <c r="V594" s="389"/>
      <c r="W594" s="389"/>
      <c r="X594" s="389"/>
      <c r="Y594" s="389"/>
      <c r="Z594" s="389"/>
      <c r="AA594" s="389"/>
      <c r="AB594" s="389"/>
      <c r="AC594" s="389"/>
      <c r="AD594" s="389"/>
      <c r="AE594" s="389"/>
      <c r="AF594" s="389"/>
    </row>
    <row r="595" spans="1:32" hidden="1" outlineLevel="3">
      <c r="A595" s="382"/>
      <c r="B595" s="386" t="s">
        <v>330</v>
      </c>
      <c r="C595" s="382" t="s">
        <v>80</v>
      </c>
      <c r="D595" s="382" t="s">
        <v>18</v>
      </c>
      <c r="E595" s="386" t="s">
        <v>204</v>
      </c>
      <c r="F595" s="440" t="s">
        <v>341</v>
      </c>
      <c r="G595" s="411">
        <v>0.11</v>
      </c>
      <c r="H595" s="411">
        <f t="shared" si="148"/>
        <v>0.11</v>
      </c>
      <c r="I595" s="411" t="str">
        <f t="shared" si="149"/>
        <v/>
      </c>
      <c r="J595" s="411" t="str">
        <f t="shared" si="150"/>
        <v/>
      </c>
      <c r="K595" s="411" t="str">
        <f t="shared" si="151"/>
        <v/>
      </c>
      <c r="L595" s="411">
        <f t="shared" si="146"/>
        <v>1</v>
      </c>
      <c r="M595" s="409">
        <v>1</v>
      </c>
      <c r="N595" s="409"/>
      <c r="O595" s="409"/>
      <c r="P595" s="409"/>
      <c r="Q595" s="382"/>
      <c r="R595" s="385" t="str">
        <f t="shared" si="147"/>
        <v>T</v>
      </c>
      <c r="S595" s="389"/>
      <c r="T595" s="389"/>
      <c r="U595" s="389"/>
      <c r="V595" s="389"/>
      <c r="W595" s="389"/>
      <c r="X595" s="389"/>
      <c r="Y595" s="389"/>
      <c r="Z595" s="389"/>
      <c r="AA595" s="389"/>
      <c r="AB595" s="389"/>
      <c r="AC595" s="389"/>
      <c r="AD595" s="389"/>
      <c r="AE595" s="389"/>
      <c r="AF595" s="389"/>
    </row>
    <row r="596" spans="1:32" hidden="1" outlineLevel="3">
      <c r="A596" s="382"/>
      <c r="B596" s="386" t="s">
        <v>330</v>
      </c>
      <c r="C596" s="382" t="s">
        <v>80</v>
      </c>
      <c r="D596" s="382" t="s">
        <v>18</v>
      </c>
      <c r="E596" s="386" t="s">
        <v>204</v>
      </c>
      <c r="F596" s="440" t="s">
        <v>342</v>
      </c>
      <c r="G596" s="411">
        <v>0.06</v>
      </c>
      <c r="H596" s="411">
        <f t="shared" si="148"/>
        <v>0.06</v>
      </c>
      <c r="I596" s="411" t="str">
        <f t="shared" si="149"/>
        <v/>
      </c>
      <c r="J596" s="411" t="str">
        <f t="shared" si="150"/>
        <v/>
      </c>
      <c r="K596" s="411" t="str">
        <f t="shared" si="151"/>
        <v/>
      </c>
      <c r="L596" s="411">
        <f t="shared" si="146"/>
        <v>1</v>
      </c>
      <c r="M596" s="409">
        <v>1</v>
      </c>
      <c r="N596" s="409"/>
      <c r="O596" s="409"/>
      <c r="P596" s="409"/>
      <c r="Q596" s="382"/>
      <c r="R596" s="385" t="str">
        <f t="shared" si="147"/>
        <v>T</v>
      </c>
      <c r="S596" s="389"/>
      <c r="T596" s="389"/>
      <c r="U596" s="389"/>
      <c r="V596" s="389"/>
      <c r="W596" s="389"/>
      <c r="X596" s="389"/>
      <c r="Y596" s="389"/>
      <c r="Z596" s="389"/>
      <c r="AA596" s="389"/>
      <c r="AB596" s="389"/>
      <c r="AC596" s="389"/>
      <c r="AD596" s="389"/>
      <c r="AE596" s="389"/>
      <c r="AF596" s="389"/>
    </row>
    <row r="597" spans="1:32" hidden="1" outlineLevel="3">
      <c r="A597" s="382"/>
      <c r="B597" s="386" t="s">
        <v>330</v>
      </c>
      <c r="C597" s="382" t="s">
        <v>80</v>
      </c>
      <c r="D597" s="382" t="s">
        <v>18</v>
      </c>
      <c r="E597" s="386" t="s">
        <v>204</v>
      </c>
      <c r="F597" s="440" t="s">
        <v>343</v>
      </c>
      <c r="G597" s="411">
        <v>0.17</v>
      </c>
      <c r="H597" s="411" t="str">
        <f t="shared" si="148"/>
        <v/>
      </c>
      <c r="I597" s="411" t="str">
        <f t="shared" si="149"/>
        <v/>
      </c>
      <c r="J597" s="411">
        <f t="shared" si="150"/>
        <v>0.17</v>
      </c>
      <c r="K597" s="411" t="str">
        <f t="shared" si="151"/>
        <v/>
      </c>
      <c r="L597" s="411">
        <f t="shared" si="146"/>
        <v>1</v>
      </c>
      <c r="M597" s="409"/>
      <c r="N597" s="409"/>
      <c r="O597" s="409">
        <v>1</v>
      </c>
      <c r="P597" s="409"/>
      <c r="Q597" s="382"/>
      <c r="R597" s="385" t="str">
        <f t="shared" si="147"/>
        <v>T</v>
      </c>
      <c r="S597" s="389"/>
      <c r="T597" s="389"/>
      <c r="U597" s="389"/>
      <c r="V597" s="389"/>
      <c r="W597" s="389"/>
      <c r="X597" s="389"/>
      <c r="Y597" s="389"/>
      <c r="Z597" s="389"/>
      <c r="AA597" s="389"/>
      <c r="AB597" s="389"/>
      <c r="AC597" s="389"/>
      <c r="AD597" s="389"/>
      <c r="AE597" s="389"/>
      <c r="AF597" s="389"/>
    </row>
    <row r="598" spans="1:32" ht="26.45" hidden="1" outlineLevel="3">
      <c r="A598" s="382"/>
      <c r="B598" s="386" t="s">
        <v>330</v>
      </c>
      <c r="C598" s="382" t="s">
        <v>80</v>
      </c>
      <c r="D598" s="382" t="s">
        <v>18</v>
      </c>
      <c r="E598" s="386" t="s">
        <v>204</v>
      </c>
      <c r="F598" s="440" t="s">
        <v>344</v>
      </c>
      <c r="G598" s="411">
        <v>0.170625</v>
      </c>
      <c r="H598" s="411" t="str">
        <f t="shared" ref="H598:K602" si="153">IF(M598=1,$G598,"")</f>
        <v/>
      </c>
      <c r="I598" s="411" t="str">
        <f t="shared" si="153"/>
        <v/>
      </c>
      <c r="J598" s="411">
        <f t="shared" si="153"/>
        <v>0.170625</v>
      </c>
      <c r="K598" s="411" t="str">
        <f t="shared" si="153"/>
        <v/>
      </c>
      <c r="L598" s="411">
        <f>SUM(M598:P598)</f>
        <v>1</v>
      </c>
      <c r="M598" s="409"/>
      <c r="N598" s="409"/>
      <c r="O598" s="409">
        <v>1</v>
      </c>
      <c r="P598" s="409"/>
      <c r="Q598" s="382"/>
      <c r="R598" s="385" t="str">
        <f>IF(SUM(M598:P598)=L598,"T","F")</f>
        <v>T</v>
      </c>
      <c r="S598" s="389"/>
      <c r="T598" s="389"/>
      <c r="U598" s="389"/>
      <c r="V598" s="389"/>
      <c r="W598" s="389"/>
      <c r="X598" s="389"/>
      <c r="Y598" s="389"/>
      <c r="Z598" s="389"/>
      <c r="AA598" s="389"/>
      <c r="AB598" s="389"/>
      <c r="AC598" s="389"/>
      <c r="AD598" s="389"/>
      <c r="AE598" s="389"/>
      <c r="AF598" s="389"/>
    </row>
    <row r="599" spans="1:32" hidden="1" outlineLevel="3">
      <c r="A599" s="382"/>
      <c r="B599" s="386" t="s">
        <v>330</v>
      </c>
      <c r="C599" s="382" t="s">
        <v>80</v>
      </c>
      <c r="D599" s="382" t="s">
        <v>18</v>
      </c>
      <c r="E599" s="386" t="s">
        <v>204</v>
      </c>
      <c r="F599" s="440" t="s">
        <v>345</v>
      </c>
      <c r="G599" s="411">
        <v>1.08</v>
      </c>
      <c r="H599" s="411" t="str">
        <f t="shared" si="153"/>
        <v/>
      </c>
      <c r="I599" s="411" t="str">
        <f t="shared" si="153"/>
        <v/>
      </c>
      <c r="J599" s="411">
        <f t="shared" si="153"/>
        <v>1.08</v>
      </c>
      <c r="K599" s="411" t="str">
        <f t="shared" si="153"/>
        <v/>
      </c>
      <c r="L599" s="411">
        <f>SUM(M599:P599)</f>
        <v>1</v>
      </c>
      <c r="M599" s="409"/>
      <c r="N599" s="409"/>
      <c r="O599" s="409">
        <v>1</v>
      </c>
      <c r="P599" s="409"/>
      <c r="Q599" s="382"/>
      <c r="R599" s="385" t="str">
        <f>IF(SUM(M599:P599)=L599,"T","F")</f>
        <v>T</v>
      </c>
      <c r="S599" s="389"/>
      <c r="T599" s="389"/>
      <c r="U599" s="389"/>
      <c r="V599" s="389"/>
      <c r="W599" s="389"/>
      <c r="X599" s="389"/>
      <c r="Y599" s="389"/>
      <c r="Z599" s="389"/>
      <c r="AA599" s="389"/>
      <c r="AB599" s="389"/>
      <c r="AC599" s="389"/>
      <c r="AD599" s="389"/>
      <c r="AE599" s="389"/>
      <c r="AF599" s="389"/>
    </row>
    <row r="600" spans="1:32" ht="26.45" hidden="1" outlineLevel="3">
      <c r="A600" s="382"/>
      <c r="B600" s="386" t="s">
        <v>330</v>
      </c>
      <c r="C600" s="382" t="s">
        <v>80</v>
      </c>
      <c r="D600" s="382" t="s">
        <v>18</v>
      </c>
      <c r="E600" s="386" t="s">
        <v>204</v>
      </c>
      <c r="F600" s="440" t="s">
        <v>346</v>
      </c>
      <c r="G600" s="411">
        <v>0.27</v>
      </c>
      <c r="H600" s="411" t="str">
        <f t="shared" si="153"/>
        <v/>
      </c>
      <c r="I600" s="411" t="str">
        <f t="shared" si="153"/>
        <v/>
      </c>
      <c r="J600" s="411" t="str">
        <f t="shared" si="153"/>
        <v/>
      </c>
      <c r="K600" s="411">
        <f t="shared" si="153"/>
        <v>0.27</v>
      </c>
      <c r="L600" s="411">
        <f>SUM(M600:P600)</f>
        <v>1</v>
      </c>
      <c r="M600" s="409"/>
      <c r="N600" s="409"/>
      <c r="O600" s="409"/>
      <c r="P600" s="409">
        <v>1</v>
      </c>
      <c r="Q600" s="382"/>
      <c r="R600" s="385" t="str">
        <f>IF(SUM(M600:P600)=L600,"T","F")</f>
        <v>T</v>
      </c>
      <c r="S600" s="389"/>
      <c r="T600" s="389"/>
      <c r="U600" s="389"/>
      <c r="V600" s="389"/>
      <c r="W600" s="389"/>
      <c r="X600" s="389"/>
      <c r="Y600" s="389"/>
      <c r="Z600" s="389"/>
      <c r="AA600" s="389"/>
      <c r="AB600" s="389"/>
      <c r="AC600" s="389"/>
      <c r="AD600" s="389"/>
      <c r="AE600" s="389"/>
      <c r="AF600" s="389"/>
    </row>
    <row r="601" spans="1:32" ht="26.45" hidden="1" outlineLevel="3">
      <c r="A601" s="382"/>
      <c r="B601" s="386" t="s">
        <v>330</v>
      </c>
      <c r="C601" s="382" t="s">
        <v>80</v>
      </c>
      <c r="D601" s="382" t="s">
        <v>18</v>
      </c>
      <c r="E601" s="386" t="s">
        <v>204</v>
      </c>
      <c r="F601" s="440" t="s">
        <v>347</v>
      </c>
      <c r="G601" s="411">
        <v>0.27</v>
      </c>
      <c r="H601" s="411" t="str">
        <f t="shared" si="153"/>
        <v/>
      </c>
      <c r="I601" s="411" t="str">
        <f t="shared" si="153"/>
        <v/>
      </c>
      <c r="J601" s="411" t="str">
        <f t="shared" si="153"/>
        <v/>
      </c>
      <c r="K601" s="411">
        <f t="shared" si="153"/>
        <v>0.27</v>
      </c>
      <c r="L601" s="411">
        <f>SUM(M601:P601)</f>
        <v>1</v>
      </c>
      <c r="M601" s="409"/>
      <c r="N601" s="409"/>
      <c r="O601" s="409"/>
      <c r="P601" s="409">
        <v>1</v>
      </c>
      <c r="Q601" s="382"/>
      <c r="R601" s="385" t="str">
        <f>IF(SUM(M601:P601)=L601,"T","F")</f>
        <v>T</v>
      </c>
      <c r="S601" s="389"/>
      <c r="T601" s="389"/>
      <c r="U601" s="389"/>
      <c r="V601" s="389"/>
      <c r="W601" s="389"/>
      <c r="X601" s="389"/>
      <c r="Y601" s="389"/>
      <c r="Z601" s="389"/>
      <c r="AA601" s="389"/>
      <c r="AB601" s="389"/>
      <c r="AC601" s="389"/>
      <c r="AD601" s="389"/>
      <c r="AE601" s="389"/>
      <c r="AF601" s="389"/>
    </row>
    <row r="602" spans="1:32" hidden="1" outlineLevel="3">
      <c r="A602" s="382"/>
      <c r="B602" s="386" t="s">
        <v>330</v>
      </c>
      <c r="C602" s="382" t="s">
        <v>80</v>
      </c>
      <c r="D602" s="382" t="s">
        <v>18</v>
      </c>
      <c r="E602" s="386" t="s">
        <v>204</v>
      </c>
      <c r="F602" s="440" t="s">
        <v>348</v>
      </c>
      <c r="G602" s="411">
        <v>0.27</v>
      </c>
      <c r="H602" s="411" t="str">
        <f t="shared" si="153"/>
        <v/>
      </c>
      <c r="I602" s="411" t="str">
        <f t="shared" si="153"/>
        <v/>
      </c>
      <c r="J602" s="411" t="str">
        <f t="shared" si="153"/>
        <v/>
      </c>
      <c r="K602" s="411">
        <f t="shared" si="153"/>
        <v>0.27</v>
      </c>
      <c r="L602" s="411">
        <f>SUM(M602:P602)</f>
        <v>1</v>
      </c>
      <c r="M602" s="409"/>
      <c r="N602" s="409"/>
      <c r="O602" s="409"/>
      <c r="P602" s="409">
        <v>1</v>
      </c>
      <c r="Q602" s="382"/>
      <c r="R602" s="385" t="str">
        <f>IF(SUM(M602:P602)=L602,"T","F")</f>
        <v>T</v>
      </c>
      <c r="S602" s="389"/>
      <c r="T602" s="389"/>
      <c r="U602" s="389"/>
      <c r="V602" s="389"/>
      <c r="W602" s="389"/>
      <c r="X602" s="389"/>
      <c r="Y602" s="389"/>
      <c r="Z602" s="389"/>
      <c r="AA602" s="389"/>
      <c r="AB602" s="389"/>
      <c r="AC602" s="389"/>
      <c r="AD602" s="389"/>
      <c r="AE602" s="389"/>
      <c r="AF602" s="389"/>
    </row>
    <row r="603" spans="1:32" outlineLevel="2" collapsed="1">
      <c r="A603" s="382"/>
      <c r="B603" s="386" t="s">
        <v>330</v>
      </c>
      <c r="C603" s="382" t="s">
        <v>80</v>
      </c>
      <c r="D603" s="382" t="s">
        <v>26</v>
      </c>
      <c r="E603" s="382"/>
      <c r="F603" s="440" t="s">
        <v>333</v>
      </c>
      <c r="G603" s="411">
        <f>SUM(G604:G615)</f>
        <v>2.1118844075000003</v>
      </c>
      <c r="H603" s="411">
        <f>SUM(H604:H615)</f>
        <v>0.17172000000000001</v>
      </c>
      <c r="I603" s="411">
        <f>SUM(I604:I615)</f>
        <v>0.28999999999999998</v>
      </c>
      <c r="J603" s="411">
        <f>SUM(J604:J615)</f>
        <v>0.79259433000000001</v>
      </c>
      <c r="K603" s="411">
        <f>SUM(K604:K615)</f>
        <v>0.85757007749999992</v>
      </c>
      <c r="L603" s="411">
        <f t="shared" si="146"/>
        <v>12</v>
      </c>
      <c r="M603" s="388">
        <f>SUM(M604:M615)</f>
        <v>1</v>
      </c>
      <c r="N603" s="388">
        <f>SUM(N604:N615)</f>
        <v>1</v>
      </c>
      <c r="O603" s="388">
        <f>SUM(O604:O615)</f>
        <v>3</v>
      </c>
      <c r="P603" s="388">
        <f>SUM(P604:P615)</f>
        <v>7</v>
      </c>
      <c r="Q603" s="382"/>
      <c r="R603" s="385" t="str">
        <f t="shared" si="147"/>
        <v>T</v>
      </c>
      <c r="S603" s="389"/>
      <c r="T603" s="389"/>
      <c r="U603" s="389"/>
      <c r="V603" s="389"/>
      <c r="W603" s="389"/>
      <c r="X603" s="389"/>
      <c r="Y603" s="389"/>
      <c r="Z603" s="389"/>
      <c r="AA603" s="389"/>
      <c r="AB603" s="389"/>
      <c r="AC603" s="389"/>
      <c r="AD603" s="389"/>
      <c r="AE603" s="389"/>
      <c r="AF603" s="389"/>
    </row>
    <row r="604" spans="1:32" hidden="1" outlineLevel="4">
      <c r="A604" s="382"/>
      <c r="B604" s="386" t="s">
        <v>330</v>
      </c>
      <c r="C604" s="382" t="s">
        <v>80</v>
      </c>
      <c r="D604" s="382" t="s">
        <v>26</v>
      </c>
      <c r="E604" s="382" t="s">
        <v>27</v>
      </c>
      <c r="F604" s="446" t="s">
        <v>32</v>
      </c>
      <c r="G604" s="387">
        <v>0.17172000000000001</v>
      </c>
      <c r="H604" s="411">
        <f t="shared" ref="H604:K608" si="154">IF(M604=1,$G604,"")</f>
        <v>0.17172000000000001</v>
      </c>
      <c r="I604" s="411" t="str">
        <f t="shared" si="154"/>
        <v/>
      </c>
      <c r="J604" s="411" t="str">
        <f t="shared" si="154"/>
        <v/>
      </c>
      <c r="K604" s="411" t="str">
        <f t="shared" si="154"/>
        <v/>
      </c>
      <c r="L604" s="387">
        <f t="shared" si="146"/>
        <v>1</v>
      </c>
      <c r="M604" s="388">
        <v>1</v>
      </c>
      <c r="N604" s="388"/>
      <c r="O604" s="388"/>
      <c r="P604" s="388"/>
      <c r="Q604" s="382"/>
      <c r="R604" s="385" t="str">
        <f t="shared" si="147"/>
        <v>T</v>
      </c>
      <c r="S604" s="389"/>
      <c r="T604" s="389"/>
      <c r="U604" s="389"/>
      <c r="V604" s="389"/>
      <c r="W604" s="389"/>
      <c r="X604" s="389"/>
      <c r="Y604" s="389"/>
      <c r="Z604" s="389"/>
      <c r="AA604" s="389"/>
      <c r="AB604" s="389"/>
      <c r="AC604" s="389"/>
      <c r="AD604" s="389"/>
      <c r="AE604" s="389"/>
      <c r="AF604" s="389"/>
    </row>
    <row r="605" spans="1:32" hidden="1" outlineLevel="4">
      <c r="A605" s="382"/>
      <c r="B605" s="386" t="s">
        <v>330</v>
      </c>
      <c r="C605" s="382" t="s">
        <v>80</v>
      </c>
      <c r="D605" s="382" t="s">
        <v>26</v>
      </c>
      <c r="E605" s="382" t="s">
        <v>27</v>
      </c>
      <c r="F605" s="440" t="s">
        <v>34</v>
      </c>
      <c r="G605" s="387">
        <v>0.28999999999999998</v>
      </c>
      <c r="H605" s="411" t="str">
        <f t="shared" si="154"/>
        <v/>
      </c>
      <c r="I605" s="411">
        <f t="shared" si="154"/>
        <v>0.28999999999999998</v>
      </c>
      <c r="J605" s="411" t="str">
        <f t="shared" si="154"/>
        <v/>
      </c>
      <c r="K605" s="411" t="str">
        <f t="shared" si="154"/>
        <v/>
      </c>
      <c r="L605" s="387">
        <f t="shared" si="146"/>
        <v>1</v>
      </c>
      <c r="M605" s="388"/>
      <c r="N605" s="388">
        <v>1</v>
      </c>
      <c r="O605" s="388"/>
      <c r="P605" s="388"/>
      <c r="Q605" s="382"/>
      <c r="R605" s="385" t="str">
        <f t="shared" si="147"/>
        <v>T</v>
      </c>
      <c r="S605" s="389"/>
      <c r="T605" s="389"/>
      <c r="U605" s="389"/>
      <c r="V605" s="389"/>
      <c r="W605" s="389"/>
      <c r="X605" s="389"/>
      <c r="Y605" s="389"/>
      <c r="Z605" s="389"/>
      <c r="AA605" s="389"/>
      <c r="AB605" s="389"/>
      <c r="AC605" s="389"/>
      <c r="AD605" s="389"/>
      <c r="AE605" s="389"/>
      <c r="AF605" s="389"/>
    </row>
    <row r="606" spans="1:32" hidden="1" outlineLevel="4">
      <c r="A606" s="382"/>
      <c r="B606" s="386" t="s">
        <v>330</v>
      </c>
      <c r="C606" s="382" t="s">
        <v>80</v>
      </c>
      <c r="D606" s="382" t="s">
        <v>26</v>
      </c>
      <c r="E606" s="382" t="s">
        <v>27</v>
      </c>
      <c r="F606" s="440" t="s">
        <v>336</v>
      </c>
      <c r="G606" s="387">
        <v>0.16295433000000004</v>
      </c>
      <c r="H606" s="411" t="str">
        <f t="shared" si="154"/>
        <v/>
      </c>
      <c r="I606" s="411" t="str">
        <f t="shared" si="154"/>
        <v/>
      </c>
      <c r="J606" s="411">
        <f t="shared" si="154"/>
        <v>0.16295433000000004</v>
      </c>
      <c r="K606" s="411" t="str">
        <f t="shared" si="154"/>
        <v/>
      </c>
      <c r="L606" s="387">
        <f t="shared" si="146"/>
        <v>1</v>
      </c>
      <c r="M606" s="388"/>
      <c r="N606" s="388"/>
      <c r="O606" s="388">
        <v>1</v>
      </c>
      <c r="P606" s="388"/>
      <c r="Q606" s="382"/>
      <c r="R606" s="385" t="str">
        <f t="shared" si="147"/>
        <v>T</v>
      </c>
      <c r="S606" s="389"/>
      <c r="T606" s="389"/>
      <c r="U606" s="389"/>
      <c r="V606" s="389"/>
      <c r="W606" s="389"/>
      <c r="X606" s="389"/>
      <c r="Y606" s="389"/>
      <c r="Z606" s="389"/>
      <c r="AA606" s="389"/>
      <c r="AB606" s="389"/>
      <c r="AC606" s="389"/>
      <c r="AD606" s="389"/>
      <c r="AE606" s="389"/>
      <c r="AF606" s="389"/>
    </row>
    <row r="607" spans="1:32" hidden="1" outlineLevel="4">
      <c r="A607" s="382"/>
      <c r="B607" s="386" t="s">
        <v>330</v>
      </c>
      <c r="C607" s="382" t="s">
        <v>80</v>
      </c>
      <c r="D607" s="382" t="s">
        <v>26</v>
      </c>
      <c r="E607" s="382" t="s">
        <v>27</v>
      </c>
      <c r="F607" s="440" t="s">
        <v>198</v>
      </c>
      <c r="G607" s="387">
        <v>0.244431495</v>
      </c>
      <c r="H607" s="411" t="str">
        <f t="shared" si="154"/>
        <v/>
      </c>
      <c r="I607" s="411" t="str">
        <f t="shared" si="154"/>
        <v/>
      </c>
      <c r="J607" s="411" t="str">
        <f t="shared" si="154"/>
        <v/>
      </c>
      <c r="K607" s="411">
        <f t="shared" si="154"/>
        <v>0.244431495</v>
      </c>
      <c r="L607" s="387">
        <f t="shared" si="146"/>
        <v>1</v>
      </c>
      <c r="M607" s="388"/>
      <c r="N607" s="388"/>
      <c r="O607" s="388"/>
      <c r="P607" s="388">
        <v>1</v>
      </c>
      <c r="Q607" s="382"/>
      <c r="R607" s="385" t="str">
        <f t="shared" si="147"/>
        <v>T</v>
      </c>
      <c r="S607" s="389"/>
      <c r="T607" s="389"/>
      <c r="U607" s="389"/>
      <c r="V607" s="389"/>
      <c r="W607" s="389"/>
      <c r="X607" s="389"/>
      <c r="Y607" s="389"/>
      <c r="Z607" s="389"/>
      <c r="AA607" s="389"/>
      <c r="AB607" s="389"/>
      <c r="AC607" s="389"/>
      <c r="AD607" s="389"/>
      <c r="AE607" s="389"/>
      <c r="AF607" s="389"/>
    </row>
    <row r="608" spans="1:32" hidden="1" outlineLevel="4">
      <c r="A608" s="382"/>
      <c r="B608" s="386" t="s">
        <v>330</v>
      </c>
      <c r="C608" s="382" t="s">
        <v>80</v>
      </c>
      <c r="D608" s="382" t="s">
        <v>26</v>
      </c>
      <c r="E608" s="382" t="s">
        <v>27</v>
      </c>
      <c r="F608" s="440" t="s">
        <v>196</v>
      </c>
      <c r="G608" s="387">
        <v>4.0738582500000009E-2</v>
      </c>
      <c r="H608" s="411" t="str">
        <f t="shared" si="154"/>
        <v/>
      </c>
      <c r="I608" s="411" t="str">
        <f t="shared" si="154"/>
        <v/>
      </c>
      <c r="J608" s="411" t="str">
        <f t="shared" si="154"/>
        <v/>
      </c>
      <c r="K608" s="411">
        <f t="shared" si="154"/>
        <v>4.0738582500000009E-2</v>
      </c>
      <c r="L608" s="387">
        <f t="shared" si="146"/>
        <v>1</v>
      </c>
      <c r="M608" s="388"/>
      <c r="N608" s="388"/>
      <c r="O608" s="388"/>
      <c r="P608" s="388">
        <v>1</v>
      </c>
      <c r="Q608" s="382"/>
      <c r="R608" s="385" t="str">
        <f t="shared" si="147"/>
        <v>T</v>
      </c>
      <c r="S608" s="389"/>
      <c r="T608" s="389"/>
      <c r="U608" s="389"/>
      <c r="V608" s="389"/>
      <c r="W608" s="389"/>
      <c r="X608" s="389"/>
      <c r="Y608" s="389"/>
      <c r="Z608" s="389"/>
      <c r="AA608" s="389"/>
      <c r="AB608" s="389"/>
      <c r="AC608" s="389"/>
      <c r="AD608" s="389"/>
      <c r="AE608" s="389"/>
      <c r="AF608" s="389"/>
    </row>
    <row r="609" spans="1:32" hidden="1" outlineLevel="4">
      <c r="A609" s="382"/>
      <c r="B609" s="386" t="s">
        <v>330</v>
      </c>
      <c r="C609" s="382" t="s">
        <v>80</v>
      </c>
      <c r="D609" s="382" t="s">
        <v>26</v>
      </c>
      <c r="E609" s="382" t="s">
        <v>27</v>
      </c>
      <c r="F609" s="440" t="s">
        <v>338</v>
      </c>
      <c r="G609" s="387">
        <v>0.22896000000000002</v>
      </c>
      <c r="H609" s="411" t="str">
        <f t="shared" ref="H609:K615" si="155">IF(M609=1,$G609,"")</f>
        <v/>
      </c>
      <c r="I609" s="411" t="str">
        <f t="shared" si="155"/>
        <v/>
      </c>
      <c r="J609" s="411">
        <f t="shared" si="155"/>
        <v>0.22896000000000002</v>
      </c>
      <c r="K609" s="411" t="str">
        <f t="shared" si="155"/>
        <v/>
      </c>
      <c r="L609" s="387">
        <f t="shared" ref="L609:L615" si="156">SUM(M609:P609)</f>
        <v>1</v>
      </c>
      <c r="M609" s="388"/>
      <c r="N609" s="388"/>
      <c r="O609" s="388">
        <v>1</v>
      </c>
      <c r="P609" s="388"/>
      <c r="Q609" s="382"/>
      <c r="R609" s="385" t="str">
        <f t="shared" ref="R609:R615" si="157">IF(SUM(M609:P609)=L609,"T","F")</f>
        <v>T</v>
      </c>
      <c r="S609" s="389"/>
      <c r="T609" s="389"/>
      <c r="U609" s="389"/>
      <c r="V609" s="389"/>
      <c r="W609" s="389"/>
      <c r="X609" s="389"/>
      <c r="Y609" s="389"/>
      <c r="Z609" s="389"/>
      <c r="AA609" s="389"/>
      <c r="AB609" s="389"/>
      <c r="AC609" s="389"/>
      <c r="AD609" s="389"/>
      <c r="AE609" s="389"/>
      <c r="AF609" s="389"/>
    </row>
    <row r="610" spans="1:32" hidden="1" outlineLevel="4">
      <c r="A610" s="382"/>
      <c r="B610" s="386" t="s">
        <v>330</v>
      </c>
      <c r="C610" s="382" t="s">
        <v>80</v>
      </c>
      <c r="D610" s="382" t="s">
        <v>26</v>
      </c>
      <c r="E610" s="382" t="s">
        <v>27</v>
      </c>
      <c r="F610" s="440" t="s">
        <v>339</v>
      </c>
      <c r="G610" s="387">
        <v>0.17172000000000001</v>
      </c>
      <c r="H610" s="411" t="str">
        <f t="shared" si="155"/>
        <v/>
      </c>
      <c r="I610" s="411" t="str">
        <f t="shared" si="155"/>
        <v/>
      </c>
      <c r="J610" s="411" t="str">
        <f t="shared" si="155"/>
        <v/>
      </c>
      <c r="K610" s="411">
        <f t="shared" si="155"/>
        <v>0.17172000000000001</v>
      </c>
      <c r="L610" s="387">
        <f t="shared" si="156"/>
        <v>1</v>
      </c>
      <c r="M610" s="388"/>
      <c r="N610" s="388"/>
      <c r="O610" s="388"/>
      <c r="P610" s="388">
        <v>1</v>
      </c>
      <c r="Q610" s="382"/>
      <c r="R610" s="385" t="str">
        <f t="shared" si="157"/>
        <v>T</v>
      </c>
      <c r="S610" s="389"/>
      <c r="T610" s="389"/>
      <c r="U610" s="389"/>
      <c r="V610" s="389"/>
      <c r="W610" s="389"/>
      <c r="X610" s="389"/>
      <c r="Y610" s="389"/>
      <c r="Z610" s="389"/>
      <c r="AA610" s="389"/>
      <c r="AB610" s="389"/>
      <c r="AC610" s="389"/>
      <c r="AD610" s="389"/>
      <c r="AE610" s="389"/>
      <c r="AF610" s="389"/>
    </row>
    <row r="611" spans="1:32" hidden="1" outlineLevel="4">
      <c r="A611" s="382"/>
      <c r="B611" s="386" t="s">
        <v>330</v>
      </c>
      <c r="C611" s="382" t="s">
        <v>80</v>
      </c>
      <c r="D611" s="382" t="s">
        <v>26</v>
      </c>
      <c r="E611" s="382" t="s">
        <v>27</v>
      </c>
      <c r="F611" s="440" t="s">
        <v>340</v>
      </c>
      <c r="G611" s="387">
        <v>0.17172000000000001</v>
      </c>
      <c r="H611" s="411" t="str">
        <f t="shared" si="155"/>
        <v/>
      </c>
      <c r="I611" s="411" t="str">
        <f t="shared" si="155"/>
        <v/>
      </c>
      <c r="J611" s="411" t="str">
        <f t="shared" si="155"/>
        <v/>
      </c>
      <c r="K611" s="411">
        <f t="shared" si="155"/>
        <v>0.17172000000000001</v>
      </c>
      <c r="L611" s="387">
        <f t="shared" si="156"/>
        <v>1</v>
      </c>
      <c r="M611" s="388"/>
      <c r="N611" s="388"/>
      <c r="O611" s="388"/>
      <c r="P611" s="388">
        <v>1</v>
      </c>
      <c r="Q611" s="382"/>
      <c r="R611" s="385" t="str">
        <f t="shared" si="157"/>
        <v>T</v>
      </c>
      <c r="S611" s="389"/>
      <c r="T611" s="389"/>
      <c r="U611" s="389"/>
      <c r="V611" s="389"/>
      <c r="W611" s="389"/>
      <c r="X611" s="389"/>
      <c r="Y611" s="389"/>
      <c r="Z611" s="389"/>
      <c r="AA611" s="389"/>
      <c r="AB611" s="389"/>
      <c r="AC611" s="389"/>
      <c r="AD611" s="389"/>
      <c r="AE611" s="389"/>
      <c r="AF611" s="389"/>
    </row>
    <row r="612" spans="1:32" ht="26.45" hidden="1" outlineLevel="4">
      <c r="A612" s="382"/>
      <c r="B612" s="386" t="s">
        <v>330</v>
      </c>
      <c r="C612" s="382" t="s">
        <v>80</v>
      </c>
      <c r="D612" s="382" t="s">
        <v>26</v>
      </c>
      <c r="E612" s="382" t="s">
        <v>27</v>
      </c>
      <c r="F612" s="440" t="s">
        <v>344</v>
      </c>
      <c r="G612" s="387">
        <v>0.40067999999999998</v>
      </c>
      <c r="H612" s="411" t="str">
        <f t="shared" si="155"/>
        <v/>
      </c>
      <c r="I612" s="411" t="str">
        <f t="shared" si="155"/>
        <v/>
      </c>
      <c r="J612" s="411">
        <f t="shared" si="155"/>
        <v>0.40067999999999998</v>
      </c>
      <c r="K612" s="411" t="str">
        <f t="shared" si="155"/>
        <v/>
      </c>
      <c r="L612" s="387">
        <f t="shared" si="156"/>
        <v>1</v>
      </c>
      <c r="M612" s="388"/>
      <c r="N612" s="388"/>
      <c r="O612" s="388">
        <v>1</v>
      </c>
      <c r="P612" s="388"/>
      <c r="Q612" s="382"/>
      <c r="R612" s="385" t="str">
        <f t="shared" si="157"/>
        <v>T</v>
      </c>
      <c r="S612" s="389"/>
      <c r="T612" s="389"/>
      <c r="U612" s="389"/>
      <c r="V612" s="389"/>
      <c r="W612" s="389"/>
      <c r="X612" s="389"/>
      <c r="Y612" s="389"/>
      <c r="Z612" s="389"/>
      <c r="AA612" s="389"/>
      <c r="AB612" s="389"/>
      <c r="AC612" s="389"/>
      <c r="AD612" s="389"/>
      <c r="AE612" s="389"/>
      <c r="AF612" s="389"/>
    </row>
    <row r="613" spans="1:32" ht="26.45" hidden="1" outlineLevel="4">
      <c r="A613" s="382"/>
      <c r="B613" s="386" t="s">
        <v>330</v>
      </c>
      <c r="C613" s="382" t="s">
        <v>80</v>
      </c>
      <c r="D613" s="382" t="s">
        <v>26</v>
      </c>
      <c r="E613" s="382" t="s">
        <v>27</v>
      </c>
      <c r="F613" s="440" t="s">
        <v>346</v>
      </c>
      <c r="G613" s="387">
        <v>5.7240000000000006E-2</v>
      </c>
      <c r="H613" s="411" t="str">
        <f t="shared" si="155"/>
        <v/>
      </c>
      <c r="I613" s="411" t="str">
        <f t="shared" si="155"/>
        <v/>
      </c>
      <c r="J613" s="411" t="str">
        <f t="shared" si="155"/>
        <v/>
      </c>
      <c r="K613" s="411">
        <f t="shared" si="155"/>
        <v>5.7240000000000006E-2</v>
      </c>
      <c r="L613" s="387">
        <f t="shared" si="156"/>
        <v>1</v>
      </c>
      <c r="M613" s="388"/>
      <c r="N613" s="388"/>
      <c r="O613" s="388"/>
      <c r="P613" s="388">
        <v>1</v>
      </c>
      <c r="Q613" s="382"/>
      <c r="R613" s="385" t="str">
        <f t="shared" si="157"/>
        <v>T</v>
      </c>
      <c r="S613" s="389"/>
      <c r="T613" s="389"/>
      <c r="U613" s="389"/>
      <c r="V613" s="389"/>
      <c r="W613" s="389"/>
      <c r="X613" s="389"/>
      <c r="Y613" s="389"/>
      <c r="Z613" s="389"/>
      <c r="AA613" s="389"/>
      <c r="AB613" s="389"/>
      <c r="AC613" s="389"/>
      <c r="AD613" s="389"/>
      <c r="AE613" s="389"/>
      <c r="AF613" s="389"/>
    </row>
    <row r="614" spans="1:32" ht="26.45" hidden="1" outlineLevel="4">
      <c r="A614" s="382"/>
      <c r="B614" s="386" t="s">
        <v>330</v>
      </c>
      <c r="C614" s="382" t="s">
        <v>80</v>
      </c>
      <c r="D614" s="382" t="s">
        <v>26</v>
      </c>
      <c r="E614" s="382" t="s">
        <v>27</v>
      </c>
      <c r="F614" s="440" t="s">
        <v>347</v>
      </c>
      <c r="G614" s="387">
        <v>5.7240000000000006E-2</v>
      </c>
      <c r="H614" s="411" t="str">
        <f t="shared" si="155"/>
        <v/>
      </c>
      <c r="I614" s="411" t="str">
        <f t="shared" si="155"/>
        <v/>
      </c>
      <c r="J614" s="411" t="str">
        <f t="shared" si="155"/>
        <v/>
      </c>
      <c r="K614" s="411">
        <f t="shared" si="155"/>
        <v>5.7240000000000006E-2</v>
      </c>
      <c r="L614" s="387">
        <f t="shared" si="156"/>
        <v>1</v>
      </c>
      <c r="M614" s="388"/>
      <c r="N614" s="388"/>
      <c r="O614" s="388"/>
      <c r="P614" s="388">
        <v>1</v>
      </c>
      <c r="Q614" s="382"/>
      <c r="R614" s="385" t="str">
        <f t="shared" si="157"/>
        <v>T</v>
      </c>
      <c r="S614" s="389"/>
      <c r="T614" s="389"/>
      <c r="U614" s="389"/>
      <c r="V614" s="389"/>
      <c r="W614" s="389"/>
      <c r="X614" s="389"/>
      <c r="Y614" s="389"/>
      <c r="Z614" s="389"/>
      <c r="AA614" s="389"/>
      <c r="AB614" s="389"/>
      <c r="AC614" s="389"/>
      <c r="AD614" s="389"/>
      <c r="AE614" s="389"/>
      <c r="AF614" s="389"/>
    </row>
    <row r="615" spans="1:32" hidden="1" outlineLevel="4">
      <c r="A615" s="382"/>
      <c r="B615" s="386" t="s">
        <v>330</v>
      </c>
      <c r="C615" s="382" t="s">
        <v>80</v>
      </c>
      <c r="D615" s="382" t="s">
        <v>26</v>
      </c>
      <c r="E615" s="382" t="s">
        <v>27</v>
      </c>
      <c r="F615" s="440" t="s">
        <v>348</v>
      </c>
      <c r="G615" s="387">
        <v>0.11448000000000001</v>
      </c>
      <c r="H615" s="411" t="str">
        <f t="shared" si="155"/>
        <v/>
      </c>
      <c r="I615" s="411" t="str">
        <f t="shared" si="155"/>
        <v/>
      </c>
      <c r="J615" s="411" t="str">
        <f t="shared" si="155"/>
        <v/>
      </c>
      <c r="K615" s="411">
        <f t="shared" si="155"/>
        <v>0.11448000000000001</v>
      </c>
      <c r="L615" s="387">
        <f t="shared" si="156"/>
        <v>1</v>
      </c>
      <c r="M615" s="388"/>
      <c r="N615" s="388"/>
      <c r="O615" s="388"/>
      <c r="P615" s="388">
        <v>1</v>
      </c>
      <c r="Q615" s="382"/>
      <c r="R615" s="385" t="str">
        <f t="shared" si="157"/>
        <v>T</v>
      </c>
      <c r="S615" s="389"/>
      <c r="T615" s="389"/>
      <c r="U615" s="389"/>
      <c r="V615" s="389"/>
      <c r="W615" s="389"/>
      <c r="X615" s="389"/>
      <c r="Y615" s="389"/>
      <c r="Z615" s="389"/>
      <c r="AA615" s="389"/>
      <c r="AB615" s="389"/>
      <c r="AC615" s="389"/>
      <c r="AD615" s="389"/>
      <c r="AE615" s="389"/>
      <c r="AF615" s="389"/>
    </row>
    <row r="616" spans="1:32" outlineLevel="2">
      <c r="A616" s="382"/>
      <c r="B616" s="386" t="s">
        <v>330</v>
      </c>
      <c r="C616" s="382" t="s">
        <v>80</v>
      </c>
      <c r="D616" s="382" t="s">
        <v>28</v>
      </c>
      <c r="E616" s="382"/>
      <c r="F616" s="440" t="s">
        <v>333</v>
      </c>
      <c r="G616" s="411">
        <f>SUM(G617:G628)</f>
        <v>1.3187182337500001</v>
      </c>
      <c r="H616" s="411">
        <f>SUM(H617:H628)</f>
        <v>9.5579999999999998E-2</v>
      </c>
      <c r="I616" s="411">
        <f>SUM(I617:I628)</f>
        <v>0.1</v>
      </c>
      <c r="J616" s="411">
        <f>SUM(J617:J628)</f>
        <v>0.64581149250000003</v>
      </c>
      <c r="K616" s="411">
        <f>SUM(K617:K628)</f>
        <v>0.47732674125000002</v>
      </c>
      <c r="L616" s="411">
        <f t="shared" si="146"/>
        <v>12</v>
      </c>
      <c r="M616" s="388">
        <f>SUM(M617:M628)</f>
        <v>2</v>
      </c>
      <c r="N616" s="388">
        <f>SUM(N617:N628)</f>
        <v>1</v>
      </c>
      <c r="O616" s="388">
        <f>SUM(O617:O628)</f>
        <v>4</v>
      </c>
      <c r="P616" s="388">
        <f>SUM(P617:P628)</f>
        <v>5</v>
      </c>
      <c r="Q616" s="382"/>
      <c r="R616" s="385" t="str">
        <f t="shared" si="147"/>
        <v>T</v>
      </c>
      <c r="S616" s="389"/>
      <c r="T616" s="389"/>
      <c r="U616" s="389"/>
      <c r="V616" s="389"/>
      <c r="W616" s="389"/>
      <c r="X616" s="389"/>
      <c r="Y616" s="389"/>
      <c r="Z616" s="389"/>
      <c r="AA616" s="389"/>
      <c r="AB616" s="389"/>
      <c r="AC616" s="389"/>
      <c r="AD616" s="389"/>
      <c r="AE616" s="389"/>
      <c r="AF616" s="389"/>
    </row>
    <row r="617" spans="1:32" outlineLevel="4">
      <c r="A617" s="382"/>
      <c r="B617" s="386" t="s">
        <v>330</v>
      </c>
      <c r="C617" s="382" t="s">
        <v>80</v>
      </c>
      <c r="D617" s="382" t="s">
        <v>28</v>
      </c>
      <c r="E617" s="382" t="s">
        <v>29</v>
      </c>
      <c r="F617" s="440" t="s">
        <v>32</v>
      </c>
      <c r="G617" s="387">
        <v>6.3719999999999999E-2</v>
      </c>
      <c r="H617" s="411">
        <f t="shared" ref="H617:K622" si="158">IF(M617=1,$G617,"")</f>
        <v>6.3719999999999999E-2</v>
      </c>
      <c r="I617" s="411" t="str">
        <f t="shared" si="158"/>
        <v/>
      </c>
      <c r="J617" s="411" t="str">
        <f t="shared" si="158"/>
        <v/>
      </c>
      <c r="K617" s="411" t="str">
        <f t="shared" si="158"/>
        <v/>
      </c>
      <c r="L617" s="387">
        <f t="shared" si="146"/>
        <v>1</v>
      </c>
      <c r="M617" s="388">
        <v>1</v>
      </c>
      <c r="N617" s="388"/>
      <c r="O617" s="388"/>
      <c r="P617" s="388"/>
      <c r="Q617" s="382"/>
      <c r="R617" s="385" t="str">
        <f t="shared" si="147"/>
        <v>T</v>
      </c>
      <c r="S617" s="389"/>
      <c r="T617" s="389"/>
      <c r="U617" s="389"/>
      <c r="V617" s="389"/>
      <c r="W617" s="389"/>
      <c r="X617" s="389"/>
      <c r="Y617" s="389"/>
      <c r="Z617" s="389"/>
      <c r="AA617" s="389"/>
      <c r="AB617" s="389"/>
      <c r="AC617" s="389"/>
      <c r="AD617" s="389"/>
      <c r="AE617" s="389"/>
      <c r="AF617" s="389"/>
    </row>
    <row r="618" spans="1:32" outlineLevel="4">
      <c r="A618" s="382"/>
      <c r="B618" s="386" t="s">
        <v>330</v>
      </c>
      <c r="C618" s="382" t="s">
        <v>80</v>
      </c>
      <c r="D618" s="382" t="s">
        <v>28</v>
      </c>
      <c r="E618" s="382" t="s">
        <v>29</v>
      </c>
      <c r="F618" s="440" t="s">
        <v>34</v>
      </c>
      <c r="G618" s="387">
        <v>0.1</v>
      </c>
      <c r="H618" s="411" t="str">
        <f t="shared" si="158"/>
        <v/>
      </c>
      <c r="I618" s="411">
        <f t="shared" si="158"/>
        <v>0.1</v>
      </c>
      <c r="J618" s="411" t="str">
        <f t="shared" si="158"/>
        <v/>
      </c>
      <c r="K618" s="411" t="str">
        <f t="shared" si="158"/>
        <v/>
      </c>
      <c r="L618" s="387">
        <f t="shared" si="146"/>
        <v>1</v>
      </c>
      <c r="M618" s="388"/>
      <c r="N618" s="388">
        <v>1</v>
      </c>
      <c r="O618" s="388"/>
      <c r="P618" s="388"/>
      <c r="Q618" s="382"/>
      <c r="R618" s="385" t="str">
        <f t="shared" si="147"/>
        <v>T</v>
      </c>
      <c r="S618" s="389"/>
      <c r="T618" s="389"/>
      <c r="U618" s="389"/>
      <c r="V618" s="389"/>
      <c r="W618" s="389"/>
      <c r="X618" s="389"/>
      <c r="Y618" s="389"/>
      <c r="Z618" s="389"/>
      <c r="AA618" s="389"/>
      <c r="AB618" s="389"/>
      <c r="AC618" s="389"/>
      <c r="AD618" s="389"/>
      <c r="AE618" s="389"/>
      <c r="AF618" s="389"/>
    </row>
    <row r="619" spans="1:32" outlineLevel="4">
      <c r="A619" s="382"/>
      <c r="B619" s="386" t="s">
        <v>330</v>
      </c>
      <c r="C619" s="382" t="s">
        <v>80</v>
      </c>
      <c r="D619" s="382" t="s">
        <v>28</v>
      </c>
      <c r="E619" s="382" t="s">
        <v>29</v>
      </c>
      <c r="F619" s="440" t="s">
        <v>33</v>
      </c>
      <c r="G619" s="387">
        <v>3.1859999999999999E-2</v>
      </c>
      <c r="H619" s="411">
        <f t="shared" si="158"/>
        <v>3.1859999999999999E-2</v>
      </c>
      <c r="I619" s="411" t="str">
        <f t="shared" si="158"/>
        <v/>
      </c>
      <c r="J619" s="411" t="str">
        <f t="shared" si="158"/>
        <v/>
      </c>
      <c r="K619" s="411" t="str">
        <f t="shared" si="158"/>
        <v/>
      </c>
      <c r="L619" s="387">
        <f t="shared" si="146"/>
        <v>1</v>
      </c>
      <c r="M619" s="388">
        <v>1</v>
      </c>
      <c r="N619" s="388"/>
      <c r="O619" s="388"/>
      <c r="P619" s="388"/>
      <c r="Q619" s="382"/>
      <c r="R619" s="385" t="str">
        <f t="shared" si="147"/>
        <v>T</v>
      </c>
      <c r="S619" s="389"/>
      <c r="T619" s="389"/>
      <c r="U619" s="389"/>
      <c r="V619" s="389"/>
      <c r="W619" s="389"/>
      <c r="X619" s="389"/>
      <c r="Y619" s="389"/>
      <c r="Z619" s="389"/>
      <c r="AA619" s="389"/>
      <c r="AB619" s="389"/>
      <c r="AC619" s="389"/>
      <c r="AD619" s="389"/>
      <c r="AE619" s="389"/>
      <c r="AF619" s="389"/>
    </row>
    <row r="620" spans="1:32" outlineLevel="4">
      <c r="A620" s="382"/>
      <c r="B620" s="386" t="s">
        <v>330</v>
      </c>
      <c r="C620" s="382" t="s">
        <v>80</v>
      </c>
      <c r="D620" s="382" t="s">
        <v>28</v>
      </c>
      <c r="E620" s="382" t="s">
        <v>29</v>
      </c>
      <c r="F620" s="440" t="s">
        <v>336</v>
      </c>
      <c r="G620" s="387">
        <v>0.13605149250000001</v>
      </c>
      <c r="H620" s="411" t="str">
        <f t="shared" si="158"/>
        <v/>
      </c>
      <c r="I620" s="411" t="str">
        <f t="shared" si="158"/>
        <v/>
      </c>
      <c r="J620" s="411">
        <f t="shared" si="158"/>
        <v>0.13605149250000001</v>
      </c>
      <c r="K620" s="411" t="str">
        <f t="shared" si="158"/>
        <v/>
      </c>
      <c r="L620" s="387">
        <f t="shared" si="146"/>
        <v>1</v>
      </c>
      <c r="M620" s="388"/>
      <c r="N620" s="388"/>
      <c r="O620" s="388">
        <v>1</v>
      </c>
      <c r="P620" s="388"/>
      <c r="Q620" s="382"/>
      <c r="R620" s="385" t="str">
        <f t="shared" si="147"/>
        <v>T</v>
      </c>
      <c r="S620" s="389"/>
      <c r="T620" s="389"/>
      <c r="U620" s="389"/>
      <c r="V620" s="389"/>
      <c r="W620" s="389"/>
      <c r="X620" s="389"/>
      <c r="Y620" s="389"/>
      <c r="Z620" s="389"/>
      <c r="AA620" s="389"/>
      <c r="AB620" s="389"/>
      <c r="AC620" s="389"/>
      <c r="AD620" s="389"/>
      <c r="AE620" s="389"/>
      <c r="AF620" s="389"/>
    </row>
    <row r="621" spans="1:32" outlineLevel="4">
      <c r="A621" s="382"/>
      <c r="B621" s="386" t="s">
        <v>330</v>
      </c>
      <c r="C621" s="382" t="s">
        <v>80</v>
      </c>
      <c r="D621" s="382" t="s">
        <v>28</v>
      </c>
      <c r="E621" s="382" t="s">
        <v>29</v>
      </c>
      <c r="F621" s="440" t="s">
        <v>198</v>
      </c>
      <c r="G621" s="387">
        <v>9.0700995000000006E-2</v>
      </c>
      <c r="H621" s="411" t="str">
        <f t="shared" si="158"/>
        <v/>
      </c>
      <c r="I621" s="411" t="str">
        <f t="shared" si="158"/>
        <v/>
      </c>
      <c r="J621" s="411" t="str">
        <f t="shared" si="158"/>
        <v/>
      </c>
      <c r="K621" s="411">
        <f t="shared" si="158"/>
        <v>9.0700995000000006E-2</v>
      </c>
      <c r="L621" s="387">
        <f t="shared" si="146"/>
        <v>1</v>
      </c>
      <c r="M621" s="388"/>
      <c r="N621" s="388"/>
      <c r="O621" s="388"/>
      <c r="P621" s="388">
        <v>1</v>
      </c>
      <c r="Q621" s="382"/>
      <c r="R621" s="385" t="str">
        <f t="shared" si="147"/>
        <v>T</v>
      </c>
      <c r="S621" s="389"/>
      <c r="T621" s="389"/>
      <c r="U621" s="389"/>
      <c r="V621" s="389"/>
      <c r="W621" s="389"/>
      <c r="X621" s="389"/>
      <c r="Y621" s="389"/>
      <c r="Z621" s="389"/>
      <c r="AA621" s="389"/>
      <c r="AB621" s="389"/>
      <c r="AC621" s="389"/>
      <c r="AD621" s="389"/>
      <c r="AE621" s="389"/>
      <c r="AF621" s="389"/>
    </row>
    <row r="622" spans="1:32" outlineLevel="4">
      <c r="A622" s="382"/>
      <c r="B622" s="386" t="s">
        <v>330</v>
      </c>
      <c r="C622" s="382" t="s">
        <v>80</v>
      </c>
      <c r="D622" s="382" t="s">
        <v>28</v>
      </c>
      <c r="E622" s="382" t="s">
        <v>29</v>
      </c>
      <c r="F622" s="440" t="s">
        <v>196</v>
      </c>
      <c r="G622" s="387">
        <v>6.8025746250000005E-2</v>
      </c>
      <c r="H622" s="411" t="str">
        <f t="shared" si="158"/>
        <v/>
      </c>
      <c r="I622" s="411" t="str">
        <f t="shared" si="158"/>
        <v/>
      </c>
      <c r="J622" s="411" t="str">
        <f t="shared" si="158"/>
        <v/>
      </c>
      <c r="K622" s="411">
        <f t="shared" si="158"/>
        <v>6.8025746250000005E-2</v>
      </c>
      <c r="L622" s="387">
        <f t="shared" si="146"/>
        <v>1</v>
      </c>
      <c r="M622" s="388"/>
      <c r="N622" s="388"/>
      <c r="O622" s="388"/>
      <c r="P622" s="388">
        <v>1</v>
      </c>
      <c r="Q622" s="382"/>
      <c r="R622" s="385" t="str">
        <f t="shared" si="147"/>
        <v>T</v>
      </c>
      <c r="S622" s="389"/>
      <c r="T622" s="389"/>
      <c r="U622" s="389"/>
      <c r="V622" s="389"/>
      <c r="W622" s="389"/>
      <c r="X622" s="389"/>
      <c r="Y622" s="389"/>
      <c r="Z622" s="389"/>
      <c r="AA622" s="389"/>
      <c r="AB622" s="389"/>
      <c r="AC622" s="389"/>
      <c r="AD622" s="389"/>
      <c r="AE622" s="389"/>
      <c r="AF622" s="389"/>
    </row>
    <row r="623" spans="1:32" outlineLevel="4">
      <c r="A623" s="382"/>
      <c r="B623" s="386" t="s">
        <v>330</v>
      </c>
      <c r="C623" s="382" t="s">
        <v>80</v>
      </c>
      <c r="D623" s="382" t="s">
        <v>28</v>
      </c>
      <c r="E623" s="382" t="s">
        <v>29</v>
      </c>
      <c r="F623" s="440" t="s">
        <v>337</v>
      </c>
      <c r="G623" s="387">
        <v>0.12744</v>
      </c>
      <c r="H623" s="411" t="str">
        <f t="shared" ref="H623:K628" si="159">IF(M623=1,$G623,"")</f>
        <v/>
      </c>
      <c r="I623" s="411" t="str">
        <f t="shared" si="159"/>
        <v/>
      </c>
      <c r="J623" s="411">
        <f t="shared" si="159"/>
        <v>0.12744</v>
      </c>
      <c r="K623" s="411" t="str">
        <f t="shared" si="159"/>
        <v/>
      </c>
      <c r="L623" s="387">
        <f t="shared" ref="L623:L628" si="160">SUM(M623:P623)</f>
        <v>1</v>
      </c>
      <c r="M623" s="388"/>
      <c r="N623" s="388"/>
      <c r="O623" s="388">
        <v>1</v>
      </c>
      <c r="P623" s="388"/>
      <c r="Q623" s="382"/>
      <c r="R623" s="385" t="str">
        <f t="shared" ref="R623:R628" si="161">IF(SUM(M623:P623)=L623,"T","F")</f>
        <v>T</v>
      </c>
      <c r="S623" s="389"/>
      <c r="T623" s="389"/>
      <c r="U623" s="389"/>
      <c r="V623" s="389"/>
      <c r="W623" s="389"/>
      <c r="X623" s="389"/>
      <c r="Y623" s="389"/>
      <c r="Z623" s="389"/>
      <c r="AA623" s="389"/>
      <c r="AB623" s="389"/>
      <c r="AC623" s="389"/>
      <c r="AD623" s="389"/>
      <c r="AE623" s="389"/>
      <c r="AF623" s="389"/>
    </row>
    <row r="624" spans="1:32" outlineLevel="4">
      <c r="A624" s="382"/>
      <c r="B624" s="386" t="s">
        <v>330</v>
      </c>
      <c r="C624" s="382" t="s">
        <v>80</v>
      </c>
      <c r="D624" s="382" t="s">
        <v>28</v>
      </c>
      <c r="E624" s="382" t="s">
        <v>29</v>
      </c>
      <c r="F624" s="440" t="s">
        <v>339</v>
      </c>
      <c r="G624" s="387">
        <v>0.25488</v>
      </c>
      <c r="H624" s="411" t="str">
        <f t="shared" si="159"/>
        <v/>
      </c>
      <c r="I624" s="411" t="str">
        <f t="shared" si="159"/>
        <v/>
      </c>
      <c r="J624" s="411" t="str">
        <f t="shared" si="159"/>
        <v/>
      </c>
      <c r="K624" s="411">
        <f t="shared" si="159"/>
        <v>0.25488</v>
      </c>
      <c r="L624" s="387">
        <f t="shared" si="160"/>
        <v>1</v>
      </c>
      <c r="M624" s="388"/>
      <c r="N624" s="388"/>
      <c r="O624" s="388"/>
      <c r="P624" s="388">
        <v>1</v>
      </c>
      <c r="Q624" s="382"/>
      <c r="R624" s="385" t="str">
        <f t="shared" si="161"/>
        <v>T</v>
      </c>
      <c r="S624" s="389"/>
      <c r="T624" s="389"/>
      <c r="U624" s="389"/>
      <c r="V624" s="389"/>
      <c r="W624" s="389"/>
      <c r="X624" s="389"/>
      <c r="Y624" s="389"/>
      <c r="Z624" s="389"/>
      <c r="AA624" s="389"/>
      <c r="AB624" s="389"/>
      <c r="AC624" s="389"/>
      <c r="AD624" s="389"/>
      <c r="AE624" s="389"/>
      <c r="AF624" s="389"/>
    </row>
    <row r="625" spans="1:32" outlineLevel="4">
      <c r="A625" s="382"/>
      <c r="B625" s="386" t="s">
        <v>330</v>
      </c>
      <c r="C625" s="382" t="s">
        <v>80</v>
      </c>
      <c r="D625" s="382" t="s">
        <v>28</v>
      </c>
      <c r="E625" s="382" t="s">
        <v>29</v>
      </c>
      <c r="F625" s="440" t="s">
        <v>340</v>
      </c>
      <c r="G625" s="387">
        <v>3.1859999999999999E-2</v>
      </c>
      <c r="H625" s="411" t="str">
        <f t="shared" si="159"/>
        <v/>
      </c>
      <c r="I625" s="411" t="str">
        <f t="shared" si="159"/>
        <v/>
      </c>
      <c r="J625" s="411" t="str">
        <f t="shared" si="159"/>
        <v/>
      </c>
      <c r="K625" s="411">
        <f t="shared" si="159"/>
        <v>3.1859999999999999E-2</v>
      </c>
      <c r="L625" s="387">
        <f t="shared" si="160"/>
        <v>1</v>
      </c>
      <c r="M625" s="388"/>
      <c r="N625" s="388"/>
      <c r="O625" s="388"/>
      <c r="P625" s="388">
        <v>1</v>
      </c>
      <c r="Q625" s="382"/>
      <c r="R625" s="385" t="str">
        <f t="shared" si="161"/>
        <v>T</v>
      </c>
      <c r="S625" s="389"/>
      <c r="T625" s="389"/>
      <c r="U625" s="389"/>
      <c r="V625" s="389"/>
      <c r="W625" s="389"/>
      <c r="X625" s="389"/>
      <c r="Y625" s="389"/>
      <c r="Z625" s="389"/>
      <c r="AA625" s="389"/>
      <c r="AB625" s="389"/>
      <c r="AC625" s="389"/>
      <c r="AD625" s="389"/>
      <c r="AE625" s="389"/>
      <c r="AF625" s="389"/>
    </row>
    <row r="626" spans="1:32" ht="26.45" outlineLevel="4">
      <c r="A626" s="382"/>
      <c r="B626" s="386" t="s">
        <v>330</v>
      </c>
      <c r="C626" s="382" t="s">
        <v>80</v>
      </c>
      <c r="D626" s="382" t="s">
        <v>28</v>
      </c>
      <c r="E626" s="382" t="s">
        <v>29</v>
      </c>
      <c r="F626" s="440" t="s">
        <v>344</v>
      </c>
      <c r="G626" s="387">
        <v>0.22301999999999997</v>
      </c>
      <c r="H626" s="411" t="str">
        <f t="shared" si="159"/>
        <v/>
      </c>
      <c r="I626" s="411" t="str">
        <f t="shared" si="159"/>
        <v/>
      </c>
      <c r="J626" s="411">
        <f t="shared" si="159"/>
        <v>0.22301999999999997</v>
      </c>
      <c r="K626" s="411" t="str">
        <f t="shared" si="159"/>
        <v/>
      </c>
      <c r="L626" s="387">
        <f t="shared" si="160"/>
        <v>1</v>
      </c>
      <c r="M626" s="388"/>
      <c r="N626" s="388"/>
      <c r="O626" s="388">
        <v>1</v>
      </c>
      <c r="P626" s="388"/>
      <c r="Q626" s="382"/>
      <c r="R626" s="385" t="str">
        <f t="shared" si="161"/>
        <v>T</v>
      </c>
      <c r="S626" s="389"/>
      <c r="T626" s="389"/>
      <c r="U626" s="389"/>
      <c r="V626" s="389"/>
      <c r="W626" s="389"/>
      <c r="X626" s="389"/>
      <c r="Y626" s="389"/>
      <c r="Z626" s="389"/>
      <c r="AA626" s="389"/>
      <c r="AB626" s="389"/>
      <c r="AC626" s="389"/>
      <c r="AD626" s="389"/>
      <c r="AE626" s="389"/>
      <c r="AF626" s="389"/>
    </row>
    <row r="627" spans="1:32" outlineLevel="4">
      <c r="A627" s="382"/>
      <c r="B627" s="386" t="s">
        <v>330</v>
      </c>
      <c r="C627" s="382" t="s">
        <v>80</v>
      </c>
      <c r="D627" s="382" t="s">
        <v>28</v>
      </c>
      <c r="E627" s="382" t="s">
        <v>29</v>
      </c>
      <c r="F627" s="440" t="s">
        <v>345</v>
      </c>
      <c r="G627" s="387">
        <v>0.1593</v>
      </c>
      <c r="H627" s="411" t="str">
        <f t="shared" si="159"/>
        <v/>
      </c>
      <c r="I627" s="411" t="str">
        <f t="shared" si="159"/>
        <v/>
      </c>
      <c r="J627" s="411">
        <f t="shared" si="159"/>
        <v>0.1593</v>
      </c>
      <c r="K627" s="411" t="str">
        <f t="shared" si="159"/>
        <v/>
      </c>
      <c r="L627" s="387">
        <f t="shared" si="160"/>
        <v>1</v>
      </c>
      <c r="M627" s="388"/>
      <c r="N627" s="388"/>
      <c r="O627" s="388">
        <v>1</v>
      </c>
      <c r="P627" s="388"/>
      <c r="Q627" s="382"/>
      <c r="R627" s="385" t="str">
        <f t="shared" si="161"/>
        <v>T</v>
      </c>
      <c r="S627" s="389"/>
      <c r="T627" s="389"/>
      <c r="U627" s="389"/>
      <c r="V627" s="389"/>
      <c r="W627" s="389"/>
      <c r="X627" s="389"/>
      <c r="Y627" s="389"/>
      <c r="Z627" s="389"/>
      <c r="AA627" s="389"/>
      <c r="AB627" s="389"/>
      <c r="AC627" s="389"/>
      <c r="AD627" s="389"/>
      <c r="AE627" s="389"/>
      <c r="AF627" s="389"/>
    </row>
    <row r="628" spans="1:32" outlineLevel="4">
      <c r="A628" s="382"/>
      <c r="B628" s="386" t="s">
        <v>330</v>
      </c>
      <c r="C628" s="382" t="s">
        <v>80</v>
      </c>
      <c r="D628" s="382" t="s">
        <v>28</v>
      </c>
      <c r="E628" s="382" t="s">
        <v>29</v>
      </c>
      <c r="F628" s="440" t="s">
        <v>348</v>
      </c>
      <c r="G628" s="387">
        <v>3.1859999999999999E-2</v>
      </c>
      <c r="H628" s="411" t="str">
        <f t="shared" si="159"/>
        <v/>
      </c>
      <c r="I628" s="411" t="str">
        <f t="shared" si="159"/>
        <v/>
      </c>
      <c r="J628" s="411" t="str">
        <f t="shared" si="159"/>
        <v/>
      </c>
      <c r="K628" s="411">
        <f t="shared" si="159"/>
        <v>3.1859999999999999E-2</v>
      </c>
      <c r="L628" s="387">
        <f t="shared" si="160"/>
        <v>1</v>
      </c>
      <c r="M628" s="388"/>
      <c r="N628" s="388"/>
      <c r="O628" s="388"/>
      <c r="P628" s="388">
        <v>1</v>
      </c>
      <c r="Q628" s="382"/>
      <c r="R628" s="385" t="str">
        <f t="shared" si="161"/>
        <v>T</v>
      </c>
      <c r="S628" s="389"/>
      <c r="T628" s="389"/>
      <c r="U628" s="389"/>
      <c r="V628" s="389"/>
      <c r="W628" s="389"/>
      <c r="X628" s="389"/>
      <c r="Y628" s="389"/>
      <c r="Z628" s="389"/>
      <c r="AA628" s="389"/>
      <c r="AB628" s="389"/>
      <c r="AC628" s="389"/>
      <c r="AD628" s="389"/>
      <c r="AE628" s="389"/>
      <c r="AF628" s="389"/>
    </row>
    <row r="629" spans="1:32" outlineLevel="2" collapsed="1">
      <c r="A629" s="382"/>
      <c r="B629" s="386" t="s">
        <v>330</v>
      </c>
      <c r="C629" s="382" t="s">
        <v>80</v>
      </c>
      <c r="D629" s="382" t="s">
        <v>64</v>
      </c>
      <c r="E629" s="382"/>
      <c r="F629" s="440" t="s">
        <v>333</v>
      </c>
      <c r="G629" s="411">
        <f>SUM(G630:G633)</f>
        <v>0.28079042875000004</v>
      </c>
      <c r="H629" s="411">
        <f>SUM(H630:H637)</f>
        <v>7.1279999999999996E-2</v>
      </c>
      <c r="I629" s="411">
        <f>SUM(I630:I637)</f>
        <v>7.0000000000000007E-2</v>
      </c>
      <c r="J629" s="411">
        <f>SUM(J630:J637)</f>
        <v>0.1782</v>
      </c>
      <c r="K629" s="411">
        <f>SUM(K630:K637)</f>
        <v>0.29989042874999999</v>
      </c>
      <c r="L629" s="411">
        <f t="shared" si="146"/>
        <v>8</v>
      </c>
      <c r="M629" s="388">
        <f>SUM(M630:M637)</f>
        <v>2</v>
      </c>
      <c r="N629" s="388">
        <f>SUM(N630:N637)</f>
        <v>1</v>
      </c>
      <c r="O629" s="388">
        <f>SUM(O630:O637)</f>
        <v>2</v>
      </c>
      <c r="P629" s="388">
        <f>SUM(P630:P637)</f>
        <v>3</v>
      </c>
      <c r="Q629" s="382"/>
      <c r="R629" s="385" t="str">
        <f t="shared" si="147"/>
        <v>T</v>
      </c>
      <c r="S629" s="389"/>
      <c r="T629" s="389"/>
      <c r="U629" s="389"/>
      <c r="V629" s="389"/>
      <c r="W629" s="389"/>
      <c r="X629" s="389"/>
      <c r="Y629" s="389"/>
      <c r="Z629" s="389"/>
      <c r="AA629" s="389"/>
      <c r="AB629" s="389"/>
      <c r="AC629" s="389"/>
      <c r="AD629" s="389"/>
      <c r="AE629" s="389"/>
      <c r="AF629" s="389"/>
    </row>
    <row r="630" spans="1:32" hidden="1" outlineLevel="4">
      <c r="A630" s="382"/>
      <c r="B630" s="386" t="s">
        <v>330</v>
      </c>
      <c r="C630" s="382" t="s">
        <v>80</v>
      </c>
      <c r="D630" s="382" t="s">
        <v>64</v>
      </c>
      <c r="E630" s="382" t="s">
        <v>29</v>
      </c>
      <c r="F630" s="440" t="s">
        <v>32</v>
      </c>
      <c r="G630" s="387">
        <v>5.3460000000000001E-2</v>
      </c>
      <c r="H630" s="411">
        <f t="shared" ref="H630:K633" si="162">IF(M630=1,$G630,"")</f>
        <v>5.3460000000000001E-2</v>
      </c>
      <c r="I630" s="411" t="str">
        <f t="shared" si="162"/>
        <v/>
      </c>
      <c r="J630" s="411" t="str">
        <f t="shared" si="162"/>
        <v/>
      </c>
      <c r="K630" s="411" t="str">
        <f t="shared" si="162"/>
        <v/>
      </c>
      <c r="L630" s="387">
        <f t="shared" si="146"/>
        <v>1</v>
      </c>
      <c r="M630">
        <v>1</v>
      </c>
      <c r="N630"/>
      <c r="O630"/>
      <c r="P630"/>
      <c r="Q630" s="382"/>
      <c r="R630" s="385" t="str">
        <f t="shared" si="147"/>
        <v>T</v>
      </c>
      <c r="S630" s="389"/>
      <c r="T630" s="389"/>
      <c r="U630" s="389"/>
      <c r="V630" s="389"/>
      <c r="W630" s="389"/>
      <c r="X630" s="389"/>
      <c r="Y630" s="389"/>
      <c r="Z630" s="389"/>
      <c r="AA630" s="389"/>
      <c r="AB630" s="389"/>
      <c r="AC630" s="389"/>
      <c r="AD630" s="389"/>
      <c r="AE630" s="389"/>
      <c r="AF630" s="389"/>
    </row>
    <row r="631" spans="1:32" hidden="1" outlineLevel="4">
      <c r="A631" s="382"/>
      <c r="B631" s="386" t="s">
        <v>330</v>
      </c>
      <c r="C631" s="382" t="s">
        <v>80</v>
      </c>
      <c r="D631" s="382" t="s">
        <v>64</v>
      </c>
      <c r="E631" s="382" t="s">
        <v>29</v>
      </c>
      <c r="F631" s="440" t="s">
        <v>34</v>
      </c>
      <c r="G631" s="387">
        <v>7.0000000000000007E-2</v>
      </c>
      <c r="H631" s="411" t="str">
        <f t="shared" si="162"/>
        <v/>
      </c>
      <c r="I631" s="411">
        <f t="shared" si="162"/>
        <v>7.0000000000000007E-2</v>
      </c>
      <c r="J631" s="411" t="str">
        <f t="shared" si="162"/>
        <v/>
      </c>
      <c r="K631" s="411" t="str">
        <f t="shared" si="162"/>
        <v/>
      </c>
      <c r="L631" s="387">
        <f t="shared" si="146"/>
        <v>1</v>
      </c>
      <c r="M631"/>
      <c r="N631">
        <v>1</v>
      </c>
      <c r="O631"/>
      <c r="P631"/>
      <c r="Q631" s="382"/>
      <c r="R631" s="385" t="str">
        <f t="shared" si="147"/>
        <v>T</v>
      </c>
      <c r="S631" s="389"/>
      <c r="T631" s="389"/>
      <c r="U631" s="389"/>
      <c r="V631" s="389"/>
      <c r="W631" s="389"/>
      <c r="X631" s="389"/>
      <c r="Y631" s="389"/>
      <c r="Z631" s="389"/>
      <c r="AA631" s="389"/>
      <c r="AB631" s="389"/>
      <c r="AC631" s="389"/>
      <c r="AD631" s="389"/>
      <c r="AE631" s="389"/>
      <c r="AF631" s="389"/>
    </row>
    <row r="632" spans="1:32" hidden="1" outlineLevel="4">
      <c r="A632" s="382"/>
      <c r="B632" s="386" t="s">
        <v>330</v>
      </c>
      <c r="C632" s="382" t="s">
        <v>80</v>
      </c>
      <c r="D632" s="382" t="s">
        <v>64</v>
      </c>
      <c r="E632" s="382" t="s">
        <v>29</v>
      </c>
      <c r="F632" s="440" t="s">
        <v>33</v>
      </c>
      <c r="G632" s="387">
        <v>1.7819999999999999E-2</v>
      </c>
      <c r="H632" s="411">
        <f t="shared" si="162"/>
        <v>1.7819999999999999E-2</v>
      </c>
      <c r="I632" s="411" t="str">
        <f t="shared" si="162"/>
        <v/>
      </c>
      <c r="J632" s="411" t="str">
        <f t="shared" si="162"/>
        <v/>
      </c>
      <c r="K632" s="411" t="str">
        <f t="shared" si="162"/>
        <v/>
      </c>
      <c r="L632" s="387">
        <f t="shared" si="146"/>
        <v>1</v>
      </c>
      <c r="M632">
        <v>1</v>
      </c>
      <c r="N632"/>
      <c r="O632"/>
      <c r="P632"/>
      <c r="Q632" s="382"/>
      <c r="R632" s="385" t="str">
        <f t="shared" si="147"/>
        <v>T</v>
      </c>
      <c r="S632" s="389"/>
      <c r="T632" s="389"/>
      <c r="U632" s="389"/>
      <c r="V632" s="389"/>
      <c r="W632" s="389"/>
      <c r="X632" s="389"/>
      <c r="Y632" s="389"/>
      <c r="Z632" s="389"/>
      <c r="AA632" s="389"/>
      <c r="AB632" s="389"/>
      <c r="AC632" s="389"/>
      <c r="AD632" s="389"/>
      <c r="AE632" s="389"/>
      <c r="AF632" s="389"/>
    </row>
    <row r="633" spans="1:32" hidden="1" outlineLevel="4">
      <c r="A633" s="382"/>
      <c r="B633" s="386" t="s">
        <v>330</v>
      </c>
      <c r="C633" s="382" t="s">
        <v>80</v>
      </c>
      <c r="D633" s="382" t="s">
        <v>64</v>
      </c>
      <c r="E633" s="382" t="s">
        <v>29</v>
      </c>
      <c r="F633" s="440" t="s">
        <v>196</v>
      </c>
      <c r="G633" s="387">
        <v>0.13951042875</v>
      </c>
      <c r="H633" s="411" t="str">
        <f t="shared" si="162"/>
        <v/>
      </c>
      <c r="I633" s="411" t="str">
        <f t="shared" si="162"/>
        <v/>
      </c>
      <c r="J633" s="411" t="str">
        <f t="shared" si="162"/>
        <v/>
      </c>
      <c r="K633" s="411">
        <f t="shared" si="162"/>
        <v>0.13951042875</v>
      </c>
      <c r="L633" s="387">
        <f t="shared" si="146"/>
        <v>1</v>
      </c>
      <c r="M633"/>
      <c r="N633"/>
      <c r="O633"/>
      <c r="P633">
        <v>1</v>
      </c>
      <c r="Q633" s="382"/>
      <c r="R633" s="385" t="str">
        <f t="shared" si="147"/>
        <v>T</v>
      </c>
      <c r="S633" s="389"/>
      <c r="T633" s="389"/>
      <c r="U633" s="389"/>
      <c r="V633" s="389"/>
      <c r="W633" s="389"/>
      <c r="X633" s="389"/>
      <c r="Y633" s="389"/>
      <c r="Z633" s="389"/>
      <c r="AA633" s="389"/>
      <c r="AB633" s="389"/>
      <c r="AC633" s="389"/>
      <c r="AD633" s="389"/>
      <c r="AE633" s="389"/>
      <c r="AF633" s="389"/>
    </row>
    <row r="634" spans="1:32" hidden="1" outlineLevel="4">
      <c r="A634" s="382"/>
      <c r="B634" s="386" t="s">
        <v>330</v>
      </c>
      <c r="C634" s="382" t="s">
        <v>80</v>
      </c>
      <c r="D634" s="382" t="s">
        <v>64</v>
      </c>
      <c r="E634" s="382" t="s">
        <v>29</v>
      </c>
      <c r="F634" s="440" t="s">
        <v>337</v>
      </c>
      <c r="G634" s="387">
        <v>0.14255999999999999</v>
      </c>
      <c r="H634" s="411" t="str">
        <f t="shared" ref="H634:K637" si="163">IF(M634=1,$G634,"")</f>
        <v/>
      </c>
      <c r="I634" s="411" t="str">
        <f t="shared" si="163"/>
        <v/>
      </c>
      <c r="J634" s="411">
        <f t="shared" si="163"/>
        <v>0.14255999999999999</v>
      </c>
      <c r="K634" s="411" t="str">
        <f t="shared" si="163"/>
        <v/>
      </c>
      <c r="L634" s="387">
        <f>SUM(M634:P634)</f>
        <v>1</v>
      </c>
      <c r="M634"/>
      <c r="N634"/>
      <c r="O634">
        <v>1</v>
      </c>
      <c r="P634"/>
      <c r="Q634" s="382"/>
      <c r="R634" s="385" t="str">
        <f>IF(SUM(M634:P634)=L634,"T","F")</f>
        <v>T</v>
      </c>
      <c r="S634" s="389"/>
      <c r="T634" s="389"/>
      <c r="U634" s="389"/>
      <c r="V634" s="389"/>
      <c r="W634" s="389"/>
      <c r="X634" s="389"/>
      <c r="Y634" s="389"/>
      <c r="Z634" s="389"/>
      <c r="AA634" s="389"/>
      <c r="AB634" s="389"/>
      <c r="AC634" s="389"/>
      <c r="AD634" s="389"/>
      <c r="AE634" s="389"/>
      <c r="AF634" s="389"/>
    </row>
    <row r="635" spans="1:32" hidden="1" outlineLevel="4">
      <c r="A635" s="382"/>
      <c r="B635" s="386" t="s">
        <v>330</v>
      </c>
      <c r="C635" s="382" t="s">
        <v>80</v>
      </c>
      <c r="D635" s="382" t="s">
        <v>64</v>
      </c>
      <c r="E635" s="382" t="s">
        <v>29</v>
      </c>
      <c r="F635" s="440" t="s">
        <v>345</v>
      </c>
      <c r="G635" s="387">
        <v>3.5639999999999998E-2</v>
      </c>
      <c r="H635" s="411" t="str">
        <f t="shared" si="163"/>
        <v/>
      </c>
      <c r="I635" s="411" t="str">
        <f t="shared" si="163"/>
        <v/>
      </c>
      <c r="J635" s="411">
        <f t="shared" si="163"/>
        <v>3.5639999999999998E-2</v>
      </c>
      <c r="K635" s="411" t="str">
        <f t="shared" si="163"/>
        <v/>
      </c>
      <c r="L635" s="387">
        <f>SUM(M635:P635)</f>
        <v>1</v>
      </c>
      <c r="M635"/>
      <c r="N635"/>
      <c r="O635">
        <v>1</v>
      </c>
      <c r="P635"/>
      <c r="Q635" s="382"/>
      <c r="R635" s="385" t="str">
        <f>IF(SUM(M635:P635)=L635,"T","F")</f>
        <v>T</v>
      </c>
      <c r="S635" s="389"/>
      <c r="T635" s="389"/>
      <c r="U635" s="389"/>
      <c r="V635" s="389"/>
      <c r="W635" s="389"/>
      <c r="X635" s="389"/>
      <c r="Y635" s="389"/>
      <c r="Z635" s="389"/>
      <c r="AA635" s="389"/>
      <c r="AB635" s="389"/>
      <c r="AC635" s="389"/>
      <c r="AD635" s="389"/>
      <c r="AE635" s="389"/>
      <c r="AF635" s="389"/>
    </row>
    <row r="636" spans="1:32" ht="26.45" hidden="1" outlineLevel="4">
      <c r="A636" s="382"/>
      <c r="B636" s="386" t="s">
        <v>330</v>
      </c>
      <c r="C636" s="382" t="s">
        <v>80</v>
      </c>
      <c r="D636" s="382" t="s">
        <v>64</v>
      </c>
      <c r="E636" s="382" t="s">
        <v>29</v>
      </c>
      <c r="F636" s="440" t="s">
        <v>346</v>
      </c>
      <c r="G636" s="387">
        <v>7.1279999999999996E-2</v>
      </c>
      <c r="H636" s="411" t="str">
        <f t="shared" si="163"/>
        <v/>
      </c>
      <c r="I636" s="411" t="str">
        <f t="shared" si="163"/>
        <v/>
      </c>
      <c r="J636" s="411" t="str">
        <f t="shared" si="163"/>
        <v/>
      </c>
      <c r="K636" s="411">
        <f t="shared" si="163"/>
        <v>7.1279999999999996E-2</v>
      </c>
      <c r="L636" s="387">
        <f>SUM(M636:P636)</f>
        <v>1</v>
      </c>
      <c r="M636"/>
      <c r="N636"/>
      <c r="O636"/>
      <c r="P636">
        <v>1</v>
      </c>
      <c r="Q636" s="382"/>
      <c r="R636" s="385" t="str">
        <f>IF(SUM(M636:P636)=L636,"T","F")</f>
        <v>T</v>
      </c>
      <c r="S636" s="389"/>
      <c r="T636" s="389"/>
      <c r="U636" s="389"/>
      <c r="V636" s="389"/>
      <c r="W636" s="389"/>
      <c r="X636" s="389"/>
      <c r="Y636" s="389"/>
      <c r="Z636" s="389"/>
      <c r="AA636" s="389"/>
      <c r="AB636" s="389"/>
      <c r="AC636" s="389"/>
      <c r="AD636" s="389"/>
      <c r="AE636" s="389"/>
      <c r="AF636" s="389"/>
    </row>
    <row r="637" spans="1:32" ht="26.45" hidden="1" outlineLevel="4">
      <c r="A637" s="382"/>
      <c r="B637" s="386" t="s">
        <v>330</v>
      </c>
      <c r="C637" s="382" t="s">
        <v>80</v>
      </c>
      <c r="D637" s="382" t="s">
        <v>64</v>
      </c>
      <c r="E637" s="382" t="s">
        <v>29</v>
      </c>
      <c r="F637" s="440" t="s">
        <v>347</v>
      </c>
      <c r="G637" s="387">
        <v>8.9099999999999999E-2</v>
      </c>
      <c r="H637" s="411" t="str">
        <f t="shared" si="163"/>
        <v/>
      </c>
      <c r="I637" s="411" t="str">
        <f t="shared" si="163"/>
        <v/>
      </c>
      <c r="J637" s="411" t="str">
        <f t="shared" si="163"/>
        <v/>
      </c>
      <c r="K637" s="411">
        <f t="shared" si="163"/>
        <v>8.9099999999999999E-2</v>
      </c>
      <c r="L637" s="387">
        <f>SUM(M637:P637)</f>
        <v>1</v>
      </c>
      <c r="M637"/>
      <c r="N637"/>
      <c r="O637"/>
      <c r="P637">
        <v>1</v>
      </c>
      <c r="Q637" s="382"/>
      <c r="R637" s="385" t="str">
        <f>IF(SUM(M637:P637)=L637,"T","F")</f>
        <v>T</v>
      </c>
      <c r="S637" s="389"/>
      <c r="T637" s="389"/>
      <c r="U637" s="389"/>
      <c r="V637" s="389"/>
      <c r="W637" s="389"/>
      <c r="X637" s="389"/>
      <c r="Y637" s="389"/>
      <c r="Z637" s="389"/>
      <c r="AA637" s="389"/>
      <c r="AB637" s="389"/>
      <c r="AC637" s="389"/>
      <c r="AD637" s="389"/>
      <c r="AE637" s="389"/>
      <c r="AF637" s="389"/>
    </row>
    <row r="638" spans="1:32" ht="26.45" outlineLevel="1" collapsed="1">
      <c r="A638" s="382"/>
      <c r="B638" s="390" t="s">
        <v>349</v>
      </c>
      <c r="C638" s="390" t="s">
        <v>30</v>
      </c>
      <c r="D638" s="390"/>
      <c r="E638" s="390"/>
      <c r="F638" s="442" t="s">
        <v>350</v>
      </c>
      <c r="G638" s="424">
        <f>SUM(G639,G652,G660,G668)</f>
        <v>2.4114016960000009</v>
      </c>
      <c r="H638" s="424">
        <f>SUM(H639,H652,H660,H668)</f>
        <v>0.77324456000000008</v>
      </c>
      <c r="I638" s="424">
        <f>SUM(I639,I652,I660,I668)</f>
        <v>0.70202792000000014</v>
      </c>
      <c r="J638" s="424">
        <f>SUM(J639,J652,J660,J668)</f>
        <v>0.23012070400000006</v>
      </c>
      <c r="K638" s="424">
        <f>SUM(K639,K652,K660,K668)</f>
        <v>0.70600851200000003</v>
      </c>
      <c r="L638" s="424">
        <f t="shared" si="146"/>
        <v>31</v>
      </c>
      <c r="M638" s="408">
        <f>SUM(M639,M652,M660,M668)</f>
        <v>8</v>
      </c>
      <c r="N638" s="408">
        <f>SUM(N639,N652,N660,N668)</f>
        <v>9</v>
      </c>
      <c r="O638" s="408">
        <f>SUM(O639,O652,O660,O668)</f>
        <v>5</v>
      </c>
      <c r="P638" s="408">
        <f>SUM(P639,P652,P660,P668)</f>
        <v>9</v>
      </c>
      <c r="Q638" s="382"/>
      <c r="R638" s="385" t="str">
        <f t="shared" si="147"/>
        <v>T</v>
      </c>
      <c r="S638" s="389" t="s">
        <v>351</v>
      </c>
      <c r="T638" s="389"/>
      <c r="U638" s="389"/>
      <c r="V638" s="389"/>
      <c r="W638" s="389"/>
      <c r="X638" s="389"/>
      <c r="Y638" s="389"/>
      <c r="Z638" s="389"/>
      <c r="AA638" s="389"/>
      <c r="AB638" s="389"/>
      <c r="AC638" s="389"/>
      <c r="AD638" s="389"/>
      <c r="AE638" s="389"/>
      <c r="AF638" s="389"/>
    </row>
    <row r="639" spans="1:32" hidden="1" outlineLevel="2" collapsed="1">
      <c r="A639" s="382"/>
      <c r="B639" s="382" t="s">
        <v>349</v>
      </c>
      <c r="C639" s="386" t="s">
        <v>30</v>
      </c>
      <c r="D639" s="382" t="s">
        <v>18</v>
      </c>
      <c r="E639" s="386"/>
      <c r="F639" s="440" t="s">
        <v>352</v>
      </c>
      <c r="G639" s="411">
        <f>SUM(G640:G651)</f>
        <v>1.5874320000000004</v>
      </c>
      <c r="H639" s="411">
        <f>SUM(H640:H651)</f>
        <v>0.61820000000000008</v>
      </c>
      <c r="I639" s="411">
        <f>SUM(I640:I651)</f>
        <v>0.49456000000000011</v>
      </c>
      <c r="J639" s="411">
        <f>SUM(J640:J651)</f>
        <v>0.13358400000000004</v>
      </c>
      <c r="K639" s="411">
        <f>SUM(K640:K651)</f>
        <v>0.34108800000000006</v>
      </c>
      <c r="L639" s="411">
        <f t="shared" ref="L639:L670" si="164">SUM(M639:P639)</f>
        <v>12</v>
      </c>
      <c r="M639" s="409">
        <f>SUM(M640:M651)</f>
        <v>3</v>
      </c>
      <c r="N639" s="409">
        <f>SUM(N640:N651)</f>
        <v>3</v>
      </c>
      <c r="O639" s="409">
        <f>SUM(O640:O651)</f>
        <v>2</v>
      </c>
      <c r="P639" s="409">
        <f>SUM(P640:P651)</f>
        <v>4</v>
      </c>
      <c r="Q639" s="382"/>
      <c r="R639" s="385" t="str">
        <f t="shared" si="147"/>
        <v>T</v>
      </c>
      <c r="S639" s="389"/>
      <c r="T639" s="389"/>
      <c r="U639" s="389"/>
      <c r="V639" s="389"/>
      <c r="W639" s="389"/>
      <c r="X639" s="389"/>
      <c r="Y639" s="389"/>
      <c r="Z639" s="389"/>
      <c r="AA639" s="389"/>
      <c r="AB639" s="389"/>
      <c r="AC639" s="389"/>
      <c r="AD639" s="389"/>
      <c r="AE639" s="389"/>
      <c r="AF639" s="389"/>
    </row>
    <row r="640" spans="1:32" hidden="1" outlineLevel="3">
      <c r="A640" s="382"/>
      <c r="B640" s="382" t="s">
        <v>349</v>
      </c>
      <c r="C640" s="386" t="s">
        <v>30</v>
      </c>
      <c r="D640" s="382" t="s">
        <v>18</v>
      </c>
      <c r="E640" s="386" t="s">
        <v>72</v>
      </c>
      <c r="F640" s="440" t="s">
        <v>334</v>
      </c>
      <c r="G640" s="411">
        <v>0.24728000000000006</v>
      </c>
      <c r="H640" s="411">
        <f t="shared" ref="H640:H651" si="165">IF(M640=1,$G640,"")</f>
        <v>0.24728000000000006</v>
      </c>
      <c r="I640" s="411" t="str">
        <f t="shared" ref="I640:I651" si="166">IF(N640=1,$G640,"")</f>
        <v/>
      </c>
      <c r="J640" s="411" t="str">
        <f t="shared" ref="J640:J651" si="167">IF(O640=1,$G640,"")</f>
        <v/>
      </c>
      <c r="K640" s="411" t="str">
        <f t="shared" ref="K640:K651" si="168">IF(P640=1,$G640,"")</f>
        <v/>
      </c>
      <c r="L640" s="411">
        <f t="shared" si="164"/>
        <v>1</v>
      </c>
      <c r="M640" s="409">
        <v>1</v>
      </c>
      <c r="N640" s="409"/>
      <c r="O640" s="409"/>
      <c r="P640" s="409"/>
      <c r="Q640" s="382"/>
      <c r="R640" s="385" t="str">
        <f t="shared" si="147"/>
        <v>T</v>
      </c>
      <c r="S640" s="389"/>
      <c r="T640" s="389"/>
      <c r="U640" s="389"/>
      <c r="V640" s="389"/>
      <c r="W640" s="389"/>
      <c r="X640" s="389"/>
      <c r="Y640" s="389"/>
      <c r="Z640" s="389"/>
      <c r="AA640" s="389"/>
      <c r="AB640" s="389"/>
      <c r="AC640" s="389"/>
      <c r="AD640" s="389"/>
      <c r="AE640" s="389"/>
      <c r="AF640" s="389"/>
    </row>
    <row r="641" spans="1:32" hidden="1" outlineLevel="3">
      <c r="A641" s="382"/>
      <c r="B641" s="382" t="s">
        <v>349</v>
      </c>
      <c r="C641" s="386" t="s">
        <v>30</v>
      </c>
      <c r="D641" s="382" t="s">
        <v>18</v>
      </c>
      <c r="E641" s="386" t="s">
        <v>72</v>
      </c>
      <c r="F641" s="440" t="s">
        <v>32</v>
      </c>
      <c r="G641" s="411">
        <v>0.24728000000000006</v>
      </c>
      <c r="H641" s="411">
        <f t="shared" si="165"/>
        <v>0.24728000000000006</v>
      </c>
      <c r="I641" s="411" t="str">
        <f t="shared" si="166"/>
        <v/>
      </c>
      <c r="J641" s="411" t="str">
        <f t="shared" si="167"/>
        <v/>
      </c>
      <c r="K641" s="411" t="str">
        <f t="shared" si="168"/>
        <v/>
      </c>
      <c r="L641" s="411">
        <f t="shared" si="164"/>
        <v>1</v>
      </c>
      <c r="M641" s="409">
        <v>1</v>
      </c>
      <c r="N641" s="409"/>
      <c r="O641" s="409"/>
      <c r="P641" s="409"/>
      <c r="Q641" s="382"/>
      <c r="R641" s="385" t="str">
        <f t="shared" si="147"/>
        <v>T</v>
      </c>
      <c r="S641" s="389"/>
      <c r="T641" s="389"/>
      <c r="U641" s="389"/>
      <c r="V641" s="389"/>
      <c r="W641" s="389"/>
      <c r="X641" s="389"/>
      <c r="Y641" s="389"/>
      <c r="Z641" s="389"/>
      <c r="AA641" s="389"/>
      <c r="AB641" s="389"/>
      <c r="AC641" s="389"/>
      <c r="AD641" s="389"/>
      <c r="AE641" s="389"/>
      <c r="AF641" s="389"/>
    </row>
    <row r="642" spans="1:32" hidden="1" outlineLevel="3">
      <c r="A642" s="382"/>
      <c r="B642" s="382" t="s">
        <v>349</v>
      </c>
      <c r="C642" s="386" t="s">
        <v>30</v>
      </c>
      <c r="D642" s="382" t="s">
        <v>18</v>
      </c>
      <c r="E642" s="382" t="s">
        <v>72</v>
      </c>
      <c r="F642" s="440" t="s">
        <v>33</v>
      </c>
      <c r="G642" s="411">
        <v>0.12364000000000003</v>
      </c>
      <c r="H642" s="411">
        <f t="shared" si="165"/>
        <v>0.12364000000000003</v>
      </c>
      <c r="I642" s="411" t="str">
        <f t="shared" si="166"/>
        <v/>
      </c>
      <c r="J642" s="411" t="str">
        <f t="shared" si="167"/>
        <v/>
      </c>
      <c r="K642" s="411" t="str">
        <f t="shared" si="168"/>
        <v/>
      </c>
      <c r="L642" s="411">
        <f t="shared" si="164"/>
        <v>1</v>
      </c>
      <c r="M642" s="409">
        <v>1</v>
      </c>
      <c r="N642" s="409"/>
      <c r="O642" s="409"/>
      <c r="P642" s="409"/>
      <c r="Q642" s="382"/>
      <c r="R642" s="385" t="str">
        <f t="shared" si="147"/>
        <v>T</v>
      </c>
      <c r="S642" s="389"/>
      <c r="T642" s="389"/>
      <c r="U642" s="389"/>
      <c r="V642" s="389"/>
      <c r="W642" s="389"/>
      <c r="X642" s="389"/>
      <c r="Y642" s="389"/>
      <c r="Z642" s="389"/>
      <c r="AA642" s="389"/>
      <c r="AB642" s="389"/>
      <c r="AC642" s="389"/>
      <c r="AD642" s="389"/>
      <c r="AE642" s="389"/>
      <c r="AF642" s="389"/>
    </row>
    <row r="643" spans="1:32" hidden="1" outlineLevel="3">
      <c r="A643" s="382"/>
      <c r="B643" s="382" t="s">
        <v>349</v>
      </c>
      <c r="C643" s="386" t="s">
        <v>30</v>
      </c>
      <c r="D643" s="382" t="s">
        <v>18</v>
      </c>
      <c r="E643" s="382" t="s">
        <v>72</v>
      </c>
      <c r="F643" s="440" t="s">
        <v>353</v>
      </c>
      <c r="G643" s="411">
        <v>0.24728000000000006</v>
      </c>
      <c r="H643" s="411" t="str">
        <f t="shared" si="165"/>
        <v/>
      </c>
      <c r="I643" s="411">
        <f t="shared" si="166"/>
        <v>0.24728000000000006</v>
      </c>
      <c r="J643" s="411" t="str">
        <f t="shared" si="167"/>
        <v/>
      </c>
      <c r="K643" s="411" t="str">
        <f t="shared" si="168"/>
        <v/>
      </c>
      <c r="L643" s="411">
        <f t="shared" si="164"/>
        <v>1</v>
      </c>
      <c r="M643" s="409"/>
      <c r="N643" s="409">
        <v>1</v>
      </c>
      <c r="O643" s="409"/>
      <c r="P643" s="409"/>
      <c r="Q643" s="382"/>
      <c r="R643" s="385" t="str">
        <f t="shared" si="147"/>
        <v>T</v>
      </c>
      <c r="S643" s="389"/>
      <c r="T643" s="389"/>
      <c r="U643" s="389"/>
      <c r="V643" s="389"/>
      <c r="W643" s="389"/>
      <c r="X643" s="389"/>
      <c r="Y643" s="389"/>
      <c r="Z643" s="389"/>
      <c r="AA643" s="389"/>
      <c r="AB643" s="389"/>
      <c r="AC643" s="389"/>
      <c r="AD643" s="389"/>
      <c r="AE643" s="389"/>
      <c r="AF643" s="389"/>
    </row>
    <row r="644" spans="1:32" hidden="1" outlineLevel="3">
      <c r="A644" s="382"/>
      <c r="B644" s="382" t="s">
        <v>349</v>
      </c>
      <c r="C644" s="386" t="s">
        <v>30</v>
      </c>
      <c r="D644" s="382" t="s">
        <v>18</v>
      </c>
      <c r="E644" s="382" t="s">
        <v>72</v>
      </c>
      <c r="F644" s="440" t="s">
        <v>335</v>
      </c>
      <c r="G644" s="411">
        <v>0.12364000000000003</v>
      </c>
      <c r="H644" s="411" t="str">
        <f t="shared" si="165"/>
        <v/>
      </c>
      <c r="I644" s="411">
        <f t="shared" si="166"/>
        <v>0.12364000000000003</v>
      </c>
      <c r="J644" s="411" t="str">
        <f t="shared" si="167"/>
        <v/>
      </c>
      <c r="K644" s="411" t="str">
        <f t="shared" si="168"/>
        <v/>
      </c>
      <c r="L644" s="411">
        <f t="shared" si="164"/>
        <v>1</v>
      </c>
      <c r="M644" s="409"/>
      <c r="N644" s="409">
        <v>1</v>
      </c>
      <c r="O644" s="409"/>
      <c r="P644" s="409"/>
      <c r="Q644" s="382"/>
      <c r="R644" s="385" t="str">
        <f t="shared" si="147"/>
        <v>T</v>
      </c>
      <c r="S644" s="389"/>
      <c r="T644" s="389"/>
      <c r="U644" s="389"/>
      <c r="V644" s="389"/>
      <c r="W644" s="389"/>
      <c r="X644" s="389"/>
      <c r="Y644" s="389"/>
      <c r="Z644" s="389"/>
      <c r="AA644" s="389"/>
      <c r="AB644" s="389"/>
      <c r="AC644" s="389"/>
      <c r="AD644" s="389"/>
      <c r="AE644" s="389"/>
      <c r="AF644" s="389"/>
    </row>
    <row r="645" spans="1:32" hidden="1" outlineLevel="3">
      <c r="A645" s="382"/>
      <c r="B645" s="382" t="s">
        <v>349</v>
      </c>
      <c r="C645" s="386" t="s">
        <v>30</v>
      </c>
      <c r="D645" s="382" t="s">
        <v>18</v>
      </c>
      <c r="E645" s="382" t="s">
        <v>72</v>
      </c>
      <c r="F645" s="440" t="s">
        <v>354</v>
      </c>
      <c r="G645" s="411">
        <v>0.12364000000000003</v>
      </c>
      <c r="H645" s="411" t="str">
        <f t="shared" si="165"/>
        <v/>
      </c>
      <c r="I645" s="411">
        <f t="shared" si="166"/>
        <v>0.12364000000000003</v>
      </c>
      <c r="J645" s="411" t="str">
        <f t="shared" si="167"/>
        <v/>
      </c>
      <c r="K645" s="411" t="str">
        <f t="shared" si="168"/>
        <v/>
      </c>
      <c r="L645" s="411">
        <f t="shared" si="164"/>
        <v>1</v>
      </c>
      <c r="M645" s="409"/>
      <c r="N645" s="409">
        <v>1</v>
      </c>
      <c r="O645" s="409"/>
      <c r="P645" s="409"/>
      <c r="Q645" s="382"/>
      <c r="R645" s="385" t="str">
        <f t="shared" si="147"/>
        <v>T</v>
      </c>
      <c r="S645" s="389"/>
      <c r="T645" s="389"/>
      <c r="U645" s="389"/>
      <c r="V645" s="389"/>
      <c r="W645" s="389"/>
      <c r="X645" s="389"/>
      <c r="Y645" s="389"/>
      <c r="Z645" s="389"/>
      <c r="AA645" s="389"/>
      <c r="AB645" s="389"/>
      <c r="AC645" s="389"/>
      <c r="AD645" s="389"/>
      <c r="AE645" s="389"/>
      <c r="AF645" s="389"/>
    </row>
    <row r="646" spans="1:32" hidden="1" outlineLevel="3">
      <c r="A646" s="382"/>
      <c r="B646" s="382" t="s">
        <v>349</v>
      </c>
      <c r="C646" s="386" t="s">
        <v>30</v>
      </c>
      <c r="D646" s="382" t="s">
        <v>18</v>
      </c>
      <c r="E646" s="382" t="s">
        <v>72</v>
      </c>
      <c r="F646" s="440" t="s">
        <v>355</v>
      </c>
      <c r="G646" s="411">
        <v>8.9056000000000024E-2</v>
      </c>
      <c r="H646" s="411" t="str">
        <f t="shared" si="165"/>
        <v/>
      </c>
      <c r="I646" s="411" t="str">
        <f t="shared" si="166"/>
        <v/>
      </c>
      <c r="J646" s="411">
        <f t="shared" si="167"/>
        <v>8.9056000000000024E-2</v>
      </c>
      <c r="K646" s="411" t="str">
        <f t="shared" si="168"/>
        <v/>
      </c>
      <c r="L646" s="411">
        <f t="shared" si="164"/>
        <v>1</v>
      </c>
      <c r="M646" s="409"/>
      <c r="O646" s="409">
        <v>1</v>
      </c>
      <c r="P646" s="409"/>
      <c r="Q646" s="382"/>
      <c r="R646" s="385" t="str">
        <f t="shared" si="147"/>
        <v>T</v>
      </c>
      <c r="S646" s="389"/>
      <c r="T646" s="389"/>
      <c r="U646" s="389"/>
      <c r="V646" s="389"/>
      <c r="W646" s="389"/>
      <c r="X646" s="389"/>
      <c r="Y646" s="389"/>
      <c r="Z646" s="389"/>
      <c r="AA646" s="389"/>
      <c r="AB646" s="389"/>
      <c r="AC646" s="389"/>
      <c r="AD646" s="389"/>
      <c r="AE646" s="389"/>
      <c r="AF646" s="389"/>
    </row>
    <row r="647" spans="1:32" hidden="1" outlineLevel="3">
      <c r="A647" s="382"/>
      <c r="B647" s="382" t="s">
        <v>349</v>
      </c>
      <c r="C647" s="386" t="s">
        <v>30</v>
      </c>
      <c r="D647" s="382" t="s">
        <v>18</v>
      </c>
      <c r="E647" s="382" t="s">
        <v>72</v>
      </c>
      <c r="F647" s="440" t="s">
        <v>356</v>
      </c>
      <c r="G647" s="411">
        <v>4.4528000000000012E-2</v>
      </c>
      <c r="H647" s="411" t="str">
        <f t="shared" si="165"/>
        <v/>
      </c>
      <c r="I647" s="411" t="str">
        <f t="shared" si="166"/>
        <v/>
      </c>
      <c r="J647" s="411">
        <f t="shared" si="167"/>
        <v>4.4528000000000012E-2</v>
      </c>
      <c r="K647" s="411" t="str">
        <f t="shared" si="168"/>
        <v/>
      </c>
      <c r="L647" s="411">
        <f t="shared" si="164"/>
        <v>1</v>
      </c>
      <c r="M647" s="409"/>
      <c r="O647" s="409">
        <v>1</v>
      </c>
      <c r="P647" s="409"/>
      <c r="Q647" s="382"/>
      <c r="R647" s="385" t="str">
        <f t="shared" si="147"/>
        <v>T</v>
      </c>
      <c r="S647" s="389"/>
      <c r="T647" s="389"/>
      <c r="U647" s="389"/>
      <c r="V647" s="389"/>
      <c r="W647" s="389"/>
      <c r="X647" s="389"/>
      <c r="Y647" s="389"/>
      <c r="Z647" s="389"/>
      <c r="AA647" s="389"/>
      <c r="AB647" s="389"/>
      <c r="AC647" s="389"/>
      <c r="AD647" s="389"/>
      <c r="AE647" s="389"/>
      <c r="AF647" s="389"/>
    </row>
    <row r="648" spans="1:32" hidden="1" outlineLevel="3">
      <c r="A648" s="382"/>
      <c r="B648" s="382" t="s">
        <v>349</v>
      </c>
      <c r="C648" s="386" t="s">
        <v>30</v>
      </c>
      <c r="D648" s="382" t="s">
        <v>18</v>
      </c>
      <c r="E648" s="382" t="s">
        <v>72</v>
      </c>
      <c r="F648" s="440" t="s">
        <v>357</v>
      </c>
      <c r="G648" s="411">
        <v>8.9056000000000024E-2</v>
      </c>
      <c r="H648" s="411" t="str">
        <f t="shared" si="165"/>
        <v/>
      </c>
      <c r="I648" s="411" t="str">
        <f t="shared" si="166"/>
        <v/>
      </c>
      <c r="J648" s="411" t="str">
        <f t="shared" si="167"/>
        <v/>
      </c>
      <c r="K648" s="411">
        <f t="shared" si="168"/>
        <v>8.9056000000000024E-2</v>
      </c>
      <c r="L648" s="411">
        <f t="shared" si="164"/>
        <v>1</v>
      </c>
      <c r="M648" s="409"/>
      <c r="N648" s="409"/>
      <c r="P648" s="409">
        <v>1</v>
      </c>
      <c r="Q648" s="382"/>
      <c r="R648" s="385" t="str">
        <f t="shared" si="147"/>
        <v>T</v>
      </c>
      <c r="S648" s="389"/>
      <c r="T648" s="389"/>
      <c r="U648" s="389"/>
      <c r="V648" s="389"/>
      <c r="W648" s="389"/>
      <c r="X648" s="389"/>
      <c r="Y648" s="389"/>
      <c r="Z648" s="389"/>
      <c r="AA648" s="389"/>
      <c r="AB648" s="389"/>
      <c r="AC648" s="389"/>
      <c r="AD648" s="389"/>
      <c r="AE648" s="389"/>
      <c r="AF648" s="389"/>
    </row>
    <row r="649" spans="1:32" hidden="1" outlineLevel="3">
      <c r="A649" s="382"/>
      <c r="B649" s="382" t="s">
        <v>349</v>
      </c>
      <c r="C649" s="386" t="s">
        <v>30</v>
      </c>
      <c r="D649" s="382" t="s">
        <v>18</v>
      </c>
      <c r="E649" s="382" t="s">
        <v>72</v>
      </c>
      <c r="F649" s="440" t="s">
        <v>358</v>
      </c>
      <c r="G649" s="411">
        <v>0.17811200000000005</v>
      </c>
      <c r="H649" s="411" t="str">
        <f t="shared" si="165"/>
        <v/>
      </c>
      <c r="I649" s="411" t="str">
        <f t="shared" si="166"/>
        <v/>
      </c>
      <c r="J649" s="411" t="str">
        <f t="shared" si="167"/>
        <v/>
      </c>
      <c r="K649" s="411">
        <f t="shared" si="168"/>
        <v>0.17811200000000005</v>
      </c>
      <c r="L649" s="411">
        <f t="shared" si="164"/>
        <v>1</v>
      </c>
      <c r="M649" s="409"/>
      <c r="N649" s="409"/>
      <c r="P649" s="409">
        <v>1</v>
      </c>
      <c r="Q649" s="382"/>
      <c r="R649" s="385" t="str">
        <f t="shared" si="147"/>
        <v>T</v>
      </c>
      <c r="S649" s="389"/>
      <c r="T649" s="389"/>
      <c r="U649" s="389"/>
      <c r="V649" s="389"/>
      <c r="W649" s="389"/>
      <c r="X649" s="389"/>
      <c r="Y649" s="389"/>
      <c r="Z649" s="389"/>
      <c r="AA649" s="389"/>
      <c r="AB649" s="389"/>
      <c r="AC649" s="389"/>
      <c r="AD649" s="389"/>
      <c r="AE649" s="389"/>
      <c r="AF649" s="389"/>
    </row>
    <row r="650" spans="1:32" hidden="1" outlineLevel="3">
      <c r="A650" s="382"/>
      <c r="B650" s="382" t="s">
        <v>349</v>
      </c>
      <c r="C650" s="386" t="s">
        <v>30</v>
      </c>
      <c r="D650" s="382" t="s">
        <v>18</v>
      </c>
      <c r="E650" s="382" t="s">
        <v>72</v>
      </c>
      <c r="F650" s="440" t="s">
        <v>69</v>
      </c>
      <c r="G650" s="411">
        <v>3.6960000000000007E-2</v>
      </c>
      <c r="H650" s="411" t="str">
        <f t="shared" si="165"/>
        <v/>
      </c>
      <c r="I650" s="411" t="str">
        <f t="shared" si="166"/>
        <v/>
      </c>
      <c r="J650" s="411" t="str">
        <f t="shared" si="167"/>
        <v/>
      </c>
      <c r="K650" s="411">
        <f t="shared" si="168"/>
        <v>3.6960000000000007E-2</v>
      </c>
      <c r="L650" s="411">
        <f t="shared" si="164"/>
        <v>1</v>
      </c>
      <c r="M650" s="409"/>
      <c r="N650" s="409"/>
      <c r="P650" s="409">
        <v>1</v>
      </c>
      <c r="Q650" s="382"/>
      <c r="R650" s="385" t="str">
        <f t="shared" si="147"/>
        <v>T</v>
      </c>
      <c r="S650" s="389"/>
      <c r="T650" s="389"/>
      <c r="U650" s="389"/>
      <c r="V650" s="389"/>
      <c r="W650" s="389"/>
      <c r="X650" s="389"/>
      <c r="Y650" s="389"/>
      <c r="Z650" s="389"/>
      <c r="AA650" s="389"/>
      <c r="AB650" s="389"/>
      <c r="AC650" s="389"/>
      <c r="AD650" s="389"/>
      <c r="AE650" s="389"/>
      <c r="AF650" s="389"/>
    </row>
    <row r="651" spans="1:32" hidden="1" outlineLevel="3">
      <c r="A651" s="382"/>
      <c r="B651" s="382" t="s">
        <v>349</v>
      </c>
      <c r="C651" s="386" t="s">
        <v>30</v>
      </c>
      <c r="D651" s="382" t="s">
        <v>18</v>
      </c>
      <c r="E651" s="382" t="s">
        <v>72</v>
      </c>
      <c r="F651" s="440" t="s">
        <v>359</v>
      </c>
      <c r="G651" s="411">
        <v>3.6960000000000007E-2</v>
      </c>
      <c r="H651" s="411" t="str">
        <f t="shared" si="165"/>
        <v/>
      </c>
      <c r="I651" s="411" t="str">
        <f t="shared" si="166"/>
        <v/>
      </c>
      <c r="J651" s="411" t="str">
        <f t="shared" si="167"/>
        <v/>
      </c>
      <c r="K651" s="411">
        <f t="shared" si="168"/>
        <v>3.6960000000000007E-2</v>
      </c>
      <c r="L651" s="411">
        <f t="shared" si="164"/>
        <v>1</v>
      </c>
      <c r="M651" s="409"/>
      <c r="N651" s="409"/>
      <c r="O651" s="409"/>
      <c r="P651" s="409">
        <v>1</v>
      </c>
      <c r="Q651" s="382"/>
      <c r="R651" s="385" t="str">
        <f t="shared" si="147"/>
        <v>T</v>
      </c>
      <c r="S651" s="389"/>
      <c r="T651" s="389"/>
      <c r="U651" s="389"/>
      <c r="V651" s="389"/>
      <c r="W651" s="389"/>
      <c r="X651" s="389"/>
      <c r="Y651" s="389"/>
      <c r="Z651" s="389"/>
      <c r="AA651" s="389"/>
      <c r="AB651" s="389"/>
      <c r="AC651" s="389"/>
      <c r="AD651" s="389"/>
      <c r="AE651" s="389"/>
      <c r="AF651" s="389"/>
    </row>
    <row r="652" spans="1:32" hidden="1" outlineLevel="2" collapsed="1">
      <c r="A652" s="382"/>
      <c r="B652" s="382" t="s">
        <v>349</v>
      </c>
      <c r="C652" s="386" t="s">
        <v>30</v>
      </c>
      <c r="D652" s="382" t="s">
        <v>26</v>
      </c>
      <c r="E652" s="382"/>
      <c r="F652" s="440" t="s">
        <v>360</v>
      </c>
      <c r="G652" s="411">
        <f>SUM(G653:G659)</f>
        <v>0.48445900800000014</v>
      </c>
      <c r="H652" s="411">
        <f>SUM(H653:H659)</f>
        <v>7.8635040000000003E-2</v>
      </c>
      <c r="I652" s="411">
        <f>SUM(I653:I659)</f>
        <v>0.13105840000000002</v>
      </c>
      <c r="J652" s="411">
        <f>SUM(J653:J659)</f>
        <v>7.5519488000000023E-2</v>
      </c>
      <c r="K652" s="411">
        <f>SUM(K653:K659)</f>
        <v>0.19924608000000005</v>
      </c>
      <c r="L652" s="411">
        <f t="shared" si="164"/>
        <v>7</v>
      </c>
      <c r="M652" s="409">
        <f>SUM(M653:M659)</f>
        <v>1</v>
      </c>
      <c r="N652" s="409">
        <f>SUM(N653:N659)</f>
        <v>2</v>
      </c>
      <c r="O652" s="409">
        <f>SUM(O653:O659)</f>
        <v>2</v>
      </c>
      <c r="P652" s="409">
        <f>SUM(P653:P659)</f>
        <v>2</v>
      </c>
      <c r="Q652" s="382"/>
      <c r="R652" s="385" t="str">
        <f t="shared" si="147"/>
        <v>T</v>
      </c>
      <c r="S652" s="389"/>
      <c r="T652" s="389"/>
      <c r="U652" s="389"/>
      <c r="V652" s="389"/>
      <c r="W652" s="389"/>
      <c r="X652" s="389"/>
      <c r="Y652" s="389"/>
      <c r="Z652" s="389"/>
      <c r="AA652" s="389"/>
      <c r="AB652" s="389"/>
      <c r="AC652" s="389"/>
      <c r="AD652" s="389"/>
      <c r="AE652" s="389"/>
      <c r="AF652" s="389"/>
    </row>
    <row r="653" spans="1:32" hidden="1" outlineLevel="3">
      <c r="A653" s="382"/>
      <c r="B653" s="382" t="s">
        <v>349</v>
      </c>
      <c r="C653" s="386" t="s">
        <v>30</v>
      </c>
      <c r="D653" s="382" t="s">
        <v>26</v>
      </c>
      <c r="E653" s="382" t="s">
        <v>27</v>
      </c>
      <c r="F653" s="440" t="s">
        <v>32</v>
      </c>
      <c r="G653" s="411">
        <v>7.8635040000000003E-2</v>
      </c>
      <c r="H653" s="411">
        <f t="shared" ref="H653:K659" si="169">IF(M653=1,$G653,"")</f>
        <v>7.8635040000000003E-2</v>
      </c>
      <c r="I653" s="411" t="str">
        <f t="shared" si="169"/>
        <v/>
      </c>
      <c r="J653" s="411" t="str">
        <f t="shared" si="169"/>
        <v/>
      </c>
      <c r="K653" s="411" t="str">
        <f t="shared" si="169"/>
        <v/>
      </c>
      <c r="L653" s="411">
        <f t="shared" si="164"/>
        <v>1</v>
      </c>
      <c r="M653" s="409">
        <v>1</v>
      </c>
      <c r="N653" s="409"/>
      <c r="O653" s="409"/>
      <c r="P653" s="409"/>
      <c r="Q653" s="382"/>
      <c r="R653" s="385" t="str">
        <f t="shared" si="147"/>
        <v>T</v>
      </c>
      <c r="S653" s="389"/>
      <c r="T653" s="389"/>
      <c r="U653" s="389"/>
      <c r="V653" s="389"/>
      <c r="W653" s="389"/>
      <c r="X653" s="389"/>
      <c r="Y653" s="389"/>
      <c r="Z653" s="389"/>
      <c r="AA653" s="389"/>
      <c r="AB653" s="389"/>
      <c r="AC653" s="389"/>
      <c r="AD653" s="389"/>
      <c r="AE653" s="389"/>
      <c r="AF653" s="389"/>
    </row>
    <row r="654" spans="1:32" hidden="1" outlineLevel="3">
      <c r="A654" s="382"/>
      <c r="B654" s="382" t="s">
        <v>349</v>
      </c>
      <c r="C654" s="386" t="s">
        <v>30</v>
      </c>
      <c r="D654" s="382" t="s">
        <v>26</v>
      </c>
      <c r="E654" s="382" t="s">
        <v>27</v>
      </c>
      <c r="F654" s="440" t="s">
        <v>353</v>
      </c>
      <c r="G654" s="411">
        <v>0.10484672000000002</v>
      </c>
      <c r="H654" s="411" t="str">
        <f t="shared" si="169"/>
        <v/>
      </c>
      <c r="I654" s="411">
        <f t="shared" si="169"/>
        <v>0.10484672000000002</v>
      </c>
      <c r="J654" s="411" t="str">
        <f t="shared" si="169"/>
        <v/>
      </c>
      <c r="K654" s="411" t="str">
        <f t="shared" si="169"/>
        <v/>
      </c>
      <c r="L654" s="411">
        <f t="shared" si="164"/>
        <v>1</v>
      </c>
      <c r="N654" s="409">
        <v>1</v>
      </c>
      <c r="O654" s="409"/>
      <c r="P654" s="409"/>
      <c r="Q654" s="382"/>
      <c r="R654" s="385" t="str">
        <f>IF(SUM(N654:P654)=L654,"T","F")</f>
        <v>T</v>
      </c>
      <c r="S654" s="389"/>
      <c r="T654" s="389"/>
      <c r="U654" s="389"/>
      <c r="V654" s="389"/>
      <c r="W654" s="389"/>
      <c r="X654" s="389"/>
      <c r="Y654" s="389"/>
      <c r="Z654" s="389"/>
      <c r="AA654" s="389"/>
      <c r="AB654" s="389"/>
      <c r="AC654" s="389"/>
      <c r="AD654" s="389"/>
      <c r="AE654" s="389"/>
      <c r="AF654" s="389"/>
    </row>
    <row r="655" spans="1:32" hidden="1" outlineLevel="3">
      <c r="A655" s="382"/>
      <c r="B655" s="382" t="s">
        <v>349</v>
      </c>
      <c r="C655" s="386" t="s">
        <v>30</v>
      </c>
      <c r="D655" s="382" t="s">
        <v>26</v>
      </c>
      <c r="E655" s="382" t="s">
        <v>27</v>
      </c>
      <c r="F655" s="440" t="s">
        <v>354</v>
      </c>
      <c r="G655" s="411">
        <v>2.6211680000000005E-2</v>
      </c>
      <c r="H655" s="411" t="str">
        <f t="shared" si="169"/>
        <v/>
      </c>
      <c r="I655" s="411">
        <f t="shared" si="169"/>
        <v>2.6211680000000005E-2</v>
      </c>
      <c r="J655" s="411" t="str">
        <f t="shared" si="169"/>
        <v/>
      </c>
      <c r="K655" s="411" t="str">
        <f t="shared" si="169"/>
        <v/>
      </c>
      <c r="L655" s="411">
        <f t="shared" si="164"/>
        <v>1</v>
      </c>
      <c r="M655" s="409"/>
      <c r="N655" s="409">
        <v>1</v>
      </c>
      <c r="O655" s="409"/>
      <c r="P655" s="409"/>
      <c r="Q655" s="382"/>
      <c r="R655" s="385" t="str">
        <f>IF(SUM(M655:P655)=L655,"T","F")</f>
        <v>T</v>
      </c>
      <c r="S655" s="389"/>
      <c r="T655" s="389"/>
      <c r="U655" s="389"/>
      <c r="V655" s="389"/>
      <c r="W655" s="389"/>
      <c r="X655" s="389"/>
      <c r="Y655" s="389"/>
      <c r="Z655" s="389"/>
      <c r="AA655" s="389"/>
      <c r="AB655" s="389"/>
      <c r="AC655" s="389"/>
      <c r="AD655" s="389"/>
      <c r="AE655" s="389"/>
      <c r="AF655" s="389"/>
    </row>
    <row r="656" spans="1:32" hidden="1" outlineLevel="3">
      <c r="A656" s="382"/>
      <c r="B656" s="382" t="s">
        <v>349</v>
      </c>
      <c r="C656" s="386" t="s">
        <v>30</v>
      </c>
      <c r="D656" s="382" t="s">
        <v>26</v>
      </c>
      <c r="E656" s="382" t="s">
        <v>27</v>
      </c>
      <c r="F656" s="440" t="s">
        <v>355</v>
      </c>
      <c r="G656" s="411">
        <v>3.7759744000000012E-2</v>
      </c>
      <c r="H656" s="411" t="str">
        <f t="shared" si="169"/>
        <v/>
      </c>
      <c r="I656" s="411" t="str">
        <f t="shared" si="169"/>
        <v/>
      </c>
      <c r="J656" s="411">
        <f t="shared" si="169"/>
        <v>3.7759744000000012E-2</v>
      </c>
      <c r="K656" s="411" t="str">
        <f t="shared" si="169"/>
        <v/>
      </c>
      <c r="L656" s="411">
        <f t="shared" si="164"/>
        <v>1</v>
      </c>
      <c r="M656" s="409"/>
      <c r="O656" s="409">
        <v>1</v>
      </c>
      <c r="P656" s="409"/>
      <c r="Q656" s="382"/>
      <c r="R656" s="385" t="str">
        <f>IF(SUM(M656:P656)=L656,"T","F")</f>
        <v>T</v>
      </c>
      <c r="S656" s="389"/>
      <c r="T656" s="389"/>
      <c r="U656" s="389"/>
      <c r="V656" s="389"/>
      <c r="W656" s="389"/>
      <c r="X656" s="389"/>
      <c r="Y656" s="389"/>
      <c r="Z656" s="389"/>
      <c r="AA656" s="389"/>
      <c r="AB656" s="389"/>
      <c r="AC656" s="389"/>
      <c r="AD656" s="389"/>
      <c r="AE656" s="389"/>
      <c r="AF656" s="389"/>
    </row>
    <row r="657" spans="1:32" hidden="1" outlineLevel="3">
      <c r="A657" s="382"/>
      <c r="B657" s="382" t="s">
        <v>349</v>
      </c>
      <c r="C657" s="386" t="s">
        <v>30</v>
      </c>
      <c r="D657" s="382" t="s">
        <v>26</v>
      </c>
      <c r="E657" s="382" t="s">
        <v>27</v>
      </c>
      <c r="F657" s="440" t="s">
        <v>356</v>
      </c>
      <c r="G657" s="411">
        <v>3.7759744000000012E-2</v>
      </c>
      <c r="H657" s="411" t="str">
        <f t="shared" si="169"/>
        <v/>
      </c>
      <c r="I657" s="411" t="str">
        <f t="shared" si="169"/>
        <v/>
      </c>
      <c r="J657" s="411">
        <f t="shared" si="169"/>
        <v>3.7759744000000012E-2</v>
      </c>
      <c r="K657" s="411" t="str">
        <f t="shared" si="169"/>
        <v/>
      </c>
      <c r="L657" s="411">
        <f t="shared" si="164"/>
        <v>1</v>
      </c>
      <c r="O657" s="409">
        <v>1</v>
      </c>
      <c r="P657" s="409"/>
      <c r="Q657" s="382"/>
      <c r="R657" s="385" t="str">
        <f>IF(SUM(O657:P657)=L657,"T","F")</f>
        <v>T</v>
      </c>
      <c r="S657" s="389"/>
      <c r="T657" s="389"/>
      <c r="U657" s="389"/>
      <c r="V657" s="389"/>
      <c r="W657" s="389"/>
      <c r="X657" s="389"/>
      <c r="Y657" s="389"/>
      <c r="Z657" s="389"/>
      <c r="AA657" s="389"/>
      <c r="AB657" s="389"/>
      <c r="AC657" s="389"/>
      <c r="AD657" s="389"/>
      <c r="AE657" s="389"/>
      <c r="AF657" s="389"/>
    </row>
    <row r="658" spans="1:32" hidden="1" outlineLevel="3">
      <c r="A658" s="382"/>
      <c r="B658" s="382" t="s">
        <v>349</v>
      </c>
      <c r="C658" s="386" t="s">
        <v>30</v>
      </c>
      <c r="D658" s="382" t="s">
        <v>26</v>
      </c>
      <c r="E658" s="382" t="s">
        <v>27</v>
      </c>
      <c r="F658" s="440" t="s">
        <v>358</v>
      </c>
      <c r="G658" s="411">
        <v>9.4399360000000015E-2</v>
      </c>
      <c r="H658" s="411" t="str">
        <f t="shared" si="169"/>
        <v/>
      </c>
      <c r="I658" s="411" t="str">
        <f t="shared" si="169"/>
        <v/>
      </c>
      <c r="J658" s="411" t="str">
        <f t="shared" si="169"/>
        <v/>
      </c>
      <c r="K658" s="411">
        <f t="shared" si="169"/>
        <v>9.4399360000000015E-2</v>
      </c>
      <c r="L658" s="411">
        <f t="shared" si="164"/>
        <v>1</v>
      </c>
      <c r="N658" s="409"/>
      <c r="O658" s="409"/>
      <c r="P658" s="409">
        <v>1</v>
      </c>
      <c r="Q658" s="382"/>
      <c r="R658" s="385" t="str">
        <f>IF(SUM(N658:P658)=L658,"T","F")</f>
        <v>T</v>
      </c>
      <c r="S658" s="389"/>
      <c r="T658" s="389"/>
      <c r="U658" s="389"/>
      <c r="V658" s="389"/>
      <c r="W658" s="389"/>
      <c r="X658" s="389"/>
      <c r="Y658" s="389"/>
      <c r="Z658" s="389"/>
      <c r="AA658" s="389"/>
      <c r="AB658" s="389"/>
      <c r="AC658" s="389"/>
      <c r="AD658" s="389"/>
      <c r="AE658" s="389"/>
      <c r="AF658" s="389"/>
    </row>
    <row r="659" spans="1:32" hidden="1" outlineLevel="3">
      <c r="A659" s="382"/>
      <c r="B659" s="382" t="s">
        <v>349</v>
      </c>
      <c r="C659" s="386" t="s">
        <v>30</v>
      </c>
      <c r="D659" s="382" t="s">
        <v>26</v>
      </c>
      <c r="E659" s="382" t="s">
        <v>27</v>
      </c>
      <c r="F659" s="440" t="s">
        <v>359</v>
      </c>
      <c r="G659" s="411">
        <v>0.10484672000000002</v>
      </c>
      <c r="H659" s="411" t="str">
        <f t="shared" si="169"/>
        <v/>
      </c>
      <c r="I659" s="411" t="str">
        <f t="shared" si="169"/>
        <v/>
      </c>
      <c r="J659" s="411" t="str">
        <f t="shared" si="169"/>
        <v/>
      </c>
      <c r="K659" s="411">
        <f t="shared" si="169"/>
        <v>0.10484672000000002</v>
      </c>
      <c r="L659" s="411">
        <f t="shared" si="164"/>
        <v>1</v>
      </c>
      <c r="N659" s="409"/>
      <c r="O659" s="409"/>
      <c r="P659" s="409">
        <v>1</v>
      </c>
      <c r="Q659" s="382"/>
      <c r="R659" s="385" t="str">
        <f>IF(SUM(N659:P659)=L659,"T","F")</f>
        <v>T</v>
      </c>
      <c r="S659" s="389"/>
      <c r="T659" s="389"/>
      <c r="U659" s="389"/>
      <c r="V659" s="389"/>
      <c r="W659" s="389"/>
      <c r="X659" s="389"/>
      <c r="Y659" s="389"/>
      <c r="Z659" s="389"/>
      <c r="AA659" s="389"/>
      <c r="AB659" s="389"/>
      <c r="AC659" s="389"/>
      <c r="AD659" s="389"/>
      <c r="AE659" s="389"/>
      <c r="AF659" s="389"/>
    </row>
    <row r="660" spans="1:32" hidden="1" outlineLevel="2" collapsed="1">
      <c r="A660" s="382"/>
      <c r="B660" s="382" t="s">
        <v>349</v>
      </c>
      <c r="C660" s="386" t="s">
        <v>30</v>
      </c>
      <c r="D660" s="382" t="s">
        <v>28</v>
      </c>
      <c r="E660" s="382"/>
      <c r="F660" s="440" t="s">
        <v>361</v>
      </c>
      <c r="G660" s="387">
        <f>SUM(G661:G667)</f>
        <v>0.20894684800000002</v>
      </c>
      <c r="H660" s="387">
        <f>SUM(H661:H667)</f>
        <v>4.3768560000000005E-2</v>
      </c>
      <c r="I660" s="387">
        <f>SUM(I661:I667)</f>
        <v>4.3768560000000005E-2</v>
      </c>
      <c r="J660" s="387">
        <f>SUM(J661:J667)</f>
        <v>2.1017216000000005E-2</v>
      </c>
      <c r="K660" s="387">
        <f>SUM(K661:K667)</f>
        <v>0.10039251200000002</v>
      </c>
      <c r="L660" s="387">
        <f t="shared" si="164"/>
        <v>7</v>
      </c>
      <c r="M660" s="388">
        <f>SUM(M661:M667)</f>
        <v>2</v>
      </c>
      <c r="N660" s="388">
        <f>SUM(N661:N667)</f>
        <v>2</v>
      </c>
      <c r="O660" s="388">
        <f>SUM(O661:O667)</f>
        <v>1</v>
      </c>
      <c r="P660" s="388">
        <f>SUM(P661:P667)</f>
        <v>2</v>
      </c>
      <c r="Q660" s="382"/>
      <c r="R660" s="385" t="str">
        <f t="shared" ref="R660:R691" si="170">IF(SUM(M660:P660)=L660,"T","F")</f>
        <v>T</v>
      </c>
      <c r="S660" s="389"/>
      <c r="T660" s="389"/>
      <c r="U660" s="389"/>
      <c r="V660" s="389"/>
      <c r="W660" s="389"/>
      <c r="X660" s="389"/>
      <c r="Y660" s="389"/>
      <c r="Z660" s="389"/>
      <c r="AA660" s="389"/>
      <c r="AB660" s="389"/>
      <c r="AC660" s="389"/>
      <c r="AD660" s="389"/>
      <c r="AE660" s="389"/>
      <c r="AF660" s="389"/>
    </row>
    <row r="661" spans="1:32" hidden="1" outlineLevel="3" collapsed="1">
      <c r="A661" s="382"/>
      <c r="B661" s="382" t="s">
        <v>349</v>
      </c>
      <c r="C661" s="386" t="s">
        <v>30</v>
      </c>
      <c r="D661" s="382" t="s">
        <v>28</v>
      </c>
      <c r="E661" s="382" t="s">
        <v>29</v>
      </c>
      <c r="F661" s="440" t="s">
        <v>32</v>
      </c>
      <c r="G661" s="411">
        <v>2.9179040000000003E-2</v>
      </c>
      <c r="H661" s="411">
        <f t="shared" ref="H661:K667" si="171">IF(M661=1,$G661,"")</f>
        <v>2.9179040000000003E-2</v>
      </c>
      <c r="I661" s="411" t="str">
        <f t="shared" si="171"/>
        <v/>
      </c>
      <c r="J661" s="411" t="str">
        <f t="shared" si="171"/>
        <v/>
      </c>
      <c r="K661" s="411" t="str">
        <f t="shared" si="171"/>
        <v/>
      </c>
      <c r="L661" s="411">
        <f t="shared" si="164"/>
        <v>1</v>
      </c>
      <c r="M661" s="409">
        <v>1</v>
      </c>
      <c r="N661" s="409"/>
      <c r="O661" s="409"/>
      <c r="P661" s="409"/>
      <c r="Q661" s="382"/>
      <c r="R661" s="385" t="str">
        <f t="shared" si="170"/>
        <v>T</v>
      </c>
      <c r="S661" s="389"/>
      <c r="T661" s="389"/>
      <c r="U661" s="389"/>
      <c r="V661" s="389"/>
      <c r="W661" s="389"/>
      <c r="X661" s="389"/>
      <c r="Y661" s="389"/>
      <c r="Z661" s="389"/>
      <c r="AA661" s="389"/>
      <c r="AB661" s="389"/>
      <c r="AC661" s="389"/>
      <c r="AD661" s="389"/>
      <c r="AE661" s="389"/>
      <c r="AF661" s="389"/>
    </row>
    <row r="662" spans="1:32" hidden="1" outlineLevel="3">
      <c r="A662" s="382"/>
      <c r="B662" s="382" t="s">
        <v>349</v>
      </c>
      <c r="C662" s="386" t="s">
        <v>30</v>
      </c>
      <c r="D662" s="382" t="s">
        <v>28</v>
      </c>
      <c r="E662" s="382" t="s">
        <v>29</v>
      </c>
      <c r="F662" s="440" t="s">
        <v>33</v>
      </c>
      <c r="G662" s="387">
        <v>1.4589520000000002E-2</v>
      </c>
      <c r="H662" s="411">
        <f t="shared" si="171"/>
        <v>1.4589520000000002E-2</v>
      </c>
      <c r="I662" s="411" t="str">
        <f t="shared" si="171"/>
        <v/>
      </c>
      <c r="J662" s="411" t="str">
        <f t="shared" si="171"/>
        <v/>
      </c>
      <c r="K662" s="411" t="str">
        <f t="shared" si="171"/>
        <v/>
      </c>
      <c r="L662" s="387">
        <f t="shared" si="164"/>
        <v>1</v>
      </c>
      <c r="M662" s="388">
        <v>1</v>
      </c>
      <c r="N662" s="388"/>
      <c r="O662" s="388"/>
      <c r="P662" s="388"/>
      <c r="Q662" s="382"/>
      <c r="R662" s="385" t="str">
        <f t="shared" si="170"/>
        <v>T</v>
      </c>
      <c r="S662" s="389"/>
      <c r="T662" s="389"/>
      <c r="U662" s="389"/>
      <c r="V662" s="389"/>
      <c r="W662" s="389"/>
      <c r="X662" s="389"/>
      <c r="Y662" s="389"/>
      <c r="Z662" s="389"/>
      <c r="AA662" s="389"/>
      <c r="AB662" s="389"/>
      <c r="AC662" s="389"/>
      <c r="AD662" s="389"/>
      <c r="AE662" s="389"/>
      <c r="AF662" s="389"/>
    </row>
    <row r="663" spans="1:32" hidden="1" outlineLevel="3">
      <c r="A663" s="382"/>
      <c r="B663" s="382" t="s">
        <v>349</v>
      </c>
      <c r="C663" s="386" t="s">
        <v>30</v>
      </c>
      <c r="D663" s="382" t="s">
        <v>28</v>
      </c>
      <c r="E663" s="382" t="s">
        <v>29</v>
      </c>
      <c r="F663" s="440" t="s">
        <v>353</v>
      </c>
      <c r="G663" s="387">
        <v>2.9179040000000003E-2</v>
      </c>
      <c r="H663" s="411" t="str">
        <f t="shared" si="171"/>
        <v/>
      </c>
      <c r="I663" s="411">
        <f t="shared" si="171"/>
        <v>2.9179040000000003E-2</v>
      </c>
      <c r="J663" s="411" t="str">
        <f t="shared" si="171"/>
        <v/>
      </c>
      <c r="K663" s="411" t="str">
        <f t="shared" si="171"/>
        <v/>
      </c>
      <c r="L663" s="387">
        <f t="shared" si="164"/>
        <v>1</v>
      </c>
      <c r="M663" s="388"/>
      <c r="N663" s="388">
        <v>1</v>
      </c>
      <c r="O663" s="388"/>
      <c r="P663" s="388"/>
      <c r="Q663" s="382"/>
      <c r="R663" s="385" t="str">
        <f t="shared" si="170"/>
        <v>T</v>
      </c>
      <c r="S663" s="389"/>
      <c r="T663" s="389"/>
      <c r="U663" s="389"/>
      <c r="V663" s="389"/>
      <c r="W663" s="389"/>
      <c r="X663" s="389"/>
      <c r="Y663" s="389"/>
      <c r="Z663" s="389"/>
      <c r="AA663" s="389"/>
      <c r="AB663" s="389"/>
      <c r="AC663" s="389"/>
      <c r="AD663" s="389"/>
      <c r="AE663" s="389"/>
      <c r="AF663" s="389"/>
    </row>
    <row r="664" spans="1:32" hidden="1" outlineLevel="3" collapsed="1">
      <c r="A664" s="382"/>
      <c r="B664" s="382" t="s">
        <v>349</v>
      </c>
      <c r="C664" s="386" t="s">
        <v>30</v>
      </c>
      <c r="D664" s="382" t="s">
        <v>28</v>
      </c>
      <c r="E664" s="382" t="s">
        <v>29</v>
      </c>
      <c r="F664" s="440" t="s">
        <v>354</v>
      </c>
      <c r="G664" s="411">
        <v>1.4589520000000002E-2</v>
      </c>
      <c r="H664" s="411" t="str">
        <f t="shared" si="171"/>
        <v/>
      </c>
      <c r="I664" s="411">
        <f t="shared" si="171"/>
        <v>1.4589520000000002E-2</v>
      </c>
      <c r="J664" s="411" t="str">
        <f t="shared" si="171"/>
        <v/>
      </c>
      <c r="K664" s="411" t="str">
        <f t="shared" si="171"/>
        <v/>
      </c>
      <c r="L664" s="411">
        <f t="shared" si="164"/>
        <v>1</v>
      </c>
      <c r="M664" s="409"/>
      <c r="N664" s="409">
        <v>1</v>
      </c>
      <c r="O664" s="409"/>
      <c r="P664" s="409"/>
      <c r="Q664" s="382"/>
      <c r="R664" s="385" t="str">
        <f t="shared" si="170"/>
        <v>T</v>
      </c>
      <c r="S664" s="389"/>
      <c r="T664" s="389"/>
      <c r="U664" s="389"/>
      <c r="V664" s="389"/>
      <c r="W664" s="389"/>
      <c r="X664" s="389"/>
      <c r="Y664" s="389"/>
      <c r="Z664" s="389"/>
      <c r="AA664" s="389"/>
      <c r="AB664" s="389"/>
      <c r="AC664" s="389"/>
      <c r="AD664" s="389"/>
      <c r="AE664" s="389"/>
      <c r="AF664" s="389"/>
    </row>
    <row r="665" spans="1:32" hidden="1" outlineLevel="3" collapsed="1">
      <c r="A665" s="382"/>
      <c r="B665" s="382" t="s">
        <v>349</v>
      </c>
      <c r="C665" s="386" t="s">
        <v>30</v>
      </c>
      <c r="D665" s="382" t="s">
        <v>28</v>
      </c>
      <c r="E665" s="382" t="s">
        <v>29</v>
      </c>
      <c r="F665" s="440" t="s">
        <v>355</v>
      </c>
      <c r="G665" s="411">
        <v>2.1017216000000005E-2</v>
      </c>
      <c r="H665" s="411" t="str">
        <f t="shared" si="171"/>
        <v/>
      </c>
      <c r="I665" s="411" t="str">
        <f t="shared" si="171"/>
        <v/>
      </c>
      <c r="J665" s="411">
        <f t="shared" si="171"/>
        <v>2.1017216000000005E-2</v>
      </c>
      <c r="K665" s="411" t="str">
        <f t="shared" si="171"/>
        <v/>
      </c>
      <c r="L665" s="411">
        <f t="shared" si="164"/>
        <v>1</v>
      </c>
      <c r="M665" s="409"/>
      <c r="N665" s="409"/>
      <c r="O665" s="409">
        <v>1</v>
      </c>
      <c r="P665" s="409"/>
      <c r="Q665" s="382"/>
      <c r="R665" s="385" t="str">
        <f t="shared" si="170"/>
        <v>T</v>
      </c>
      <c r="S665" s="389"/>
      <c r="T665" s="389"/>
      <c r="U665" s="389"/>
      <c r="V665" s="389"/>
      <c r="W665" s="389"/>
      <c r="X665" s="389"/>
      <c r="Y665" s="389"/>
      <c r="Z665" s="389"/>
      <c r="AA665" s="389"/>
      <c r="AB665" s="389"/>
      <c r="AC665" s="389"/>
      <c r="AD665" s="389"/>
      <c r="AE665" s="389"/>
      <c r="AF665" s="389"/>
    </row>
    <row r="666" spans="1:32" hidden="1" outlineLevel="3" collapsed="1">
      <c r="A666" s="382"/>
      <c r="B666" s="382" t="s">
        <v>349</v>
      </c>
      <c r="C666" s="386" t="s">
        <v>30</v>
      </c>
      <c r="D666" s="382" t="s">
        <v>28</v>
      </c>
      <c r="E666" s="382" t="s">
        <v>29</v>
      </c>
      <c r="F666" s="440" t="s">
        <v>358</v>
      </c>
      <c r="G666" s="411">
        <v>4.203443200000001E-2</v>
      </c>
      <c r="H666" s="411" t="str">
        <f t="shared" si="171"/>
        <v/>
      </c>
      <c r="I666" s="411" t="str">
        <f t="shared" si="171"/>
        <v/>
      </c>
      <c r="J666" s="411" t="str">
        <f t="shared" si="171"/>
        <v/>
      </c>
      <c r="K666" s="411">
        <f t="shared" si="171"/>
        <v>4.203443200000001E-2</v>
      </c>
      <c r="L666" s="411">
        <f t="shared" si="164"/>
        <v>1</v>
      </c>
      <c r="M666" s="409"/>
      <c r="N666" s="409"/>
      <c r="P666" s="409">
        <v>1</v>
      </c>
      <c r="Q666" s="382"/>
      <c r="R666" s="385" t="str">
        <f t="shared" si="170"/>
        <v>T</v>
      </c>
      <c r="S666" s="389"/>
      <c r="T666" s="389"/>
      <c r="U666" s="389"/>
      <c r="V666" s="389"/>
      <c r="W666" s="389"/>
      <c r="X666" s="389"/>
      <c r="Y666" s="389"/>
      <c r="Z666" s="389"/>
      <c r="AA666" s="389"/>
      <c r="AB666" s="389"/>
      <c r="AC666" s="389"/>
      <c r="AD666" s="389"/>
      <c r="AE666" s="389"/>
      <c r="AF666" s="389"/>
    </row>
    <row r="667" spans="1:32" hidden="1" outlineLevel="3">
      <c r="A667" s="382"/>
      <c r="B667" s="382" t="s">
        <v>349</v>
      </c>
      <c r="C667" s="386" t="s">
        <v>30</v>
      </c>
      <c r="D667" s="382" t="s">
        <v>28</v>
      </c>
      <c r="E667" s="382" t="s">
        <v>29</v>
      </c>
      <c r="F667" s="440" t="s">
        <v>69</v>
      </c>
      <c r="G667" s="387">
        <v>5.8358080000000007E-2</v>
      </c>
      <c r="H667" s="411" t="str">
        <f t="shared" si="171"/>
        <v/>
      </c>
      <c r="I667" s="411" t="str">
        <f t="shared" si="171"/>
        <v/>
      </c>
      <c r="J667" s="411" t="str">
        <f t="shared" si="171"/>
        <v/>
      </c>
      <c r="K667" s="411">
        <f t="shared" si="171"/>
        <v>5.8358080000000007E-2</v>
      </c>
      <c r="L667" s="387">
        <f t="shared" si="164"/>
        <v>1</v>
      </c>
      <c r="M667" s="388"/>
      <c r="N667" s="388"/>
      <c r="P667" s="388">
        <v>1</v>
      </c>
      <c r="Q667" s="382"/>
      <c r="R667" s="385" t="str">
        <f t="shared" si="170"/>
        <v>T</v>
      </c>
      <c r="S667" s="389"/>
      <c r="T667" s="389"/>
      <c r="U667" s="389"/>
      <c r="V667" s="389"/>
      <c r="W667" s="389"/>
      <c r="X667" s="389"/>
      <c r="Y667" s="389"/>
      <c r="Z667" s="389"/>
      <c r="AA667" s="389"/>
      <c r="AB667" s="389"/>
      <c r="AC667" s="389"/>
      <c r="AD667" s="389"/>
      <c r="AE667" s="389"/>
      <c r="AF667" s="389"/>
    </row>
    <row r="668" spans="1:32" hidden="1" outlineLevel="2" collapsed="1">
      <c r="A668" s="382"/>
      <c r="B668" s="382" t="s">
        <v>349</v>
      </c>
      <c r="C668" s="386" t="s">
        <v>30</v>
      </c>
      <c r="D668" s="382" t="s">
        <v>64</v>
      </c>
      <c r="E668" s="382"/>
      <c r="F668" s="440" t="s">
        <v>361</v>
      </c>
      <c r="G668" s="411">
        <f>SUM(G669:G673)</f>
        <v>0.13056384000000001</v>
      </c>
      <c r="H668" s="411">
        <f>SUM(H669:H673)</f>
        <v>3.2640960000000004E-2</v>
      </c>
      <c r="I668" s="411">
        <f>SUM(I669:I673)</f>
        <v>3.2640960000000004E-2</v>
      </c>
      <c r="J668" s="411">
        <f>SUM(J669:J673)</f>
        <v>0</v>
      </c>
      <c r="K668" s="411">
        <f>SUM(K669:K673)</f>
        <v>6.5281920000000007E-2</v>
      </c>
      <c r="L668" s="411">
        <f t="shared" si="164"/>
        <v>5</v>
      </c>
      <c r="M668" s="409">
        <f>SUM(M669:M673)</f>
        <v>2</v>
      </c>
      <c r="N668" s="409">
        <f>SUM(N669:N673)</f>
        <v>2</v>
      </c>
      <c r="O668" s="409">
        <f>SUM(O669:O673)</f>
        <v>0</v>
      </c>
      <c r="P668" s="409">
        <f>SUM(P669:P673)</f>
        <v>1</v>
      </c>
      <c r="Q668" s="382"/>
      <c r="R668" s="385" t="str">
        <f t="shared" si="170"/>
        <v>T</v>
      </c>
      <c r="S668" s="389"/>
      <c r="T668" s="389"/>
      <c r="U668" s="389"/>
      <c r="V668" s="389"/>
      <c r="W668" s="389"/>
      <c r="X668" s="389"/>
      <c r="Y668" s="389"/>
      <c r="Z668" s="389"/>
      <c r="AA668" s="389"/>
      <c r="AB668" s="389"/>
      <c r="AC668" s="389"/>
      <c r="AD668" s="389"/>
      <c r="AE668" s="389"/>
      <c r="AF668" s="389"/>
    </row>
    <row r="669" spans="1:32" hidden="1" outlineLevel="3">
      <c r="A669" s="382"/>
      <c r="B669" s="382" t="s">
        <v>349</v>
      </c>
      <c r="C669" s="386" t="s">
        <v>30</v>
      </c>
      <c r="D669" s="382" t="s">
        <v>64</v>
      </c>
      <c r="E669" s="382" t="s">
        <v>29</v>
      </c>
      <c r="F669" s="440" t="s">
        <v>32</v>
      </c>
      <c r="G669" s="411">
        <v>2.4480720000000001E-2</v>
      </c>
      <c r="H669" s="411">
        <f t="shared" ref="H669:K673" si="172">IF(M669=1,$G669,"")</f>
        <v>2.4480720000000001E-2</v>
      </c>
      <c r="I669" s="411" t="str">
        <f t="shared" si="172"/>
        <v/>
      </c>
      <c r="J669" s="411" t="str">
        <f t="shared" si="172"/>
        <v/>
      </c>
      <c r="K669" s="411" t="str">
        <f t="shared" si="172"/>
        <v/>
      </c>
      <c r="L669" s="411">
        <f t="shared" si="164"/>
        <v>1</v>
      </c>
      <c r="M669" s="409">
        <v>1</v>
      </c>
      <c r="N669" s="409"/>
      <c r="O669" s="409"/>
      <c r="P669" s="409"/>
      <c r="Q669" s="382"/>
      <c r="R669" s="385" t="str">
        <f t="shared" si="170"/>
        <v>T</v>
      </c>
      <c r="S669" s="389"/>
      <c r="T669" s="389"/>
      <c r="U669" s="389"/>
      <c r="V669" s="389"/>
      <c r="W669" s="389"/>
      <c r="X669" s="389"/>
      <c r="Y669" s="389"/>
      <c r="Z669" s="389"/>
      <c r="AA669" s="389"/>
      <c r="AB669" s="389"/>
      <c r="AC669" s="389"/>
      <c r="AD669" s="389"/>
      <c r="AE669" s="389"/>
      <c r="AF669" s="389"/>
    </row>
    <row r="670" spans="1:32" hidden="1" outlineLevel="3">
      <c r="A670" s="382"/>
      <c r="B670" s="382" t="s">
        <v>349</v>
      </c>
      <c r="C670" s="386" t="s">
        <v>30</v>
      </c>
      <c r="D670" s="382" t="s">
        <v>64</v>
      </c>
      <c r="E670" s="382" t="s">
        <v>29</v>
      </c>
      <c r="F670" s="440" t="s">
        <v>33</v>
      </c>
      <c r="G670" s="411">
        <v>8.1602400000000009E-3</v>
      </c>
      <c r="H670" s="411">
        <f t="shared" si="172"/>
        <v>8.1602400000000009E-3</v>
      </c>
      <c r="I670" s="411" t="str">
        <f t="shared" si="172"/>
        <v/>
      </c>
      <c r="J670" s="411" t="str">
        <f t="shared" si="172"/>
        <v/>
      </c>
      <c r="K670" s="411" t="str">
        <f t="shared" si="172"/>
        <v/>
      </c>
      <c r="L670" s="411">
        <f t="shared" si="164"/>
        <v>1</v>
      </c>
      <c r="M670" s="409">
        <v>1</v>
      </c>
      <c r="N670" s="409"/>
      <c r="O670" s="409"/>
      <c r="P670" s="409"/>
      <c r="Q670" s="382"/>
      <c r="R670" s="385" t="str">
        <f t="shared" si="170"/>
        <v>T</v>
      </c>
      <c r="S670" s="389"/>
      <c r="T670" s="389"/>
      <c r="U670" s="389"/>
      <c r="V670" s="389"/>
      <c r="W670" s="389"/>
      <c r="X670" s="389"/>
      <c r="Y670" s="389"/>
      <c r="Z670" s="389"/>
      <c r="AA670" s="389"/>
      <c r="AB670" s="389"/>
      <c r="AC670" s="389"/>
      <c r="AD670" s="389"/>
      <c r="AE670" s="389"/>
      <c r="AF670" s="389"/>
    </row>
    <row r="671" spans="1:32" hidden="1" outlineLevel="3">
      <c r="A671" s="382"/>
      <c r="B671" s="382" t="s">
        <v>349</v>
      </c>
      <c r="C671" s="386" t="s">
        <v>30</v>
      </c>
      <c r="D671" s="382" t="s">
        <v>64</v>
      </c>
      <c r="E671" s="382" t="s">
        <v>29</v>
      </c>
      <c r="F671" s="440" t="s">
        <v>353</v>
      </c>
      <c r="G671" s="387">
        <v>2.4480720000000001E-2</v>
      </c>
      <c r="H671" s="411" t="str">
        <f t="shared" si="172"/>
        <v/>
      </c>
      <c r="I671" s="411">
        <f t="shared" si="172"/>
        <v>2.4480720000000001E-2</v>
      </c>
      <c r="J671" s="411" t="str">
        <f t="shared" si="172"/>
        <v/>
      </c>
      <c r="K671" s="411" t="str">
        <f t="shared" si="172"/>
        <v/>
      </c>
      <c r="L671" s="387">
        <f t="shared" ref="L671:L673" si="173">SUM(M671:P671)</f>
        <v>1</v>
      </c>
      <c r="M671" s="388"/>
      <c r="N671" s="388">
        <v>1</v>
      </c>
      <c r="O671" s="388"/>
      <c r="P671" s="388"/>
      <c r="Q671" s="382"/>
      <c r="R671" s="385" t="str">
        <f t="shared" si="170"/>
        <v>T</v>
      </c>
      <c r="S671" s="389"/>
      <c r="T671" s="389"/>
      <c r="U671" s="389"/>
      <c r="V671" s="389"/>
      <c r="W671" s="389"/>
      <c r="X671" s="389"/>
      <c r="Y671" s="389"/>
      <c r="Z671" s="389"/>
      <c r="AA671" s="389"/>
      <c r="AB671" s="389"/>
      <c r="AC671" s="389"/>
      <c r="AD671" s="389"/>
      <c r="AE671" s="389"/>
      <c r="AF671" s="389"/>
    </row>
    <row r="672" spans="1:32" hidden="1" outlineLevel="3">
      <c r="A672" s="382"/>
      <c r="B672" s="382" t="s">
        <v>349</v>
      </c>
      <c r="C672" s="386" t="s">
        <v>30</v>
      </c>
      <c r="D672" s="382" t="s">
        <v>64</v>
      </c>
      <c r="E672" s="382" t="s">
        <v>29</v>
      </c>
      <c r="F672" s="440" t="s">
        <v>354</v>
      </c>
      <c r="G672" s="411">
        <v>8.1602400000000009E-3</v>
      </c>
      <c r="H672" s="411" t="str">
        <f t="shared" si="172"/>
        <v/>
      </c>
      <c r="I672" s="411">
        <f t="shared" si="172"/>
        <v>8.1602400000000009E-3</v>
      </c>
      <c r="J672" s="411" t="str">
        <f t="shared" si="172"/>
        <v/>
      </c>
      <c r="K672" s="411" t="str">
        <f t="shared" si="172"/>
        <v/>
      </c>
      <c r="L672" s="411">
        <f t="shared" si="173"/>
        <v>1</v>
      </c>
      <c r="M672" s="409"/>
      <c r="N672" s="409">
        <v>1</v>
      </c>
      <c r="P672" s="409"/>
      <c r="Q672" s="382"/>
      <c r="R672" s="385" t="str">
        <f t="shared" si="170"/>
        <v>T</v>
      </c>
      <c r="S672" s="389"/>
      <c r="T672" s="389"/>
      <c r="U672" s="389"/>
      <c r="V672" s="389"/>
      <c r="W672" s="389"/>
      <c r="X672" s="389"/>
      <c r="Y672" s="389"/>
      <c r="Z672" s="389"/>
      <c r="AA672" s="389"/>
      <c r="AB672" s="389"/>
      <c r="AC672" s="389"/>
      <c r="AD672" s="389"/>
      <c r="AE672" s="389"/>
      <c r="AF672" s="389"/>
    </row>
    <row r="673" spans="1:32" hidden="1" outlineLevel="3">
      <c r="A673" s="382"/>
      <c r="B673" s="382" t="s">
        <v>349</v>
      </c>
      <c r="C673" s="386" t="s">
        <v>30</v>
      </c>
      <c r="D673" s="382" t="s">
        <v>64</v>
      </c>
      <c r="E673" s="382" t="s">
        <v>29</v>
      </c>
      <c r="F673" s="440" t="s">
        <v>69</v>
      </c>
      <c r="G673" s="411">
        <v>6.5281920000000007E-2</v>
      </c>
      <c r="H673" s="411" t="str">
        <f t="shared" si="172"/>
        <v/>
      </c>
      <c r="I673" s="411" t="str">
        <f t="shared" si="172"/>
        <v/>
      </c>
      <c r="J673" s="411" t="str">
        <f t="shared" si="172"/>
        <v/>
      </c>
      <c r="K673" s="411">
        <f t="shared" si="172"/>
        <v>6.5281920000000007E-2</v>
      </c>
      <c r="L673" s="411">
        <f t="shared" si="173"/>
        <v>1</v>
      </c>
      <c r="M673" s="409"/>
      <c r="N673" s="409"/>
      <c r="P673" s="409">
        <v>1</v>
      </c>
      <c r="Q673" s="382"/>
      <c r="R673" s="385" t="str">
        <f t="shared" si="170"/>
        <v>T</v>
      </c>
      <c r="S673" s="389"/>
      <c r="T673" s="389"/>
      <c r="U673" s="389"/>
      <c r="V673" s="389"/>
      <c r="W673" s="389"/>
      <c r="X673" s="389"/>
      <c r="Y673" s="389"/>
      <c r="Z673" s="389"/>
      <c r="AA673" s="389"/>
      <c r="AB673" s="389"/>
      <c r="AC673" s="389"/>
      <c r="AD673" s="389"/>
      <c r="AE673" s="389"/>
      <c r="AF673" s="389"/>
    </row>
    <row r="674" spans="1:32" s="401" customFormat="1" ht="26.45" outlineLevel="1" collapsed="1">
      <c r="A674" s="395"/>
      <c r="B674" s="396" t="s">
        <v>362</v>
      </c>
      <c r="C674" s="396" t="s">
        <v>363</v>
      </c>
      <c r="D674" s="396"/>
      <c r="E674" s="396"/>
      <c r="F674" s="445" t="s">
        <v>364</v>
      </c>
      <c r="G674" s="418">
        <f t="shared" ref="G674:P674" si="174">G675+G706+G733+G755</f>
        <v>22.887848961349082</v>
      </c>
      <c r="H674" s="422">
        <f t="shared" si="174"/>
        <v>14.203906041162936</v>
      </c>
      <c r="I674" s="422">
        <f t="shared" si="174"/>
        <v>1.3750211608066834</v>
      </c>
      <c r="J674" s="422">
        <f t="shared" si="174"/>
        <v>3.4975948204751748</v>
      </c>
      <c r="K674" s="422">
        <f t="shared" si="174"/>
        <v>3.8113269389042963</v>
      </c>
      <c r="L674" s="418">
        <f t="shared" si="174"/>
        <v>79</v>
      </c>
      <c r="M674" s="423">
        <f t="shared" si="174"/>
        <v>10</v>
      </c>
      <c r="N674" s="423">
        <f t="shared" si="174"/>
        <v>9</v>
      </c>
      <c r="O674" s="423">
        <f t="shared" si="174"/>
        <v>30</v>
      </c>
      <c r="P674" s="423">
        <f t="shared" si="174"/>
        <v>30</v>
      </c>
      <c r="Q674" s="395"/>
      <c r="R674" s="385" t="str">
        <f t="shared" si="170"/>
        <v>T</v>
      </c>
      <c r="S674" s="389" t="s">
        <v>365</v>
      </c>
      <c r="T674" s="400"/>
      <c r="U674" s="400"/>
      <c r="V674" s="400"/>
      <c r="W674" s="400"/>
      <c r="X674" s="400"/>
      <c r="Y674" s="400"/>
      <c r="Z674" s="400"/>
      <c r="AA674" s="400"/>
      <c r="AB674" s="400"/>
      <c r="AC674" s="400"/>
      <c r="AD674" s="400"/>
      <c r="AE674" s="400"/>
      <c r="AF674" s="400"/>
    </row>
    <row r="675" spans="1:32" hidden="1" outlineLevel="2" collapsed="1">
      <c r="A675" s="382"/>
      <c r="B675" s="386" t="s">
        <v>362</v>
      </c>
      <c r="C675" s="382" t="s">
        <v>363</v>
      </c>
      <c r="D675" s="382" t="s">
        <v>18</v>
      </c>
      <c r="E675" s="386"/>
      <c r="F675" s="440" t="s">
        <v>366</v>
      </c>
      <c r="G675" s="411">
        <f>SUM(G676:G705)</f>
        <v>13.894856227425304</v>
      </c>
      <c r="H675" s="411">
        <f>SUM(H676:H705)</f>
        <v>8.7813947704253064</v>
      </c>
      <c r="I675" s="411">
        <f>SUM(I676:I705)</f>
        <v>0.65398654000000001</v>
      </c>
      <c r="J675" s="411">
        <f>SUM(J676:J705)</f>
        <v>1.8090825989999999</v>
      </c>
      <c r="K675" s="411">
        <f>SUM(K676:K705)</f>
        <v>2.6503923180000006</v>
      </c>
      <c r="L675" s="411">
        <f t="shared" ref="L675:L706" si="175">SUM(M675:P675)</f>
        <v>30</v>
      </c>
      <c r="M675" s="409">
        <f>SUM(M676:M705)</f>
        <v>3</v>
      </c>
      <c r="N675" s="409">
        <f>SUM(N676:N705)</f>
        <v>3</v>
      </c>
      <c r="O675" s="409">
        <f>SUM(O676:O705)</f>
        <v>10</v>
      </c>
      <c r="P675" s="409">
        <f>SUM(P676:P705)</f>
        <v>14</v>
      </c>
      <c r="Q675" s="382"/>
      <c r="R675" s="385" t="str">
        <f t="shared" si="170"/>
        <v>T</v>
      </c>
      <c r="S675" s="389"/>
      <c r="T675" s="389"/>
      <c r="U675" s="389"/>
      <c r="V675" s="389"/>
      <c r="W675" s="389"/>
      <c r="X675" s="389"/>
      <c r="Y675" s="389"/>
      <c r="Z675" s="389"/>
      <c r="AA675" s="389"/>
      <c r="AB675" s="389"/>
      <c r="AC675" s="389"/>
      <c r="AD675" s="389"/>
      <c r="AE675" s="389"/>
      <c r="AF675" s="389"/>
    </row>
    <row r="676" spans="1:32" hidden="1" outlineLevel="3">
      <c r="A676" s="382"/>
      <c r="B676" s="386" t="s">
        <v>362</v>
      </c>
      <c r="C676" s="382" t="s">
        <v>363</v>
      </c>
      <c r="D676" s="382" t="s">
        <v>18</v>
      </c>
      <c r="E676" s="386" t="s">
        <v>144</v>
      </c>
      <c r="F676" s="440" t="s">
        <v>34</v>
      </c>
      <c r="G676" s="411">
        <v>4.3906973852126532</v>
      </c>
      <c r="H676" s="387">
        <f t="shared" ref="H676:H705" si="176">IF(M676=1,$G676,"")</f>
        <v>4.3906973852126532</v>
      </c>
      <c r="I676" s="387" t="str">
        <f t="shared" ref="I676:I705" si="177">IF(N676=1,$G676,"")</f>
        <v/>
      </c>
      <c r="J676" s="387" t="str">
        <f t="shared" ref="J676:J705" si="178">IF(O676=1,$G676,"")</f>
        <v/>
      </c>
      <c r="K676" s="387" t="str">
        <f t="shared" ref="K676:K705" si="179">IF(P676=1,$G676,"")</f>
        <v/>
      </c>
      <c r="L676" s="411">
        <f t="shared" si="175"/>
        <v>1</v>
      </c>
      <c r="M676" s="409">
        <v>1</v>
      </c>
      <c r="N676" s="409"/>
      <c r="O676" s="409"/>
      <c r="P676" s="409"/>
      <c r="Q676" s="382"/>
      <c r="R676" s="385" t="str">
        <f t="shared" si="170"/>
        <v>T</v>
      </c>
      <c r="S676" s="389"/>
      <c r="T676" s="389"/>
      <c r="U676" s="389"/>
      <c r="V676" s="389"/>
      <c r="W676" s="389"/>
      <c r="X676" s="389"/>
      <c r="Y676" s="389"/>
      <c r="Z676" s="389"/>
      <c r="AA676" s="389"/>
      <c r="AB676" s="389"/>
      <c r="AC676" s="389"/>
      <c r="AD676" s="389"/>
      <c r="AE676" s="389"/>
      <c r="AF676" s="389"/>
    </row>
    <row r="677" spans="1:32" hidden="1" outlineLevel="3">
      <c r="A677" s="382"/>
      <c r="B677" s="386" t="s">
        <v>362</v>
      </c>
      <c r="C677" s="382" t="s">
        <v>363</v>
      </c>
      <c r="D677" s="382" t="s">
        <v>18</v>
      </c>
      <c r="E677" s="386" t="s">
        <v>144</v>
      </c>
      <c r="F677" s="440" t="s">
        <v>197</v>
      </c>
      <c r="G677" s="411">
        <v>2.1953486926063266</v>
      </c>
      <c r="H677" s="387">
        <f t="shared" si="176"/>
        <v>2.1953486926063266</v>
      </c>
      <c r="I677" s="387" t="str">
        <f t="shared" si="177"/>
        <v/>
      </c>
      <c r="J677" s="387" t="str">
        <f t="shared" si="178"/>
        <v/>
      </c>
      <c r="K677" s="387" t="str">
        <f t="shared" si="179"/>
        <v/>
      </c>
      <c r="L677" s="411">
        <f t="shared" si="175"/>
        <v>1</v>
      </c>
      <c r="M677" s="409">
        <v>1</v>
      </c>
      <c r="N677" s="409"/>
      <c r="O677" s="409"/>
      <c r="P677" s="409"/>
      <c r="Q677" s="382"/>
      <c r="R677" s="385" t="str">
        <f t="shared" si="170"/>
        <v>T</v>
      </c>
      <c r="S677" s="389"/>
      <c r="T677" s="389"/>
      <c r="U677" s="389"/>
      <c r="V677" s="389"/>
      <c r="W677" s="389"/>
      <c r="X677" s="389"/>
      <c r="Y677" s="389"/>
      <c r="Z677" s="389"/>
      <c r="AA677" s="389"/>
      <c r="AB677" s="389"/>
      <c r="AC677" s="389"/>
      <c r="AD677" s="389"/>
      <c r="AE677" s="389"/>
      <c r="AF677" s="389"/>
    </row>
    <row r="678" spans="1:32" hidden="1" outlineLevel="3">
      <c r="A678" s="382"/>
      <c r="B678" s="386" t="s">
        <v>362</v>
      </c>
      <c r="C678" s="382" t="s">
        <v>363</v>
      </c>
      <c r="D678" s="382" t="s">
        <v>18</v>
      </c>
      <c r="E678" s="386" t="s">
        <v>144</v>
      </c>
      <c r="F678" s="440" t="s">
        <v>335</v>
      </c>
      <c r="G678" s="411">
        <v>2.1953486926063266</v>
      </c>
      <c r="H678" s="387">
        <f t="shared" si="176"/>
        <v>2.1953486926063266</v>
      </c>
      <c r="I678" s="387" t="str">
        <f t="shared" si="177"/>
        <v/>
      </c>
      <c r="J678" s="387" t="str">
        <f t="shared" si="178"/>
        <v/>
      </c>
      <c r="K678" s="387" t="str">
        <f t="shared" si="179"/>
        <v/>
      </c>
      <c r="L678" s="411">
        <f t="shared" si="175"/>
        <v>1</v>
      </c>
      <c r="M678" s="409">
        <v>1</v>
      </c>
      <c r="N678" s="409"/>
      <c r="O678" s="409"/>
      <c r="P678" s="409"/>
      <c r="Q678" s="382"/>
      <c r="R678" s="385" t="str">
        <f t="shared" si="170"/>
        <v>T</v>
      </c>
      <c r="S678" s="389"/>
      <c r="T678" s="389"/>
      <c r="U678" s="389"/>
      <c r="V678" s="389"/>
      <c r="W678" s="389"/>
      <c r="X678" s="389"/>
      <c r="Y678" s="389"/>
      <c r="Z678" s="389"/>
      <c r="AA678" s="389"/>
      <c r="AB678" s="389"/>
      <c r="AC678" s="389"/>
      <c r="AD678" s="389"/>
      <c r="AE678" s="389"/>
      <c r="AF678" s="389"/>
    </row>
    <row r="679" spans="1:32" hidden="1" outlineLevel="3">
      <c r="A679" s="382"/>
      <c r="B679" s="386" t="s">
        <v>362</v>
      </c>
      <c r="C679" s="382" t="s">
        <v>363</v>
      </c>
      <c r="D679" s="382" t="s">
        <v>18</v>
      </c>
      <c r="E679" s="386" t="s">
        <v>144</v>
      </c>
      <c r="F679" s="440" t="s">
        <v>367</v>
      </c>
      <c r="G679" s="411">
        <v>0.20005150000000002</v>
      </c>
      <c r="H679" s="387" t="str">
        <f t="shared" si="176"/>
        <v/>
      </c>
      <c r="I679" s="387">
        <f t="shared" si="177"/>
        <v>0.20005150000000002</v>
      </c>
      <c r="J679" s="387" t="str">
        <f t="shared" si="178"/>
        <v/>
      </c>
      <c r="K679" s="387" t="str">
        <f t="shared" si="179"/>
        <v/>
      </c>
      <c r="L679" s="411">
        <f t="shared" si="175"/>
        <v>1</v>
      </c>
      <c r="M679" s="409"/>
      <c r="N679" s="409">
        <v>1</v>
      </c>
      <c r="O679" s="409"/>
      <c r="P679" s="409"/>
      <c r="Q679" s="382"/>
      <c r="R679" s="385" t="str">
        <f t="shared" si="170"/>
        <v>T</v>
      </c>
      <c r="S679" s="389"/>
      <c r="T679" s="389"/>
      <c r="U679" s="389"/>
      <c r="V679" s="389"/>
      <c r="W679" s="389"/>
      <c r="X679" s="389"/>
      <c r="Y679" s="389"/>
      <c r="Z679" s="389"/>
      <c r="AA679" s="389"/>
      <c r="AB679" s="389"/>
      <c r="AC679" s="389"/>
      <c r="AD679" s="389"/>
      <c r="AE679" s="389"/>
      <c r="AF679" s="389"/>
    </row>
    <row r="680" spans="1:32" hidden="1" outlineLevel="3">
      <c r="A680" s="382"/>
      <c r="B680" s="386" t="s">
        <v>362</v>
      </c>
      <c r="C680" s="382" t="s">
        <v>363</v>
      </c>
      <c r="D680" s="382" t="s">
        <v>18</v>
      </c>
      <c r="E680" s="386" t="s">
        <v>144</v>
      </c>
      <c r="F680" s="440" t="s">
        <v>368</v>
      </c>
      <c r="G680" s="411">
        <v>0.30007725000000002</v>
      </c>
      <c r="H680" s="387" t="str">
        <f t="shared" si="176"/>
        <v/>
      </c>
      <c r="I680" s="387" t="str">
        <f t="shared" si="177"/>
        <v/>
      </c>
      <c r="J680" s="387">
        <f t="shared" si="178"/>
        <v>0.30007725000000002</v>
      </c>
      <c r="K680" s="387" t="str">
        <f t="shared" si="179"/>
        <v/>
      </c>
      <c r="L680" s="411">
        <f t="shared" si="175"/>
        <v>1</v>
      </c>
      <c r="M680" s="409"/>
      <c r="N680" s="409"/>
      <c r="O680" s="409">
        <v>1</v>
      </c>
      <c r="P680" s="409"/>
      <c r="Q680" s="382"/>
      <c r="R680" s="385" t="str">
        <f t="shared" si="170"/>
        <v>T</v>
      </c>
      <c r="S680" s="389"/>
      <c r="T680" s="389"/>
      <c r="U680" s="389"/>
      <c r="V680" s="389"/>
      <c r="W680" s="389"/>
      <c r="X680" s="389"/>
      <c r="Y680" s="389"/>
      <c r="Z680" s="389"/>
      <c r="AA680" s="389"/>
      <c r="AB680" s="389"/>
      <c r="AC680" s="389"/>
      <c r="AD680" s="389"/>
      <c r="AE680" s="389"/>
      <c r="AF680" s="389"/>
    </row>
    <row r="681" spans="1:32" hidden="1" outlineLevel="3">
      <c r="A681" s="382"/>
      <c r="B681" s="386" t="s">
        <v>362</v>
      </c>
      <c r="C681" s="382" t="s">
        <v>363</v>
      </c>
      <c r="D681" s="382" t="s">
        <v>18</v>
      </c>
      <c r="E681" s="386" t="s">
        <v>144</v>
      </c>
      <c r="F681" s="440" t="s">
        <v>369</v>
      </c>
      <c r="G681" s="411">
        <v>0.10002575000000001</v>
      </c>
      <c r="H681" s="387" t="str">
        <f t="shared" si="176"/>
        <v/>
      </c>
      <c r="I681" s="387" t="str">
        <f t="shared" si="177"/>
        <v/>
      </c>
      <c r="J681" s="387">
        <f t="shared" si="178"/>
        <v>0.10002575000000001</v>
      </c>
      <c r="K681" s="387" t="str">
        <f t="shared" si="179"/>
        <v/>
      </c>
      <c r="L681" s="411">
        <f t="shared" si="175"/>
        <v>1</v>
      </c>
      <c r="M681" s="409"/>
      <c r="N681" s="409"/>
      <c r="O681" s="409">
        <v>1</v>
      </c>
      <c r="P681" s="409"/>
      <c r="Q681" s="382"/>
      <c r="R681" s="385" t="str">
        <f t="shared" si="170"/>
        <v>T</v>
      </c>
      <c r="S681" s="389"/>
      <c r="T681" s="389"/>
      <c r="U681" s="389"/>
      <c r="V681" s="389"/>
      <c r="W681" s="389"/>
      <c r="X681" s="389"/>
      <c r="Y681" s="389"/>
      <c r="Z681" s="389"/>
      <c r="AA681" s="389"/>
      <c r="AB681" s="389"/>
      <c r="AC681" s="389"/>
      <c r="AD681" s="389"/>
      <c r="AE681" s="389"/>
      <c r="AF681" s="389"/>
    </row>
    <row r="682" spans="1:32" hidden="1" outlineLevel="3">
      <c r="A682" s="382"/>
      <c r="B682" s="386" t="s">
        <v>362</v>
      </c>
      <c r="C682" s="382" t="s">
        <v>363</v>
      </c>
      <c r="D682" s="382" t="s">
        <v>18</v>
      </c>
      <c r="E682" s="386" t="s">
        <v>144</v>
      </c>
      <c r="F682" s="440" t="s">
        <v>370</v>
      </c>
      <c r="G682" s="411">
        <v>0.40010300000000004</v>
      </c>
      <c r="H682" s="387" t="str">
        <f t="shared" si="176"/>
        <v/>
      </c>
      <c r="I682" s="387" t="str">
        <f t="shared" si="177"/>
        <v/>
      </c>
      <c r="J682" s="387" t="str">
        <f t="shared" si="178"/>
        <v/>
      </c>
      <c r="K682" s="387">
        <f t="shared" si="179"/>
        <v>0.40010300000000004</v>
      </c>
      <c r="L682" s="411">
        <f t="shared" si="175"/>
        <v>1</v>
      </c>
      <c r="M682" s="409"/>
      <c r="N682" s="409"/>
      <c r="O682" s="409"/>
      <c r="P682" s="409">
        <v>1</v>
      </c>
      <c r="Q682" s="382"/>
      <c r="R682" s="385" t="str">
        <f t="shared" si="170"/>
        <v>T</v>
      </c>
      <c r="S682" s="389"/>
      <c r="T682" s="389"/>
      <c r="U682" s="389"/>
      <c r="V682" s="389"/>
      <c r="W682" s="389"/>
      <c r="X682" s="389"/>
      <c r="Y682" s="389"/>
      <c r="Z682" s="389"/>
      <c r="AA682" s="389"/>
      <c r="AB682" s="389"/>
      <c r="AC682" s="389"/>
      <c r="AD682" s="389"/>
      <c r="AE682" s="389"/>
      <c r="AF682" s="389"/>
    </row>
    <row r="683" spans="1:32" hidden="1" outlineLevel="3">
      <c r="A683" s="382"/>
      <c r="B683" s="386" t="s">
        <v>362</v>
      </c>
      <c r="C683" s="382" t="s">
        <v>363</v>
      </c>
      <c r="D683" s="382" t="s">
        <v>18</v>
      </c>
      <c r="E683" s="386" t="s">
        <v>144</v>
      </c>
      <c r="F683" s="440" t="s">
        <v>371</v>
      </c>
      <c r="G683" s="411">
        <v>0.20005150000000002</v>
      </c>
      <c r="H683" s="387" t="str">
        <f t="shared" si="176"/>
        <v/>
      </c>
      <c r="I683" s="387" t="str">
        <f t="shared" si="177"/>
        <v/>
      </c>
      <c r="J683" s="387">
        <f t="shared" si="178"/>
        <v>0.20005150000000002</v>
      </c>
      <c r="K683" s="387" t="str">
        <f t="shared" si="179"/>
        <v/>
      </c>
      <c r="L683" s="411">
        <f t="shared" si="175"/>
        <v>1</v>
      </c>
      <c r="M683" s="409"/>
      <c r="N683" s="409"/>
      <c r="O683" s="409">
        <v>1</v>
      </c>
      <c r="P683" s="409"/>
      <c r="Q683" s="382"/>
      <c r="R683" s="385" t="str">
        <f t="shared" si="170"/>
        <v>T</v>
      </c>
      <c r="S683" s="389"/>
      <c r="T683" s="389"/>
      <c r="U683" s="389"/>
      <c r="V683" s="389"/>
      <c r="W683" s="389"/>
      <c r="X683" s="389"/>
      <c r="Y683" s="389"/>
      <c r="Z683" s="389"/>
      <c r="AA683" s="389"/>
      <c r="AB683" s="389"/>
      <c r="AC683" s="389"/>
      <c r="AD683" s="389"/>
      <c r="AE683" s="389"/>
      <c r="AF683" s="389"/>
    </row>
    <row r="684" spans="1:32" hidden="1" outlineLevel="3">
      <c r="A684" s="382"/>
      <c r="B684" s="386" t="s">
        <v>362</v>
      </c>
      <c r="C684" s="382" t="s">
        <v>363</v>
      </c>
      <c r="D684" s="382" t="s">
        <v>18</v>
      </c>
      <c r="E684" s="386" t="s">
        <v>144</v>
      </c>
      <c r="F684" s="440" t="s">
        <v>372</v>
      </c>
      <c r="G684" s="411">
        <v>0.30007725000000002</v>
      </c>
      <c r="H684" s="387" t="str">
        <f t="shared" si="176"/>
        <v/>
      </c>
      <c r="I684" s="387" t="str">
        <f t="shared" si="177"/>
        <v/>
      </c>
      <c r="J684" s="387" t="str">
        <f t="shared" si="178"/>
        <v/>
      </c>
      <c r="K684" s="387">
        <f t="shared" si="179"/>
        <v>0.30007725000000002</v>
      </c>
      <c r="L684" s="411">
        <f t="shared" si="175"/>
        <v>1</v>
      </c>
      <c r="M684" s="409"/>
      <c r="N684" s="409"/>
      <c r="O684" s="409"/>
      <c r="P684" s="409">
        <v>1</v>
      </c>
      <c r="Q684" s="382"/>
      <c r="R684" s="385" t="str">
        <f t="shared" si="170"/>
        <v>T</v>
      </c>
      <c r="S684" s="389"/>
      <c r="T684" s="389"/>
      <c r="U684" s="389"/>
      <c r="V684" s="389"/>
      <c r="W684" s="389"/>
      <c r="X684" s="389"/>
      <c r="Y684" s="389"/>
      <c r="Z684" s="389"/>
      <c r="AA684" s="389"/>
      <c r="AB684" s="389"/>
      <c r="AC684" s="389"/>
      <c r="AD684" s="389"/>
      <c r="AE684" s="389"/>
      <c r="AF684" s="389"/>
    </row>
    <row r="685" spans="1:32" hidden="1" outlineLevel="3">
      <c r="A685" s="382"/>
      <c r="B685" s="386" t="s">
        <v>362</v>
      </c>
      <c r="C685" s="382" t="s">
        <v>363</v>
      </c>
      <c r="D685" s="382" t="s">
        <v>18</v>
      </c>
      <c r="E685" s="386" t="s">
        <v>144</v>
      </c>
      <c r="F685" s="440" t="s">
        <v>373</v>
      </c>
      <c r="G685" s="411">
        <v>0.10002575000000001</v>
      </c>
      <c r="H685" s="387" t="str">
        <f t="shared" si="176"/>
        <v/>
      </c>
      <c r="I685" s="387" t="str">
        <f t="shared" si="177"/>
        <v/>
      </c>
      <c r="J685" s="387" t="str">
        <f t="shared" si="178"/>
        <v/>
      </c>
      <c r="K685" s="387">
        <f t="shared" si="179"/>
        <v>0.10002575000000001</v>
      </c>
      <c r="L685" s="411">
        <f t="shared" si="175"/>
        <v>1</v>
      </c>
      <c r="M685" s="409"/>
      <c r="N685" s="409"/>
      <c r="O685" s="409"/>
      <c r="P685" s="409">
        <v>1</v>
      </c>
      <c r="Q685" s="382"/>
      <c r="R685" s="385" t="str">
        <f t="shared" si="170"/>
        <v>T</v>
      </c>
      <c r="S685" s="389"/>
      <c r="T685" s="389"/>
      <c r="U685" s="389"/>
      <c r="V685" s="389"/>
      <c r="W685" s="389"/>
      <c r="X685" s="389"/>
      <c r="Y685" s="389"/>
      <c r="Z685" s="389"/>
      <c r="AA685" s="389"/>
      <c r="AB685" s="389"/>
      <c r="AC685" s="389"/>
      <c r="AD685" s="389"/>
      <c r="AE685" s="389"/>
      <c r="AF685" s="389"/>
    </row>
    <row r="686" spans="1:32" hidden="1" outlineLevel="3">
      <c r="A686" s="382"/>
      <c r="B686" s="386" t="s">
        <v>362</v>
      </c>
      <c r="C686" s="382" t="s">
        <v>363</v>
      </c>
      <c r="D686" s="382" t="s">
        <v>18</v>
      </c>
      <c r="E686" s="386" t="s">
        <v>144</v>
      </c>
      <c r="F686" s="440" t="s">
        <v>374</v>
      </c>
      <c r="G686" s="411">
        <v>0.40010300000000004</v>
      </c>
      <c r="H686" s="387" t="str">
        <f t="shared" si="176"/>
        <v/>
      </c>
      <c r="I686" s="387" t="str">
        <f t="shared" si="177"/>
        <v/>
      </c>
      <c r="J686" s="387" t="str">
        <f t="shared" si="178"/>
        <v/>
      </c>
      <c r="K686" s="387">
        <f t="shared" si="179"/>
        <v>0.40010300000000004</v>
      </c>
      <c r="L686" s="411">
        <f t="shared" si="175"/>
        <v>1</v>
      </c>
      <c r="M686" s="409"/>
      <c r="N686" s="409"/>
      <c r="O686" s="409"/>
      <c r="P686" s="409">
        <v>1</v>
      </c>
      <c r="Q686" s="382"/>
      <c r="R686" s="385" t="str">
        <f t="shared" si="170"/>
        <v>T</v>
      </c>
      <c r="S686" s="389"/>
      <c r="T686" s="389"/>
      <c r="U686" s="389"/>
      <c r="V686" s="389"/>
      <c r="W686" s="389"/>
      <c r="X686" s="389"/>
      <c r="Y686" s="389"/>
      <c r="Z686" s="389"/>
      <c r="AA686" s="389"/>
      <c r="AB686" s="389"/>
      <c r="AC686" s="389"/>
      <c r="AD686" s="389"/>
      <c r="AE686" s="389"/>
      <c r="AF686" s="389"/>
    </row>
    <row r="687" spans="1:32" hidden="1" outlineLevel="3">
      <c r="A687" s="382"/>
      <c r="B687" s="386" t="s">
        <v>362</v>
      </c>
      <c r="C687" s="382" t="s">
        <v>363</v>
      </c>
      <c r="D687" s="382" t="s">
        <v>18</v>
      </c>
      <c r="E687" s="386" t="s">
        <v>144</v>
      </c>
      <c r="F687" s="440" t="s">
        <v>375</v>
      </c>
      <c r="G687" s="411">
        <v>9.2092275000000001E-2</v>
      </c>
      <c r="H687" s="387" t="str">
        <f t="shared" si="176"/>
        <v/>
      </c>
      <c r="I687" s="387" t="str">
        <f t="shared" si="177"/>
        <v/>
      </c>
      <c r="J687" s="387">
        <f t="shared" si="178"/>
        <v>9.2092275000000001E-2</v>
      </c>
      <c r="K687" s="387" t="str">
        <f t="shared" si="179"/>
        <v/>
      </c>
      <c r="L687" s="411">
        <f t="shared" si="175"/>
        <v>1</v>
      </c>
      <c r="M687" s="409"/>
      <c r="N687" s="409"/>
      <c r="O687" s="409">
        <v>1</v>
      </c>
      <c r="P687" s="409"/>
      <c r="Q687" s="382"/>
      <c r="R687" s="385" t="str">
        <f t="shared" si="170"/>
        <v>T</v>
      </c>
      <c r="S687" s="389"/>
      <c r="T687" s="389"/>
      <c r="U687" s="389"/>
      <c r="V687" s="389"/>
      <c r="W687" s="389"/>
      <c r="X687" s="389"/>
      <c r="Y687" s="389"/>
      <c r="Z687" s="389"/>
      <c r="AA687" s="389"/>
      <c r="AB687" s="389"/>
      <c r="AC687" s="389"/>
      <c r="AD687" s="389"/>
      <c r="AE687" s="389"/>
      <c r="AF687" s="389"/>
    </row>
    <row r="688" spans="1:32" hidden="1" outlineLevel="3">
      <c r="A688" s="382"/>
      <c r="B688" s="386" t="s">
        <v>362</v>
      </c>
      <c r="C688" s="382" t="s">
        <v>363</v>
      </c>
      <c r="D688" s="382" t="s">
        <v>18</v>
      </c>
      <c r="E688" s="386" t="s">
        <v>144</v>
      </c>
      <c r="F688" s="440" t="s">
        <v>376</v>
      </c>
      <c r="G688" s="411">
        <v>0.13813841249999997</v>
      </c>
      <c r="H688" s="387" t="str">
        <f t="shared" si="176"/>
        <v/>
      </c>
      <c r="I688" s="387" t="str">
        <f t="shared" si="177"/>
        <v/>
      </c>
      <c r="J688" s="387" t="str">
        <f t="shared" si="178"/>
        <v/>
      </c>
      <c r="K688" s="387">
        <f t="shared" si="179"/>
        <v>0.13813841249999997</v>
      </c>
      <c r="L688" s="411">
        <f t="shared" si="175"/>
        <v>1</v>
      </c>
      <c r="M688" s="409"/>
      <c r="N688" s="409"/>
      <c r="O688" s="409"/>
      <c r="P688" s="409">
        <v>1</v>
      </c>
      <c r="Q688" s="382"/>
      <c r="R688" s="385" t="str">
        <f t="shared" si="170"/>
        <v>T</v>
      </c>
      <c r="S688" s="389"/>
      <c r="T688" s="389"/>
      <c r="U688" s="389"/>
      <c r="V688" s="389"/>
      <c r="W688" s="389"/>
      <c r="X688" s="389"/>
      <c r="Y688" s="389"/>
      <c r="Z688" s="389"/>
      <c r="AA688" s="389"/>
      <c r="AB688" s="389"/>
      <c r="AC688" s="389"/>
      <c r="AD688" s="389"/>
      <c r="AE688" s="389"/>
      <c r="AF688" s="389"/>
    </row>
    <row r="689" spans="1:32" hidden="1" outlineLevel="3">
      <c r="A689" s="382"/>
      <c r="B689" s="386" t="s">
        <v>362</v>
      </c>
      <c r="C689" s="382" t="s">
        <v>363</v>
      </c>
      <c r="D689" s="382" t="s">
        <v>18</v>
      </c>
      <c r="E689" s="386" t="s">
        <v>144</v>
      </c>
      <c r="F689" s="440" t="s">
        <v>377</v>
      </c>
      <c r="G689" s="411">
        <v>4.6046137500000001E-2</v>
      </c>
      <c r="H689" s="387" t="str">
        <f t="shared" si="176"/>
        <v/>
      </c>
      <c r="I689" s="387" t="str">
        <f t="shared" si="177"/>
        <v/>
      </c>
      <c r="J689" s="387" t="str">
        <f t="shared" si="178"/>
        <v/>
      </c>
      <c r="K689" s="387">
        <f t="shared" si="179"/>
        <v>4.6046137500000001E-2</v>
      </c>
      <c r="L689" s="411">
        <f t="shared" si="175"/>
        <v>1</v>
      </c>
      <c r="M689" s="409"/>
      <c r="N689" s="409"/>
      <c r="O689" s="409"/>
      <c r="P689" s="409">
        <v>1</v>
      </c>
      <c r="Q689" s="382"/>
      <c r="R689" s="385" t="str">
        <f t="shared" si="170"/>
        <v>T</v>
      </c>
      <c r="S689" s="389"/>
      <c r="T689" s="389"/>
      <c r="U689" s="389"/>
      <c r="V689" s="389"/>
      <c r="W689" s="389"/>
      <c r="X689" s="389"/>
      <c r="Y689" s="389"/>
      <c r="Z689" s="389"/>
      <c r="AA689" s="389"/>
      <c r="AB689" s="389"/>
      <c r="AC689" s="389"/>
      <c r="AD689" s="389"/>
      <c r="AE689" s="389"/>
      <c r="AF689" s="389"/>
    </row>
    <row r="690" spans="1:32" hidden="1" outlineLevel="3">
      <c r="A690" s="382"/>
      <c r="B690" s="386" t="s">
        <v>362</v>
      </c>
      <c r="C690" s="382" t="s">
        <v>363</v>
      </c>
      <c r="D690" s="382" t="s">
        <v>18</v>
      </c>
      <c r="E690" s="386" t="s">
        <v>144</v>
      </c>
      <c r="F690" s="440" t="s">
        <v>378</v>
      </c>
      <c r="G690" s="411">
        <v>0.18418455</v>
      </c>
      <c r="H690" s="387" t="str">
        <f t="shared" si="176"/>
        <v/>
      </c>
      <c r="I690" s="387" t="str">
        <f t="shared" si="177"/>
        <v/>
      </c>
      <c r="J690" s="387" t="str">
        <f t="shared" si="178"/>
        <v/>
      </c>
      <c r="K690" s="387">
        <f t="shared" si="179"/>
        <v>0.18418455</v>
      </c>
      <c r="L690" s="411">
        <f t="shared" si="175"/>
        <v>1</v>
      </c>
      <c r="M690" s="409"/>
      <c r="N690" s="409"/>
      <c r="O690" s="409"/>
      <c r="P690" s="409">
        <v>1</v>
      </c>
      <c r="Q690" s="382"/>
      <c r="R690" s="385" t="str">
        <f t="shared" si="170"/>
        <v>T</v>
      </c>
      <c r="S690" s="389"/>
      <c r="T690" s="389"/>
      <c r="U690" s="389"/>
      <c r="V690" s="389"/>
      <c r="W690" s="389"/>
      <c r="X690" s="389"/>
      <c r="Y690" s="389"/>
      <c r="Z690" s="389"/>
      <c r="AA690" s="389"/>
      <c r="AB690" s="389"/>
      <c r="AC690" s="389"/>
      <c r="AD690" s="389"/>
      <c r="AE690" s="389"/>
      <c r="AF690" s="389"/>
    </row>
    <row r="691" spans="1:32" hidden="1" outlineLevel="3">
      <c r="A691" s="382"/>
      <c r="B691" s="386" t="s">
        <v>362</v>
      </c>
      <c r="C691" s="382" t="s">
        <v>363</v>
      </c>
      <c r="D691" s="382" t="s">
        <v>18</v>
      </c>
      <c r="E691" s="386" t="s">
        <v>144</v>
      </c>
      <c r="F691" s="440" t="s">
        <v>379</v>
      </c>
      <c r="G691" s="411">
        <v>0.28370940000000006</v>
      </c>
      <c r="H691" s="387" t="str">
        <f t="shared" si="176"/>
        <v/>
      </c>
      <c r="I691" s="387">
        <f t="shared" si="177"/>
        <v>0.28370940000000006</v>
      </c>
      <c r="J691" s="387" t="str">
        <f t="shared" si="178"/>
        <v/>
      </c>
      <c r="K691" s="387" t="str">
        <f t="shared" si="179"/>
        <v/>
      </c>
      <c r="L691" s="411">
        <f t="shared" si="175"/>
        <v>1</v>
      </c>
      <c r="M691" s="409"/>
      <c r="N691" s="409">
        <v>1</v>
      </c>
      <c r="O691" s="409"/>
      <c r="P691" s="409"/>
      <c r="Q691" s="382"/>
      <c r="R691" s="385" t="str">
        <f t="shared" si="170"/>
        <v>T</v>
      </c>
      <c r="S691" s="389"/>
      <c r="T691" s="389"/>
      <c r="U691" s="389"/>
      <c r="V691" s="389"/>
      <c r="W691" s="389"/>
      <c r="X691" s="389"/>
      <c r="Y691" s="389"/>
      <c r="Z691" s="389"/>
      <c r="AA691" s="389"/>
      <c r="AB691" s="389"/>
      <c r="AC691" s="389"/>
      <c r="AD691" s="389"/>
      <c r="AE691" s="389"/>
      <c r="AF691" s="389"/>
    </row>
    <row r="692" spans="1:32" hidden="1" outlineLevel="3">
      <c r="A692" s="382"/>
      <c r="B692" s="386" t="s">
        <v>362</v>
      </c>
      <c r="C692" s="382" t="s">
        <v>363</v>
      </c>
      <c r="D692" s="382" t="s">
        <v>18</v>
      </c>
      <c r="E692" s="386" t="s">
        <v>144</v>
      </c>
      <c r="F692" s="440" t="s">
        <v>380</v>
      </c>
      <c r="G692" s="411">
        <v>0.17022564000000001</v>
      </c>
      <c r="H692" s="387" t="str">
        <f t="shared" si="176"/>
        <v/>
      </c>
      <c r="I692" s="387">
        <f t="shared" si="177"/>
        <v>0.17022564000000001</v>
      </c>
      <c r="J692" s="387" t="str">
        <f t="shared" si="178"/>
        <v/>
      </c>
      <c r="K692" s="387" t="str">
        <f t="shared" si="179"/>
        <v/>
      </c>
      <c r="L692" s="411">
        <f t="shared" si="175"/>
        <v>1</v>
      </c>
      <c r="M692" s="409"/>
      <c r="N692" s="409">
        <v>1</v>
      </c>
      <c r="O692" s="409"/>
      <c r="P692" s="409"/>
      <c r="Q692" s="382"/>
      <c r="R692" s="385" t="str">
        <f t="shared" ref="R692:R723" si="180">IF(SUM(M692:P692)=L692,"T","F")</f>
        <v>T</v>
      </c>
      <c r="S692" s="389"/>
      <c r="T692" s="389"/>
      <c r="U692" s="389"/>
      <c r="V692" s="389"/>
      <c r="W692" s="389"/>
      <c r="X692" s="389"/>
      <c r="Y692" s="389"/>
      <c r="Z692" s="389"/>
      <c r="AA692" s="389"/>
      <c r="AB692" s="389"/>
      <c r="AC692" s="389"/>
      <c r="AD692" s="389"/>
      <c r="AE692" s="389"/>
      <c r="AF692" s="389"/>
    </row>
    <row r="693" spans="1:32" ht="26.45" hidden="1" outlineLevel="3">
      <c r="A693" s="382"/>
      <c r="B693" s="386" t="s">
        <v>362</v>
      </c>
      <c r="C693" s="382" t="s">
        <v>363</v>
      </c>
      <c r="D693" s="382" t="s">
        <v>18</v>
      </c>
      <c r="E693" s="386" t="s">
        <v>144</v>
      </c>
      <c r="F693" s="440" t="s">
        <v>381</v>
      </c>
      <c r="G693" s="411">
        <v>0.28370940000000006</v>
      </c>
      <c r="H693" s="387" t="str">
        <f t="shared" si="176"/>
        <v/>
      </c>
      <c r="I693" s="387" t="str">
        <f t="shared" si="177"/>
        <v/>
      </c>
      <c r="J693" s="387">
        <f t="shared" si="178"/>
        <v>0.28370940000000006</v>
      </c>
      <c r="K693" s="387" t="str">
        <f t="shared" si="179"/>
        <v/>
      </c>
      <c r="L693" s="411">
        <f t="shared" si="175"/>
        <v>1</v>
      </c>
      <c r="M693" s="409"/>
      <c r="N693" s="409"/>
      <c r="O693" s="409">
        <v>1</v>
      </c>
      <c r="P693" s="409"/>
      <c r="Q693" s="382"/>
      <c r="R693" s="385" t="str">
        <f t="shared" si="180"/>
        <v>T</v>
      </c>
      <c r="S693" s="389"/>
      <c r="T693" s="389"/>
      <c r="U693" s="389"/>
      <c r="V693" s="389"/>
      <c r="W693" s="389"/>
      <c r="X693" s="389"/>
      <c r="Y693" s="389"/>
      <c r="Z693" s="389"/>
      <c r="AA693" s="389"/>
      <c r="AB693" s="389"/>
      <c r="AC693" s="389"/>
      <c r="AD693" s="389"/>
      <c r="AE693" s="389"/>
      <c r="AF693" s="389"/>
    </row>
    <row r="694" spans="1:32" hidden="1" outlineLevel="3">
      <c r="A694" s="382"/>
      <c r="B694" s="386" t="s">
        <v>362</v>
      </c>
      <c r="C694" s="382" t="s">
        <v>363</v>
      </c>
      <c r="D694" s="382" t="s">
        <v>18</v>
      </c>
      <c r="E694" s="386" t="s">
        <v>144</v>
      </c>
      <c r="F694" s="440" t="s">
        <v>382</v>
      </c>
      <c r="G694" s="411">
        <v>0.17022564000000001</v>
      </c>
      <c r="H694" s="387" t="str">
        <f t="shared" si="176"/>
        <v/>
      </c>
      <c r="I694" s="387" t="str">
        <f t="shared" si="177"/>
        <v/>
      </c>
      <c r="J694" s="387">
        <f t="shared" si="178"/>
        <v>0.17022564000000001</v>
      </c>
      <c r="K694" s="387" t="str">
        <f t="shared" si="179"/>
        <v/>
      </c>
      <c r="L694" s="411">
        <f t="shared" si="175"/>
        <v>1</v>
      </c>
      <c r="M694" s="409"/>
      <c r="N694" s="409"/>
      <c r="O694" s="409">
        <v>1</v>
      </c>
      <c r="P694" s="409"/>
      <c r="Q694" s="382"/>
      <c r="R694" s="385" t="str">
        <f t="shared" si="180"/>
        <v>T</v>
      </c>
      <c r="S694" s="389"/>
      <c r="T694" s="389"/>
      <c r="U694" s="389"/>
      <c r="V694" s="389"/>
      <c r="W694" s="389"/>
      <c r="X694" s="389"/>
      <c r="Y694" s="389"/>
      <c r="Z694" s="389"/>
      <c r="AA694" s="389"/>
      <c r="AB694" s="389"/>
      <c r="AC694" s="389"/>
      <c r="AD694" s="389"/>
      <c r="AE694" s="389"/>
      <c r="AF694" s="389"/>
    </row>
    <row r="695" spans="1:32" hidden="1" outlineLevel="3">
      <c r="A695" s="382"/>
      <c r="B695" s="386" t="s">
        <v>362</v>
      </c>
      <c r="C695" s="382" t="s">
        <v>363</v>
      </c>
      <c r="D695" s="382" t="s">
        <v>18</v>
      </c>
      <c r="E695" s="386" t="s">
        <v>144</v>
      </c>
      <c r="F695" s="440" t="s">
        <v>383</v>
      </c>
      <c r="G695" s="411">
        <v>0.17022564000000001</v>
      </c>
      <c r="H695" s="387" t="str">
        <f t="shared" si="176"/>
        <v/>
      </c>
      <c r="I695" s="387" t="str">
        <f t="shared" si="177"/>
        <v/>
      </c>
      <c r="J695" s="387" t="str">
        <f t="shared" si="178"/>
        <v/>
      </c>
      <c r="K695" s="387">
        <f t="shared" si="179"/>
        <v>0.17022564000000001</v>
      </c>
      <c r="L695" s="411">
        <f t="shared" si="175"/>
        <v>1</v>
      </c>
      <c r="M695" s="409"/>
      <c r="N695" s="409"/>
      <c r="O695" s="409"/>
      <c r="P695" s="409">
        <v>1</v>
      </c>
      <c r="Q695" s="382"/>
      <c r="R695" s="385" t="str">
        <f t="shared" si="180"/>
        <v>T</v>
      </c>
      <c r="S695" s="389"/>
      <c r="T695" s="389"/>
      <c r="U695" s="389"/>
      <c r="V695" s="389"/>
      <c r="W695" s="389"/>
      <c r="X695" s="389"/>
      <c r="Y695" s="389"/>
      <c r="Z695" s="389"/>
      <c r="AA695" s="389"/>
      <c r="AB695" s="389"/>
      <c r="AC695" s="389"/>
      <c r="AD695" s="389"/>
      <c r="AE695" s="389"/>
      <c r="AF695" s="389"/>
    </row>
    <row r="696" spans="1:32" hidden="1" outlineLevel="3">
      <c r="A696" s="382"/>
      <c r="B696" s="386" t="s">
        <v>362</v>
      </c>
      <c r="C696" s="382" t="s">
        <v>363</v>
      </c>
      <c r="D696" s="382" t="s">
        <v>18</v>
      </c>
      <c r="E696" s="386" t="s">
        <v>144</v>
      </c>
      <c r="F696" s="440" t="s">
        <v>384</v>
      </c>
      <c r="G696" s="411">
        <v>0.28370940000000006</v>
      </c>
      <c r="H696" s="387" t="str">
        <f t="shared" si="176"/>
        <v/>
      </c>
      <c r="I696" s="387" t="str">
        <f t="shared" si="177"/>
        <v/>
      </c>
      <c r="J696" s="387">
        <f t="shared" si="178"/>
        <v>0.28370940000000006</v>
      </c>
      <c r="K696" s="387" t="str">
        <f t="shared" si="179"/>
        <v/>
      </c>
      <c r="L696" s="411">
        <f t="shared" si="175"/>
        <v>1</v>
      </c>
      <c r="M696" s="409"/>
      <c r="N696" s="409"/>
      <c r="O696" s="409">
        <v>1</v>
      </c>
      <c r="P696" s="409"/>
      <c r="Q696" s="382"/>
      <c r="R696" s="385" t="str">
        <f t="shared" si="180"/>
        <v>T</v>
      </c>
      <c r="S696" s="389"/>
      <c r="T696" s="389"/>
      <c r="U696" s="389"/>
      <c r="V696" s="389"/>
      <c r="W696" s="389"/>
      <c r="X696" s="389"/>
      <c r="Y696" s="389"/>
      <c r="Z696" s="389"/>
      <c r="AA696" s="389"/>
      <c r="AB696" s="389"/>
      <c r="AC696" s="389"/>
      <c r="AD696" s="389"/>
      <c r="AE696" s="389"/>
      <c r="AF696" s="389"/>
    </row>
    <row r="697" spans="1:32" hidden="1" outlineLevel="3">
      <c r="A697" s="382"/>
      <c r="B697" s="386" t="s">
        <v>362</v>
      </c>
      <c r="C697" s="382" t="s">
        <v>363</v>
      </c>
      <c r="D697" s="382" t="s">
        <v>18</v>
      </c>
      <c r="E697" s="386" t="s">
        <v>144</v>
      </c>
      <c r="F697" s="440" t="s">
        <v>385</v>
      </c>
      <c r="G697" s="411">
        <v>0.17022564000000001</v>
      </c>
      <c r="H697" s="387" t="str">
        <f t="shared" si="176"/>
        <v/>
      </c>
      <c r="I697" s="387" t="str">
        <f t="shared" si="177"/>
        <v/>
      </c>
      <c r="J697" s="387">
        <f t="shared" si="178"/>
        <v>0.17022564000000001</v>
      </c>
      <c r="K697" s="387" t="str">
        <f t="shared" si="179"/>
        <v/>
      </c>
      <c r="L697" s="411">
        <f t="shared" si="175"/>
        <v>1</v>
      </c>
      <c r="M697" s="409"/>
      <c r="N697" s="409"/>
      <c r="O697" s="409">
        <v>1</v>
      </c>
      <c r="P697" s="409"/>
      <c r="Q697" s="382"/>
      <c r="R697" s="385" t="str">
        <f t="shared" si="180"/>
        <v>T</v>
      </c>
      <c r="S697" s="389"/>
      <c r="T697" s="389"/>
      <c r="U697" s="389"/>
      <c r="V697" s="389"/>
      <c r="W697" s="389"/>
      <c r="X697" s="389"/>
      <c r="Y697" s="389"/>
      <c r="Z697" s="389"/>
      <c r="AA697" s="389"/>
      <c r="AB697" s="389"/>
      <c r="AC697" s="389"/>
      <c r="AD697" s="389"/>
      <c r="AE697" s="389"/>
      <c r="AF697" s="389"/>
    </row>
    <row r="698" spans="1:32" ht="26.45" hidden="1" outlineLevel="3">
      <c r="A698" s="382"/>
      <c r="B698" s="386" t="s">
        <v>362</v>
      </c>
      <c r="C698" s="382" t="s">
        <v>363</v>
      </c>
      <c r="D698" s="382" t="s">
        <v>18</v>
      </c>
      <c r="E698" s="386" t="s">
        <v>144</v>
      </c>
      <c r="F698" s="440" t="s">
        <v>386</v>
      </c>
      <c r="G698" s="411">
        <v>0.28370940000000006</v>
      </c>
      <c r="H698" s="387" t="str">
        <f t="shared" si="176"/>
        <v/>
      </c>
      <c r="I698" s="387" t="str">
        <f t="shared" si="177"/>
        <v/>
      </c>
      <c r="J698" s="387" t="str">
        <f t="shared" si="178"/>
        <v/>
      </c>
      <c r="K698" s="387">
        <f t="shared" si="179"/>
        <v>0.28370940000000006</v>
      </c>
      <c r="L698" s="411">
        <f t="shared" si="175"/>
        <v>1</v>
      </c>
      <c r="M698" s="409"/>
      <c r="N698" s="409"/>
      <c r="O698" s="409"/>
      <c r="P698" s="409">
        <v>1</v>
      </c>
      <c r="Q698" s="382"/>
      <c r="R698" s="385" t="str">
        <f t="shared" si="180"/>
        <v>T</v>
      </c>
      <c r="S698" s="389"/>
      <c r="T698" s="389"/>
      <c r="U698" s="389"/>
      <c r="V698" s="389"/>
      <c r="W698" s="389"/>
      <c r="X698" s="389"/>
      <c r="Y698" s="389"/>
      <c r="Z698" s="389"/>
      <c r="AA698" s="389"/>
      <c r="AB698" s="389"/>
      <c r="AC698" s="389"/>
      <c r="AD698" s="389"/>
      <c r="AE698" s="389"/>
      <c r="AF698" s="389"/>
    </row>
    <row r="699" spans="1:32" hidden="1" outlineLevel="3">
      <c r="A699" s="382"/>
      <c r="B699" s="386" t="s">
        <v>362</v>
      </c>
      <c r="C699" s="382" t="s">
        <v>363</v>
      </c>
      <c r="D699" s="382" t="s">
        <v>18</v>
      </c>
      <c r="E699" s="386" t="s">
        <v>144</v>
      </c>
      <c r="F699" s="440" t="s">
        <v>387</v>
      </c>
      <c r="G699" s="411">
        <v>0.17022564000000001</v>
      </c>
      <c r="H699" s="387" t="str">
        <f t="shared" si="176"/>
        <v/>
      </c>
      <c r="I699" s="387" t="str">
        <f t="shared" si="177"/>
        <v/>
      </c>
      <c r="J699" s="387" t="str">
        <f t="shared" si="178"/>
        <v/>
      </c>
      <c r="K699" s="387">
        <f t="shared" si="179"/>
        <v>0.17022564000000001</v>
      </c>
      <c r="L699" s="411">
        <f t="shared" si="175"/>
        <v>1</v>
      </c>
      <c r="M699" s="409"/>
      <c r="N699" s="409"/>
      <c r="O699" s="409"/>
      <c r="P699" s="409">
        <v>1</v>
      </c>
      <c r="Q699" s="382"/>
      <c r="R699" s="385" t="str">
        <f t="shared" si="180"/>
        <v>T</v>
      </c>
      <c r="S699" s="389"/>
      <c r="T699" s="389"/>
      <c r="U699" s="389"/>
      <c r="V699" s="389"/>
      <c r="W699" s="389"/>
      <c r="X699" s="389"/>
      <c r="Y699" s="389"/>
      <c r="Z699" s="389"/>
      <c r="AA699" s="389"/>
      <c r="AB699" s="389"/>
      <c r="AC699" s="389"/>
      <c r="AD699" s="389"/>
      <c r="AE699" s="389"/>
      <c r="AF699" s="389"/>
    </row>
    <row r="700" spans="1:32" hidden="1" outlineLevel="3">
      <c r="A700" s="382"/>
      <c r="B700" s="386" t="s">
        <v>362</v>
      </c>
      <c r="C700" s="382" t="s">
        <v>363</v>
      </c>
      <c r="D700" s="382" t="s">
        <v>18</v>
      </c>
      <c r="E700" s="386" t="s">
        <v>144</v>
      </c>
      <c r="F700" s="440" t="s">
        <v>388</v>
      </c>
      <c r="G700" s="411">
        <v>0.17022564000000001</v>
      </c>
      <c r="H700" s="387" t="str">
        <f t="shared" si="176"/>
        <v/>
      </c>
      <c r="I700" s="387" t="str">
        <f t="shared" si="177"/>
        <v/>
      </c>
      <c r="J700" s="387" t="str">
        <f t="shared" si="178"/>
        <v/>
      </c>
      <c r="K700" s="387">
        <f t="shared" si="179"/>
        <v>0.17022564000000001</v>
      </c>
      <c r="L700" s="411">
        <f t="shared" si="175"/>
        <v>1</v>
      </c>
      <c r="M700" s="409"/>
      <c r="N700" s="409"/>
      <c r="O700" s="409"/>
      <c r="P700" s="409">
        <v>1</v>
      </c>
      <c r="Q700" s="382"/>
      <c r="R700" s="385" t="str">
        <f t="shared" si="180"/>
        <v>T</v>
      </c>
      <c r="S700" s="389"/>
      <c r="T700" s="389"/>
      <c r="U700" s="389"/>
      <c r="V700" s="389"/>
      <c r="W700" s="389"/>
      <c r="X700" s="389"/>
      <c r="Y700" s="389"/>
      <c r="Z700" s="389"/>
      <c r="AA700" s="389"/>
      <c r="AB700" s="389"/>
      <c r="AC700" s="389"/>
      <c r="AD700" s="389"/>
      <c r="AE700" s="389"/>
      <c r="AF700" s="389"/>
    </row>
    <row r="701" spans="1:32" hidden="1" outlineLevel="3">
      <c r="A701" s="382"/>
      <c r="B701" s="386" t="s">
        <v>362</v>
      </c>
      <c r="C701" s="382" t="s">
        <v>363</v>
      </c>
      <c r="D701" s="382" t="s">
        <v>18</v>
      </c>
      <c r="E701" s="386" t="s">
        <v>144</v>
      </c>
      <c r="F701" s="440" t="s">
        <v>389</v>
      </c>
      <c r="G701" s="411">
        <v>0.13060359000000002</v>
      </c>
      <c r="H701" s="387" t="str">
        <f t="shared" si="176"/>
        <v/>
      </c>
      <c r="I701" s="387" t="str">
        <f t="shared" si="177"/>
        <v/>
      </c>
      <c r="J701" s="387">
        <f t="shared" si="178"/>
        <v>0.13060359000000002</v>
      </c>
      <c r="K701" s="387" t="str">
        <f t="shared" si="179"/>
        <v/>
      </c>
      <c r="L701" s="411">
        <f t="shared" si="175"/>
        <v>1</v>
      </c>
      <c r="M701" s="409"/>
      <c r="N701" s="409"/>
      <c r="O701" s="409">
        <v>1</v>
      </c>
      <c r="P701" s="409"/>
      <c r="Q701" s="382"/>
      <c r="R701" s="385" t="str">
        <f t="shared" si="180"/>
        <v>T</v>
      </c>
      <c r="S701" s="389"/>
      <c r="T701" s="389"/>
      <c r="U701" s="389"/>
      <c r="V701" s="389"/>
      <c r="W701" s="389"/>
      <c r="X701" s="389"/>
      <c r="Y701" s="389"/>
      <c r="Z701" s="389"/>
      <c r="AA701" s="389"/>
      <c r="AB701" s="389"/>
      <c r="AC701" s="389"/>
      <c r="AD701" s="389"/>
      <c r="AE701" s="389"/>
      <c r="AF701" s="389"/>
    </row>
    <row r="702" spans="1:32" hidden="1" outlineLevel="3">
      <c r="A702" s="382"/>
      <c r="B702" s="386" t="s">
        <v>362</v>
      </c>
      <c r="C702" s="382" t="s">
        <v>363</v>
      </c>
      <c r="D702" s="382" t="s">
        <v>18</v>
      </c>
      <c r="E702" s="386" t="s">
        <v>144</v>
      </c>
      <c r="F702" s="440" t="s">
        <v>390</v>
      </c>
      <c r="G702" s="411">
        <v>7.8362154000000003E-2</v>
      </c>
      <c r="H702" s="387" t="str">
        <f t="shared" si="176"/>
        <v/>
      </c>
      <c r="I702" s="387" t="str">
        <f t="shared" si="177"/>
        <v/>
      </c>
      <c r="J702" s="387">
        <f t="shared" si="178"/>
        <v>7.8362154000000003E-2</v>
      </c>
      <c r="K702" s="387" t="str">
        <f t="shared" si="179"/>
        <v/>
      </c>
      <c r="L702" s="411">
        <f t="shared" si="175"/>
        <v>1</v>
      </c>
      <c r="M702" s="409"/>
      <c r="N702" s="409"/>
      <c r="O702" s="409">
        <v>1</v>
      </c>
      <c r="P702" s="409"/>
      <c r="Q702" s="382"/>
      <c r="R702" s="385" t="str">
        <f t="shared" si="180"/>
        <v>T</v>
      </c>
      <c r="S702" s="389"/>
      <c r="T702" s="389"/>
      <c r="U702" s="389"/>
      <c r="V702" s="389"/>
      <c r="W702" s="389"/>
      <c r="X702" s="389"/>
      <c r="Y702" s="389"/>
      <c r="Z702" s="389"/>
      <c r="AA702" s="389"/>
      <c r="AB702" s="389"/>
      <c r="AC702" s="389"/>
      <c r="AD702" s="389"/>
      <c r="AE702" s="389"/>
      <c r="AF702" s="389"/>
    </row>
    <row r="703" spans="1:32" ht="26.45" hidden="1" outlineLevel="3">
      <c r="A703" s="382"/>
      <c r="B703" s="386" t="s">
        <v>362</v>
      </c>
      <c r="C703" s="382" t="s">
        <v>363</v>
      </c>
      <c r="D703" s="382" t="s">
        <v>18</v>
      </c>
      <c r="E703" s="386" t="s">
        <v>144</v>
      </c>
      <c r="F703" s="440" t="s">
        <v>391</v>
      </c>
      <c r="G703" s="411">
        <v>0.13060359000000002</v>
      </c>
      <c r="H703" s="387" t="str">
        <f t="shared" si="176"/>
        <v/>
      </c>
      <c r="I703" s="387" t="str">
        <f t="shared" si="177"/>
        <v/>
      </c>
      <c r="J703" s="387" t="str">
        <f t="shared" si="178"/>
        <v/>
      </c>
      <c r="K703" s="387">
        <f t="shared" si="179"/>
        <v>0.13060359000000002</v>
      </c>
      <c r="L703" s="411">
        <f t="shared" si="175"/>
        <v>1</v>
      </c>
      <c r="M703" s="409"/>
      <c r="N703" s="409"/>
      <c r="O703" s="409"/>
      <c r="P703" s="409">
        <v>1</v>
      </c>
      <c r="Q703" s="382"/>
      <c r="R703" s="385" t="str">
        <f t="shared" si="180"/>
        <v>T</v>
      </c>
      <c r="S703" s="389"/>
      <c r="T703" s="389"/>
      <c r="U703" s="389"/>
      <c r="V703" s="389"/>
      <c r="W703" s="389"/>
      <c r="X703" s="389"/>
      <c r="Y703" s="389"/>
      <c r="Z703" s="389"/>
      <c r="AA703" s="389"/>
      <c r="AB703" s="389"/>
      <c r="AC703" s="389"/>
      <c r="AD703" s="389"/>
      <c r="AE703" s="389"/>
      <c r="AF703" s="389"/>
    </row>
    <row r="704" spans="1:32" hidden="1" outlineLevel="3">
      <c r="A704" s="382"/>
      <c r="B704" s="386" t="s">
        <v>362</v>
      </c>
      <c r="C704" s="382" t="s">
        <v>363</v>
      </c>
      <c r="D704" s="382" t="s">
        <v>18</v>
      </c>
      <c r="E704" s="386" t="s">
        <v>144</v>
      </c>
      <c r="F704" s="440" t="s">
        <v>392</v>
      </c>
      <c r="G704" s="411">
        <v>7.8362154000000003E-2</v>
      </c>
      <c r="H704" s="387" t="str">
        <f t="shared" si="176"/>
        <v/>
      </c>
      <c r="I704" s="387" t="str">
        <f t="shared" si="177"/>
        <v/>
      </c>
      <c r="J704" s="387" t="str">
        <f t="shared" si="178"/>
        <v/>
      </c>
      <c r="K704" s="387">
        <f t="shared" si="179"/>
        <v>7.8362154000000003E-2</v>
      </c>
      <c r="L704" s="411">
        <f t="shared" si="175"/>
        <v>1</v>
      </c>
      <c r="M704" s="409"/>
      <c r="N704" s="409"/>
      <c r="O704" s="409"/>
      <c r="P704" s="409">
        <v>1</v>
      </c>
      <c r="Q704" s="382"/>
      <c r="R704" s="385" t="str">
        <f t="shared" si="180"/>
        <v>T</v>
      </c>
      <c r="S704" s="389"/>
      <c r="T704" s="389"/>
      <c r="U704" s="389"/>
      <c r="V704" s="389"/>
      <c r="W704" s="389"/>
      <c r="X704" s="389"/>
      <c r="Y704" s="389"/>
      <c r="Z704" s="389"/>
      <c r="AA704" s="389"/>
      <c r="AB704" s="389"/>
      <c r="AC704" s="389"/>
      <c r="AD704" s="389"/>
      <c r="AE704" s="389"/>
      <c r="AF704" s="389"/>
    </row>
    <row r="705" spans="1:32" hidden="1" outlineLevel="3">
      <c r="A705" s="382"/>
      <c r="B705" s="386" t="s">
        <v>362</v>
      </c>
      <c r="C705" s="382" t="s">
        <v>363</v>
      </c>
      <c r="D705" s="382" t="s">
        <v>18</v>
      </c>
      <c r="E705" s="386" t="s">
        <v>144</v>
      </c>
      <c r="F705" s="440" t="s">
        <v>393</v>
      </c>
      <c r="G705" s="411">
        <v>7.8362154000000003E-2</v>
      </c>
      <c r="H705" s="387" t="str">
        <f t="shared" si="176"/>
        <v/>
      </c>
      <c r="I705" s="387" t="str">
        <f t="shared" si="177"/>
        <v/>
      </c>
      <c r="J705" s="387" t="str">
        <f t="shared" si="178"/>
        <v/>
      </c>
      <c r="K705" s="387">
        <f t="shared" si="179"/>
        <v>7.8362154000000003E-2</v>
      </c>
      <c r="L705" s="411">
        <f t="shared" si="175"/>
        <v>1</v>
      </c>
      <c r="M705" s="409"/>
      <c r="N705" s="409"/>
      <c r="O705" s="409"/>
      <c r="P705" s="409">
        <v>1</v>
      </c>
      <c r="Q705" s="382"/>
      <c r="R705" s="385" t="str">
        <f t="shared" si="180"/>
        <v>T</v>
      </c>
      <c r="S705" s="389"/>
      <c r="T705" s="389"/>
      <c r="U705" s="389"/>
      <c r="V705" s="389"/>
      <c r="W705" s="389"/>
      <c r="X705" s="389"/>
      <c r="Y705" s="389"/>
      <c r="Z705" s="389"/>
      <c r="AA705" s="389"/>
      <c r="AB705" s="389"/>
      <c r="AC705" s="389"/>
      <c r="AD705" s="389"/>
      <c r="AE705" s="389"/>
      <c r="AF705" s="389"/>
    </row>
    <row r="706" spans="1:32" hidden="1" outlineLevel="2" collapsed="1">
      <c r="A706" s="382"/>
      <c r="B706" s="386" t="s">
        <v>362</v>
      </c>
      <c r="C706" s="382" t="s">
        <v>363</v>
      </c>
      <c r="D706" s="382" t="s">
        <v>26</v>
      </c>
      <c r="E706" s="382"/>
      <c r="F706" s="440" t="s">
        <v>366</v>
      </c>
      <c r="G706" s="411">
        <f>SUM(G707:G732)</f>
        <v>6.039031936988942</v>
      </c>
      <c r="H706" s="411">
        <f>SUM(H707:H732)</f>
        <v>3.257897459827789</v>
      </c>
      <c r="I706" s="411">
        <f>SUM(I707:I732)</f>
        <v>0.61867008690668324</v>
      </c>
      <c r="J706" s="411">
        <f>SUM(J707:J732)</f>
        <v>1.2870245796601747</v>
      </c>
      <c r="K706" s="411">
        <f>SUM(K707:K732)</f>
        <v>0.87543981059429565</v>
      </c>
      <c r="L706" s="411">
        <f t="shared" si="175"/>
        <v>26</v>
      </c>
      <c r="M706" s="409">
        <f>SUM(M707:M732)</f>
        <v>2</v>
      </c>
      <c r="N706" s="409">
        <f>SUM(N707:N732)</f>
        <v>4</v>
      </c>
      <c r="O706" s="409">
        <f>SUM(O707:O732)</f>
        <v>11</v>
      </c>
      <c r="P706" s="409">
        <f>SUM(P707:P732)</f>
        <v>9</v>
      </c>
      <c r="Q706" s="382"/>
      <c r="R706" s="385" t="str">
        <f t="shared" si="180"/>
        <v>T</v>
      </c>
      <c r="S706" s="389"/>
      <c r="T706" s="389"/>
      <c r="U706" s="389"/>
      <c r="V706" s="389"/>
      <c r="W706" s="389"/>
      <c r="X706" s="389"/>
      <c r="Y706" s="389"/>
      <c r="Z706" s="389"/>
      <c r="AA706" s="389"/>
      <c r="AB706" s="389"/>
      <c r="AC706" s="389"/>
      <c r="AD706" s="389"/>
      <c r="AE706" s="389"/>
      <c r="AF706" s="389"/>
    </row>
    <row r="707" spans="1:32" hidden="1" outlineLevel="3">
      <c r="A707" s="382"/>
      <c r="B707" s="386" t="s">
        <v>362</v>
      </c>
      <c r="C707" s="382" t="s">
        <v>363</v>
      </c>
      <c r="D707" s="382" t="s">
        <v>26</v>
      </c>
      <c r="E707" s="382" t="s">
        <v>27</v>
      </c>
      <c r="F707" s="446" t="s">
        <v>32</v>
      </c>
      <c r="G707" s="411">
        <v>1.3962417684976238</v>
      </c>
      <c r="H707" s="387">
        <f t="shared" ref="H707:H732" si="181">IF(M707=1,$G707,"")</f>
        <v>1.3962417684976238</v>
      </c>
      <c r="I707" s="387" t="str">
        <f t="shared" ref="I707:I732" si="182">IF(N707=1,$G707,"")</f>
        <v/>
      </c>
      <c r="J707" s="387" t="str">
        <f t="shared" ref="J707:J732" si="183">IF(O707=1,$G707,"")</f>
        <v/>
      </c>
      <c r="K707" s="387" t="str">
        <f t="shared" ref="K707:K732" si="184">IF(P707=1,$G707,"")</f>
        <v/>
      </c>
      <c r="L707" s="411">
        <f t="shared" ref="L707:L738" si="185">SUM(M707:P707)</f>
        <v>1</v>
      </c>
      <c r="M707" s="409">
        <v>1</v>
      </c>
      <c r="N707" s="409"/>
      <c r="O707" s="409"/>
      <c r="P707" s="409"/>
      <c r="Q707" s="382"/>
      <c r="R707" s="385" t="str">
        <f t="shared" si="180"/>
        <v>T</v>
      </c>
      <c r="S707" s="389"/>
      <c r="T707" s="389"/>
      <c r="U707" s="389"/>
      <c r="V707" s="389"/>
      <c r="W707" s="389"/>
      <c r="X707" s="389"/>
      <c r="Y707" s="389"/>
      <c r="Z707" s="389"/>
      <c r="AA707" s="389"/>
      <c r="AB707" s="389"/>
      <c r="AC707" s="389"/>
      <c r="AD707" s="389"/>
      <c r="AE707" s="389"/>
      <c r="AF707" s="389"/>
    </row>
    <row r="708" spans="1:32" hidden="1" outlineLevel="3">
      <c r="A708" s="382"/>
      <c r="B708" s="386" t="s">
        <v>362</v>
      </c>
      <c r="C708" s="382" t="s">
        <v>363</v>
      </c>
      <c r="D708" s="382" t="s">
        <v>26</v>
      </c>
      <c r="E708" s="382" t="s">
        <v>27</v>
      </c>
      <c r="F708" s="440" t="s">
        <v>34</v>
      </c>
      <c r="G708" s="411">
        <v>1.8616556913301652</v>
      </c>
      <c r="H708" s="387">
        <f t="shared" si="181"/>
        <v>1.8616556913301652</v>
      </c>
      <c r="I708" s="387" t="str">
        <f t="shared" si="182"/>
        <v/>
      </c>
      <c r="J708" s="387" t="str">
        <f t="shared" si="183"/>
        <v/>
      </c>
      <c r="K708" s="387" t="str">
        <f t="shared" si="184"/>
        <v/>
      </c>
      <c r="L708" s="411">
        <f t="shared" si="185"/>
        <v>1</v>
      </c>
      <c r="M708" s="409">
        <v>1</v>
      </c>
      <c r="N708" s="409"/>
      <c r="O708" s="409"/>
      <c r="P708" s="409"/>
      <c r="Q708" s="382"/>
      <c r="R708" s="385" t="str">
        <f t="shared" si="180"/>
        <v>T</v>
      </c>
      <c r="S708" s="389"/>
      <c r="T708" s="389"/>
      <c r="U708" s="389"/>
      <c r="V708" s="389"/>
      <c r="W708" s="389"/>
      <c r="X708" s="389"/>
      <c r="Y708" s="389"/>
      <c r="Z708" s="389"/>
      <c r="AA708" s="389"/>
      <c r="AB708" s="389"/>
      <c r="AC708" s="389"/>
      <c r="AD708" s="389"/>
      <c r="AE708" s="389"/>
      <c r="AF708" s="389"/>
    </row>
    <row r="709" spans="1:32" hidden="1" outlineLevel="3">
      <c r="A709" s="382"/>
      <c r="B709" s="386" t="s">
        <v>362</v>
      </c>
      <c r="C709" s="382" t="s">
        <v>363</v>
      </c>
      <c r="D709" s="382" t="s">
        <v>26</v>
      </c>
      <c r="E709" s="382" t="s">
        <v>27</v>
      </c>
      <c r="F709" s="440" t="s">
        <v>394</v>
      </c>
      <c r="G709" s="411">
        <v>2.1205459000000003E-2</v>
      </c>
      <c r="H709" s="387" t="str">
        <f t="shared" si="181"/>
        <v/>
      </c>
      <c r="I709" s="387">
        <f t="shared" si="182"/>
        <v>2.1205459000000003E-2</v>
      </c>
      <c r="J709" s="387" t="str">
        <f t="shared" si="183"/>
        <v/>
      </c>
      <c r="K709" s="387" t="str">
        <f t="shared" si="184"/>
        <v/>
      </c>
      <c r="L709" s="411">
        <f t="shared" si="185"/>
        <v>1</v>
      </c>
      <c r="M709" s="409"/>
      <c r="N709" s="409">
        <v>1</v>
      </c>
      <c r="O709" s="409"/>
      <c r="P709" s="409"/>
      <c r="Q709" s="382"/>
      <c r="R709" s="385" t="str">
        <f t="shared" si="180"/>
        <v>T</v>
      </c>
      <c r="S709" s="389"/>
      <c r="T709" s="389"/>
      <c r="U709" s="389"/>
      <c r="V709" s="389"/>
      <c r="W709" s="389"/>
      <c r="X709" s="389"/>
      <c r="Y709" s="389"/>
      <c r="Z709" s="389"/>
      <c r="AA709" s="389"/>
      <c r="AB709" s="389"/>
      <c r="AC709" s="389"/>
      <c r="AD709" s="389"/>
      <c r="AE709" s="389"/>
      <c r="AF709" s="389"/>
    </row>
    <row r="710" spans="1:32" hidden="1" outlineLevel="3">
      <c r="A710" s="382"/>
      <c r="B710" s="386" t="s">
        <v>362</v>
      </c>
      <c r="C710" s="382" t="s">
        <v>363</v>
      </c>
      <c r="D710" s="382" t="s">
        <v>26</v>
      </c>
      <c r="E710" s="382" t="s">
        <v>27</v>
      </c>
      <c r="F710" s="440" t="s">
        <v>367</v>
      </c>
      <c r="G710" s="411">
        <v>8.4821836000000012E-2</v>
      </c>
      <c r="H710" s="387" t="str">
        <f t="shared" si="181"/>
        <v/>
      </c>
      <c r="I710" s="387">
        <f t="shared" si="182"/>
        <v>8.4821836000000012E-2</v>
      </c>
      <c r="J710" s="387" t="str">
        <f t="shared" si="183"/>
        <v/>
      </c>
      <c r="K710" s="387" t="str">
        <f t="shared" si="184"/>
        <v/>
      </c>
      <c r="L710" s="411">
        <f t="shared" si="185"/>
        <v>1</v>
      </c>
      <c r="M710" s="409"/>
      <c r="N710" s="409">
        <v>1</v>
      </c>
      <c r="O710" s="409"/>
      <c r="P710" s="409"/>
      <c r="Q710" s="382"/>
      <c r="R710" s="385" t="str">
        <f t="shared" si="180"/>
        <v>T</v>
      </c>
      <c r="S710" s="389"/>
      <c r="T710" s="389"/>
      <c r="U710" s="389"/>
      <c r="V710" s="389"/>
      <c r="W710" s="389"/>
      <c r="X710" s="389"/>
      <c r="Y710" s="389"/>
      <c r="Z710" s="389"/>
      <c r="AA710" s="389"/>
      <c r="AB710" s="389"/>
      <c r="AC710" s="389"/>
      <c r="AD710" s="389"/>
      <c r="AE710" s="389"/>
      <c r="AF710" s="389"/>
    </row>
    <row r="711" spans="1:32" hidden="1" outlineLevel="3">
      <c r="A711" s="382"/>
      <c r="B711" s="386" t="s">
        <v>362</v>
      </c>
      <c r="C711" s="382" t="s">
        <v>363</v>
      </c>
      <c r="D711" s="382" t="s">
        <v>26</v>
      </c>
      <c r="E711" s="382" t="s">
        <v>27</v>
      </c>
      <c r="F711" s="440" t="s">
        <v>368</v>
      </c>
      <c r="G711" s="411">
        <v>6.3616377000000002E-2</v>
      </c>
      <c r="H711" s="387" t="str">
        <f t="shared" si="181"/>
        <v/>
      </c>
      <c r="I711" s="387" t="str">
        <f t="shared" si="182"/>
        <v/>
      </c>
      <c r="J711" s="387">
        <f t="shared" si="183"/>
        <v>6.3616377000000002E-2</v>
      </c>
      <c r="K711" s="387" t="str">
        <f t="shared" si="184"/>
        <v/>
      </c>
      <c r="L711" s="411">
        <f t="shared" si="185"/>
        <v>1</v>
      </c>
      <c r="M711" s="409"/>
      <c r="N711" s="409"/>
      <c r="O711" s="409">
        <v>1</v>
      </c>
      <c r="P711" s="409"/>
      <c r="Q711" s="382"/>
      <c r="R711" s="385" t="str">
        <f t="shared" si="180"/>
        <v>T</v>
      </c>
      <c r="S711" s="389"/>
      <c r="T711" s="389"/>
      <c r="U711" s="389"/>
      <c r="V711" s="389"/>
      <c r="W711" s="389"/>
      <c r="X711" s="389"/>
      <c r="Y711" s="389"/>
      <c r="Z711" s="389"/>
      <c r="AA711" s="389"/>
      <c r="AB711" s="389"/>
      <c r="AC711" s="389"/>
      <c r="AD711" s="389"/>
      <c r="AE711" s="389"/>
      <c r="AF711" s="389"/>
    </row>
    <row r="712" spans="1:32" hidden="1" outlineLevel="3">
      <c r="A712" s="382"/>
      <c r="B712" s="386" t="s">
        <v>362</v>
      </c>
      <c r="C712" s="382" t="s">
        <v>363</v>
      </c>
      <c r="D712" s="382" t="s">
        <v>26</v>
      </c>
      <c r="E712" s="382" t="s">
        <v>27</v>
      </c>
      <c r="F712" s="440" t="s">
        <v>369</v>
      </c>
      <c r="G712" s="411">
        <v>6.3616377000000002E-2</v>
      </c>
      <c r="H712" s="387" t="str">
        <f t="shared" si="181"/>
        <v/>
      </c>
      <c r="I712" s="387" t="str">
        <f t="shared" si="182"/>
        <v/>
      </c>
      <c r="J712" s="387">
        <f t="shared" si="183"/>
        <v>6.3616377000000002E-2</v>
      </c>
      <c r="K712" s="387" t="str">
        <f t="shared" si="184"/>
        <v/>
      </c>
      <c r="L712" s="411">
        <f t="shared" si="185"/>
        <v>1</v>
      </c>
      <c r="M712" s="409"/>
      <c r="N712" s="409"/>
      <c r="O712" s="409">
        <v>1</v>
      </c>
      <c r="P712" s="409"/>
      <c r="Q712" s="382"/>
      <c r="R712" s="385" t="str">
        <f t="shared" si="180"/>
        <v>T</v>
      </c>
      <c r="S712" s="389"/>
      <c r="T712" s="389"/>
      <c r="U712" s="389"/>
      <c r="V712" s="389"/>
      <c r="W712" s="389"/>
      <c r="X712" s="389"/>
      <c r="Y712" s="389"/>
      <c r="Z712" s="389"/>
      <c r="AA712" s="389"/>
      <c r="AB712" s="389"/>
      <c r="AC712" s="389"/>
      <c r="AD712" s="389"/>
      <c r="AE712" s="389"/>
      <c r="AF712" s="389"/>
    </row>
    <row r="713" spans="1:32" hidden="1" outlineLevel="3">
      <c r="A713" s="382"/>
      <c r="B713" s="386" t="s">
        <v>362</v>
      </c>
      <c r="C713" s="382" t="s">
        <v>363</v>
      </c>
      <c r="D713" s="382" t="s">
        <v>26</v>
      </c>
      <c r="E713" s="382" t="s">
        <v>27</v>
      </c>
      <c r="F713" s="440" t="s">
        <v>395</v>
      </c>
      <c r="G713" s="411">
        <v>2.1205459000000003E-2</v>
      </c>
      <c r="H713" s="387" t="str">
        <f t="shared" si="181"/>
        <v/>
      </c>
      <c r="I713" s="387" t="str">
        <f t="shared" si="182"/>
        <v/>
      </c>
      <c r="J713" s="387">
        <f t="shared" si="183"/>
        <v>2.1205459000000003E-2</v>
      </c>
      <c r="K713" s="387" t="str">
        <f t="shared" si="184"/>
        <v/>
      </c>
      <c r="L713" s="411">
        <f t="shared" si="185"/>
        <v>1</v>
      </c>
      <c r="M713" s="409"/>
      <c r="N713" s="409"/>
      <c r="O713" s="409">
        <v>1</v>
      </c>
      <c r="P713" s="409"/>
      <c r="Q713" s="382"/>
      <c r="R713" s="385" t="str">
        <f t="shared" si="180"/>
        <v>T</v>
      </c>
      <c r="S713" s="389"/>
      <c r="T713" s="389"/>
      <c r="U713" s="389"/>
      <c r="V713" s="389"/>
      <c r="W713" s="389"/>
      <c r="X713" s="389"/>
      <c r="Y713" s="389"/>
      <c r="Z713" s="389"/>
      <c r="AA713" s="389"/>
      <c r="AB713" s="389"/>
      <c r="AC713" s="389"/>
      <c r="AD713" s="389"/>
      <c r="AE713" s="389"/>
      <c r="AF713" s="389"/>
    </row>
    <row r="714" spans="1:32" hidden="1" outlineLevel="3">
      <c r="A714" s="382"/>
      <c r="B714" s="386" t="s">
        <v>362</v>
      </c>
      <c r="C714" s="382" t="s">
        <v>363</v>
      </c>
      <c r="D714" s="382" t="s">
        <v>26</v>
      </c>
      <c r="E714" s="382" t="s">
        <v>27</v>
      </c>
      <c r="F714" s="440" t="s">
        <v>371</v>
      </c>
      <c r="G714" s="411">
        <v>8.4821836000000012E-2</v>
      </c>
      <c r="H714" s="387" t="str">
        <f t="shared" si="181"/>
        <v/>
      </c>
      <c r="I714" s="387" t="str">
        <f t="shared" si="182"/>
        <v/>
      </c>
      <c r="J714" s="387">
        <f t="shared" si="183"/>
        <v>8.4821836000000012E-2</v>
      </c>
      <c r="K714" s="387" t="str">
        <f t="shared" si="184"/>
        <v/>
      </c>
      <c r="L714" s="411">
        <f t="shared" si="185"/>
        <v>1</v>
      </c>
      <c r="M714" s="409"/>
      <c r="N714" s="409"/>
      <c r="O714" s="409">
        <v>1</v>
      </c>
      <c r="P714" s="409"/>
      <c r="Q714" s="382"/>
      <c r="R714" s="385" t="str">
        <f t="shared" si="180"/>
        <v>T</v>
      </c>
      <c r="S714" s="389"/>
      <c r="T714" s="389"/>
      <c r="U714" s="389"/>
      <c r="V714" s="389"/>
      <c r="W714" s="389"/>
      <c r="X714" s="389"/>
      <c r="Y714" s="389"/>
      <c r="Z714" s="389"/>
      <c r="AA714" s="389"/>
      <c r="AB714" s="389"/>
      <c r="AC714" s="389"/>
      <c r="AD714" s="389"/>
      <c r="AE714" s="389"/>
      <c r="AF714" s="389"/>
    </row>
    <row r="715" spans="1:32" hidden="1" outlineLevel="3">
      <c r="A715" s="382"/>
      <c r="B715" s="386" t="s">
        <v>362</v>
      </c>
      <c r="C715" s="382" t="s">
        <v>363</v>
      </c>
      <c r="D715" s="382" t="s">
        <v>26</v>
      </c>
      <c r="E715" s="382" t="s">
        <v>27</v>
      </c>
      <c r="F715" s="440" t="s">
        <v>372</v>
      </c>
      <c r="G715" s="411">
        <v>6.3616377000000002E-2</v>
      </c>
      <c r="H715" s="387" t="str">
        <f t="shared" si="181"/>
        <v/>
      </c>
      <c r="I715" s="387" t="str">
        <f t="shared" si="182"/>
        <v/>
      </c>
      <c r="J715" s="387" t="str">
        <f t="shared" si="183"/>
        <v/>
      </c>
      <c r="K715" s="387">
        <f t="shared" si="184"/>
        <v>6.3616377000000002E-2</v>
      </c>
      <c r="L715" s="411">
        <f t="shared" si="185"/>
        <v>1</v>
      </c>
      <c r="M715" s="409"/>
      <c r="N715" s="409"/>
      <c r="O715" s="409"/>
      <c r="P715" s="409">
        <v>1</v>
      </c>
      <c r="Q715" s="382"/>
      <c r="R715" s="385" t="str">
        <f t="shared" si="180"/>
        <v>T</v>
      </c>
      <c r="S715" s="389"/>
      <c r="T715" s="389"/>
      <c r="U715" s="389"/>
      <c r="V715" s="389"/>
      <c r="W715" s="389"/>
      <c r="X715" s="389"/>
      <c r="Y715" s="389"/>
      <c r="Z715" s="389"/>
      <c r="AA715" s="389"/>
      <c r="AB715" s="389"/>
      <c r="AC715" s="389"/>
      <c r="AD715" s="389"/>
      <c r="AE715" s="389"/>
      <c r="AF715" s="389"/>
    </row>
    <row r="716" spans="1:32" hidden="1" outlineLevel="3">
      <c r="A716" s="382"/>
      <c r="B716" s="386" t="s">
        <v>362</v>
      </c>
      <c r="C716" s="382" t="s">
        <v>363</v>
      </c>
      <c r="D716" s="382" t="s">
        <v>26</v>
      </c>
      <c r="E716" s="382" t="s">
        <v>27</v>
      </c>
      <c r="F716" s="446" t="s">
        <v>373</v>
      </c>
      <c r="G716" s="411">
        <v>6.3616377000000002E-2</v>
      </c>
      <c r="H716" s="387" t="str">
        <f t="shared" si="181"/>
        <v/>
      </c>
      <c r="I716" s="387" t="str">
        <f t="shared" si="182"/>
        <v/>
      </c>
      <c r="J716" s="387" t="str">
        <f t="shared" si="183"/>
        <v/>
      </c>
      <c r="K716" s="387">
        <f t="shared" si="184"/>
        <v>6.3616377000000002E-2</v>
      </c>
      <c r="L716" s="411">
        <f t="shared" si="185"/>
        <v>1</v>
      </c>
      <c r="M716" s="409"/>
      <c r="N716" s="409"/>
      <c r="O716" s="409"/>
      <c r="P716" s="409">
        <v>1</v>
      </c>
      <c r="Q716" s="382"/>
      <c r="R716" s="385" t="str">
        <f t="shared" si="180"/>
        <v>T</v>
      </c>
      <c r="S716" s="389"/>
      <c r="T716" s="389"/>
      <c r="U716" s="389"/>
      <c r="V716" s="389"/>
      <c r="W716" s="389"/>
      <c r="X716" s="389"/>
      <c r="Y716" s="389"/>
      <c r="Z716" s="389"/>
      <c r="AA716" s="389"/>
      <c r="AB716" s="389"/>
      <c r="AC716" s="389"/>
      <c r="AD716" s="389"/>
      <c r="AE716" s="389"/>
      <c r="AF716" s="389"/>
    </row>
    <row r="717" spans="1:32" hidden="1" outlineLevel="3">
      <c r="A717" s="382"/>
      <c r="B717" s="386" t="s">
        <v>362</v>
      </c>
      <c r="C717" s="382" t="s">
        <v>363</v>
      </c>
      <c r="D717" s="382" t="s">
        <v>26</v>
      </c>
      <c r="E717" s="382" t="s">
        <v>27</v>
      </c>
      <c r="F717" s="440" t="s">
        <v>396</v>
      </c>
      <c r="G717" s="411">
        <v>9.7617811500000009E-3</v>
      </c>
      <c r="H717" s="387" t="str">
        <f t="shared" si="181"/>
        <v/>
      </c>
      <c r="I717" s="387" t="str">
        <f t="shared" si="182"/>
        <v/>
      </c>
      <c r="J717" s="387">
        <f t="shared" si="183"/>
        <v>9.7617811500000009E-3</v>
      </c>
      <c r="K717" s="387" t="str">
        <f t="shared" si="184"/>
        <v/>
      </c>
      <c r="L717" s="411">
        <f t="shared" si="185"/>
        <v>1</v>
      </c>
      <c r="M717" s="409"/>
      <c r="N717" s="409"/>
      <c r="O717" s="409">
        <v>1</v>
      </c>
      <c r="P717" s="409"/>
      <c r="Q717" s="382"/>
      <c r="R717" s="385" t="str">
        <f t="shared" si="180"/>
        <v>T</v>
      </c>
      <c r="S717" s="389"/>
      <c r="T717" s="389"/>
      <c r="U717" s="389"/>
      <c r="V717" s="389"/>
      <c r="W717" s="389"/>
      <c r="X717" s="389"/>
      <c r="Y717" s="389"/>
      <c r="Z717" s="389"/>
      <c r="AA717" s="389"/>
      <c r="AB717" s="389"/>
      <c r="AC717" s="389"/>
      <c r="AD717" s="389"/>
      <c r="AE717" s="389"/>
      <c r="AF717" s="389"/>
    </row>
    <row r="718" spans="1:32" hidden="1" outlineLevel="3">
      <c r="A718" s="382"/>
      <c r="B718" s="386" t="s">
        <v>362</v>
      </c>
      <c r="C718" s="382" t="s">
        <v>363</v>
      </c>
      <c r="D718" s="382" t="s">
        <v>26</v>
      </c>
      <c r="E718" s="382" t="s">
        <v>27</v>
      </c>
      <c r="F718" s="440" t="s">
        <v>375</v>
      </c>
      <c r="G718" s="411">
        <v>3.9047124600000004E-2</v>
      </c>
      <c r="H718" s="387" t="str">
        <f t="shared" si="181"/>
        <v/>
      </c>
      <c r="I718" s="387" t="str">
        <f t="shared" si="182"/>
        <v/>
      </c>
      <c r="J718" s="387">
        <f t="shared" si="183"/>
        <v>3.9047124600000004E-2</v>
      </c>
      <c r="K718" s="387" t="str">
        <f t="shared" si="184"/>
        <v/>
      </c>
      <c r="L718" s="411">
        <f t="shared" si="185"/>
        <v>1</v>
      </c>
      <c r="M718" s="409"/>
      <c r="N718" s="409"/>
      <c r="O718" s="409">
        <v>1</v>
      </c>
      <c r="P718" s="409"/>
      <c r="Q718" s="382"/>
      <c r="R718" s="385" t="str">
        <f t="shared" si="180"/>
        <v>T</v>
      </c>
      <c r="S718" s="389"/>
      <c r="T718" s="389"/>
      <c r="U718" s="389"/>
      <c r="V718" s="389"/>
      <c r="W718" s="389"/>
      <c r="X718" s="389"/>
      <c r="Y718" s="389"/>
      <c r="Z718" s="389"/>
      <c r="AA718" s="389"/>
      <c r="AB718" s="389"/>
      <c r="AC718" s="389"/>
      <c r="AD718" s="389"/>
      <c r="AE718" s="389"/>
      <c r="AF718" s="389"/>
    </row>
    <row r="719" spans="1:32" hidden="1" outlineLevel="3">
      <c r="A719" s="382"/>
      <c r="B719" s="386" t="s">
        <v>362</v>
      </c>
      <c r="C719" s="382" t="s">
        <v>363</v>
      </c>
      <c r="D719" s="382" t="s">
        <v>26</v>
      </c>
      <c r="E719" s="382" t="s">
        <v>27</v>
      </c>
      <c r="F719" s="440" t="s">
        <v>376</v>
      </c>
      <c r="G719" s="411">
        <v>2.9285343449999997E-2</v>
      </c>
      <c r="H719" s="387" t="str">
        <f t="shared" si="181"/>
        <v/>
      </c>
      <c r="I719" s="387" t="str">
        <f t="shared" si="182"/>
        <v/>
      </c>
      <c r="J719" s="387" t="str">
        <f t="shared" si="183"/>
        <v/>
      </c>
      <c r="K719" s="387">
        <f t="shared" si="184"/>
        <v>2.9285343449999997E-2</v>
      </c>
      <c r="L719" s="411">
        <f t="shared" si="185"/>
        <v>1</v>
      </c>
      <c r="M719" s="409"/>
      <c r="N719" s="409"/>
      <c r="O719" s="409"/>
      <c r="P719" s="409">
        <v>1</v>
      </c>
      <c r="Q719" s="382"/>
      <c r="R719" s="385" t="str">
        <f t="shared" si="180"/>
        <v>T</v>
      </c>
      <c r="S719" s="389"/>
      <c r="T719" s="389"/>
      <c r="U719" s="389"/>
      <c r="V719" s="389"/>
      <c r="W719" s="389"/>
      <c r="X719" s="389"/>
      <c r="Y719" s="389"/>
      <c r="Z719" s="389"/>
      <c r="AA719" s="389"/>
      <c r="AB719" s="389"/>
      <c r="AC719" s="389"/>
      <c r="AD719" s="389"/>
      <c r="AE719" s="389"/>
      <c r="AF719" s="389"/>
    </row>
    <row r="720" spans="1:32" hidden="1" outlineLevel="3">
      <c r="A720" s="382"/>
      <c r="B720" s="386" t="s">
        <v>362</v>
      </c>
      <c r="C720" s="382" t="s">
        <v>363</v>
      </c>
      <c r="D720" s="382" t="s">
        <v>26</v>
      </c>
      <c r="E720" s="382" t="s">
        <v>27</v>
      </c>
      <c r="F720" s="440" t="s">
        <v>377</v>
      </c>
      <c r="G720" s="411">
        <v>2.9285343449999997E-2</v>
      </c>
      <c r="H720" s="387" t="str">
        <f t="shared" si="181"/>
        <v/>
      </c>
      <c r="I720" s="387" t="str">
        <f t="shared" si="182"/>
        <v/>
      </c>
      <c r="J720" s="387" t="str">
        <f t="shared" si="183"/>
        <v/>
      </c>
      <c r="K720" s="387">
        <f t="shared" si="184"/>
        <v>2.9285343449999997E-2</v>
      </c>
      <c r="L720" s="411">
        <f t="shared" si="185"/>
        <v>1</v>
      </c>
      <c r="M720" s="409"/>
      <c r="N720" s="409"/>
      <c r="O720" s="409"/>
      <c r="P720" s="409">
        <v>1</v>
      </c>
      <c r="Q720" s="382"/>
      <c r="R720" s="385" t="str">
        <f t="shared" si="180"/>
        <v>T</v>
      </c>
      <c r="S720" s="389"/>
      <c r="T720" s="389"/>
      <c r="U720" s="389"/>
      <c r="V720" s="389"/>
      <c r="W720" s="389"/>
      <c r="X720" s="389"/>
      <c r="Y720" s="389"/>
      <c r="Z720" s="389"/>
      <c r="AA720" s="389"/>
      <c r="AB720" s="389"/>
      <c r="AC720" s="389"/>
      <c r="AD720" s="389"/>
      <c r="AE720" s="389"/>
      <c r="AF720" s="389"/>
    </row>
    <row r="721" spans="1:32" hidden="1" outlineLevel="3">
      <c r="A721" s="382"/>
      <c r="B721" s="386" t="s">
        <v>362</v>
      </c>
      <c r="C721" s="382" t="s">
        <v>363</v>
      </c>
      <c r="D721" s="382" t="s">
        <v>26</v>
      </c>
      <c r="E721" s="382" t="s">
        <v>27</v>
      </c>
      <c r="F721" s="440" t="s">
        <v>379</v>
      </c>
      <c r="G721" s="411">
        <v>0.25632139595334164</v>
      </c>
      <c r="H721" s="387" t="str">
        <f t="shared" si="181"/>
        <v/>
      </c>
      <c r="I721" s="387">
        <f t="shared" si="182"/>
        <v>0.25632139595334164</v>
      </c>
      <c r="J721" s="387" t="str">
        <f t="shared" si="183"/>
        <v/>
      </c>
      <c r="K721" s="387" t="str">
        <f t="shared" si="184"/>
        <v/>
      </c>
      <c r="L721" s="411">
        <f t="shared" si="185"/>
        <v>1</v>
      </c>
      <c r="M721" s="409"/>
      <c r="N721" s="409">
        <v>1</v>
      </c>
      <c r="O721" s="409"/>
      <c r="P721" s="409"/>
      <c r="Q721" s="382"/>
      <c r="R721" s="385" t="str">
        <f t="shared" si="180"/>
        <v>T</v>
      </c>
      <c r="S721" s="389"/>
      <c r="T721" s="389"/>
      <c r="U721" s="389"/>
      <c r="V721" s="389"/>
      <c r="W721" s="389"/>
      <c r="X721" s="389"/>
      <c r="Y721" s="389"/>
      <c r="Z721" s="389"/>
      <c r="AA721" s="389"/>
      <c r="AB721" s="389"/>
      <c r="AC721" s="389"/>
      <c r="AD721" s="389"/>
      <c r="AE721" s="389"/>
      <c r="AF721" s="389"/>
    </row>
    <row r="722" spans="1:32" hidden="1" outlineLevel="3">
      <c r="A722" s="382"/>
      <c r="B722" s="386" t="s">
        <v>362</v>
      </c>
      <c r="C722" s="382" t="s">
        <v>363</v>
      </c>
      <c r="D722" s="382" t="s">
        <v>26</v>
      </c>
      <c r="E722" s="382" t="s">
        <v>27</v>
      </c>
      <c r="F722" s="440" t="s">
        <v>380</v>
      </c>
      <c r="G722" s="411">
        <v>0.25632139595334164</v>
      </c>
      <c r="H722" s="387" t="str">
        <f t="shared" si="181"/>
        <v/>
      </c>
      <c r="I722" s="387">
        <f t="shared" si="182"/>
        <v>0.25632139595334164</v>
      </c>
      <c r="J722" s="387" t="str">
        <f t="shared" si="183"/>
        <v/>
      </c>
      <c r="K722" s="387" t="str">
        <f t="shared" si="184"/>
        <v/>
      </c>
      <c r="L722" s="411">
        <f t="shared" si="185"/>
        <v>1</v>
      </c>
      <c r="M722" s="409"/>
      <c r="N722" s="409">
        <v>1</v>
      </c>
      <c r="O722" s="409"/>
      <c r="P722" s="409"/>
      <c r="Q722" s="382"/>
      <c r="R722" s="385" t="str">
        <f t="shared" si="180"/>
        <v>T</v>
      </c>
      <c r="S722" s="389"/>
      <c r="T722" s="389"/>
      <c r="U722" s="389"/>
      <c r="V722" s="389"/>
      <c r="W722" s="389"/>
      <c r="X722" s="389"/>
      <c r="Y722" s="389"/>
      <c r="Z722" s="389"/>
      <c r="AA722" s="389"/>
      <c r="AB722" s="389"/>
      <c r="AC722" s="389"/>
      <c r="AD722" s="389"/>
      <c r="AE722" s="389"/>
      <c r="AF722" s="389"/>
    </row>
    <row r="723" spans="1:32" hidden="1" outlineLevel="3">
      <c r="A723" s="382"/>
      <c r="B723" s="386" t="s">
        <v>362</v>
      </c>
      <c r="C723" s="382" t="s">
        <v>363</v>
      </c>
      <c r="D723" s="382" t="s">
        <v>26</v>
      </c>
      <c r="E723" s="382" t="s">
        <v>27</v>
      </c>
      <c r="F723" s="446" t="s">
        <v>382</v>
      </c>
      <c r="G723" s="411">
        <v>0.25632139595334164</v>
      </c>
      <c r="H723" s="387" t="str">
        <f t="shared" si="181"/>
        <v/>
      </c>
      <c r="I723" s="387" t="str">
        <f t="shared" si="182"/>
        <v/>
      </c>
      <c r="J723" s="387">
        <f t="shared" si="183"/>
        <v>0.25632139595334164</v>
      </c>
      <c r="K723" s="387" t="str">
        <f t="shared" si="184"/>
        <v/>
      </c>
      <c r="L723" s="411">
        <f t="shared" si="185"/>
        <v>1</v>
      </c>
      <c r="M723" s="409"/>
      <c r="N723" s="409"/>
      <c r="O723" s="409">
        <v>1</v>
      </c>
      <c r="P723" s="409"/>
      <c r="Q723" s="382"/>
      <c r="R723" s="385" t="str">
        <f t="shared" si="180"/>
        <v>T</v>
      </c>
      <c r="S723" s="389"/>
      <c r="T723" s="389"/>
      <c r="U723" s="389"/>
      <c r="V723" s="389"/>
      <c r="W723" s="389"/>
      <c r="X723" s="389"/>
      <c r="Y723" s="389"/>
      <c r="Z723" s="389"/>
      <c r="AA723" s="389"/>
      <c r="AB723" s="389"/>
      <c r="AC723" s="389"/>
      <c r="AD723" s="389"/>
      <c r="AE723" s="389"/>
      <c r="AF723" s="389"/>
    </row>
    <row r="724" spans="1:32" hidden="1" outlineLevel="3">
      <c r="A724" s="382"/>
      <c r="B724" s="386" t="s">
        <v>362</v>
      </c>
      <c r="C724" s="382" t="s">
        <v>363</v>
      </c>
      <c r="D724" s="382" t="s">
        <v>26</v>
      </c>
      <c r="E724" s="382" t="s">
        <v>27</v>
      </c>
      <c r="F724" s="440" t="s">
        <v>383</v>
      </c>
      <c r="G724" s="411">
        <v>0.12816069797667082</v>
      </c>
      <c r="H724" s="387" t="str">
        <f t="shared" si="181"/>
        <v/>
      </c>
      <c r="I724" s="387" t="str">
        <f t="shared" si="182"/>
        <v/>
      </c>
      <c r="J724" s="387" t="str">
        <f t="shared" si="183"/>
        <v/>
      </c>
      <c r="K724" s="387">
        <f t="shared" si="184"/>
        <v>0.12816069797667082</v>
      </c>
      <c r="L724" s="411">
        <f t="shared" si="185"/>
        <v>1</v>
      </c>
      <c r="M724" s="409"/>
      <c r="N724" s="409"/>
      <c r="O724" s="409"/>
      <c r="P724" s="409">
        <v>1</v>
      </c>
      <c r="Q724" s="382"/>
      <c r="R724" s="385" t="str">
        <f t="shared" ref="R724:R755" si="186">IF(SUM(M724:P724)=L724,"T","F")</f>
        <v>T</v>
      </c>
      <c r="S724" s="389"/>
      <c r="T724" s="389"/>
      <c r="U724" s="389"/>
      <c r="V724" s="389"/>
      <c r="W724" s="389"/>
      <c r="X724" s="389"/>
      <c r="Y724" s="389"/>
      <c r="Z724" s="389"/>
      <c r="AA724" s="389"/>
      <c r="AB724" s="389"/>
      <c r="AC724" s="389"/>
      <c r="AD724" s="389"/>
      <c r="AE724" s="389"/>
      <c r="AF724" s="389"/>
    </row>
    <row r="725" spans="1:32" hidden="1" outlineLevel="3">
      <c r="A725" s="382"/>
      <c r="B725" s="386" t="s">
        <v>362</v>
      </c>
      <c r="C725" s="382" t="s">
        <v>363</v>
      </c>
      <c r="D725" s="382" t="s">
        <v>26</v>
      </c>
      <c r="E725" s="382" t="s">
        <v>27</v>
      </c>
      <c r="F725" s="440" t="s">
        <v>384</v>
      </c>
      <c r="G725" s="411">
        <v>0.25632139595334164</v>
      </c>
      <c r="H725" s="387" t="str">
        <f t="shared" si="181"/>
        <v/>
      </c>
      <c r="I725" s="387" t="str">
        <f t="shared" si="182"/>
        <v/>
      </c>
      <c r="J725" s="387">
        <f t="shared" si="183"/>
        <v>0.25632139595334164</v>
      </c>
      <c r="K725" s="387" t="str">
        <f t="shared" si="184"/>
        <v/>
      </c>
      <c r="L725" s="411">
        <f t="shared" si="185"/>
        <v>1</v>
      </c>
      <c r="M725" s="409"/>
      <c r="N725" s="409"/>
      <c r="O725" s="409">
        <v>1</v>
      </c>
      <c r="P725" s="409"/>
      <c r="Q725" s="382"/>
      <c r="R725" s="385" t="str">
        <f t="shared" si="186"/>
        <v>T</v>
      </c>
      <c r="S725" s="389"/>
      <c r="T725" s="389"/>
      <c r="U725" s="389"/>
      <c r="V725" s="389"/>
      <c r="W725" s="389"/>
      <c r="X725" s="389"/>
      <c r="Y725" s="389"/>
      <c r="Z725" s="389"/>
      <c r="AA725" s="389"/>
      <c r="AB725" s="389"/>
      <c r="AC725" s="389"/>
      <c r="AD725" s="389"/>
      <c r="AE725" s="389"/>
      <c r="AF725" s="389"/>
    </row>
    <row r="726" spans="1:32" hidden="1" outlineLevel="3">
      <c r="A726" s="382"/>
      <c r="B726" s="386" t="s">
        <v>362</v>
      </c>
      <c r="C726" s="382" t="s">
        <v>363</v>
      </c>
      <c r="D726" s="382" t="s">
        <v>26</v>
      </c>
      <c r="E726" s="382" t="s">
        <v>27</v>
      </c>
      <c r="F726" s="440" t="s">
        <v>385</v>
      </c>
      <c r="G726" s="411">
        <v>0.25632139595334164</v>
      </c>
      <c r="H726" s="387" t="str">
        <f t="shared" si="181"/>
        <v/>
      </c>
      <c r="I726" s="387" t="str">
        <f t="shared" si="182"/>
        <v/>
      </c>
      <c r="J726" s="387">
        <f t="shared" si="183"/>
        <v>0.25632139595334164</v>
      </c>
      <c r="K726" s="387" t="str">
        <f t="shared" si="184"/>
        <v/>
      </c>
      <c r="L726" s="411">
        <f t="shared" si="185"/>
        <v>1</v>
      </c>
      <c r="M726" s="409"/>
      <c r="N726" s="409"/>
      <c r="O726" s="409">
        <v>1</v>
      </c>
      <c r="P726" s="409"/>
      <c r="Q726" s="382"/>
      <c r="R726" s="385" t="str">
        <f t="shared" si="186"/>
        <v>T</v>
      </c>
      <c r="S726" s="389"/>
      <c r="T726" s="389"/>
      <c r="U726" s="389"/>
      <c r="V726" s="389"/>
      <c r="W726" s="389"/>
      <c r="X726" s="389"/>
      <c r="Y726" s="389"/>
      <c r="Z726" s="389"/>
      <c r="AA726" s="389"/>
      <c r="AB726" s="389"/>
      <c r="AC726" s="389"/>
      <c r="AD726" s="389"/>
      <c r="AE726" s="389"/>
      <c r="AF726" s="389"/>
    </row>
    <row r="727" spans="1:32" hidden="1" outlineLevel="3">
      <c r="A727" s="382"/>
      <c r="B727" s="386" t="s">
        <v>362</v>
      </c>
      <c r="C727" s="382" t="s">
        <v>363</v>
      </c>
      <c r="D727" s="382" t="s">
        <v>26</v>
      </c>
      <c r="E727" s="382" t="s">
        <v>27</v>
      </c>
      <c r="F727" s="440" t="s">
        <v>387</v>
      </c>
      <c r="G727" s="411">
        <v>0.25632139595334164</v>
      </c>
      <c r="H727" s="387" t="str">
        <f t="shared" si="181"/>
        <v/>
      </c>
      <c r="I727" s="387" t="str">
        <f t="shared" si="182"/>
        <v/>
      </c>
      <c r="J727" s="387" t="str">
        <f t="shared" si="183"/>
        <v/>
      </c>
      <c r="K727" s="387">
        <f t="shared" si="184"/>
        <v>0.25632139595334164</v>
      </c>
      <c r="L727" s="411">
        <f t="shared" si="185"/>
        <v>1</v>
      </c>
      <c r="M727" s="409"/>
      <c r="N727" s="409"/>
      <c r="O727" s="409"/>
      <c r="P727" s="409">
        <v>1</v>
      </c>
      <c r="Q727" s="382"/>
      <c r="R727" s="385" t="str">
        <f t="shared" si="186"/>
        <v>T</v>
      </c>
      <c r="S727" s="389"/>
      <c r="T727" s="389"/>
      <c r="U727" s="389"/>
      <c r="V727" s="389"/>
      <c r="W727" s="389"/>
      <c r="X727" s="389"/>
      <c r="Y727" s="389"/>
      <c r="Z727" s="389"/>
      <c r="AA727" s="389"/>
      <c r="AB727" s="389"/>
      <c r="AC727" s="389"/>
      <c r="AD727" s="389"/>
      <c r="AE727" s="389"/>
      <c r="AF727" s="389"/>
    </row>
    <row r="728" spans="1:32" hidden="1" outlineLevel="3">
      <c r="A728" s="382"/>
      <c r="B728" s="386" t="s">
        <v>362</v>
      </c>
      <c r="C728" s="382" t="s">
        <v>363</v>
      </c>
      <c r="D728" s="382" t="s">
        <v>26</v>
      </c>
      <c r="E728" s="382" t="s">
        <v>27</v>
      </c>
      <c r="F728" s="440" t="s">
        <v>388</v>
      </c>
      <c r="G728" s="411">
        <v>0.12816069797667082</v>
      </c>
      <c r="H728" s="387" t="str">
        <f t="shared" si="181"/>
        <v/>
      </c>
      <c r="I728" s="387" t="str">
        <f t="shared" si="182"/>
        <v/>
      </c>
      <c r="J728" s="387" t="str">
        <f t="shared" si="183"/>
        <v/>
      </c>
      <c r="K728" s="387">
        <f t="shared" si="184"/>
        <v>0.12816069797667082</v>
      </c>
      <c r="L728" s="411">
        <f t="shared" si="185"/>
        <v>1</v>
      </c>
      <c r="M728" s="409"/>
      <c r="N728" s="409"/>
      <c r="O728" s="409"/>
      <c r="P728" s="409">
        <v>1</v>
      </c>
      <c r="Q728" s="382"/>
      <c r="R728" s="385" t="str">
        <f t="shared" si="186"/>
        <v>T</v>
      </c>
      <c r="S728" s="389"/>
      <c r="T728" s="389"/>
      <c r="U728" s="389"/>
      <c r="V728" s="389"/>
      <c r="W728" s="389"/>
      <c r="X728" s="389"/>
      <c r="Y728" s="389"/>
      <c r="Z728" s="389"/>
      <c r="AA728" s="389"/>
      <c r="AB728" s="389"/>
      <c r="AC728" s="389"/>
      <c r="AD728" s="389"/>
      <c r="AE728" s="389"/>
      <c r="AF728" s="389"/>
    </row>
    <row r="729" spans="1:32" hidden="1" outlineLevel="3">
      <c r="A729" s="382"/>
      <c r="B729" s="386" t="s">
        <v>362</v>
      </c>
      <c r="C729" s="382" t="s">
        <v>363</v>
      </c>
      <c r="D729" s="382" t="s">
        <v>26</v>
      </c>
      <c r="E729" s="382" t="s">
        <v>27</v>
      </c>
      <c r="F729" s="440" t="s">
        <v>389</v>
      </c>
      <c r="G729" s="411">
        <v>0.11799571852507491</v>
      </c>
      <c r="H729" s="387" t="str">
        <f t="shared" si="181"/>
        <v/>
      </c>
      <c r="I729" s="387" t="str">
        <f t="shared" si="182"/>
        <v/>
      </c>
      <c r="J729" s="387">
        <f t="shared" si="183"/>
        <v>0.11799571852507491</v>
      </c>
      <c r="K729" s="387" t="str">
        <f t="shared" si="184"/>
        <v/>
      </c>
      <c r="L729" s="411">
        <f t="shared" si="185"/>
        <v>1</v>
      </c>
      <c r="M729" s="409"/>
      <c r="N729" s="409"/>
      <c r="O729" s="409">
        <v>1</v>
      </c>
      <c r="P729" s="409"/>
      <c r="Q729" s="382"/>
      <c r="R729" s="385" t="str">
        <f t="shared" si="186"/>
        <v>T</v>
      </c>
      <c r="S729" s="389"/>
      <c r="T729" s="389"/>
      <c r="U729" s="389"/>
      <c r="V729" s="389"/>
      <c r="W729" s="389"/>
      <c r="X729" s="389"/>
      <c r="Y729" s="389"/>
      <c r="Z729" s="389"/>
      <c r="AA729" s="389"/>
      <c r="AB729" s="389"/>
      <c r="AC729" s="389"/>
      <c r="AD729" s="389"/>
      <c r="AE729" s="389"/>
      <c r="AF729" s="389"/>
    </row>
    <row r="730" spans="1:32" hidden="1" outlineLevel="3">
      <c r="A730" s="382"/>
      <c r="B730" s="386" t="s">
        <v>362</v>
      </c>
      <c r="C730" s="382" t="s">
        <v>363</v>
      </c>
      <c r="D730" s="382" t="s">
        <v>26</v>
      </c>
      <c r="E730" s="382" t="s">
        <v>27</v>
      </c>
      <c r="F730" s="446" t="s">
        <v>390</v>
      </c>
      <c r="G730" s="411">
        <v>0.11799571852507491</v>
      </c>
      <c r="H730" s="387" t="str">
        <f t="shared" si="181"/>
        <v/>
      </c>
      <c r="I730" s="387" t="str">
        <f t="shared" si="182"/>
        <v/>
      </c>
      <c r="J730" s="387">
        <f t="shared" si="183"/>
        <v>0.11799571852507491</v>
      </c>
      <c r="K730" s="387" t="str">
        <f t="shared" si="184"/>
        <v/>
      </c>
      <c r="L730" s="411">
        <f t="shared" si="185"/>
        <v>1</v>
      </c>
      <c r="M730" s="409"/>
      <c r="N730" s="409"/>
      <c r="O730" s="409">
        <v>1</v>
      </c>
      <c r="P730" s="409"/>
      <c r="Q730" s="382"/>
      <c r="R730" s="385" t="str">
        <f t="shared" si="186"/>
        <v>T</v>
      </c>
      <c r="S730" s="389"/>
      <c r="T730" s="389"/>
      <c r="U730" s="389"/>
      <c r="V730" s="389"/>
      <c r="W730" s="389"/>
      <c r="X730" s="389"/>
      <c r="Y730" s="389"/>
      <c r="Z730" s="389"/>
      <c r="AA730" s="389"/>
      <c r="AB730" s="389"/>
      <c r="AC730" s="389"/>
      <c r="AD730" s="389"/>
      <c r="AE730" s="389"/>
      <c r="AF730" s="389"/>
    </row>
    <row r="731" spans="1:32" hidden="1" outlineLevel="3">
      <c r="A731" s="382"/>
      <c r="B731" s="386" t="s">
        <v>362</v>
      </c>
      <c r="C731" s="382" t="s">
        <v>363</v>
      </c>
      <c r="D731" s="382" t="s">
        <v>26</v>
      </c>
      <c r="E731" s="382" t="s">
        <v>27</v>
      </c>
      <c r="F731" s="440" t="s">
        <v>392</v>
      </c>
      <c r="G731" s="411">
        <v>0.11799571852507491</v>
      </c>
      <c r="H731" s="387" t="str">
        <f t="shared" si="181"/>
        <v/>
      </c>
      <c r="I731" s="387" t="str">
        <f t="shared" si="182"/>
        <v/>
      </c>
      <c r="J731" s="387" t="str">
        <f t="shared" si="183"/>
        <v/>
      </c>
      <c r="K731" s="387">
        <f t="shared" si="184"/>
        <v>0.11799571852507491</v>
      </c>
      <c r="L731" s="411">
        <f t="shared" si="185"/>
        <v>1</v>
      </c>
      <c r="M731" s="409"/>
      <c r="N731" s="409"/>
      <c r="O731" s="409"/>
      <c r="P731" s="409">
        <v>1</v>
      </c>
      <c r="Q731" s="382"/>
      <c r="R731" s="385" t="str">
        <f t="shared" si="186"/>
        <v>T</v>
      </c>
      <c r="S731" s="389"/>
      <c r="T731" s="389"/>
      <c r="U731" s="389"/>
      <c r="V731" s="389"/>
      <c r="W731" s="389"/>
      <c r="X731" s="389"/>
      <c r="Y731" s="389"/>
      <c r="Z731" s="389"/>
      <c r="AA731" s="389"/>
      <c r="AB731" s="389"/>
      <c r="AC731" s="389"/>
      <c r="AD731" s="389"/>
      <c r="AE731" s="389"/>
      <c r="AF731" s="389"/>
    </row>
    <row r="732" spans="1:32" hidden="1" outlineLevel="3">
      <c r="A732" s="382"/>
      <c r="B732" s="386" t="s">
        <v>362</v>
      </c>
      <c r="C732" s="382" t="s">
        <v>363</v>
      </c>
      <c r="D732" s="382" t="s">
        <v>26</v>
      </c>
      <c r="E732" s="382" t="s">
        <v>27</v>
      </c>
      <c r="F732" s="440" t="s">
        <v>393</v>
      </c>
      <c r="G732" s="411">
        <v>5.8997859262537457E-2</v>
      </c>
      <c r="H732" s="387" t="str">
        <f t="shared" si="181"/>
        <v/>
      </c>
      <c r="I732" s="387" t="str">
        <f t="shared" si="182"/>
        <v/>
      </c>
      <c r="J732" s="387" t="str">
        <f t="shared" si="183"/>
        <v/>
      </c>
      <c r="K732" s="387">
        <f t="shared" si="184"/>
        <v>5.8997859262537457E-2</v>
      </c>
      <c r="L732" s="411">
        <f t="shared" si="185"/>
        <v>1</v>
      </c>
      <c r="M732" s="409"/>
      <c r="N732" s="409"/>
      <c r="O732" s="409"/>
      <c r="P732" s="409">
        <v>1</v>
      </c>
      <c r="Q732" s="382"/>
      <c r="R732" s="385" t="str">
        <f t="shared" si="186"/>
        <v>T</v>
      </c>
      <c r="S732" s="389"/>
      <c r="T732" s="389"/>
      <c r="U732" s="389"/>
      <c r="V732" s="389"/>
      <c r="W732" s="389"/>
      <c r="X732" s="389"/>
      <c r="Y732" s="389"/>
      <c r="Z732" s="389"/>
      <c r="AA732" s="389"/>
      <c r="AB732" s="389"/>
      <c r="AC732" s="389"/>
      <c r="AD732" s="389"/>
      <c r="AE732" s="389"/>
      <c r="AF732" s="389"/>
    </row>
    <row r="733" spans="1:32" hidden="1" outlineLevel="2" collapsed="1">
      <c r="A733" s="382"/>
      <c r="B733" s="386" t="s">
        <v>362</v>
      </c>
      <c r="C733" s="382" t="s">
        <v>363</v>
      </c>
      <c r="D733" s="382" t="s">
        <v>28</v>
      </c>
      <c r="E733" s="382"/>
      <c r="F733" s="440" t="s">
        <v>366</v>
      </c>
      <c r="G733" s="411">
        <f>SUM(G734:G754)</f>
        <v>2.0846027146627333</v>
      </c>
      <c r="H733" s="387">
        <f>SUM(H734:H754)</f>
        <v>1.2952557286377333</v>
      </c>
      <c r="I733" s="387">
        <f>SUM(I734:I754)</f>
        <v>0.10236453390000001</v>
      </c>
      <c r="J733" s="387">
        <f>SUM(J734:J754)</f>
        <v>0.40148764181500002</v>
      </c>
      <c r="K733" s="387">
        <f>SUM(K734:K754)</f>
        <v>0.28549481031000001</v>
      </c>
      <c r="L733" s="411">
        <f t="shared" si="185"/>
        <v>21</v>
      </c>
      <c r="M733" s="388">
        <f>SUM(M734:M754)</f>
        <v>3</v>
      </c>
      <c r="N733" s="388">
        <f>SUM(N734:N754)</f>
        <v>2</v>
      </c>
      <c r="O733" s="388">
        <f>SUM(O734:O754)</f>
        <v>9</v>
      </c>
      <c r="P733" s="388">
        <f>SUM(P734:P754)</f>
        <v>7</v>
      </c>
      <c r="Q733" s="382"/>
      <c r="R733" s="385" t="str">
        <f t="shared" si="186"/>
        <v>T</v>
      </c>
      <c r="S733" s="389"/>
      <c r="T733" s="389"/>
      <c r="U733" s="389"/>
      <c r="V733" s="389"/>
      <c r="W733" s="389"/>
      <c r="X733" s="389"/>
      <c r="Y733" s="389"/>
      <c r="Z733" s="389"/>
      <c r="AA733" s="389"/>
      <c r="AB733" s="389"/>
      <c r="AC733" s="389"/>
      <c r="AD733" s="389"/>
      <c r="AE733" s="389"/>
      <c r="AF733" s="389"/>
    </row>
    <row r="734" spans="1:32" hidden="1" outlineLevel="3">
      <c r="A734" s="382"/>
      <c r="B734" s="386" t="s">
        <v>362</v>
      </c>
      <c r="C734" s="382" t="s">
        <v>363</v>
      </c>
      <c r="D734" s="382" t="s">
        <v>28</v>
      </c>
      <c r="E734" s="382" t="s">
        <v>29</v>
      </c>
      <c r="F734" s="440" t="s">
        <v>32</v>
      </c>
      <c r="G734" s="411">
        <v>0.51810229145509312</v>
      </c>
      <c r="H734" s="387">
        <f t="shared" ref="H734:H754" si="187">IF(M734=1,$G734,"")</f>
        <v>0.51810229145509312</v>
      </c>
      <c r="I734" s="387" t="str">
        <f t="shared" ref="I734:I754" si="188">IF(N734=1,$G734,"")</f>
        <v/>
      </c>
      <c r="J734" s="387" t="str">
        <f t="shared" ref="J734:J754" si="189">IF(O734=1,$G734,"")</f>
        <v/>
      </c>
      <c r="K734" s="387" t="str">
        <f t="shared" ref="K734:K754" si="190">IF(P734=1,$G734,"")</f>
        <v/>
      </c>
      <c r="L734" s="411">
        <f t="shared" si="185"/>
        <v>1</v>
      </c>
      <c r="M734" s="409">
        <v>1</v>
      </c>
      <c r="N734" s="409"/>
      <c r="O734" s="409"/>
      <c r="P734" s="409"/>
      <c r="Q734" s="382"/>
      <c r="R734" s="385" t="str">
        <f t="shared" si="186"/>
        <v>T</v>
      </c>
      <c r="S734" s="389"/>
      <c r="T734" s="389"/>
      <c r="U734" s="389"/>
      <c r="V734" s="389"/>
      <c r="W734" s="389"/>
      <c r="X734" s="389"/>
      <c r="Y734" s="389"/>
      <c r="Z734" s="389"/>
      <c r="AA734" s="389"/>
      <c r="AB734" s="389"/>
      <c r="AC734" s="389"/>
      <c r="AD734" s="389"/>
      <c r="AE734" s="389"/>
      <c r="AF734" s="389"/>
    </row>
    <row r="735" spans="1:32" hidden="1" outlineLevel="3">
      <c r="A735" s="382"/>
      <c r="B735" s="386" t="s">
        <v>362</v>
      </c>
      <c r="C735" s="382" t="s">
        <v>363</v>
      </c>
      <c r="D735" s="382" t="s">
        <v>28</v>
      </c>
      <c r="E735" s="382" t="s">
        <v>29</v>
      </c>
      <c r="F735" s="440" t="s">
        <v>34</v>
      </c>
      <c r="G735" s="411">
        <v>0.51810229145509312</v>
      </c>
      <c r="H735" s="387">
        <f t="shared" si="187"/>
        <v>0.51810229145509312</v>
      </c>
      <c r="I735" s="387" t="str">
        <f t="shared" si="188"/>
        <v/>
      </c>
      <c r="J735" s="387" t="str">
        <f t="shared" si="189"/>
        <v/>
      </c>
      <c r="K735" s="387" t="str">
        <f t="shared" si="190"/>
        <v/>
      </c>
      <c r="L735" s="411">
        <f t="shared" si="185"/>
        <v>1</v>
      </c>
      <c r="M735" s="409">
        <v>1</v>
      </c>
      <c r="N735" s="409"/>
      <c r="O735" s="409"/>
      <c r="P735" s="409"/>
      <c r="Q735" s="382"/>
      <c r="R735" s="385" t="str">
        <f t="shared" si="186"/>
        <v>T</v>
      </c>
      <c r="S735" s="389"/>
      <c r="T735" s="389"/>
      <c r="U735" s="389"/>
      <c r="V735" s="389"/>
      <c r="W735" s="389"/>
      <c r="X735" s="389"/>
      <c r="Y735" s="389"/>
      <c r="Z735" s="389"/>
      <c r="AA735" s="389"/>
      <c r="AB735" s="389"/>
      <c r="AC735" s="389"/>
      <c r="AD735" s="389"/>
      <c r="AE735" s="389"/>
      <c r="AF735" s="389"/>
    </row>
    <row r="736" spans="1:32" hidden="1" outlineLevel="3">
      <c r="A736" s="382"/>
      <c r="B736" s="386" t="s">
        <v>362</v>
      </c>
      <c r="C736" s="382" t="s">
        <v>363</v>
      </c>
      <c r="D736" s="382" t="s">
        <v>28</v>
      </c>
      <c r="E736" s="382" t="s">
        <v>29</v>
      </c>
      <c r="F736" s="440" t="s">
        <v>197</v>
      </c>
      <c r="G736" s="411">
        <v>0.25905114572754701</v>
      </c>
      <c r="H736" s="387">
        <f t="shared" si="187"/>
        <v>0.25905114572754701</v>
      </c>
      <c r="I736" s="387" t="str">
        <f t="shared" si="188"/>
        <v/>
      </c>
      <c r="J736" s="387" t="str">
        <f t="shared" si="189"/>
        <v/>
      </c>
      <c r="K736" s="387" t="str">
        <f t="shared" si="190"/>
        <v/>
      </c>
      <c r="L736" s="411">
        <f t="shared" si="185"/>
        <v>1</v>
      </c>
      <c r="M736" s="409">
        <v>1</v>
      </c>
      <c r="N736" s="409"/>
      <c r="O736" s="409"/>
      <c r="P736" s="409"/>
      <c r="Q736" s="382"/>
      <c r="R736" s="385" t="str">
        <f t="shared" si="186"/>
        <v>T</v>
      </c>
      <c r="S736" s="389"/>
      <c r="T736" s="389"/>
      <c r="U736" s="389"/>
      <c r="V736" s="389"/>
      <c r="W736" s="389"/>
      <c r="X736" s="389"/>
      <c r="Y736" s="389"/>
      <c r="Z736" s="389"/>
      <c r="AA736" s="389"/>
      <c r="AB736" s="389"/>
      <c r="AC736" s="389"/>
      <c r="AD736" s="389"/>
      <c r="AE736" s="389"/>
      <c r="AF736" s="389"/>
    </row>
    <row r="737" spans="1:32" hidden="1" outlineLevel="3">
      <c r="A737" s="382"/>
      <c r="B737" s="386" t="s">
        <v>362</v>
      </c>
      <c r="C737" s="382" t="s">
        <v>363</v>
      </c>
      <c r="D737" s="382" t="s">
        <v>28</v>
      </c>
      <c r="E737" s="382" t="s">
        <v>29</v>
      </c>
      <c r="F737" s="440" t="s">
        <v>367</v>
      </c>
      <c r="G737" s="411">
        <v>3.5409115500000005E-2</v>
      </c>
      <c r="H737" s="387" t="str">
        <f t="shared" si="187"/>
        <v/>
      </c>
      <c r="I737" s="387">
        <f t="shared" si="188"/>
        <v>3.5409115500000005E-2</v>
      </c>
      <c r="J737" s="387" t="str">
        <f t="shared" si="189"/>
        <v/>
      </c>
      <c r="K737" s="387" t="str">
        <f t="shared" si="190"/>
        <v/>
      </c>
      <c r="L737" s="411">
        <f t="shared" si="185"/>
        <v>1</v>
      </c>
      <c r="M737" s="409"/>
      <c r="N737" s="409">
        <v>1</v>
      </c>
      <c r="O737" s="409"/>
      <c r="P737" s="409"/>
      <c r="Q737" s="382"/>
      <c r="R737" s="385" t="str">
        <f t="shared" si="186"/>
        <v>T</v>
      </c>
      <c r="S737" s="389"/>
      <c r="T737" s="389"/>
      <c r="U737" s="389"/>
      <c r="V737" s="389"/>
      <c r="W737" s="389"/>
      <c r="X737" s="389"/>
      <c r="Y737" s="389"/>
      <c r="Z737" s="389"/>
      <c r="AA737" s="389"/>
      <c r="AB737" s="389"/>
      <c r="AC737" s="389"/>
      <c r="AD737" s="389"/>
      <c r="AE737" s="389"/>
      <c r="AF737" s="389"/>
    </row>
    <row r="738" spans="1:32" hidden="1" outlineLevel="3">
      <c r="A738" s="382"/>
      <c r="B738" s="386" t="s">
        <v>362</v>
      </c>
      <c r="C738" s="382" t="s">
        <v>363</v>
      </c>
      <c r="D738" s="382" t="s">
        <v>28</v>
      </c>
      <c r="E738" s="382" t="s">
        <v>29</v>
      </c>
      <c r="F738" s="440" t="s">
        <v>368</v>
      </c>
      <c r="G738" s="411">
        <v>4.7212154000000006E-2</v>
      </c>
      <c r="H738" s="387" t="str">
        <f t="shared" si="187"/>
        <v/>
      </c>
      <c r="I738" s="387" t="str">
        <f t="shared" si="188"/>
        <v/>
      </c>
      <c r="J738" s="387">
        <f t="shared" si="189"/>
        <v>4.7212154000000006E-2</v>
      </c>
      <c r="K738" s="387" t="str">
        <f t="shared" si="190"/>
        <v/>
      </c>
      <c r="L738" s="411">
        <f t="shared" si="185"/>
        <v>1</v>
      </c>
      <c r="M738" s="409"/>
      <c r="N738" s="409"/>
      <c r="O738" s="409">
        <v>1</v>
      </c>
      <c r="P738" s="409"/>
      <c r="Q738" s="382"/>
      <c r="R738" s="385" t="str">
        <f t="shared" si="186"/>
        <v>T</v>
      </c>
      <c r="S738" s="389"/>
      <c r="T738" s="389"/>
      <c r="U738" s="389"/>
      <c r="V738" s="389"/>
      <c r="W738" s="389"/>
      <c r="X738" s="389"/>
      <c r="Y738" s="389"/>
      <c r="Z738" s="389"/>
      <c r="AA738" s="389"/>
      <c r="AB738" s="389"/>
      <c r="AC738" s="389"/>
      <c r="AD738" s="389"/>
      <c r="AE738" s="389"/>
      <c r="AF738" s="389"/>
    </row>
    <row r="739" spans="1:32" hidden="1" outlineLevel="3">
      <c r="A739" s="382"/>
      <c r="B739" s="386" t="s">
        <v>362</v>
      </c>
      <c r="C739" s="382" t="s">
        <v>363</v>
      </c>
      <c r="D739" s="382" t="s">
        <v>28</v>
      </c>
      <c r="E739" s="382" t="s">
        <v>29</v>
      </c>
      <c r="F739" s="440" t="s">
        <v>369</v>
      </c>
      <c r="G739" s="411">
        <v>3.5409115500000005E-2</v>
      </c>
      <c r="H739" s="387" t="str">
        <f t="shared" si="187"/>
        <v/>
      </c>
      <c r="I739" s="387" t="str">
        <f t="shared" si="188"/>
        <v/>
      </c>
      <c r="J739" s="387">
        <f t="shared" si="189"/>
        <v>3.5409115500000005E-2</v>
      </c>
      <c r="K739" s="387" t="str">
        <f t="shared" si="190"/>
        <v/>
      </c>
      <c r="L739" s="411">
        <f t="shared" ref="L739:L770" si="191">SUM(M739:P739)</f>
        <v>1</v>
      </c>
      <c r="M739" s="409"/>
      <c r="N739" s="409"/>
      <c r="O739" s="409">
        <v>1</v>
      </c>
      <c r="P739" s="409"/>
      <c r="Q739" s="382"/>
      <c r="R739" s="385" t="str">
        <f t="shared" si="186"/>
        <v>T</v>
      </c>
      <c r="S739" s="389"/>
      <c r="T739" s="389"/>
      <c r="U739" s="389"/>
      <c r="V739" s="389"/>
      <c r="W739" s="389"/>
      <c r="X739" s="389"/>
      <c r="Y739" s="389"/>
      <c r="Z739" s="389"/>
      <c r="AA739" s="389"/>
      <c r="AB739" s="389"/>
      <c r="AC739" s="389"/>
      <c r="AD739" s="389"/>
      <c r="AE739" s="389"/>
      <c r="AF739" s="389"/>
    </row>
    <row r="740" spans="1:32" hidden="1" outlineLevel="3">
      <c r="A740" s="382"/>
      <c r="B740" s="386" t="s">
        <v>362</v>
      </c>
      <c r="C740" s="382" t="s">
        <v>363</v>
      </c>
      <c r="D740" s="382" t="s">
        <v>28</v>
      </c>
      <c r="E740" s="382" t="s">
        <v>29</v>
      </c>
      <c r="F740" s="440" t="s">
        <v>370</v>
      </c>
      <c r="G740" s="411">
        <v>3.5409115500000005E-2</v>
      </c>
      <c r="H740" s="387" t="str">
        <f t="shared" si="187"/>
        <v/>
      </c>
      <c r="I740" s="387" t="str">
        <f t="shared" si="188"/>
        <v/>
      </c>
      <c r="J740" s="387" t="str">
        <f t="shared" si="189"/>
        <v/>
      </c>
      <c r="K740" s="387">
        <f t="shared" si="190"/>
        <v>3.5409115500000005E-2</v>
      </c>
      <c r="L740" s="411">
        <f t="shared" si="191"/>
        <v>1</v>
      </c>
      <c r="M740" s="409"/>
      <c r="N740" s="409"/>
      <c r="O740" s="409"/>
      <c r="P740" s="409">
        <v>1</v>
      </c>
      <c r="Q740" s="382"/>
      <c r="R740" s="385" t="str">
        <f t="shared" si="186"/>
        <v>T</v>
      </c>
      <c r="S740" s="389"/>
      <c r="T740" s="389"/>
      <c r="U740" s="389"/>
      <c r="V740" s="389"/>
      <c r="W740" s="389"/>
      <c r="X740" s="389"/>
      <c r="Y740" s="389"/>
      <c r="Z740" s="389"/>
      <c r="AA740" s="389"/>
      <c r="AB740" s="389"/>
      <c r="AC740" s="389"/>
      <c r="AD740" s="389"/>
      <c r="AE740" s="389"/>
      <c r="AF740" s="389"/>
    </row>
    <row r="741" spans="1:32" hidden="1" outlineLevel="3">
      <c r="A741" s="382"/>
      <c r="B741" s="386" t="s">
        <v>362</v>
      </c>
      <c r="C741" s="382" t="s">
        <v>363</v>
      </c>
      <c r="D741" s="382" t="s">
        <v>28</v>
      </c>
      <c r="E741" s="382" t="s">
        <v>29</v>
      </c>
      <c r="F741" s="440" t="s">
        <v>371</v>
      </c>
      <c r="G741" s="411">
        <v>3.5409115500000005E-2</v>
      </c>
      <c r="H741" s="387" t="str">
        <f t="shared" si="187"/>
        <v/>
      </c>
      <c r="I741" s="387" t="str">
        <f t="shared" si="188"/>
        <v/>
      </c>
      <c r="J741" s="387">
        <f t="shared" si="189"/>
        <v>3.5409115500000005E-2</v>
      </c>
      <c r="K741" s="387" t="str">
        <f t="shared" si="190"/>
        <v/>
      </c>
      <c r="L741" s="411">
        <f t="shared" si="191"/>
        <v>1</v>
      </c>
      <c r="M741" s="409"/>
      <c r="N741" s="409"/>
      <c r="O741" s="409">
        <v>1</v>
      </c>
      <c r="P741" s="409"/>
      <c r="Q741" s="382"/>
      <c r="R741" s="385" t="str">
        <f t="shared" si="186"/>
        <v>T</v>
      </c>
      <c r="S741" s="389"/>
      <c r="T741" s="389"/>
      <c r="U741" s="389"/>
      <c r="V741" s="389"/>
      <c r="W741" s="389"/>
      <c r="X741" s="389"/>
      <c r="Y741" s="389"/>
      <c r="Z741" s="389"/>
      <c r="AA741" s="389"/>
      <c r="AB741" s="389"/>
      <c r="AC741" s="389"/>
      <c r="AD741" s="389"/>
      <c r="AE741" s="389"/>
      <c r="AF741" s="389"/>
    </row>
    <row r="742" spans="1:32" hidden="1" outlineLevel="3">
      <c r="A742" s="382"/>
      <c r="B742" s="386" t="s">
        <v>362</v>
      </c>
      <c r="C742" s="382" t="s">
        <v>363</v>
      </c>
      <c r="D742" s="382" t="s">
        <v>28</v>
      </c>
      <c r="E742" s="382" t="s">
        <v>29</v>
      </c>
      <c r="F742" s="440" t="s">
        <v>372</v>
      </c>
      <c r="G742" s="411">
        <v>4.7212154000000006E-2</v>
      </c>
      <c r="H742" s="387" t="str">
        <f t="shared" si="187"/>
        <v/>
      </c>
      <c r="I742" s="387" t="str">
        <f t="shared" si="188"/>
        <v/>
      </c>
      <c r="J742" s="387">
        <f t="shared" si="189"/>
        <v>4.7212154000000006E-2</v>
      </c>
      <c r="K742" s="387" t="str">
        <f t="shared" si="190"/>
        <v/>
      </c>
      <c r="L742" s="411">
        <f t="shared" si="191"/>
        <v>1</v>
      </c>
      <c r="M742" s="409"/>
      <c r="N742" s="409"/>
      <c r="O742" s="409">
        <v>1</v>
      </c>
      <c r="P742" s="409"/>
      <c r="Q742" s="382"/>
      <c r="R742" s="385" t="str">
        <f t="shared" si="186"/>
        <v>T</v>
      </c>
      <c r="S742" s="389"/>
      <c r="T742" s="389"/>
      <c r="U742" s="389"/>
      <c r="V742" s="389"/>
      <c r="W742" s="389"/>
      <c r="X742" s="389"/>
      <c r="Y742" s="389"/>
      <c r="Z742" s="389"/>
      <c r="AA742" s="389"/>
      <c r="AB742" s="389"/>
      <c r="AC742" s="389"/>
      <c r="AD742" s="389"/>
      <c r="AE742" s="389"/>
      <c r="AF742" s="389"/>
    </row>
    <row r="743" spans="1:32" hidden="1" outlineLevel="3">
      <c r="A743" s="382"/>
      <c r="B743" s="386" t="s">
        <v>362</v>
      </c>
      <c r="C743" s="382" t="s">
        <v>363</v>
      </c>
      <c r="D743" s="382" t="s">
        <v>28</v>
      </c>
      <c r="E743" s="382" t="s">
        <v>29</v>
      </c>
      <c r="F743" s="440" t="s">
        <v>373</v>
      </c>
      <c r="G743" s="411">
        <v>3.5409115500000005E-2</v>
      </c>
      <c r="H743" s="387" t="str">
        <f t="shared" si="187"/>
        <v/>
      </c>
      <c r="I743" s="387" t="str">
        <f t="shared" si="188"/>
        <v/>
      </c>
      <c r="J743" s="387" t="str">
        <f t="shared" si="189"/>
        <v/>
      </c>
      <c r="K743" s="387">
        <f t="shared" si="190"/>
        <v>3.5409115500000005E-2</v>
      </c>
      <c r="L743" s="411">
        <f t="shared" si="191"/>
        <v>1</v>
      </c>
      <c r="M743" s="409"/>
      <c r="N743" s="409"/>
      <c r="O743" s="409"/>
      <c r="P743" s="409">
        <v>1</v>
      </c>
      <c r="Q743" s="382"/>
      <c r="R743" s="385" t="str">
        <f t="shared" si="186"/>
        <v>T</v>
      </c>
      <c r="S743" s="389"/>
      <c r="T743" s="389"/>
      <c r="U743" s="389"/>
      <c r="V743" s="389"/>
      <c r="W743" s="389"/>
      <c r="X743" s="389"/>
      <c r="Y743" s="389"/>
      <c r="Z743" s="389"/>
      <c r="AA743" s="389"/>
      <c r="AB743" s="389"/>
      <c r="AC743" s="389"/>
      <c r="AD743" s="389"/>
      <c r="AE743" s="389"/>
      <c r="AF743" s="389"/>
    </row>
    <row r="744" spans="1:32" hidden="1" outlineLevel="3">
      <c r="A744" s="382"/>
      <c r="B744" s="386" t="s">
        <v>362</v>
      </c>
      <c r="C744" s="382" t="s">
        <v>363</v>
      </c>
      <c r="D744" s="382" t="s">
        <v>28</v>
      </c>
      <c r="E744" s="382" t="s">
        <v>29</v>
      </c>
      <c r="F744" s="440" t="s">
        <v>374</v>
      </c>
      <c r="G744" s="411">
        <v>3.5409115500000005E-2</v>
      </c>
      <c r="H744" s="387" t="str">
        <f t="shared" si="187"/>
        <v/>
      </c>
      <c r="I744" s="387" t="str">
        <f t="shared" si="188"/>
        <v/>
      </c>
      <c r="J744" s="387" t="str">
        <f t="shared" si="189"/>
        <v/>
      </c>
      <c r="K744" s="387">
        <f t="shared" si="190"/>
        <v>3.5409115500000005E-2</v>
      </c>
      <c r="L744" s="411">
        <f t="shared" si="191"/>
        <v>1</v>
      </c>
      <c r="M744" s="409"/>
      <c r="N744" s="409"/>
      <c r="O744" s="409"/>
      <c r="P744" s="409">
        <v>1</v>
      </c>
      <c r="Q744" s="382"/>
      <c r="R744" s="385" t="str">
        <f t="shared" si="186"/>
        <v>T</v>
      </c>
      <c r="S744" s="389"/>
      <c r="T744" s="389"/>
      <c r="U744" s="389"/>
      <c r="V744" s="389"/>
      <c r="W744" s="389"/>
      <c r="X744" s="389"/>
      <c r="Y744" s="389"/>
      <c r="Z744" s="389"/>
      <c r="AA744" s="389"/>
      <c r="AB744" s="389"/>
      <c r="AC744" s="389"/>
      <c r="AD744" s="389"/>
      <c r="AE744" s="389"/>
      <c r="AF744" s="389"/>
    </row>
    <row r="745" spans="1:32" hidden="1" outlineLevel="3">
      <c r="A745" s="382"/>
      <c r="B745" s="386" t="s">
        <v>362</v>
      </c>
      <c r="C745" s="382" t="s">
        <v>363</v>
      </c>
      <c r="D745" s="382" t="s">
        <v>28</v>
      </c>
      <c r="E745" s="382" t="s">
        <v>29</v>
      </c>
      <c r="F745" s="440" t="s">
        <v>375</v>
      </c>
      <c r="G745" s="411">
        <v>1.6300332674999998E-2</v>
      </c>
      <c r="H745" s="387" t="str">
        <f t="shared" si="187"/>
        <v/>
      </c>
      <c r="I745" s="387" t="str">
        <f t="shared" si="188"/>
        <v/>
      </c>
      <c r="J745" s="387">
        <f t="shared" si="189"/>
        <v>1.6300332674999998E-2</v>
      </c>
      <c r="K745" s="387" t="str">
        <f t="shared" si="190"/>
        <v/>
      </c>
      <c r="L745" s="411">
        <f t="shared" si="191"/>
        <v>1</v>
      </c>
      <c r="M745" s="409"/>
      <c r="N745" s="409"/>
      <c r="O745" s="409">
        <v>1</v>
      </c>
      <c r="P745" s="409"/>
      <c r="Q745" s="382"/>
      <c r="R745" s="385" t="str">
        <f t="shared" si="186"/>
        <v>T</v>
      </c>
      <c r="S745" s="389"/>
      <c r="T745" s="389"/>
      <c r="U745" s="389"/>
      <c r="V745" s="389"/>
      <c r="W745" s="389"/>
      <c r="X745" s="389"/>
      <c r="Y745" s="389"/>
      <c r="Z745" s="389"/>
      <c r="AA745" s="389"/>
      <c r="AB745" s="389"/>
      <c r="AC745" s="389"/>
      <c r="AD745" s="389"/>
      <c r="AE745" s="389"/>
      <c r="AF745" s="389"/>
    </row>
    <row r="746" spans="1:32" hidden="1" outlineLevel="3">
      <c r="A746" s="382"/>
      <c r="B746" s="386" t="s">
        <v>362</v>
      </c>
      <c r="C746" s="382" t="s">
        <v>363</v>
      </c>
      <c r="D746" s="382" t="s">
        <v>28</v>
      </c>
      <c r="E746" s="382" t="s">
        <v>29</v>
      </c>
      <c r="F746" s="440" t="s">
        <v>376</v>
      </c>
      <c r="G746" s="411">
        <v>2.1733776899999998E-2</v>
      </c>
      <c r="H746" s="387" t="str">
        <f t="shared" si="187"/>
        <v/>
      </c>
      <c r="I746" s="387" t="str">
        <f t="shared" si="188"/>
        <v/>
      </c>
      <c r="J746" s="387">
        <f t="shared" si="189"/>
        <v>2.1733776899999998E-2</v>
      </c>
      <c r="K746" s="387" t="str">
        <f t="shared" si="190"/>
        <v/>
      </c>
      <c r="L746" s="411">
        <f t="shared" si="191"/>
        <v>1</v>
      </c>
      <c r="M746" s="409"/>
      <c r="N746" s="409"/>
      <c r="O746" s="409">
        <v>1</v>
      </c>
      <c r="P746" s="409"/>
      <c r="Q746" s="382"/>
      <c r="R746" s="385" t="str">
        <f t="shared" si="186"/>
        <v>T</v>
      </c>
      <c r="S746" s="389"/>
      <c r="T746" s="389"/>
      <c r="U746" s="389"/>
      <c r="V746" s="389"/>
      <c r="W746" s="389"/>
      <c r="X746" s="389"/>
      <c r="Y746" s="389"/>
      <c r="Z746" s="389"/>
      <c r="AA746" s="389"/>
      <c r="AB746" s="389"/>
      <c r="AC746" s="389"/>
      <c r="AD746" s="389"/>
      <c r="AE746" s="389"/>
      <c r="AF746" s="389"/>
    </row>
    <row r="747" spans="1:32" hidden="1" outlineLevel="3">
      <c r="A747" s="382"/>
      <c r="B747" s="386" t="s">
        <v>362</v>
      </c>
      <c r="C747" s="382" t="s">
        <v>363</v>
      </c>
      <c r="D747" s="382" t="s">
        <v>28</v>
      </c>
      <c r="E747" s="382" t="s">
        <v>29</v>
      </c>
      <c r="F747" s="440" t="s">
        <v>377</v>
      </c>
      <c r="G747" s="411">
        <v>1.6300332674999998E-2</v>
      </c>
      <c r="H747" s="387" t="str">
        <f t="shared" si="187"/>
        <v/>
      </c>
      <c r="I747" s="387" t="str">
        <f t="shared" si="188"/>
        <v/>
      </c>
      <c r="J747" s="387" t="str">
        <f t="shared" si="189"/>
        <v/>
      </c>
      <c r="K747" s="387">
        <f t="shared" si="190"/>
        <v>1.6300332674999998E-2</v>
      </c>
      <c r="L747" s="411">
        <f t="shared" si="191"/>
        <v>1</v>
      </c>
      <c r="M747" s="409"/>
      <c r="N747" s="409"/>
      <c r="O747" s="409"/>
      <c r="P747" s="409">
        <v>1</v>
      </c>
      <c r="Q747" s="382"/>
      <c r="R747" s="385" t="str">
        <f t="shared" si="186"/>
        <v>T</v>
      </c>
      <c r="S747" s="389"/>
      <c r="T747" s="389"/>
      <c r="U747" s="389"/>
      <c r="V747" s="389"/>
      <c r="W747" s="389"/>
      <c r="X747" s="389"/>
      <c r="Y747" s="389"/>
      <c r="Z747" s="389"/>
      <c r="AA747" s="389"/>
      <c r="AB747" s="389"/>
      <c r="AC747" s="389"/>
      <c r="AD747" s="389"/>
      <c r="AE747" s="389"/>
      <c r="AF747" s="389"/>
    </row>
    <row r="748" spans="1:32" hidden="1" outlineLevel="3">
      <c r="A748" s="382"/>
      <c r="B748" s="386" t="s">
        <v>362</v>
      </c>
      <c r="C748" s="382" t="s">
        <v>363</v>
      </c>
      <c r="D748" s="382" t="s">
        <v>28</v>
      </c>
      <c r="E748" s="382" t="s">
        <v>29</v>
      </c>
      <c r="F748" s="440" t="s">
        <v>378</v>
      </c>
      <c r="G748" s="411">
        <v>1.6300332674999998E-2</v>
      </c>
      <c r="H748" s="387" t="str">
        <f t="shared" si="187"/>
        <v/>
      </c>
      <c r="I748" s="387" t="str">
        <f t="shared" si="188"/>
        <v/>
      </c>
      <c r="J748" s="387" t="str">
        <f t="shared" si="189"/>
        <v/>
      </c>
      <c r="K748" s="387">
        <f t="shared" si="190"/>
        <v>1.6300332674999998E-2</v>
      </c>
      <c r="L748" s="411">
        <f t="shared" si="191"/>
        <v>1</v>
      </c>
      <c r="M748" s="409"/>
      <c r="N748" s="409"/>
      <c r="O748" s="409"/>
      <c r="P748" s="409">
        <v>1</v>
      </c>
      <c r="Q748" s="382"/>
      <c r="R748" s="385" t="str">
        <f t="shared" si="186"/>
        <v>T</v>
      </c>
      <c r="S748" s="389"/>
      <c r="T748" s="389"/>
      <c r="U748" s="389"/>
      <c r="V748" s="389"/>
      <c r="W748" s="389"/>
      <c r="X748" s="389"/>
      <c r="Y748" s="389"/>
      <c r="Z748" s="389"/>
      <c r="AA748" s="389"/>
      <c r="AB748" s="389"/>
      <c r="AC748" s="389"/>
      <c r="AD748" s="389"/>
      <c r="AE748" s="389"/>
      <c r="AF748" s="389"/>
    </row>
    <row r="749" spans="1:32" hidden="1" outlineLevel="3">
      <c r="A749" s="382"/>
      <c r="B749" s="386" t="s">
        <v>362</v>
      </c>
      <c r="C749" s="382" t="s">
        <v>363</v>
      </c>
      <c r="D749" s="382" t="s">
        <v>28</v>
      </c>
      <c r="E749" s="382" t="s">
        <v>29</v>
      </c>
      <c r="F749" s="440" t="s">
        <v>379</v>
      </c>
      <c r="G749" s="411">
        <v>6.6955418400000008E-2</v>
      </c>
      <c r="H749" s="387" t="str">
        <f t="shared" si="187"/>
        <v/>
      </c>
      <c r="I749" s="387">
        <f t="shared" si="188"/>
        <v>6.6955418400000008E-2</v>
      </c>
      <c r="J749" s="387" t="str">
        <f t="shared" si="189"/>
        <v/>
      </c>
      <c r="K749" s="387" t="str">
        <f t="shared" si="190"/>
        <v/>
      </c>
      <c r="L749" s="411">
        <f t="shared" si="191"/>
        <v>1</v>
      </c>
      <c r="M749" s="409"/>
      <c r="N749" s="409">
        <v>1</v>
      </c>
      <c r="O749" s="409"/>
      <c r="P749" s="409"/>
      <c r="Q749" s="382"/>
      <c r="R749" s="385" t="str">
        <f t="shared" si="186"/>
        <v>T</v>
      </c>
      <c r="S749" s="389"/>
      <c r="T749" s="389"/>
      <c r="U749" s="389"/>
      <c r="V749" s="389"/>
      <c r="W749" s="389"/>
      <c r="X749" s="389"/>
      <c r="Y749" s="389"/>
      <c r="Z749" s="389"/>
      <c r="AA749" s="389"/>
      <c r="AB749" s="389"/>
      <c r="AC749" s="389"/>
      <c r="AD749" s="389"/>
      <c r="AE749" s="389"/>
      <c r="AF749" s="389"/>
    </row>
    <row r="750" spans="1:32" hidden="1" outlineLevel="3">
      <c r="A750" s="382"/>
      <c r="B750" s="386" t="s">
        <v>362</v>
      </c>
      <c r="C750" s="382" t="s">
        <v>363</v>
      </c>
      <c r="D750" s="382" t="s">
        <v>28</v>
      </c>
      <c r="E750" s="382" t="s">
        <v>29</v>
      </c>
      <c r="F750" s="440" t="s">
        <v>382</v>
      </c>
      <c r="G750" s="411">
        <v>0.10043312759999999</v>
      </c>
      <c r="H750" s="387" t="str">
        <f t="shared" si="187"/>
        <v/>
      </c>
      <c r="I750" s="387" t="str">
        <f t="shared" si="188"/>
        <v/>
      </c>
      <c r="J750" s="387">
        <f t="shared" si="189"/>
        <v>0.10043312759999999</v>
      </c>
      <c r="K750" s="387" t="str">
        <f t="shared" si="190"/>
        <v/>
      </c>
      <c r="L750" s="411">
        <f t="shared" si="191"/>
        <v>1</v>
      </c>
      <c r="M750" s="409"/>
      <c r="N750" s="409"/>
      <c r="O750" s="409">
        <v>1</v>
      </c>
      <c r="P750" s="409"/>
      <c r="Q750" s="382"/>
      <c r="R750" s="385" t="str">
        <f t="shared" si="186"/>
        <v>T</v>
      </c>
      <c r="S750" s="389"/>
      <c r="T750" s="389"/>
      <c r="U750" s="389"/>
      <c r="V750" s="389"/>
      <c r="W750" s="389"/>
      <c r="X750" s="389"/>
      <c r="Y750" s="389"/>
      <c r="Z750" s="389"/>
      <c r="AA750" s="389"/>
      <c r="AB750" s="389"/>
      <c r="AC750" s="389"/>
      <c r="AD750" s="389"/>
      <c r="AE750" s="389"/>
      <c r="AF750" s="389"/>
    </row>
    <row r="751" spans="1:32" hidden="1" outlineLevel="3">
      <c r="A751" s="382"/>
      <c r="B751" s="386" t="s">
        <v>362</v>
      </c>
      <c r="C751" s="382" t="s">
        <v>363</v>
      </c>
      <c r="D751" s="382" t="s">
        <v>28</v>
      </c>
      <c r="E751" s="382" t="s">
        <v>29</v>
      </c>
      <c r="F751" s="440" t="s">
        <v>384</v>
      </c>
      <c r="G751" s="411">
        <v>6.6955418400000008E-2</v>
      </c>
      <c r="H751" s="387" t="str">
        <f t="shared" si="187"/>
        <v/>
      </c>
      <c r="I751" s="387" t="str">
        <f t="shared" si="188"/>
        <v/>
      </c>
      <c r="J751" s="387">
        <f t="shared" si="189"/>
        <v>6.6955418400000008E-2</v>
      </c>
      <c r="K751" s="387" t="str">
        <f t="shared" si="190"/>
        <v/>
      </c>
      <c r="L751" s="411">
        <f t="shared" si="191"/>
        <v>1</v>
      </c>
      <c r="M751" s="409"/>
      <c r="N751" s="409"/>
      <c r="O751" s="409">
        <v>1</v>
      </c>
      <c r="P751" s="409"/>
      <c r="Q751" s="382"/>
      <c r="R751" s="385" t="str">
        <f t="shared" si="186"/>
        <v>T</v>
      </c>
      <c r="S751" s="389"/>
      <c r="T751" s="389"/>
      <c r="U751" s="389"/>
      <c r="V751" s="389"/>
      <c r="W751" s="389"/>
      <c r="X751" s="389"/>
      <c r="Y751" s="389"/>
      <c r="Z751" s="389"/>
      <c r="AA751" s="389"/>
      <c r="AB751" s="389"/>
      <c r="AC751" s="389"/>
      <c r="AD751" s="389"/>
      <c r="AE751" s="389"/>
      <c r="AF751" s="389"/>
    </row>
    <row r="752" spans="1:32" hidden="1" outlineLevel="3">
      <c r="A752" s="382"/>
      <c r="B752" s="386" t="s">
        <v>362</v>
      </c>
      <c r="C752" s="382" t="s">
        <v>363</v>
      </c>
      <c r="D752" s="382" t="s">
        <v>28</v>
      </c>
      <c r="E752" s="382" t="s">
        <v>29</v>
      </c>
      <c r="F752" s="440" t="s">
        <v>387</v>
      </c>
      <c r="G752" s="411">
        <v>0.10043312759999999</v>
      </c>
      <c r="H752" s="387" t="str">
        <f t="shared" si="187"/>
        <v/>
      </c>
      <c r="I752" s="387" t="str">
        <f t="shared" si="188"/>
        <v/>
      </c>
      <c r="J752" s="387" t="str">
        <f t="shared" si="189"/>
        <v/>
      </c>
      <c r="K752" s="387">
        <f t="shared" si="190"/>
        <v>0.10043312759999999</v>
      </c>
      <c r="L752" s="411">
        <f t="shared" si="191"/>
        <v>1</v>
      </c>
      <c r="M752" s="409"/>
      <c r="N752" s="409"/>
      <c r="O752" s="409"/>
      <c r="P752" s="409">
        <v>1</v>
      </c>
      <c r="Q752" s="382"/>
      <c r="R752" s="385" t="str">
        <f t="shared" si="186"/>
        <v>T</v>
      </c>
      <c r="S752" s="389"/>
      <c r="T752" s="389"/>
      <c r="U752" s="389"/>
      <c r="V752" s="389"/>
      <c r="W752" s="389"/>
      <c r="X752" s="389"/>
      <c r="Y752" s="389"/>
      <c r="Z752" s="389"/>
      <c r="AA752" s="389"/>
      <c r="AB752" s="389"/>
      <c r="AC752" s="389"/>
      <c r="AD752" s="389"/>
      <c r="AE752" s="389"/>
      <c r="AF752" s="389"/>
    </row>
    <row r="753" spans="1:32" hidden="1" outlineLevel="3">
      <c r="A753" s="382"/>
      <c r="B753" s="386" t="s">
        <v>362</v>
      </c>
      <c r="C753" s="382" t="s">
        <v>363</v>
      </c>
      <c r="D753" s="382" t="s">
        <v>28</v>
      </c>
      <c r="E753" s="382" t="s">
        <v>29</v>
      </c>
      <c r="F753" s="440" t="s">
        <v>389</v>
      </c>
      <c r="G753" s="411">
        <v>3.0822447240000002E-2</v>
      </c>
      <c r="H753" s="387" t="str">
        <f t="shared" si="187"/>
        <v/>
      </c>
      <c r="I753" s="387" t="str">
        <f t="shared" si="188"/>
        <v/>
      </c>
      <c r="J753" s="387">
        <f t="shared" si="189"/>
        <v>3.0822447240000002E-2</v>
      </c>
      <c r="K753" s="387" t="str">
        <f t="shared" si="190"/>
        <v/>
      </c>
      <c r="L753" s="411">
        <f t="shared" si="191"/>
        <v>1</v>
      </c>
      <c r="M753" s="409"/>
      <c r="N753" s="409"/>
      <c r="O753" s="409">
        <v>1</v>
      </c>
      <c r="P753" s="409"/>
      <c r="Q753" s="382"/>
      <c r="R753" s="385" t="str">
        <f t="shared" si="186"/>
        <v>T</v>
      </c>
      <c r="S753" s="389"/>
      <c r="T753" s="389"/>
      <c r="U753" s="389"/>
      <c r="V753" s="389"/>
      <c r="W753" s="389"/>
      <c r="X753" s="389"/>
      <c r="Y753" s="389"/>
      <c r="Z753" s="389"/>
      <c r="AA753" s="389"/>
      <c r="AB753" s="389"/>
      <c r="AC753" s="389"/>
      <c r="AD753" s="389"/>
      <c r="AE753" s="389"/>
      <c r="AF753" s="389"/>
    </row>
    <row r="754" spans="1:32" hidden="1" outlineLevel="3">
      <c r="A754" s="382"/>
      <c r="B754" s="386" t="s">
        <v>362</v>
      </c>
      <c r="C754" s="382" t="s">
        <v>363</v>
      </c>
      <c r="D754" s="382" t="s">
        <v>28</v>
      </c>
      <c r="E754" s="382" t="s">
        <v>29</v>
      </c>
      <c r="F754" s="440" t="s">
        <v>392</v>
      </c>
      <c r="G754" s="411">
        <v>4.6233670859999999E-2</v>
      </c>
      <c r="H754" s="387" t="str">
        <f t="shared" si="187"/>
        <v/>
      </c>
      <c r="I754" s="387" t="str">
        <f t="shared" si="188"/>
        <v/>
      </c>
      <c r="J754" s="387" t="str">
        <f t="shared" si="189"/>
        <v/>
      </c>
      <c r="K754" s="387">
        <f t="shared" si="190"/>
        <v>4.6233670859999999E-2</v>
      </c>
      <c r="L754" s="411">
        <f t="shared" si="191"/>
        <v>1</v>
      </c>
      <c r="M754" s="409"/>
      <c r="N754" s="409"/>
      <c r="O754" s="409"/>
      <c r="P754" s="409">
        <v>1</v>
      </c>
      <c r="Q754" s="382"/>
      <c r="R754" s="385" t="str">
        <f t="shared" si="186"/>
        <v>T</v>
      </c>
      <c r="S754" s="389"/>
      <c r="T754" s="389"/>
      <c r="U754" s="389"/>
      <c r="V754" s="389"/>
      <c r="W754" s="389"/>
      <c r="X754" s="389"/>
      <c r="Y754" s="389"/>
      <c r="Z754" s="389"/>
      <c r="AA754" s="389"/>
      <c r="AB754" s="389"/>
      <c r="AC754" s="389"/>
      <c r="AD754" s="389"/>
      <c r="AE754" s="389"/>
      <c r="AF754" s="389"/>
    </row>
    <row r="755" spans="1:32" hidden="1" outlineLevel="2" collapsed="1">
      <c r="A755" s="382"/>
      <c r="B755" s="386" t="s">
        <v>362</v>
      </c>
      <c r="C755" s="382" t="s">
        <v>363</v>
      </c>
      <c r="D755" s="382" t="s">
        <v>64</v>
      </c>
      <c r="E755" s="382"/>
      <c r="F755" s="440" t="s">
        <v>366</v>
      </c>
      <c r="G755" s="411">
        <f>SUM(G756:G757)</f>
        <v>0.86935808227210531</v>
      </c>
      <c r="H755" s="411">
        <f>SUM(H756:H757)</f>
        <v>0.86935808227210531</v>
      </c>
      <c r="I755" s="411">
        <f>SUM(I756:I757)</f>
        <v>0</v>
      </c>
      <c r="J755" s="411">
        <f>SUM(J756:J757)</f>
        <v>0</v>
      </c>
      <c r="K755" s="411">
        <f>SUM(K756:K757)</f>
        <v>0</v>
      </c>
      <c r="L755" s="411">
        <f t="shared" si="191"/>
        <v>2</v>
      </c>
      <c r="M755" s="409">
        <f>SUM(M756:M757)</f>
        <v>2</v>
      </c>
      <c r="N755" s="409">
        <f>SUM(N756:N757)</f>
        <v>0</v>
      </c>
      <c r="O755" s="409">
        <f>SUM(O756:O757)</f>
        <v>0</v>
      </c>
      <c r="P755" s="409">
        <f>SUM(P756:P757)</f>
        <v>0</v>
      </c>
      <c r="Q755" s="382"/>
      <c r="R755" s="385" t="str">
        <f t="shared" si="186"/>
        <v>T</v>
      </c>
      <c r="S755" s="389"/>
      <c r="T755" s="389"/>
      <c r="U755" s="389"/>
      <c r="V755" s="389"/>
      <c r="W755" s="389"/>
      <c r="X755" s="389"/>
      <c r="Y755" s="389"/>
      <c r="Z755" s="389"/>
      <c r="AA755" s="389"/>
      <c r="AB755" s="389"/>
      <c r="AC755" s="389"/>
      <c r="AD755" s="389"/>
      <c r="AE755" s="389"/>
      <c r="AF755" s="389"/>
    </row>
    <row r="756" spans="1:32" hidden="1" outlineLevel="3">
      <c r="A756" s="382"/>
      <c r="B756" s="386" t="s">
        <v>362</v>
      </c>
      <c r="C756" s="382" t="s">
        <v>363</v>
      </c>
      <c r="D756" s="382" t="s">
        <v>64</v>
      </c>
      <c r="E756" s="382" t="s">
        <v>29</v>
      </c>
      <c r="F756" s="440" t="s">
        <v>32</v>
      </c>
      <c r="G756" s="411">
        <v>0.43467904113605266</v>
      </c>
      <c r="H756" s="387">
        <f t="shared" ref="H756:K757" si="192">IF(M756=1,$G756,"")</f>
        <v>0.43467904113605266</v>
      </c>
      <c r="I756" s="387" t="str">
        <f t="shared" si="192"/>
        <v/>
      </c>
      <c r="J756" s="387" t="str">
        <f t="shared" si="192"/>
        <v/>
      </c>
      <c r="K756" s="387" t="str">
        <f t="shared" si="192"/>
        <v/>
      </c>
      <c r="L756" s="411">
        <f t="shared" si="191"/>
        <v>1</v>
      </c>
      <c r="M756" s="409">
        <v>1</v>
      </c>
      <c r="N756" s="409"/>
      <c r="O756" s="409"/>
      <c r="P756" s="409"/>
      <c r="Q756" s="382"/>
      <c r="R756" s="385" t="str">
        <f t="shared" ref="R756:R770" si="193">IF(SUM(M756:P756)=L756,"T","F")</f>
        <v>T</v>
      </c>
      <c r="S756" s="389"/>
      <c r="T756" s="389"/>
      <c r="U756" s="389"/>
      <c r="V756" s="389"/>
      <c r="W756" s="389"/>
      <c r="X756" s="389"/>
      <c r="Y756" s="389"/>
      <c r="Z756" s="389"/>
      <c r="AA756" s="389"/>
      <c r="AB756" s="389"/>
      <c r="AC756" s="389"/>
      <c r="AD756" s="389"/>
      <c r="AE756" s="389"/>
      <c r="AF756" s="389"/>
    </row>
    <row r="757" spans="1:32" hidden="1" outlineLevel="3">
      <c r="A757" s="382"/>
      <c r="B757" s="386" t="s">
        <v>362</v>
      </c>
      <c r="C757" s="382" t="s">
        <v>363</v>
      </c>
      <c r="D757" s="382" t="s">
        <v>64</v>
      </c>
      <c r="E757" s="382" t="s">
        <v>29</v>
      </c>
      <c r="F757" s="440" t="s">
        <v>34</v>
      </c>
      <c r="G757" s="411">
        <v>0.43467904113605266</v>
      </c>
      <c r="H757" s="387">
        <f t="shared" si="192"/>
        <v>0.43467904113605266</v>
      </c>
      <c r="I757" s="387" t="str">
        <f t="shared" si="192"/>
        <v/>
      </c>
      <c r="J757" s="387" t="str">
        <f t="shared" si="192"/>
        <v/>
      </c>
      <c r="K757" s="387" t="str">
        <f t="shared" si="192"/>
        <v/>
      </c>
      <c r="L757" s="411">
        <f t="shared" si="191"/>
        <v>1</v>
      </c>
      <c r="M757" s="409">
        <v>1</v>
      </c>
      <c r="N757" s="409"/>
      <c r="O757" s="409"/>
      <c r="P757" s="409"/>
      <c r="Q757" s="382"/>
      <c r="R757" s="385" t="str">
        <f t="shared" si="193"/>
        <v>T</v>
      </c>
      <c r="S757" s="389"/>
      <c r="T757" s="389"/>
      <c r="U757" s="389"/>
      <c r="V757" s="389"/>
      <c r="W757" s="389"/>
      <c r="X757" s="389"/>
      <c r="Y757" s="389"/>
      <c r="Z757" s="389"/>
      <c r="AA757" s="389"/>
      <c r="AB757" s="389"/>
      <c r="AC757" s="389"/>
      <c r="AD757" s="389"/>
      <c r="AE757" s="389"/>
      <c r="AF757" s="389"/>
    </row>
    <row r="758" spans="1:32" s="473" customFormat="1" ht="26.45" outlineLevel="1" collapsed="1">
      <c r="A758" s="405"/>
      <c r="B758" s="396" t="s">
        <v>397</v>
      </c>
      <c r="C758" s="396" t="s">
        <v>398</v>
      </c>
      <c r="D758" s="421"/>
      <c r="E758" s="396"/>
      <c r="F758" s="445" t="s">
        <v>399</v>
      </c>
      <c r="G758" s="422">
        <f>SUM(G759,G789,G806,G819)</f>
        <v>37.66593658393947</v>
      </c>
      <c r="H758" s="422">
        <f>H759+H789+H806+H819</f>
        <v>18.105283200000006</v>
      </c>
      <c r="I758" s="422">
        <f>I759+I789+I806+I819</f>
        <v>11.120115814416172</v>
      </c>
      <c r="J758" s="422">
        <f>J759+J789+J806+J819</f>
        <v>3.8682955094097253</v>
      </c>
      <c r="K758" s="422">
        <f>K759+K789+K806+K819</f>
        <v>4.5722420601135747</v>
      </c>
      <c r="L758" s="422">
        <f t="shared" si="191"/>
        <v>61</v>
      </c>
      <c r="M758" s="423">
        <f>M759+M789+M806+M819</f>
        <v>13</v>
      </c>
      <c r="N758" s="423">
        <f>N759+N789+N806+N819</f>
        <v>11</v>
      </c>
      <c r="O758" s="423">
        <f>O759+O789+O806+O819</f>
        <v>19</v>
      </c>
      <c r="P758" s="423">
        <f>P759+P789+P806+P819</f>
        <v>18</v>
      </c>
      <c r="Q758" s="475"/>
      <c r="R758" s="458" t="str">
        <f t="shared" si="193"/>
        <v>T</v>
      </c>
      <c r="S758" s="383" t="s">
        <v>400</v>
      </c>
      <c r="T758" s="472"/>
      <c r="U758" s="472"/>
      <c r="V758" s="472"/>
      <c r="W758" s="472"/>
      <c r="X758" s="472"/>
      <c r="Y758" s="472"/>
      <c r="Z758" s="472"/>
      <c r="AA758" s="472"/>
      <c r="AB758" s="472"/>
      <c r="AC758" s="472"/>
      <c r="AD758" s="472"/>
      <c r="AE758" s="472"/>
      <c r="AF758" s="472"/>
    </row>
    <row r="759" spans="1:32" s="473" customFormat="1" hidden="1" outlineLevel="2" collapsed="1">
      <c r="A759" s="405"/>
      <c r="B759" s="397" t="s">
        <v>398</v>
      </c>
      <c r="C759" s="397" t="s">
        <v>398</v>
      </c>
      <c r="D759" s="475" t="s">
        <v>18</v>
      </c>
      <c r="E759" s="397"/>
      <c r="F759" s="447" t="s">
        <v>401</v>
      </c>
      <c r="G759" s="398">
        <f>SUM(G760:G788)</f>
        <v>28.135933956657869</v>
      </c>
      <c r="H759" s="398">
        <f>SUM(H760:H788)</f>
        <v>14.323800000000004</v>
      </c>
      <c r="I759" s="398">
        <f>SUM(I760:I788)</f>
        <v>7.5301105063232878</v>
      </c>
      <c r="J759" s="398">
        <f>SUM(J760:J788)</f>
        <v>2.3588499734483399</v>
      </c>
      <c r="K759" s="398">
        <f>SUM(K760:K788)</f>
        <v>3.9231734768862427</v>
      </c>
      <c r="L759" s="398">
        <f t="shared" si="191"/>
        <v>29</v>
      </c>
      <c r="M759" s="399">
        <f>SUM(M760:M788)</f>
        <v>6</v>
      </c>
      <c r="N759" s="399">
        <f>SUM(N760:N788)</f>
        <v>4</v>
      </c>
      <c r="O759" s="399">
        <f>SUM(O760:O788)</f>
        <v>7</v>
      </c>
      <c r="P759" s="399">
        <f>SUM(P760:P788)</f>
        <v>12</v>
      </c>
      <c r="Q759" s="475"/>
      <c r="R759" s="458" t="str">
        <f t="shared" si="193"/>
        <v>T</v>
      </c>
      <c r="S759" s="472"/>
      <c r="T759" s="472"/>
      <c r="U759" s="472"/>
      <c r="V759" s="472"/>
      <c r="W759" s="472"/>
      <c r="X759" s="472"/>
      <c r="Y759" s="472"/>
      <c r="Z759" s="472"/>
      <c r="AA759" s="472"/>
      <c r="AB759" s="472"/>
      <c r="AC759" s="472"/>
      <c r="AD759" s="472"/>
      <c r="AE759" s="472"/>
      <c r="AF759" s="472"/>
    </row>
    <row r="760" spans="1:32" s="473" customFormat="1" hidden="1" outlineLevel="3">
      <c r="A760" s="405"/>
      <c r="B760" s="397" t="s">
        <v>398</v>
      </c>
      <c r="C760" s="397" t="s">
        <v>398</v>
      </c>
      <c r="D760" s="475" t="s">
        <v>18</v>
      </c>
      <c r="E760" s="397" t="s">
        <v>144</v>
      </c>
      <c r="F760" s="447" t="s">
        <v>334</v>
      </c>
      <c r="G760" s="398">
        <v>4.7746000000000013</v>
      </c>
      <c r="H760" s="411">
        <f t="shared" ref="H760:H770" si="194">IF(M760=1,$G760,"")</f>
        <v>4.7746000000000013</v>
      </c>
      <c r="I760" s="411" t="str">
        <f t="shared" ref="I760:I770" si="195">IF(N760=1,$G760,"")</f>
        <v/>
      </c>
      <c r="J760" s="411" t="str">
        <f t="shared" ref="J760:J770" si="196">IF(O760=1,$G760,"")</f>
        <v/>
      </c>
      <c r="K760" s="411" t="str">
        <f t="shared" ref="K760:K770" si="197">IF(P760=1,$G760,"")</f>
        <v/>
      </c>
      <c r="L760" s="398">
        <f t="shared" si="191"/>
        <v>1</v>
      </c>
      <c r="M760" s="399">
        <v>1</v>
      </c>
      <c r="N760" s="399"/>
      <c r="O760" s="399"/>
      <c r="P760" s="399"/>
      <c r="Q760" s="475"/>
      <c r="R760" s="458" t="str">
        <f t="shared" si="193"/>
        <v>T</v>
      </c>
      <c r="S760" s="472"/>
      <c r="T760" s="472"/>
      <c r="U760" s="472"/>
      <c r="V760" s="472"/>
      <c r="W760" s="472"/>
      <c r="X760" s="472"/>
      <c r="Y760" s="472"/>
      <c r="Z760" s="472"/>
      <c r="AA760" s="472"/>
      <c r="AB760" s="472"/>
      <c r="AC760" s="472"/>
      <c r="AD760" s="472"/>
      <c r="AE760" s="472"/>
      <c r="AF760" s="472"/>
    </row>
    <row r="761" spans="1:32" s="473" customFormat="1" hidden="1" outlineLevel="3">
      <c r="A761" s="405"/>
      <c r="B761" s="397" t="s">
        <v>398</v>
      </c>
      <c r="C761" s="397" t="s">
        <v>398</v>
      </c>
      <c r="D761" s="475" t="s">
        <v>18</v>
      </c>
      <c r="E761" s="397" t="s">
        <v>144</v>
      </c>
      <c r="F761" s="447" t="s">
        <v>32</v>
      </c>
      <c r="G761" s="398">
        <v>4.3640000000000008</v>
      </c>
      <c r="H761" s="411">
        <f t="shared" si="194"/>
        <v>4.3640000000000008</v>
      </c>
      <c r="I761" s="411" t="str">
        <f t="shared" si="195"/>
        <v/>
      </c>
      <c r="J761" s="411" t="str">
        <f t="shared" si="196"/>
        <v/>
      </c>
      <c r="K761" s="411" t="str">
        <f t="shared" si="197"/>
        <v/>
      </c>
      <c r="L761" s="398">
        <f t="shared" si="191"/>
        <v>1</v>
      </c>
      <c r="M761" s="399">
        <v>1</v>
      </c>
      <c r="N761" s="399"/>
      <c r="O761" s="399"/>
      <c r="P761" s="399"/>
      <c r="Q761" s="475"/>
      <c r="R761" s="458" t="str">
        <f t="shared" si="193"/>
        <v>T</v>
      </c>
      <c r="S761" s="472"/>
      <c r="T761" s="472"/>
      <c r="U761" s="472"/>
      <c r="V761" s="472"/>
      <c r="W761" s="472"/>
      <c r="X761" s="472"/>
      <c r="Y761" s="472"/>
      <c r="Z761" s="472"/>
      <c r="AA761" s="472"/>
      <c r="AB761" s="472"/>
      <c r="AC761" s="472"/>
      <c r="AD761" s="472"/>
      <c r="AE761" s="472"/>
      <c r="AF761" s="472"/>
    </row>
    <row r="762" spans="1:32" s="473" customFormat="1" hidden="1" outlineLevel="3">
      <c r="A762" s="405"/>
      <c r="B762" s="397" t="s">
        <v>398</v>
      </c>
      <c r="C762" s="397" t="s">
        <v>398</v>
      </c>
      <c r="D762" s="475" t="s">
        <v>18</v>
      </c>
      <c r="E762" s="397" t="s">
        <v>144</v>
      </c>
      <c r="F762" s="447" t="s">
        <v>66</v>
      </c>
      <c r="G762" s="398">
        <v>4.3640000000000008</v>
      </c>
      <c r="H762" s="411" t="str">
        <f t="shared" si="194"/>
        <v/>
      </c>
      <c r="I762" s="411">
        <f t="shared" si="195"/>
        <v>4.3640000000000008</v>
      </c>
      <c r="J762" s="411" t="str">
        <f t="shared" si="196"/>
        <v/>
      </c>
      <c r="K762" s="411" t="str">
        <f t="shared" si="197"/>
        <v/>
      </c>
      <c r="L762" s="398">
        <f t="shared" si="191"/>
        <v>1</v>
      </c>
      <c r="M762" s="399"/>
      <c r="N762" s="399">
        <v>1</v>
      </c>
      <c r="O762" s="399"/>
      <c r="P762" s="399"/>
      <c r="Q762" s="475"/>
      <c r="R762" s="458" t="str">
        <f t="shared" si="193"/>
        <v>T</v>
      </c>
      <c r="S762" s="472"/>
      <c r="T762" s="472"/>
      <c r="U762" s="472"/>
      <c r="V762" s="472"/>
      <c r="W762" s="472"/>
      <c r="X762" s="472"/>
      <c r="Y762" s="472"/>
      <c r="Z762" s="472"/>
      <c r="AA762" s="472"/>
      <c r="AB762" s="472"/>
      <c r="AC762" s="472"/>
      <c r="AD762" s="472"/>
      <c r="AE762" s="472"/>
      <c r="AF762" s="472"/>
    </row>
    <row r="763" spans="1:32" s="473" customFormat="1" hidden="1" outlineLevel="3">
      <c r="A763" s="405"/>
      <c r="B763" s="397" t="s">
        <v>398</v>
      </c>
      <c r="C763" s="397" t="s">
        <v>398</v>
      </c>
      <c r="D763" s="475" t="s">
        <v>18</v>
      </c>
      <c r="E763" s="397" t="s">
        <v>144</v>
      </c>
      <c r="F763" s="447" t="s">
        <v>33</v>
      </c>
      <c r="G763" s="398">
        <v>2.2846500000000005</v>
      </c>
      <c r="H763" s="411">
        <f t="shared" si="194"/>
        <v>2.2846500000000005</v>
      </c>
      <c r="I763" s="411" t="str">
        <f t="shared" si="195"/>
        <v/>
      </c>
      <c r="J763" s="411" t="str">
        <f t="shared" si="196"/>
        <v/>
      </c>
      <c r="K763" s="411" t="str">
        <f t="shared" si="197"/>
        <v/>
      </c>
      <c r="L763" s="398">
        <f t="shared" si="191"/>
        <v>1</v>
      </c>
      <c r="M763" s="399">
        <v>1</v>
      </c>
      <c r="N763" s="399"/>
      <c r="O763" s="399"/>
      <c r="P763" s="399"/>
      <c r="Q763" s="475"/>
      <c r="R763" s="458" t="str">
        <f t="shared" si="193"/>
        <v>T</v>
      </c>
      <c r="S763" s="472"/>
      <c r="T763" s="472"/>
      <c r="U763" s="472"/>
      <c r="V763" s="472"/>
      <c r="W763" s="472"/>
      <c r="X763" s="472"/>
      <c r="Y763" s="472"/>
      <c r="Z763" s="472"/>
      <c r="AA763" s="472"/>
      <c r="AB763" s="472"/>
      <c r="AC763" s="472"/>
      <c r="AD763" s="472"/>
      <c r="AE763" s="472"/>
      <c r="AF763" s="472"/>
    </row>
    <row r="764" spans="1:32" s="473" customFormat="1" hidden="1" outlineLevel="3">
      <c r="A764" s="405"/>
      <c r="B764" s="397" t="s">
        <v>398</v>
      </c>
      <c r="C764" s="397" t="s">
        <v>398</v>
      </c>
      <c r="D764" s="475" t="s">
        <v>18</v>
      </c>
      <c r="E764" s="397" t="s">
        <v>144</v>
      </c>
      <c r="F764" s="447" t="s">
        <v>197</v>
      </c>
      <c r="G764" s="398">
        <v>2.3873000000000006</v>
      </c>
      <c r="H764" s="411">
        <f t="shared" si="194"/>
        <v>2.3873000000000006</v>
      </c>
      <c r="I764" s="411" t="str">
        <f t="shared" si="195"/>
        <v/>
      </c>
      <c r="J764" s="411" t="str">
        <f t="shared" si="196"/>
        <v/>
      </c>
      <c r="K764" s="411" t="str">
        <f t="shared" si="197"/>
        <v/>
      </c>
      <c r="L764" s="398">
        <f t="shared" si="191"/>
        <v>1</v>
      </c>
      <c r="M764" s="399">
        <v>1</v>
      </c>
      <c r="N764" s="399"/>
      <c r="O764" s="399"/>
      <c r="P764" s="399"/>
      <c r="Q764" s="475"/>
      <c r="R764" s="458" t="str">
        <f t="shared" si="193"/>
        <v>T</v>
      </c>
      <c r="S764" s="472"/>
      <c r="T764" s="472"/>
      <c r="U764" s="472"/>
      <c r="V764" s="472"/>
      <c r="W764" s="472"/>
      <c r="X764" s="472"/>
      <c r="Y764" s="472"/>
      <c r="Z764" s="472"/>
      <c r="AA764" s="472"/>
      <c r="AB764" s="472"/>
      <c r="AC764" s="472"/>
      <c r="AD764" s="472"/>
      <c r="AE764" s="472"/>
      <c r="AF764" s="472"/>
    </row>
    <row r="765" spans="1:32" s="473" customFormat="1" hidden="1" outlineLevel="3">
      <c r="A765" s="405"/>
      <c r="B765" s="397" t="s">
        <v>398</v>
      </c>
      <c r="C765" s="397" t="s">
        <v>398</v>
      </c>
      <c r="D765" s="475" t="s">
        <v>18</v>
      </c>
      <c r="E765" s="397" t="s">
        <v>144</v>
      </c>
      <c r="F765" s="447" t="s">
        <v>335</v>
      </c>
      <c r="G765" s="398">
        <v>2.3873000000000006</v>
      </c>
      <c r="H765" s="411" t="str">
        <f t="shared" si="194"/>
        <v/>
      </c>
      <c r="I765" s="411">
        <f t="shared" si="195"/>
        <v>2.3873000000000006</v>
      </c>
      <c r="J765" s="411" t="str">
        <f t="shared" si="196"/>
        <v/>
      </c>
      <c r="K765" s="411" t="str">
        <f t="shared" si="197"/>
        <v/>
      </c>
      <c r="L765" s="398">
        <f t="shared" si="191"/>
        <v>1</v>
      </c>
      <c r="M765" s="399"/>
      <c r="N765" s="399">
        <v>1</v>
      </c>
      <c r="O765" s="399"/>
      <c r="P765" s="399"/>
      <c r="Q765" s="475"/>
      <c r="R765" s="458" t="str">
        <f t="shared" si="193"/>
        <v>T</v>
      </c>
      <c r="S765" s="472"/>
      <c r="T765" s="472"/>
      <c r="U765" s="472"/>
      <c r="V765" s="472"/>
      <c r="W765" s="472"/>
      <c r="X765" s="472"/>
      <c r="Y765" s="472"/>
      <c r="Z765" s="472"/>
      <c r="AA765" s="472"/>
      <c r="AB765" s="472"/>
      <c r="AC765" s="472"/>
      <c r="AD765" s="472"/>
      <c r="AE765" s="472"/>
      <c r="AF765" s="472"/>
    </row>
    <row r="766" spans="1:32" s="473" customFormat="1" hidden="1" outlineLevel="3">
      <c r="A766" s="405"/>
      <c r="B766" s="397" t="s">
        <v>398</v>
      </c>
      <c r="C766" s="397" t="s">
        <v>398</v>
      </c>
      <c r="D766" s="475" t="s">
        <v>18</v>
      </c>
      <c r="E766" s="397" t="s">
        <v>144</v>
      </c>
      <c r="F766" s="447" t="s">
        <v>402</v>
      </c>
      <c r="G766" s="415">
        <v>0.36821050632328572</v>
      </c>
      <c r="H766" s="411" t="str">
        <f t="shared" si="194"/>
        <v/>
      </c>
      <c r="I766" s="411">
        <f t="shared" si="195"/>
        <v>0.36821050632328572</v>
      </c>
      <c r="J766" s="411" t="str">
        <f t="shared" si="196"/>
        <v/>
      </c>
      <c r="K766" s="411" t="str">
        <f t="shared" si="197"/>
        <v/>
      </c>
      <c r="L766" s="415">
        <f t="shared" si="191"/>
        <v>1</v>
      </c>
      <c r="M766" s="416"/>
      <c r="N766" s="416">
        <v>1</v>
      </c>
      <c r="O766" s="416"/>
      <c r="P766" s="416"/>
      <c r="Q766" s="475"/>
      <c r="R766" s="458" t="str">
        <f t="shared" si="193"/>
        <v>T</v>
      </c>
      <c r="S766" s="472"/>
      <c r="T766" s="472"/>
      <c r="U766" s="472"/>
      <c r="V766" s="472"/>
      <c r="W766" s="472"/>
      <c r="X766" s="472"/>
      <c r="Y766" s="472"/>
      <c r="Z766" s="472"/>
      <c r="AA766" s="472"/>
      <c r="AB766" s="472"/>
      <c r="AC766" s="472"/>
      <c r="AD766" s="472"/>
      <c r="AE766" s="472"/>
      <c r="AF766" s="472"/>
    </row>
    <row r="767" spans="1:32" s="473" customFormat="1" hidden="1" outlineLevel="3">
      <c r="A767" s="405"/>
      <c r="B767" s="397" t="s">
        <v>398</v>
      </c>
      <c r="C767" s="397" t="s">
        <v>398</v>
      </c>
      <c r="D767" s="475" t="s">
        <v>18</v>
      </c>
      <c r="E767" s="397" t="s">
        <v>144</v>
      </c>
      <c r="F767" s="447" t="s">
        <v>403</v>
      </c>
      <c r="G767" s="415">
        <v>0.22092630379397143</v>
      </c>
      <c r="H767" s="411" t="str">
        <f t="shared" si="194"/>
        <v/>
      </c>
      <c r="I767" s="411" t="str">
        <f t="shared" si="195"/>
        <v/>
      </c>
      <c r="J767" s="411">
        <f t="shared" si="196"/>
        <v>0.22092630379397143</v>
      </c>
      <c r="K767" s="411" t="str">
        <f t="shared" si="197"/>
        <v/>
      </c>
      <c r="L767" s="415">
        <f t="shared" si="191"/>
        <v>1</v>
      </c>
      <c r="M767" s="416"/>
      <c r="N767" s="416"/>
      <c r="O767" s="416">
        <v>1</v>
      </c>
      <c r="P767" s="416"/>
      <c r="Q767" s="475"/>
      <c r="R767" s="458" t="str">
        <f t="shared" si="193"/>
        <v>T</v>
      </c>
      <c r="S767" s="472"/>
      <c r="T767" s="472"/>
      <c r="U767" s="472"/>
      <c r="V767" s="472"/>
      <c r="W767" s="472"/>
      <c r="X767" s="472"/>
      <c r="Y767" s="472"/>
      <c r="Z767" s="472"/>
      <c r="AA767" s="472"/>
      <c r="AB767" s="472"/>
      <c r="AC767" s="472"/>
      <c r="AD767" s="472"/>
      <c r="AE767" s="472"/>
      <c r="AF767" s="472"/>
    </row>
    <row r="768" spans="1:32" s="473" customFormat="1" hidden="1" outlineLevel="3">
      <c r="A768" s="405"/>
      <c r="B768" s="397" t="s">
        <v>398</v>
      </c>
      <c r="C768" s="397" t="s">
        <v>398</v>
      </c>
      <c r="D768" s="475" t="s">
        <v>18</v>
      </c>
      <c r="E768" s="397" t="s">
        <v>144</v>
      </c>
      <c r="F768" s="447" t="s">
        <v>404</v>
      </c>
      <c r="G768" s="415">
        <v>0.36821050632328572</v>
      </c>
      <c r="H768" s="411" t="str">
        <f t="shared" si="194"/>
        <v/>
      </c>
      <c r="I768" s="411" t="str">
        <f t="shared" si="195"/>
        <v/>
      </c>
      <c r="J768" s="411" t="str">
        <f t="shared" si="196"/>
        <v/>
      </c>
      <c r="K768" s="411">
        <f t="shared" si="197"/>
        <v>0.36821050632328572</v>
      </c>
      <c r="L768" s="415">
        <f t="shared" si="191"/>
        <v>1</v>
      </c>
      <c r="M768" s="416"/>
      <c r="N768" s="416"/>
      <c r="O768" s="416"/>
      <c r="P768" s="416">
        <v>1</v>
      </c>
      <c r="Q768" s="475"/>
      <c r="R768" s="458" t="str">
        <f t="shared" si="193"/>
        <v>T</v>
      </c>
      <c r="S768" s="472"/>
      <c r="T768" s="472"/>
      <c r="U768" s="472"/>
      <c r="V768" s="472"/>
      <c r="W768" s="472"/>
      <c r="X768" s="472"/>
      <c r="Y768" s="472"/>
      <c r="Z768" s="472"/>
      <c r="AA768" s="472"/>
      <c r="AB768" s="472"/>
      <c r="AC768" s="472"/>
      <c r="AD768" s="472"/>
      <c r="AE768" s="472"/>
      <c r="AF768" s="472"/>
    </row>
    <row r="769" spans="1:32" s="473" customFormat="1" hidden="1" outlineLevel="3">
      <c r="A769" s="405"/>
      <c r="B769" s="397" t="s">
        <v>398</v>
      </c>
      <c r="C769" s="397" t="s">
        <v>398</v>
      </c>
      <c r="D769" s="475" t="s">
        <v>18</v>
      </c>
      <c r="E769" s="397" t="s">
        <v>144</v>
      </c>
      <c r="F769" s="447" t="s">
        <v>405</v>
      </c>
      <c r="G769" s="415">
        <v>0.22092630379397143</v>
      </c>
      <c r="H769" s="411" t="str">
        <f t="shared" si="194"/>
        <v/>
      </c>
      <c r="I769" s="411" t="str">
        <f t="shared" si="195"/>
        <v/>
      </c>
      <c r="J769" s="411" t="str">
        <f t="shared" si="196"/>
        <v/>
      </c>
      <c r="K769" s="411">
        <f t="shared" si="197"/>
        <v>0.22092630379397143</v>
      </c>
      <c r="L769" s="415">
        <f t="shared" si="191"/>
        <v>1</v>
      </c>
      <c r="M769" s="416"/>
      <c r="N769" s="416"/>
      <c r="O769" s="416"/>
      <c r="P769" s="416">
        <v>1</v>
      </c>
      <c r="Q769" s="475"/>
      <c r="R769" s="458" t="str">
        <f t="shared" si="193"/>
        <v>T</v>
      </c>
      <c r="S769" s="472"/>
      <c r="T769" s="472"/>
      <c r="U769" s="472"/>
      <c r="V769" s="472"/>
      <c r="W769" s="472"/>
      <c r="X769" s="472"/>
      <c r="Y769" s="472"/>
      <c r="Z769" s="472"/>
      <c r="AA769" s="472"/>
      <c r="AB769" s="472"/>
      <c r="AC769" s="472"/>
      <c r="AD769" s="472"/>
      <c r="AE769" s="472"/>
      <c r="AF769" s="472"/>
    </row>
    <row r="770" spans="1:32" s="473" customFormat="1" hidden="1" outlineLevel="3">
      <c r="A770" s="405"/>
      <c r="B770" s="397" t="s">
        <v>398</v>
      </c>
      <c r="C770" s="397" t="s">
        <v>398</v>
      </c>
      <c r="D770" s="475" t="s">
        <v>18</v>
      </c>
      <c r="E770" s="397" t="s">
        <v>144</v>
      </c>
      <c r="F770" s="447" t="s">
        <v>406</v>
      </c>
      <c r="G770" s="415">
        <v>0.25774735442630003</v>
      </c>
      <c r="H770" s="411" t="str">
        <f t="shared" si="194"/>
        <v/>
      </c>
      <c r="I770" s="411" t="str">
        <f t="shared" si="195"/>
        <v/>
      </c>
      <c r="J770" s="411" t="str">
        <f t="shared" si="196"/>
        <v/>
      </c>
      <c r="K770" s="411">
        <f t="shared" si="197"/>
        <v>0.25774735442630003</v>
      </c>
      <c r="L770" s="415">
        <f t="shared" si="191"/>
        <v>1</v>
      </c>
      <c r="M770" s="416"/>
      <c r="N770" s="416"/>
      <c r="O770" s="416"/>
      <c r="P770" s="416">
        <v>1</v>
      </c>
      <c r="Q770" s="475"/>
      <c r="R770" s="458" t="str">
        <f t="shared" si="193"/>
        <v>T</v>
      </c>
      <c r="S770" s="472"/>
      <c r="T770" s="472"/>
      <c r="U770" s="472"/>
      <c r="V770" s="472"/>
      <c r="W770" s="472"/>
      <c r="X770" s="472"/>
      <c r="Y770" s="472"/>
      <c r="Z770" s="472"/>
      <c r="AA770" s="472"/>
      <c r="AB770" s="472"/>
      <c r="AC770" s="472"/>
      <c r="AD770" s="472"/>
      <c r="AE770" s="472"/>
      <c r="AF770" s="472"/>
    </row>
    <row r="771" spans="1:32" s="473" customFormat="1" ht="26.45" hidden="1" outlineLevel="3">
      <c r="A771" s="405"/>
      <c r="B771" s="397" t="s">
        <v>398</v>
      </c>
      <c r="C771" s="397" t="s">
        <v>398</v>
      </c>
      <c r="D771" s="475" t="s">
        <v>18</v>
      </c>
      <c r="E771" s="397" t="s">
        <v>144</v>
      </c>
      <c r="F771" s="447" t="s">
        <v>407</v>
      </c>
      <c r="G771" s="415">
        <v>0.73642101264657145</v>
      </c>
      <c r="H771" s="411" t="str">
        <f t="shared" ref="H771:H788" si="198">IF(M771=1,$G771,"")</f>
        <v/>
      </c>
      <c r="I771" s="411" t="str">
        <f t="shared" ref="I771:I788" si="199">IF(N771=1,$G771,"")</f>
        <v/>
      </c>
      <c r="J771" s="411" t="str">
        <f t="shared" ref="J771:J788" si="200">IF(O771=1,$G771,"")</f>
        <v/>
      </c>
      <c r="K771" s="411">
        <f t="shared" ref="K771:K788" si="201">IF(P771=1,$G771,"")</f>
        <v>0.73642101264657145</v>
      </c>
      <c r="L771" s="415">
        <f t="shared" ref="L771:L788" si="202">SUM(M771:P771)</f>
        <v>1</v>
      </c>
      <c r="M771" s="416"/>
      <c r="N771" s="416"/>
      <c r="O771" s="416"/>
      <c r="P771" s="416">
        <v>1</v>
      </c>
      <c r="Q771" s="475"/>
      <c r="R771" s="458" t="str">
        <f t="shared" ref="R771:R792" si="203">IF(SUM(M771:P771)=L771,"T","F")</f>
        <v>T</v>
      </c>
      <c r="S771" s="472"/>
      <c r="T771" s="472"/>
      <c r="U771" s="472"/>
      <c r="V771" s="472"/>
      <c r="W771" s="472"/>
      <c r="X771" s="472"/>
      <c r="Y771" s="472"/>
      <c r="Z771" s="472"/>
      <c r="AA771" s="472"/>
      <c r="AB771" s="472"/>
      <c r="AC771" s="472"/>
      <c r="AD771" s="472"/>
      <c r="AE771" s="472"/>
      <c r="AF771" s="472"/>
    </row>
    <row r="772" spans="1:32" s="473" customFormat="1" hidden="1" outlineLevel="3">
      <c r="A772" s="405"/>
      <c r="B772" s="397" t="s">
        <v>398</v>
      </c>
      <c r="C772" s="397" t="s">
        <v>398</v>
      </c>
      <c r="D772" s="475" t="s">
        <v>18</v>
      </c>
      <c r="E772" s="397" t="s">
        <v>144</v>
      </c>
      <c r="F772" s="447" t="s">
        <v>408</v>
      </c>
      <c r="G772" s="415">
        <v>0.36821050632328572</v>
      </c>
      <c r="H772" s="411" t="str">
        <f t="shared" si="198"/>
        <v/>
      </c>
      <c r="I772" s="411" t="str">
        <f t="shared" si="199"/>
        <v/>
      </c>
      <c r="J772" s="411">
        <f t="shared" si="200"/>
        <v>0.36821050632328572</v>
      </c>
      <c r="K772" s="411" t="str">
        <f t="shared" si="201"/>
        <v/>
      </c>
      <c r="L772" s="415">
        <f t="shared" si="202"/>
        <v>1</v>
      </c>
      <c r="M772" s="416"/>
      <c r="N772" s="416"/>
      <c r="O772" s="416">
        <v>1</v>
      </c>
      <c r="P772" s="416"/>
      <c r="Q772" s="475"/>
      <c r="R772" s="458" t="str">
        <f t="shared" si="203"/>
        <v>T</v>
      </c>
      <c r="S772" s="472"/>
      <c r="T772" s="472"/>
      <c r="U772" s="472"/>
      <c r="V772" s="472"/>
      <c r="W772" s="472"/>
      <c r="X772" s="472"/>
      <c r="Y772" s="472"/>
      <c r="Z772" s="472"/>
      <c r="AA772" s="472"/>
      <c r="AB772" s="472"/>
      <c r="AC772" s="472"/>
      <c r="AD772" s="472"/>
      <c r="AE772" s="472"/>
      <c r="AF772" s="472"/>
    </row>
    <row r="773" spans="1:32" s="473" customFormat="1" hidden="1" outlineLevel="3">
      <c r="A773" s="405"/>
      <c r="B773" s="397" t="s">
        <v>398</v>
      </c>
      <c r="C773" s="397" t="s">
        <v>398</v>
      </c>
      <c r="D773" s="475" t="s">
        <v>18</v>
      </c>
      <c r="E773" s="397" t="s">
        <v>144</v>
      </c>
      <c r="F773" s="447" t="s">
        <v>409</v>
      </c>
      <c r="G773" s="415">
        <v>0.22092630379397143</v>
      </c>
      <c r="H773" s="411" t="str">
        <f t="shared" si="198"/>
        <v/>
      </c>
      <c r="I773" s="411" t="str">
        <f t="shared" si="199"/>
        <v/>
      </c>
      <c r="J773" s="411">
        <f t="shared" si="200"/>
        <v>0.22092630379397143</v>
      </c>
      <c r="K773" s="411" t="str">
        <f t="shared" si="201"/>
        <v/>
      </c>
      <c r="L773" s="415">
        <f t="shared" si="202"/>
        <v>1</v>
      </c>
      <c r="M773" s="416"/>
      <c r="N773" s="416"/>
      <c r="O773" s="416">
        <v>1</v>
      </c>
      <c r="P773" s="416"/>
      <c r="Q773" s="475"/>
      <c r="R773" s="458" t="str">
        <f t="shared" si="203"/>
        <v>T</v>
      </c>
      <c r="S773" s="472"/>
      <c r="T773" s="472"/>
      <c r="U773" s="472"/>
      <c r="V773" s="472"/>
      <c r="W773" s="472"/>
      <c r="X773" s="472"/>
      <c r="Y773" s="472"/>
      <c r="Z773" s="472"/>
      <c r="AA773" s="472"/>
      <c r="AB773" s="472"/>
      <c r="AC773" s="472"/>
      <c r="AD773" s="472"/>
      <c r="AE773" s="472"/>
      <c r="AF773" s="472"/>
    </row>
    <row r="774" spans="1:32" s="473" customFormat="1" hidden="1" outlineLevel="3">
      <c r="A774" s="405"/>
      <c r="B774" s="397" t="s">
        <v>398</v>
      </c>
      <c r="C774" s="397" t="s">
        <v>398</v>
      </c>
      <c r="D774" s="475" t="s">
        <v>18</v>
      </c>
      <c r="E774" s="397" t="s">
        <v>144</v>
      </c>
      <c r="F774" s="447" t="s">
        <v>410</v>
      </c>
      <c r="G774" s="415">
        <v>0.36821050632328572</v>
      </c>
      <c r="H774" s="411" t="str">
        <f t="shared" si="198"/>
        <v/>
      </c>
      <c r="I774" s="411" t="str">
        <f t="shared" si="199"/>
        <v/>
      </c>
      <c r="J774" s="411" t="str">
        <f t="shared" si="200"/>
        <v/>
      </c>
      <c r="K774" s="411">
        <f t="shared" si="201"/>
        <v>0.36821050632328572</v>
      </c>
      <c r="L774" s="415">
        <f t="shared" si="202"/>
        <v>1</v>
      </c>
      <c r="M774" s="416"/>
      <c r="N774" s="416"/>
      <c r="O774" s="416"/>
      <c r="P774" s="416">
        <v>1</v>
      </c>
      <c r="Q774" s="475"/>
      <c r="R774" s="458" t="str">
        <f t="shared" si="203"/>
        <v>T</v>
      </c>
      <c r="S774" s="472"/>
      <c r="T774" s="472"/>
      <c r="U774" s="472"/>
      <c r="V774" s="472"/>
      <c r="W774" s="472"/>
      <c r="X774" s="472"/>
      <c r="Y774" s="472"/>
      <c r="Z774" s="472"/>
      <c r="AA774" s="472"/>
      <c r="AB774" s="472"/>
      <c r="AC774" s="472"/>
      <c r="AD774" s="472"/>
      <c r="AE774" s="472"/>
      <c r="AF774" s="472"/>
    </row>
    <row r="775" spans="1:32" s="473" customFormat="1" hidden="1" outlineLevel="3">
      <c r="A775" s="405"/>
      <c r="B775" s="397" t="s">
        <v>398</v>
      </c>
      <c r="C775" s="397" t="s">
        <v>398</v>
      </c>
      <c r="D775" s="475" t="s">
        <v>18</v>
      </c>
      <c r="E775" s="397" t="s">
        <v>144</v>
      </c>
      <c r="F775" s="447" t="s">
        <v>411</v>
      </c>
      <c r="G775" s="415">
        <v>0.22092630379397143</v>
      </c>
      <c r="H775" s="411" t="str">
        <f t="shared" si="198"/>
        <v/>
      </c>
      <c r="I775" s="411" t="str">
        <f t="shared" si="199"/>
        <v/>
      </c>
      <c r="J775" s="411" t="str">
        <f t="shared" si="200"/>
        <v/>
      </c>
      <c r="K775" s="411">
        <f t="shared" si="201"/>
        <v>0.22092630379397143</v>
      </c>
      <c r="L775" s="415">
        <f t="shared" si="202"/>
        <v>1</v>
      </c>
      <c r="M775" s="416"/>
      <c r="N775" s="416"/>
      <c r="O775" s="416"/>
      <c r="P775" s="416">
        <v>1</v>
      </c>
      <c r="Q775" s="475"/>
      <c r="R775" s="458" t="str">
        <f t="shared" si="203"/>
        <v>T</v>
      </c>
      <c r="S775" s="472"/>
      <c r="T775" s="472"/>
      <c r="U775" s="472"/>
      <c r="V775" s="472"/>
      <c r="W775" s="472"/>
      <c r="X775" s="472"/>
      <c r="Y775" s="472"/>
      <c r="Z775" s="472"/>
      <c r="AA775" s="472"/>
      <c r="AB775" s="472"/>
      <c r="AC775" s="472"/>
      <c r="AD775" s="472"/>
      <c r="AE775" s="472"/>
      <c r="AF775" s="472"/>
    </row>
    <row r="776" spans="1:32" s="473" customFormat="1" hidden="1" outlineLevel="3">
      <c r="A776" s="405"/>
      <c r="B776" s="397" t="s">
        <v>398</v>
      </c>
      <c r="C776" s="397" t="s">
        <v>398</v>
      </c>
      <c r="D776" s="475" t="s">
        <v>18</v>
      </c>
      <c r="E776" s="397" t="s">
        <v>144</v>
      </c>
      <c r="F776" s="447" t="s">
        <v>412</v>
      </c>
      <c r="G776" s="415">
        <v>0.25774735442630003</v>
      </c>
      <c r="H776" s="411" t="str">
        <f t="shared" si="198"/>
        <v/>
      </c>
      <c r="I776" s="411" t="str">
        <f t="shared" si="199"/>
        <v/>
      </c>
      <c r="J776" s="411" t="str">
        <f t="shared" si="200"/>
        <v/>
      </c>
      <c r="K776" s="411">
        <f t="shared" si="201"/>
        <v>0.25774735442630003</v>
      </c>
      <c r="L776" s="415">
        <f t="shared" si="202"/>
        <v>1</v>
      </c>
      <c r="M776" s="416"/>
      <c r="N776" s="416"/>
      <c r="O776" s="416"/>
      <c r="P776" s="416">
        <v>1</v>
      </c>
      <c r="Q776" s="475"/>
      <c r="R776" s="458" t="str">
        <f t="shared" si="203"/>
        <v>T</v>
      </c>
      <c r="S776" s="472"/>
      <c r="T776" s="472"/>
      <c r="U776" s="472"/>
      <c r="V776" s="472"/>
      <c r="W776" s="472"/>
      <c r="X776" s="472"/>
      <c r="Y776" s="472"/>
      <c r="Z776" s="472"/>
      <c r="AA776" s="472"/>
      <c r="AB776" s="472"/>
      <c r="AC776" s="472"/>
      <c r="AD776" s="472"/>
      <c r="AE776" s="472"/>
      <c r="AF776" s="472"/>
    </row>
    <row r="777" spans="1:32" s="473" customFormat="1" ht="26.45" hidden="1" outlineLevel="3">
      <c r="A777" s="405"/>
      <c r="B777" s="397" t="s">
        <v>398</v>
      </c>
      <c r="C777" s="397" t="s">
        <v>398</v>
      </c>
      <c r="D777" s="475" t="s">
        <v>18</v>
      </c>
      <c r="E777" s="397" t="s">
        <v>144</v>
      </c>
      <c r="F777" s="447" t="s">
        <v>413</v>
      </c>
      <c r="G777" s="415">
        <v>0.73642101264657145</v>
      </c>
      <c r="H777" s="411" t="str">
        <f t="shared" si="198"/>
        <v/>
      </c>
      <c r="I777" s="411" t="str">
        <f t="shared" si="199"/>
        <v/>
      </c>
      <c r="J777" s="411" t="str">
        <f t="shared" si="200"/>
        <v/>
      </c>
      <c r="K777" s="411">
        <f t="shared" si="201"/>
        <v>0.73642101264657145</v>
      </c>
      <c r="L777" s="415">
        <f t="shared" si="202"/>
        <v>1</v>
      </c>
      <c r="M777" s="416"/>
      <c r="N777" s="416"/>
      <c r="O777" s="416"/>
      <c r="P777" s="416">
        <v>1</v>
      </c>
      <c r="Q777" s="475"/>
      <c r="R777" s="458" t="str">
        <f t="shared" si="203"/>
        <v>T</v>
      </c>
      <c r="S777" s="472"/>
      <c r="T777" s="472"/>
      <c r="U777" s="472"/>
      <c r="V777" s="472"/>
      <c r="W777" s="472"/>
      <c r="X777" s="472"/>
      <c r="Y777" s="472"/>
      <c r="Z777" s="472"/>
      <c r="AA777" s="472"/>
      <c r="AB777" s="472"/>
      <c r="AC777" s="472"/>
      <c r="AD777" s="472"/>
      <c r="AE777" s="472"/>
      <c r="AF777" s="472"/>
    </row>
    <row r="778" spans="1:32" s="473" customFormat="1" hidden="1" outlineLevel="3">
      <c r="A778" s="405"/>
      <c r="B778" s="397" t="s">
        <v>398</v>
      </c>
      <c r="C778" s="397" t="s">
        <v>398</v>
      </c>
      <c r="D778" s="475" t="s">
        <v>18</v>
      </c>
      <c r="E778" s="397" t="s">
        <v>144</v>
      </c>
      <c r="F778" s="447" t="s">
        <v>414</v>
      </c>
      <c r="G778" s="398">
        <v>0.17594491221069436</v>
      </c>
      <c r="H778" s="411" t="str">
        <f t="shared" si="198"/>
        <v/>
      </c>
      <c r="I778" s="411" t="str">
        <f t="shared" si="199"/>
        <v/>
      </c>
      <c r="J778" s="411">
        <f t="shared" si="200"/>
        <v>0.17594491221069436</v>
      </c>
      <c r="K778" s="411" t="str">
        <f t="shared" si="201"/>
        <v/>
      </c>
      <c r="L778" s="398">
        <f t="shared" si="202"/>
        <v>1</v>
      </c>
      <c r="M778" s="399"/>
      <c r="N778" s="399"/>
      <c r="O778" s="416">
        <v>1</v>
      </c>
      <c r="P778" s="416"/>
      <c r="Q778" s="475"/>
      <c r="R778" s="458" t="str">
        <f t="shared" si="203"/>
        <v>T</v>
      </c>
      <c r="S778" s="472"/>
      <c r="T778" s="472"/>
      <c r="U778" s="472"/>
      <c r="V778" s="472"/>
      <c r="W778" s="472"/>
      <c r="X778" s="472"/>
      <c r="Y778" s="472"/>
      <c r="Z778" s="472"/>
      <c r="AA778" s="472"/>
      <c r="AB778" s="472"/>
      <c r="AC778" s="472"/>
      <c r="AD778" s="472"/>
      <c r="AE778" s="472"/>
      <c r="AF778" s="472"/>
    </row>
    <row r="779" spans="1:32" s="473" customFormat="1" hidden="1" outlineLevel="3">
      <c r="A779" s="405"/>
      <c r="B779" s="397" t="s">
        <v>398</v>
      </c>
      <c r="C779" s="397" t="s">
        <v>398</v>
      </c>
      <c r="D779" s="475" t="s">
        <v>18</v>
      </c>
      <c r="E779" s="397" t="s">
        <v>144</v>
      </c>
      <c r="F779" s="447" t="s">
        <v>415</v>
      </c>
      <c r="G779" s="398">
        <v>0.10556694732641661</v>
      </c>
      <c r="H779" s="411" t="str">
        <f t="shared" si="198"/>
        <v/>
      </c>
      <c r="I779" s="411" t="str">
        <f t="shared" si="199"/>
        <v/>
      </c>
      <c r="J779" s="411">
        <f t="shared" si="200"/>
        <v>0.10556694732641661</v>
      </c>
      <c r="K779" s="411" t="str">
        <f t="shared" si="201"/>
        <v/>
      </c>
      <c r="L779" s="398">
        <f t="shared" si="202"/>
        <v>1</v>
      </c>
      <c r="M779" s="399"/>
      <c r="N779" s="399"/>
      <c r="O779" s="416">
        <v>1</v>
      </c>
      <c r="P779" s="416"/>
      <c r="Q779" s="475"/>
      <c r="R779" s="458" t="str">
        <f t="shared" si="203"/>
        <v>T</v>
      </c>
      <c r="S779" s="472"/>
      <c r="T779" s="472"/>
      <c r="U779" s="472"/>
      <c r="V779" s="472"/>
      <c r="W779" s="472"/>
      <c r="X779" s="472"/>
      <c r="Y779" s="472"/>
      <c r="Z779" s="472"/>
      <c r="AA779" s="472"/>
      <c r="AB779" s="472"/>
      <c r="AC779" s="472"/>
      <c r="AD779" s="472"/>
      <c r="AE779" s="472"/>
      <c r="AF779" s="472"/>
    </row>
    <row r="780" spans="1:32" s="473" customFormat="1" hidden="1" outlineLevel="3">
      <c r="A780" s="405"/>
      <c r="B780" s="397" t="s">
        <v>398</v>
      </c>
      <c r="C780" s="397" t="s">
        <v>398</v>
      </c>
      <c r="D780" s="475" t="s">
        <v>18</v>
      </c>
      <c r="E780" s="397" t="s">
        <v>144</v>
      </c>
      <c r="F780" s="447" t="s">
        <v>416</v>
      </c>
      <c r="G780" s="398">
        <v>0.17594491221069436</v>
      </c>
      <c r="H780" s="411" t="str">
        <f t="shared" si="198"/>
        <v/>
      </c>
      <c r="I780" s="411" t="str">
        <f t="shared" si="199"/>
        <v/>
      </c>
      <c r="J780" s="411" t="str">
        <f t="shared" si="200"/>
        <v/>
      </c>
      <c r="K780" s="411">
        <f t="shared" si="201"/>
        <v>0.17594491221069436</v>
      </c>
      <c r="L780" s="398">
        <f t="shared" si="202"/>
        <v>1</v>
      </c>
      <c r="M780" s="399"/>
      <c r="N780" s="399"/>
      <c r="O780" s="416"/>
      <c r="P780" s="416">
        <v>1</v>
      </c>
      <c r="Q780" s="475"/>
      <c r="R780" s="458" t="str">
        <f t="shared" si="203"/>
        <v>T</v>
      </c>
      <c r="S780" s="472"/>
      <c r="T780" s="472"/>
      <c r="U780" s="472"/>
      <c r="V780" s="472"/>
      <c r="W780" s="472"/>
      <c r="X780" s="472"/>
      <c r="Y780" s="472"/>
      <c r="Z780" s="472"/>
      <c r="AA780" s="472"/>
      <c r="AB780" s="472"/>
      <c r="AC780" s="472"/>
      <c r="AD780" s="472"/>
      <c r="AE780" s="472"/>
      <c r="AF780" s="472"/>
    </row>
    <row r="781" spans="1:32" s="473" customFormat="1" hidden="1" outlineLevel="3">
      <c r="A781" s="405"/>
      <c r="B781" s="397" t="s">
        <v>398</v>
      </c>
      <c r="C781" s="397" t="s">
        <v>398</v>
      </c>
      <c r="D781" s="475" t="s">
        <v>18</v>
      </c>
      <c r="E781" s="397" t="s">
        <v>144</v>
      </c>
      <c r="F781" s="447" t="s">
        <v>417</v>
      </c>
      <c r="G781" s="398">
        <v>0.10556694732641661</v>
      </c>
      <c r="H781" s="411" t="str">
        <f t="shared" si="198"/>
        <v/>
      </c>
      <c r="I781" s="411" t="str">
        <f t="shared" si="199"/>
        <v/>
      </c>
      <c r="J781" s="411" t="str">
        <f t="shared" si="200"/>
        <v/>
      </c>
      <c r="K781" s="411">
        <f t="shared" si="201"/>
        <v>0.10556694732641661</v>
      </c>
      <c r="L781" s="398">
        <f t="shared" si="202"/>
        <v>1</v>
      </c>
      <c r="M781" s="399"/>
      <c r="N781" s="399"/>
      <c r="O781" s="416"/>
      <c r="P781" s="416">
        <v>1</v>
      </c>
      <c r="Q781" s="475"/>
      <c r="R781" s="458" t="str">
        <f t="shared" si="203"/>
        <v>T</v>
      </c>
      <c r="S781" s="472"/>
      <c r="T781" s="472"/>
      <c r="U781" s="472"/>
      <c r="V781" s="472"/>
      <c r="W781" s="472"/>
      <c r="X781" s="472"/>
      <c r="Y781" s="472"/>
      <c r="Z781" s="472"/>
      <c r="AA781" s="472"/>
      <c r="AB781" s="472"/>
      <c r="AC781" s="472"/>
      <c r="AD781" s="472"/>
      <c r="AE781" s="472"/>
      <c r="AF781" s="472"/>
    </row>
    <row r="782" spans="1:32" s="473" customFormat="1" hidden="1" outlineLevel="3">
      <c r="A782" s="405"/>
      <c r="B782" s="397" t="s">
        <v>398</v>
      </c>
      <c r="C782" s="397" t="s">
        <v>398</v>
      </c>
      <c r="D782" s="475" t="s">
        <v>18</v>
      </c>
      <c r="E782" s="397" t="s">
        <v>144</v>
      </c>
      <c r="F782" s="447" t="s">
        <v>418</v>
      </c>
      <c r="G782" s="398">
        <v>0.12316143854748605</v>
      </c>
      <c r="H782" s="411" t="str">
        <f t="shared" si="198"/>
        <v/>
      </c>
      <c r="I782" s="411" t="str">
        <f t="shared" si="199"/>
        <v/>
      </c>
      <c r="J782" s="411" t="str">
        <f t="shared" si="200"/>
        <v/>
      </c>
      <c r="K782" s="411">
        <f t="shared" si="201"/>
        <v>0.12316143854748605</v>
      </c>
      <c r="L782" s="398">
        <f t="shared" si="202"/>
        <v>1</v>
      </c>
      <c r="M782" s="399"/>
      <c r="N782" s="399"/>
      <c r="O782" s="416"/>
      <c r="P782" s="416">
        <v>1</v>
      </c>
      <c r="Q782" s="475"/>
      <c r="R782" s="458" t="str">
        <f t="shared" si="203"/>
        <v>T</v>
      </c>
      <c r="S782" s="472"/>
      <c r="T782" s="472"/>
      <c r="U782" s="472"/>
      <c r="V782" s="472"/>
      <c r="W782" s="472"/>
      <c r="X782" s="472"/>
      <c r="Y782" s="472"/>
      <c r="Z782" s="472"/>
      <c r="AA782" s="472"/>
      <c r="AB782" s="472"/>
      <c r="AC782" s="472"/>
      <c r="AD782" s="472"/>
      <c r="AE782" s="472"/>
      <c r="AF782" s="472"/>
    </row>
    <row r="783" spans="1:32" s="473" customFormat="1" ht="26.45" hidden="1" outlineLevel="3">
      <c r="A783" s="405"/>
      <c r="B783" s="397" t="s">
        <v>398</v>
      </c>
      <c r="C783" s="397" t="s">
        <v>398</v>
      </c>
      <c r="D783" s="475" t="s">
        <v>18</v>
      </c>
      <c r="E783" s="397" t="s">
        <v>144</v>
      </c>
      <c r="F783" s="447" t="s">
        <v>419</v>
      </c>
      <c r="G783" s="398">
        <v>0.35188982442138872</v>
      </c>
      <c r="H783" s="411" t="str">
        <f t="shared" si="198"/>
        <v/>
      </c>
      <c r="I783" s="411" t="str">
        <f t="shared" si="199"/>
        <v/>
      </c>
      <c r="J783" s="411" t="str">
        <f t="shared" si="200"/>
        <v/>
      </c>
      <c r="K783" s="411">
        <f t="shared" si="201"/>
        <v>0.35188982442138872</v>
      </c>
      <c r="L783" s="398">
        <f t="shared" si="202"/>
        <v>1</v>
      </c>
      <c r="M783" s="399"/>
      <c r="N783" s="399"/>
      <c r="O783" s="416"/>
      <c r="P783" s="416">
        <v>1</v>
      </c>
      <c r="Q783" s="475"/>
      <c r="R783" s="458" t="str">
        <f t="shared" si="203"/>
        <v>T</v>
      </c>
      <c r="S783" s="472"/>
      <c r="T783" s="472"/>
      <c r="U783" s="472"/>
      <c r="V783" s="472"/>
      <c r="W783" s="472"/>
      <c r="X783" s="472"/>
      <c r="Y783" s="472"/>
      <c r="Z783" s="472"/>
      <c r="AA783" s="472"/>
      <c r="AB783" s="472"/>
      <c r="AC783" s="472"/>
      <c r="AD783" s="472"/>
      <c r="AE783" s="472"/>
      <c r="AF783" s="472"/>
    </row>
    <row r="784" spans="1:32" s="473" customFormat="1" hidden="1" outlineLevel="3">
      <c r="A784" s="405"/>
      <c r="B784" s="397" t="s">
        <v>398</v>
      </c>
      <c r="C784" s="397" t="s">
        <v>398</v>
      </c>
      <c r="D784" s="475" t="s">
        <v>18</v>
      </c>
      <c r="E784" s="397" t="s">
        <v>144</v>
      </c>
      <c r="F784" s="447" t="s">
        <v>69</v>
      </c>
      <c r="G784" s="398">
        <v>0.95932499999999998</v>
      </c>
      <c r="H784" s="411" t="str">
        <f t="shared" si="198"/>
        <v/>
      </c>
      <c r="I784" s="411" t="str">
        <f t="shared" si="199"/>
        <v/>
      </c>
      <c r="J784" s="411">
        <f t="shared" si="200"/>
        <v>0.95932499999999998</v>
      </c>
      <c r="K784" s="411" t="str">
        <f t="shared" si="201"/>
        <v/>
      </c>
      <c r="L784" s="398">
        <f t="shared" si="202"/>
        <v>1</v>
      </c>
      <c r="M784" s="399"/>
      <c r="N784" s="399"/>
      <c r="O784" s="399">
        <v>1</v>
      </c>
      <c r="P784" s="399"/>
      <c r="Q784" s="475"/>
      <c r="R784" s="458" t="str">
        <f t="shared" si="203"/>
        <v>T</v>
      </c>
      <c r="S784" s="472"/>
      <c r="T784" s="472"/>
      <c r="U784" s="472"/>
      <c r="V784" s="472"/>
      <c r="W784" s="472"/>
      <c r="X784" s="472"/>
      <c r="Y784" s="472"/>
      <c r="Z784" s="472"/>
      <c r="AA784" s="472"/>
      <c r="AB784" s="472"/>
      <c r="AC784" s="472"/>
      <c r="AD784" s="472"/>
      <c r="AE784" s="472"/>
      <c r="AF784" s="472"/>
    </row>
    <row r="785" spans="1:32" s="473" customFormat="1" hidden="1" outlineLevel="3">
      <c r="A785" s="405"/>
      <c r="B785" s="397" t="s">
        <v>398</v>
      </c>
      <c r="C785" s="397" t="s">
        <v>398</v>
      </c>
      <c r="D785" s="475" t="s">
        <v>18</v>
      </c>
      <c r="E785" s="397" t="s">
        <v>204</v>
      </c>
      <c r="F785" s="447" t="s">
        <v>420</v>
      </c>
      <c r="G785" s="398">
        <v>0.41060000000000008</v>
      </c>
      <c r="H785" s="411">
        <f t="shared" si="198"/>
        <v>0.41060000000000008</v>
      </c>
      <c r="I785" s="411" t="str">
        <f t="shared" si="199"/>
        <v/>
      </c>
      <c r="J785" s="411" t="str">
        <f t="shared" si="200"/>
        <v/>
      </c>
      <c r="K785" s="411" t="str">
        <f t="shared" si="201"/>
        <v/>
      </c>
      <c r="L785" s="398">
        <f t="shared" si="202"/>
        <v>1</v>
      </c>
      <c r="M785" s="399">
        <v>1</v>
      </c>
      <c r="N785" s="399"/>
      <c r="O785" s="399"/>
      <c r="P785" s="399"/>
      <c r="Q785" s="475"/>
      <c r="R785" s="458" t="str">
        <f t="shared" si="203"/>
        <v>T</v>
      </c>
      <c r="S785" s="472"/>
      <c r="T785" s="472"/>
      <c r="U785" s="472"/>
      <c r="V785" s="472"/>
      <c r="W785" s="472"/>
      <c r="X785" s="472"/>
      <c r="Y785" s="472"/>
      <c r="Z785" s="472"/>
      <c r="AA785" s="472"/>
      <c r="AB785" s="472"/>
      <c r="AC785" s="472"/>
      <c r="AD785" s="472"/>
      <c r="AE785" s="472"/>
      <c r="AF785" s="472"/>
    </row>
    <row r="786" spans="1:32" s="473" customFormat="1" hidden="1" outlineLevel="3">
      <c r="A786" s="405"/>
      <c r="B786" s="397" t="s">
        <v>398</v>
      </c>
      <c r="C786" s="397" t="s">
        <v>398</v>
      </c>
      <c r="D786" s="475" t="s">
        <v>18</v>
      </c>
      <c r="E786" s="397" t="s">
        <v>204</v>
      </c>
      <c r="F786" s="447" t="s">
        <v>421</v>
      </c>
      <c r="G786" s="398">
        <v>0.41060000000000008</v>
      </c>
      <c r="H786" s="411" t="str">
        <f t="shared" si="198"/>
        <v/>
      </c>
      <c r="I786" s="411">
        <f t="shared" si="199"/>
        <v>0.41060000000000008</v>
      </c>
      <c r="J786" s="411" t="str">
        <f t="shared" si="200"/>
        <v/>
      </c>
      <c r="K786" s="411" t="str">
        <f t="shared" si="201"/>
        <v/>
      </c>
      <c r="L786" s="398">
        <f t="shared" si="202"/>
        <v>1</v>
      </c>
      <c r="M786" s="399"/>
      <c r="N786" s="399">
        <v>1</v>
      </c>
      <c r="O786" s="399"/>
      <c r="P786" s="399"/>
      <c r="Q786" s="475"/>
      <c r="R786" s="458" t="str">
        <f t="shared" si="203"/>
        <v>T</v>
      </c>
      <c r="S786" s="472"/>
      <c r="T786" s="472"/>
      <c r="U786" s="472"/>
      <c r="V786" s="472"/>
      <c r="W786" s="472"/>
      <c r="X786" s="472"/>
      <c r="Y786" s="472"/>
      <c r="Z786" s="472"/>
      <c r="AA786" s="472"/>
      <c r="AB786" s="472"/>
      <c r="AC786" s="472"/>
      <c r="AD786" s="472"/>
      <c r="AE786" s="472"/>
      <c r="AF786" s="472"/>
    </row>
    <row r="787" spans="1:32" s="473" customFormat="1" hidden="1" outlineLevel="3">
      <c r="A787" s="405"/>
      <c r="B787" s="397" t="s">
        <v>398</v>
      </c>
      <c r="C787" s="397" t="s">
        <v>398</v>
      </c>
      <c r="D787" s="475" t="s">
        <v>18</v>
      </c>
      <c r="E787" s="397" t="s">
        <v>204</v>
      </c>
      <c r="F787" s="447" t="s">
        <v>422</v>
      </c>
      <c r="G787" s="398">
        <v>0.10265000000000002</v>
      </c>
      <c r="H787" s="411">
        <f t="shared" si="198"/>
        <v>0.10265000000000002</v>
      </c>
      <c r="I787" s="411" t="str">
        <f t="shared" si="199"/>
        <v/>
      </c>
      <c r="J787" s="411" t="str">
        <f t="shared" si="200"/>
        <v/>
      </c>
      <c r="K787" s="411" t="str">
        <f t="shared" si="201"/>
        <v/>
      </c>
      <c r="L787" s="398">
        <f t="shared" si="202"/>
        <v>1</v>
      </c>
      <c r="M787" s="399">
        <v>1</v>
      </c>
      <c r="N787" s="399"/>
      <c r="O787" s="399"/>
      <c r="P787" s="399"/>
      <c r="Q787" s="475"/>
      <c r="R787" s="458" t="str">
        <f t="shared" si="203"/>
        <v>T</v>
      </c>
      <c r="S787" s="472"/>
      <c r="T787" s="472"/>
      <c r="U787" s="472"/>
      <c r="V787" s="472"/>
      <c r="W787" s="472"/>
      <c r="X787" s="472"/>
      <c r="Y787" s="472"/>
      <c r="Z787" s="472"/>
      <c r="AA787" s="472"/>
      <c r="AB787" s="472"/>
      <c r="AC787" s="472"/>
      <c r="AD787" s="472"/>
      <c r="AE787" s="472"/>
      <c r="AF787" s="472"/>
    </row>
    <row r="788" spans="1:32" s="473" customFormat="1" hidden="1" outlineLevel="3">
      <c r="A788" s="405"/>
      <c r="B788" s="397" t="s">
        <v>398</v>
      </c>
      <c r="C788" s="397" t="s">
        <v>398</v>
      </c>
      <c r="D788" s="475" t="s">
        <v>18</v>
      </c>
      <c r="E788" s="397" t="s">
        <v>204</v>
      </c>
      <c r="F788" s="447" t="s">
        <v>205</v>
      </c>
      <c r="G788" s="398">
        <v>0.30795000000000006</v>
      </c>
      <c r="H788" s="411" t="str">
        <f t="shared" si="198"/>
        <v/>
      </c>
      <c r="I788" s="411" t="str">
        <f t="shared" si="199"/>
        <v/>
      </c>
      <c r="J788" s="411">
        <f t="shared" si="200"/>
        <v>0.30795000000000006</v>
      </c>
      <c r="K788" s="411" t="str">
        <f t="shared" si="201"/>
        <v/>
      </c>
      <c r="L788" s="398">
        <f t="shared" si="202"/>
        <v>1</v>
      </c>
      <c r="M788" s="399"/>
      <c r="N788" s="399"/>
      <c r="O788" s="399">
        <v>1</v>
      </c>
      <c r="P788" s="399"/>
      <c r="Q788" s="475"/>
      <c r="R788" s="458" t="str">
        <f t="shared" si="203"/>
        <v>T</v>
      </c>
      <c r="S788" s="472"/>
      <c r="T788" s="472"/>
      <c r="U788" s="472"/>
      <c r="V788" s="472"/>
      <c r="W788" s="472"/>
      <c r="X788" s="472"/>
      <c r="Y788" s="472"/>
      <c r="Z788" s="472"/>
      <c r="AA788" s="472"/>
      <c r="AB788" s="472"/>
      <c r="AC788" s="472"/>
      <c r="AD788" s="472"/>
      <c r="AE788" s="472"/>
      <c r="AF788" s="472"/>
    </row>
    <row r="789" spans="1:32" s="473" customFormat="1" hidden="1" outlineLevel="2" collapsed="1">
      <c r="A789" s="405"/>
      <c r="B789" s="397" t="s">
        <v>398</v>
      </c>
      <c r="C789" s="397" t="s">
        <v>398</v>
      </c>
      <c r="D789" s="475" t="s">
        <v>26</v>
      </c>
      <c r="E789" s="475"/>
      <c r="F789" s="447" t="s">
        <v>401</v>
      </c>
      <c r="G789" s="398">
        <f>SUM(G790:G805)</f>
        <v>5.6325130629160798</v>
      </c>
      <c r="H789" s="398">
        <f>SUM(H790:H805)</f>
        <v>2.0244304000000004</v>
      </c>
      <c r="I789" s="398">
        <f>SUM(I790:I805)</f>
        <v>2.336672909362147</v>
      </c>
      <c r="J789" s="398">
        <f>SUM(J790:J805)</f>
        <v>0.87918252787463969</v>
      </c>
      <c r="K789" s="398">
        <f>SUM(K790:K805)</f>
        <v>0.3922272256792928</v>
      </c>
      <c r="L789" s="398">
        <f t="shared" ref="L789:L841" si="204">SUM(M789:P789)</f>
        <v>16</v>
      </c>
      <c r="M789" s="399">
        <f>SUM(M790:M805)</f>
        <v>2</v>
      </c>
      <c r="N789" s="399">
        <f>SUM(N790:N805)</f>
        <v>3</v>
      </c>
      <c r="O789" s="399">
        <f>SUM(O790:O805)</f>
        <v>7</v>
      </c>
      <c r="P789" s="399">
        <f>SUM(P790:P805)</f>
        <v>4</v>
      </c>
      <c r="Q789" s="475"/>
      <c r="R789" s="458" t="str">
        <f t="shared" si="203"/>
        <v>T</v>
      </c>
      <c r="S789" s="472"/>
      <c r="T789" s="472"/>
      <c r="U789" s="472"/>
      <c r="V789" s="472"/>
      <c r="W789" s="472"/>
      <c r="X789" s="472"/>
      <c r="Y789" s="472"/>
      <c r="Z789" s="472"/>
      <c r="AA789" s="472"/>
      <c r="AB789" s="472"/>
      <c r="AC789" s="472"/>
      <c r="AD789" s="472"/>
      <c r="AE789" s="472"/>
      <c r="AF789" s="472"/>
    </row>
    <row r="790" spans="1:32" s="473" customFormat="1" hidden="1" outlineLevel="3">
      <c r="A790" s="405"/>
      <c r="B790" s="397" t="s">
        <v>398</v>
      </c>
      <c r="C790" s="397" t="s">
        <v>398</v>
      </c>
      <c r="D790" s="475" t="s">
        <v>26</v>
      </c>
      <c r="E790" s="475" t="s">
        <v>27</v>
      </c>
      <c r="F790" s="447" t="s">
        <v>32</v>
      </c>
      <c r="G790" s="398">
        <v>1.5183228000000002</v>
      </c>
      <c r="H790" s="411">
        <f t="shared" ref="H790:H805" si="205">IF(M790=1,$G790,"")</f>
        <v>1.5183228000000002</v>
      </c>
      <c r="I790" s="411" t="str">
        <f t="shared" ref="I790:I805" si="206">IF(N790=1,$G790,"")</f>
        <v/>
      </c>
      <c r="J790" s="411" t="str">
        <f t="shared" ref="J790:J805" si="207">IF(O790=1,$G790,"")</f>
        <v/>
      </c>
      <c r="K790" s="411" t="str">
        <f t="shared" ref="K790:K805" si="208">IF(P790=1,$G790,"")</f>
        <v/>
      </c>
      <c r="L790" s="398">
        <f t="shared" si="204"/>
        <v>1</v>
      </c>
      <c r="M790" s="399">
        <v>1</v>
      </c>
      <c r="N790" s="399"/>
      <c r="O790" s="399"/>
      <c r="P790" s="399"/>
      <c r="Q790" s="475"/>
      <c r="R790" s="458" t="str">
        <f t="shared" si="203"/>
        <v>T</v>
      </c>
      <c r="S790" s="472"/>
      <c r="T790" s="472"/>
      <c r="U790" s="472"/>
      <c r="V790" s="472"/>
      <c r="W790" s="472"/>
      <c r="X790" s="472"/>
      <c r="Y790" s="472"/>
      <c r="Z790" s="472"/>
      <c r="AA790" s="472"/>
      <c r="AB790" s="472"/>
      <c r="AC790" s="472"/>
      <c r="AD790" s="472"/>
      <c r="AE790" s="472"/>
      <c r="AF790" s="472"/>
    </row>
    <row r="791" spans="1:32" s="473" customFormat="1" hidden="1" outlineLevel="3">
      <c r="A791" s="405"/>
      <c r="B791" s="397" t="s">
        <v>398</v>
      </c>
      <c r="C791" s="397" t="s">
        <v>398</v>
      </c>
      <c r="D791" s="475" t="s">
        <v>26</v>
      </c>
      <c r="E791" s="475" t="s">
        <v>27</v>
      </c>
      <c r="F791" s="447" t="s">
        <v>66</v>
      </c>
      <c r="G791" s="398">
        <v>2.0244304000000004</v>
      </c>
      <c r="H791" s="411" t="str">
        <f t="shared" si="205"/>
        <v/>
      </c>
      <c r="I791" s="411">
        <f t="shared" si="206"/>
        <v>2.0244304000000004</v>
      </c>
      <c r="J791" s="411" t="str">
        <f t="shared" si="207"/>
        <v/>
      </c>
      <c r="K791" s="411" t="str">
        <f t="shared" si="208"/>
        <v/>
      </c>
      <c r="L791" s="398">
        <f t="shared" si="204"/>
        <v>1</v>
      </c>
      <c r="M791" s="399"/>
      <c r="N791" s="399">
        <v>1</v>
      </c>
      <c r="O791" s="399"/>
      <c r="P791" s="399"/>
      <c r="Q791" s="475"/>
      <c r="R791" s="458" t="str">
        <f t="shared" si="203"/>
        <v>T</v>
      </c>
      <c r="S791" s="472"/>
      <c r="T791" s="472"/>
      <c r="U791" s="472"/>
      <c r="V791" s="472"/>
      <c r="W791" s="472"/>
      <c r="X791" s="472"/>
      <c r="Y791" s="472"/>
      <c r="Z791" s="472"/>
      <c r="AA791" s="472"/>
      <c r="AB791" s="472"/>
      <c r="AC791" s="472"/>
      <c r="AD791" s="472"/>
      <c r="AE791" s="472"/>
      <c r="AF791" s="472"/>
    </row>
    <row r="792" spans="1:32" s="473" customFormat="1" hidden="1" outlineLevel="3">
      <c r="A792" s="405"/>
      <c r="B792" s="397" t="s">
        <v>398</v>
      </c>
      <c r="C792" s="397" t="s">
        <v>398</v>
      </c>
      <c r="D792" s="475" t="s">
        <v>26</v>
      </c>
      <c r="E792" s="475" t="s">
        <v>27</v>
      </c>
      <c r="F792" s="447" t="s">
        <v>197</v>
      </c>
      <c r="G792" s="398">
        <v>0.5061076000000001</v>
      </c>
      <c r="H792" s="411">
        <f t="shared" si="205"/>
        <v>0.5061076000000001</v>
      </c>
      <c r="I792" s="411" t="str">
        <f t="shared" si="206"/>
        <v/>
      </c>
      <c r="J792" s="411" t="str">
        <f t="shared" si="207"/>
        <v/>
      </c>
      <c r="K792" s="411" t="str">
        <f t="shared" si="208"/>
        <v/>
      </c>
      <c r="L792" s="398">
        <f t="shared" si="204"/>
        <v>1</v>
      </c>
      <c r="M792" s="399">
        <v>1</v>
      </c>
      <c r="N792" s="399"/>
      <c r="O792" s="399"/>
      <c r="P792" s="399"/>
      <c r="Q792" s="475"/>
      <c r="R792" s="458" t="str">
        <f t="shared" si="203"/>
        <v>T</v>
      </c>
      <c r="S792" s="472"/>
      <c r="T792" s="472"/>
      <c r="U792" s="472"/>
      <c r="V792" s="472"/>
      <c r="W792" s="472"/>
      <c r="X792" s="472"/>
      <c r="Y792" s="472"/>
      <c r="Z792" s="472"/>
      <c r="AA792" s="472"/>
      <c r="AB792" s="472"/>
      <c r="AC792" s="472"/>
      <c r="AD792" s="472"/>
      <c r="AE792" s="472"/>
      <c r="AF792" s="472"/>
    </row>
    <row r="793" spans="1:32" s="473" customFormat="1" hidden="1" outlineLevel="3">
      <c r="A793" s="405"/>
      <c r="B793" s="397" t="s">
        <v>398</v>
      </c>
      <c r="C793" s="397" t="s">
        <v>398</v>
      </c>
      <c r="D793" s="475" t="s">
        <v>26</v>
      </c>
      <c r="E793" s="475" t="s">
        <v>27</v>
      </c>
      <c r="F793" s="447" t="s">
        <v>402</v>
      </c>
      <c r="G793" s="415">
        <v>0.15612125468107316</v>
      </c>
      <c r="H793" s="411" t="str">
        <f t="shared" si="205"/>
        <v/>
      </c>
      <c r="I793" s="411">
        <f t="shared" si="206"/>
        <v>0.15612125468107316</v>
      </c>
      <c r="J793" s="411" t="str">
        <f t="shared" si="207"/>
        <v/>
      </c>
      <c r="K793" s="411" t="str">
        <f t="shared" si="208"/>
        <v/>
      </c>
      <c r="L793" s="415">
        <f t="shared" ref="L793:L800" si="209">SUM(M793:P793)</f>
        <v>1</v>
      </c>
      <c r="M793" s="416"/>
      <c r="N793" s="416">
        <v>1</v>
      </c>
      <c r="O793" s="416"/>
      <c r="P793" s="416"/>
      <c r="Q793" s="475"/>
      <c r="R793" s="458" t="str">
        <f t="shared" ref="R793:R800" si="210">IF(SUM(M793:P793)=L793,"T","F")</f>
        <v>T</v>
      </c>
      <c r="S793" s="472"/>
      <c r="T793" s="472"/>
      <c r="U793" s="472"/>
      <c r="V793" s="472"/>
      <c r="W793" s="472"/>
      <c r="X793" s="472"/>
      <c r="Y793" s="472"/>
      <c r="Z793" s="472"/>
      <c r="AA793" s="472"/>
      <c r="AB793" s="472"/>
      <c r="AC793" s="472"/>
      <c r="AD793" s="472"/>
      <c r="AE793" s="472"/>
      <c r="AF793" s="472"/>
    </row>
    <row r="794" spans="1:32" s="473" customFormat="1" hidden="1" outlineLevel="3">
      <c r="A794" s="405"/>
      <c r="B794" s="397" t="s">
        <v>398</v>
      </c>
      <c r="C794" s="397" t="s">
        <v>398</v>
      </c>
      <c r="D794" s="475" t="s">
        <v>26</v>
      </c>
      <c r="E794" s="475" t="s">
        <v>27</v>
      </c>
      <c r="F794" s="447" t="s">
        <v>423</v>
      </c>
      <c r="G794" s="415">
        <v>0.15612125468107316</v>
      </c>
      <c r="H794" s="411" t="str">
        <f t="shared" si="205"/>
        <v/>
      </c>
      <c r="I794" s="411">
        <f t="shared" si="206"/>
        <v>0.15612125468107316</v>
      </c>
      <c r="J794" s="411" t="str">
        <f t="shared" si="207"/>
        <v/>
      </c>
      <c r="K794" s="411" t="str">
        <f t="shared" si="208"/>
        <v/>
      </c>
      <c r="L794" s="415">
        <f t="shared" si="209"/>
        <v>1</v>
      </c>
      <c r="M794" s="416"/>
      <c r="N794" s="416">
        <v>1</v>
      </c>
      <c r="O794" s="416"/>
      <c r="P794" s="416"/>
      <c r="Q794" s="475"/>
      <c r="R794" s="458" t="str">
        <f t="shared" si="210"/>
        <v>T</v>
      </c>
      <c r="S794" s="472"/>
      <c r="T794" s="472"/>
      <c r="U794" s="472"/>
      <c r="V794" s="472"/>
      <c r="W794" s="472"/>
      <c r="X794" s="472"/>
      <c r="Y794" s="472"/>
      <c r="Z794" s="472"/>
      <c r="AA794" s="472"/>
      <c r="AB794" s="472"/>
      <c r="AC794" s="472"/>
      <c r="AD794" s="472"/>
      <c r="AE794" s="472"/>
      <c r="AF794" s="472"/>
    </row>
    <row r="795" spans="1:32" s="473" customFormat="1" hidden="1" outlineLevel="3">
      <c r="A795" s="405"/>
      <c r="B795" s="397" t="s">
        <v>398</v>
      </c>
      <c r="C795" s="397" t="s">
        <v>398</v>
      </c>
      <c r="D795" s="475" t="s">
        <v>26</v>
      </c>
      <c r="E795" s="475" t="s">
        <v>27</v>
      </c>
      <c r="F795" s="447" t="s">
        <v>424</v>
      </c>
      <c r="G795" s="415">
        <v>0.17173338014918046</v>
      </c>
      <c r="H795" s="411" t="str">
        <f t="shared" si="205"/>
        <v/>
      </c>
      <c r="I795" s="411" t="str">
        <f t="shared" si="206"/>
        <v/>
      </c>
      <c r="J795" s="411">
        <f t="shared" si="207"/>
        <v>0.17173338014918046</v>
      </c>
      <c r="K795" s="411" t="str">
        <f t="shared" si="208"/>
        <v/>
      </c>
      <c r="L795" s="415">
        <f t="shared" si="209"/>
        <v>1</v>
      </c>
      <c r="M795" s="416"/>
      <c r="N795" s="416"/>
      <c r="O795" s="416">
        <v>1</v>
      </c>
      <c r="P795" s="416"/>
      <c r="Q795" s="475"/>
      <c r="R795" s="458" t="str">
        <f t="shared" si="210"/>
        <v>T</v>
      </c>
      <c r="S795" s="472"/>
      <c r="T795" s="472"/>
      <c r="U795" s="472"/>
      <c r="V795" s="472"/>
      <c r="W795" s="472"/>
      <c r="X795" s="472"/>
      <c r="Y795" s="472"/>
      <c r="Z795" s="472"/>
      <c r="AA795" s="472"/>
      <c r="AB795" s="472"/>
      <c r="AC795" s="472"/>
      <c r="AD795" s="472"/>
      <c r="AE795" s="472"/>
      <c r="AF795" s="472"/>
    </row>
    <row r="796" spans="1:32" s="473" customFormat="1" hidden="1" outlineLevel="3">
      <c r="A796" s="405"/>
      <c r="B796" s="397" t="s">
        <v>398</v>
      </c>
      <c r="C796" s="397" t="s">
        <v>398</v>
      </c>
      <c r="D796" s="475" t="s">
        <v>26</v>
      </c>
      <c r="E796" s="475" t="s">
        <v>27</v>
      </c>
      <c r="F796" s="447" t="s">
        <v>425</v>
      </c>
      <c r="G796" s="415">
        <v>9.3672752808643886E-2</v>
      </c>
      <c r="H796" s="411" t="str">
        <f t="shared" si="205"/>
        <v/>
      </c>
      <c r="I796" s="411" t="str">
        <f t="shared" si="206"/>
        <v/>
      </c>
      <c r="J796" s="411">
        <f t="shared" si="207"/>
        <v>9.3672752808643886E-2</v>
      </c>
      <c r="K796" s="411" t="str">
        <f t="shared" si="208"/>
        <v/>
      </c>
      <c r="L796" s="415">
        <f t="shared" si="209"/>
        <v>1</v>
      </c>
      <c r="M796" s="416"/>
      <c r="N796" s="416"/>
      <c r="O796" s="416">
        <v>1</v>
      </c>
      <c r="P796" s="416"/>
      <c r="Q796" s="475"/>
      <c r="R796" s="458" t="str">
        <f t="shared" si="210"/>
        <v>T</v>
      </c>
      <c r="S796" s="472"/>
      <c r="T796" s="472"/>
      <c r="U796" s="472"/>
      <c r="V796" s="472"/>
      <c r="W796" s="472"/>
      <c r="X796" s="472"/>
      <c r="Y796" s="472"/>
      <c r="Z796" s="472"/>
      <c r="AA796" s="472"/>
      <c r="AB796" s="472"/>
      <c r="AC796" s="472"/>
      <c r="AD796" s="472"/>
      <c r="AE796" s="472"/>
      <c r="AF796" s="472"/>
    </row>
    <row r="797" spans="1:32" s="473" customFormat="1" hidden="1" outlineLevel="3">
      <c r="A797" s="405"/>
      <c r="B797" s="397" t="s">
        <v>398</v>
      </c>
      <c r="C797" s="397" t="s">
        <v>398</v>
      </c>
      <c r="D797" s="475" t="s">
        <v>26</v>
      </c>
      <c r="E797" s="475" t="s">
        <v>27</v>
      </c>
      <c r="F797" s="447" t="s">
        <v>408</v>
      </c>
      <c r="G797" s="415">
        <v>0.15612125468107316</v>
      </c>
      <c r="H797" s="411" t="str">
        <f t="shared" si="205"/>
        <v/>
      </c>
      <c r="I797" s="411" t="str">
        <f t="shared" si="206"/>
        <v/>
      </c>
      <c r="J797" s="411">
        <f t="shared" si="207"/>
        <v>0.15612125468107316</v>
      </c>
      <c r="K797" s="411" t="str">
        <f t="shared" si="208"/>
        <v/>
      </c>
      <c r="L797" s="415">
        <f t="shared" si="209"/>
        <v>1</v>
      </c>
      <c r="M797" s="416"/>
      <c r="N797" s="416"/>
      <c r="O797" s="416">
        <v>1</v>
      </c>
      <c r="P797" s="416"/>
      <c r="Q797" s="475"/>
      <c r="R797" s="458" t="str">
        <f t="shared" si="210"/>
        <v>T</v>
      </c>
      <c r="S797" s="472"/>
      <c r="T797" s="472"/>
      <c r="U797" s="472"/>
      <c r="V797" s="472"/>
      <c r="W797" s="472"/>
      <c r="X797" s="472"/>
      <c r="Y797" s="472"/>
      <c r="Z797" s="472"/>
      <c r="AA797" s="472"/>
      <c r="AB797" s="472"/>
      <c r="AC797" s="472"/>
      <c r="AD797" s="472"/>
      <c r="AE797" s="472"/>
      <c r="AF797" s="472"/>
    </row>
    <row r="798" spans="1:32" s="473" customFormat="1" hidden="1" outlineLevel="3">
      <c r="A798" s="405"/>
      <c r="B798" s="397" t="s">
        <v>398</v>
      </c>
      <c r="C798" s="397" t="s">
        <v>398</v>
      </c>
      <c r="D798" s="475" t="s">
        <v>26</v>
      </c>
      <c r="E798" s="475" t="s">
        <v>27</v>
      </c>
      <c r="F798" s="447" t="s">
        <v>426</v>
      </c>
      <c r="G798" s="415">
        <v>0.15612125468107316</v>
      </c>
      <c r="H798" s="411" t="str">
        <f t="shared" si="205"/>
        <v/>
      </c>
      <c r="I798" s="411" t="str">
        <f t="shared" si="206"/>
        <v/>
      </c>
      <c r="J798" s="411">
        <f t="shared" si="207"/>
        <v>0.15612125468107316</v>
      </c>
      <c r="K798" s="411" t="str">
        <f t="shared" si="208"/>
        <v/>
      </c>
      <c r="L798" s="415">
        <f t="shared" si="209"/>
        <v>1</v>
      </c>
      <c r="M798" s="416"/>
      <c r="N798" s="416"/>
      <c r="O798" s="416">
        <v>1</v>
      </c>
      <c r="P798" s="416"/>
      <c r="Q798" s="475"/>
      <c r="R798" s="458" t="str">
        <f t="shared" si="210"/>
        <v>T</v>
      </c>
      <c r="S798" s="472"/>
      <c r="T798" s="472"/>
      <c r="U798" s="472"/>
      <c r="V798" s="472"/>
      <c r="W798" s="472"/>
      <c r="X798" s="472"/>
      <c r="Y798" s="472"/>
      <c r="Z798" s="472"/>
      <c r="AA798" s="472"/>
      <c r="AB798" s="472"/>
      <c r="AC798" s="472"/>
      <c r="AD798" s="472"/>
      <c r="AE798" s="472"/>
      <c r="AF798" s="472"/>
    </row>
    <row r="799" spans="1:32" s="473" customFormat="1" hidden="1" outlineLevel="3">
      <c r="A799" s="405"/>
      <c r="B799" s="397" t="s">
        <v>398</v>
      </c>
      <c r="C799" s="397" t="s">
        <v>398</v>
      </c>
      <c r="D799" s="475" t="s">
        <v>26</v>
      </c>
      <c r="E799" s="475" t="s">
        <v>27</v>
      </c>
      <c r="F799" s="447" t="s">
        <v>427</v>
      </c>
      <c r="G799" s="415">
        <v>0.17173338014918046</v>
      </c>
      <c r="H799" s="411" t="str">
        <f t="shared" si="205"/>
        <v/>
      </c>
      <c r="I799" s="411" t="str">
        <f t="shared" si="206"/>
        <v/>
      </c>
      <c r="J799" s="411" t="str">
        <f t="shared" si="207"/>
        <v/>
      </c>
      <c r="K799" s="411">
        <f t="shared" si="208"/>
        <v>0.17173338014918046</v>
      </c>
      <c r="L799" s="415">
        <f t="shared" si="209"/>
        <v>1</v>
      </c>
      <c r="M799" s="416"/>
      <c r="N799" s="416"/>
      <c r="O799" s="416"/>
      <c r="P799" s="416">
        <v>1</v>
      </c>
      <c r="Q799" s="475"/>
      <c r="R799" s="458" t="str">
        <f t="shared" si="210"/>
        <v>T</v>
      </c>
      <c r="S799" s="472"/>
      <c r="T799" s="472"/>
      <c r="U799" s="472"/>
      <c r="V799" s="472"/>
      <c r="W799" s="472"/>
      <c r="X799" s="472"/>
      <c r="Y799" s="472"/>
      <c r="Z799" s="472"/>
      <c r="AA799" s="472"/>
      <c r="AB799" s="472"/>
      <c r="AC799" s="472"/>
      <c r="AD799" s="472"/>
      <c r="AE799" s="472"/>
      <c r="AF799" s="472"/>
    </row>
    <row r="800" spans="1:32" s="473" customFormat="1" hidden="1" outlineLevel="3">
      <c r="A800" s="405"/>
      <c r="B800" s="397" t="s">
        <v>398</v>
      </c>
      <c r="C800" s="397" t="s">
        <v>398</v>
      </c>
      <c r="D800" s="475" t="s">
        <v>26</v>
      </c>
      <c r="E800" s="475" t="s">
        <v>27</v>
      </c>
      <c r="F800" s="447" t="s">
        <v>428</v>
      </c>
      <c r="G800" s="415">
        <v>9.3672752808643886E-2</v>
      </c>
      <c r="H800" s="411" t="str">
        <f t="shared" si="205"/>
        <v/>
      </c>
      <c r="I800" s="411" t="str">
        <f t="shared" si="206"/>
        <v/>
      </c>
      <c r="J800" s="411" t="str">
        <f t="shared" si="207"/>
        <v/>
      </c>
      <c r="K800" s="411">
        <f t="shared" si="208"/>
        <v>9.3672752808643886E-2</v>
      </c>
      <c r="L800" s="415">
        <f t="shared" si="209"/>
        <v>1</v>
      </c>
      <c r="M800" s="416"/>
      <c r="N800" s="416"/>
      <c r="O800" s="416"/>
      <c r="P800" s="416">
        <v>1</v>
      </c>
      <c r="Q800" s="475"/>
      <c r="R800" s="458" t="str">
        <f t="shared" si="210"/>
        <v>T</v>
      </c>
      <c r="S800" s="472"/>
      <c r="T800" s="472"/>
      <c r="U800" s="472"/>
      <c r="V800" s="472"/>
      <c r="W800" s="472"/>
      <c r="X800" s="472"/>
      <c r="Y800" s="472"/>
      <c r="Z800" s="472"/>
      <c r="AA800" s="472"/>
      <c r="AB800" s="472"/>
      <c r="AC800" s="472"/>
      <c r="AD800" s="472"/>
      <c r="AE800" s="472"/>
      <c r="AF800" s="472"/>
    </row>
    <row r="801" spans="1:32" s="473" customFormat="1" hidden="1" outlineLevel="3">
      <c r="A801" s="405"/>
      <c r="B801" s="397" t="s">
        <v>398</v>
      </c>
      <c r="C801" s="397" t="s">
        <v>398</v>
      </c>
      <c r="D801" s="475" t="s">
        <v>26</v>
      </c>
      <c r="E801" s="475" t="s">
        <v>27</v>
      </c>
      <c r="F801" s="447" t="s">
        <v>414</v>
      </c>
      <c r="G801" s="398">
        <v>7.4600642777334414E-2</v>
      </c>
      <c r="H801" s="411" t="str">
        <f t="shared" si="205"/>
        <v/>
      </c>
      <c r="I801" s="411" t="str">
        <f t="shared" si="206"/>
        <v/>
      </c>
      <c r="J801" s="411">
        <f t="shared" si="207"/>
        <v>7.4600642777334414E-2</v>
      </c>
      <c r="K801" s="411" t="str">
        <f t="shared" si="208"/>
        <v/>
      </c>
      <c r="L801" s="398">
        <f t="shared" si="204"/>
        <v>1</v>
      </c>
      <c r="M801" s="399"/>
      <c r="N801" s="399"/>
      <c r="O801" s="399">
        <v>1</v>
      </c>
      <c r="P801" s="399"/>
      <c r="Q801" s="475"/>
      <c r="R801" s="458" t="str">
        <f t="shared" ref="R801:R816" si="211">IF(SUM(M801:P801)=L801,"T","F")</f>
        <v>T</v>
      </c>
      <c r="S801" s="472"/>
      <c r="T801" s="472"/>
      <c r="U801" s="472"/>
      <c r="V801" s="472"/>
      <c r="W801" s="472"/>
      <c r="X801" s="472"/>
      <c r="Y801" s="472"/>
      <c r="Z801" s="472"/>
      <c r="AA801" s="472"/>
      <c r="AB801" s="472"/>
      <c r="AC801" s="472"/>
      <c r="AD801" s="472"/>
      <c r="AE801" s="472"/>
      <c r="AF801" s="472"/>
    </row>
    <row r="802" spans="1:32" s="473" customFormat="1" hidden="1" outlineLevel="3">
      <c r="A802" s="405"/>
      <c r="B802" s="397" t="s">
        <v>398</v>
      </c>
      <c r="C802" s="397" t="s">
        <v>398</v>
      </c>
      <c r="D802" s="475" t="s">
        <v>26</v>
      </c>
      <c r="E802" s="475" t="s">
        <v>27</v>
      </c>
      <c r="F802" s="447" t="s">
        <v>429</v>
      </c>
      <c r="G802" s="398">
        <v>7.4600642777334414E-2</v>
      </c>
      <c r="H802" s="411" t="str">
        <f t="shared" si="205"/>
        <v/>
      </c>
      <c r="I802" s="411" t="str">
        <f t="shared" si="206"/>
        <v/>
      </c>
      <c r="J802" s="411">
        <f t="shared" si="207"/>
        <v>7.4600642777334414E-2</v>
      </c>
      <c r="K802" s="411" t="str">
        <f t="shared" si="208"/>
        <v/>
      </c>
      <c r="L802" s="398">
        <f t="shared" si="204"/>
        <v>1</v>
      </c>
      <c r="M802" s="399"/>
      <c r="N802" s="399"/>
      <c r="O802" s="399">
        <v>1</v>
      </c>
      <c r="P802" s="399"/>
      <c r="Q802" s="475"/>
      <c r="R802" s="458" t="str">
        <f t="shared" si="211"/>
        <v>T</v>
      </c>
      <c r="S802" s="472"/>
      <c r="T802" s="472"/>
      <c r="U802" s="472"/>
      <c r="V802" s="472"/>
      <c r="W802" s="472"/>
      <c r="X802" s="472"/>
      <c r="Y802" s="472"/>
      <c r="Z802" s="472"/>
      <c r="AA802" s="472"/>
      <c r="AB802" s="472"/>
      <c r="AC802" s="472"/>
      <c r="AD802" s="472"/>
      <c r="AE802" s="472"/>
      <c r="AF802" s="472"/>
    </row>
    <row r="803" spans="1:32" s="473" customFormat="1" hidden="1" outlineLevel="3">
      <c r="A803" s="405"/>
      <c r="B803" s="397" t="s">
        <v>398</v>
      </c>
      <c r="C803" s="397" t="s">
        <v>398</v>
      </c>
      <c r="D803" s="475" t="s">
        <v>26</v>
      </c>
      <c r="E803" s="475" t="s">
        <v>27</v>
      </c>
      <c r="F803" s="447" t="s">
        <v>430</v>
      </c>
      <c r="G803" s="398">
        <v>8.206070705506785E-2</v>
      </c>
      <c r="H803" s="411" t="str">
        <f t="shared" si="205"/>
        <v/>
      </c>
      <c r="I803" s="411" t="str">
        <f t="shared" si="206"/>
        <v/>
      </c>
      <c r="J803" s="411" t="str">
        <f t="shared" si="207"/>
        <v/>
      </c>
      <c r="K803" s="411">
        <f t="shared" si="208"/>
        <v>8.206070705506785E-2</v>
      </c>
      <c r="L803" s="398">
        <f t="shared" si="204"/>
        <v>1</v>
      </c>
      <c r="M803" s="399"/>
      <c r="N803" s="399"/>
      <c r="O803" s="399"/>
      <c r="P803" s="399">
        <v>1</v>
      </c>
      <c r="Q803" s="475"/>
      <c r="R803" s="458" t="str">
        <f t="shared" si="211"/>
        <v>T</v>
      </c>
      <c r="S803" s="472"/>
      <c r="T803" s="472"/>
      <c r="U803" s="472"/>
      <c r="V803" s="472"/>
      <c r="W803" s="472"/>
      <c r="X803" s="472"/>
      <c r="Y803" s="472"/>
      <c r="Z803" s="472"/>
      <c r="AA803" s="472"/>
      <c r="AB803" s="472"/>
      <c r="AC803" s="472"/>
      <c r="AD803" s="472"/>
      <c r="AE803" s="472"/>
      <c r="AF803" s="472"/>
    </row>
    <row r="804" spans="1:32" s="473" customFormat="1" hidden="1" outlineLevel="3">
      <c r="A804" s="405"/>
      <c r="B804" s="397" t="s">
        <v>398</v>
      </c>
      <c r="C804" s="397" t="s">
        <v>398</v>
      </c>
      <c r="D804" s="475" t="s">
        <v>26</v>
      </c>
      <c r="E804" s="475" t="s">
        <v>27</v>
      </c>
      <c r="F804" s="447" t="s">
        <v>431</v>
      </c>
      <c r="G804" s="398">
        <v>4.4760385666400643E-2</v>
      </c>
      <c r="H804" s="411" t="str">
        <f t="shared" si="205"/>
        <v/>
      </c>
      <c r="I804" s="411" t="str">
        <f t="shared" si="206"/>
        <v/>
      </c>
      <c r="J804" s="411" t="str">
        <f t="shared" si="207"/>
        <v/>
      </c>
      <c r="K804" s="411">
        <f t="shared" si="208"/>
        <v>4.4760385666400643E-2</v>
      </c>
      <c r="L804" s="398">
        <f t="shared" si="204"/>
        <v>1</v>
      </c>
      <c r="M804" s="399"/>
      <c r="N804" s="399"/>
      <c r="O804" s="399"/>
      <c r="P804" s="399">
        <v>1</v>
      </c>
      <c r="Q804" s="475"/>
      <c r="R804" s="458" t="str">
        <f t="shared" si="211"/>
        <v>T</v>
      </c>
      <c r="S804" s="472"/>
      <c r="T804" s="472"/>
      <c r="U804" s="472"/>
      <c r="V804" s="472"/>
      <c r="W804" s="472"/>
      <c r="X804" s="472"/>
      <c r="Y804" s="472"/>
      <c r="Z804" s="472"/>
      <c r="AA804" s="472"/>
      <c r="AB804" s="472"/>
      <c r="AC804" s="472"/>
      <c r="AD804" s="472"/>
      <c r="AE804" s="472"/>
      <c r="AF804" s="472"/>
    </row>
    <row r="805" spans="1:32" s="473" customFormat="1" hidden="1" outlineLevel="3">
      <c r="A805" s="405"/>
      <c r="B805" s="397" t="s">
        <v>398</v>
      </c>
      <c r="C805" s="397" t="s">
        <v>398</v>
      </c>
      <c r="D805" s="475" t="s">
        <v>26</v>
      </c>
      <c r="E805" s="475" t="s">
        <v>27</v>
      </c>
      <c r="F805" s="447" t="s">
        <v>205</v>
      </c>
      <c r="G805" s="398">
        <v>0.15233259999999998</v>
      </c>
      <c r="H805" s="411" t="str">
        <f t="shared" si="205"/>
        <v/>
      </c>
      <c r="I805" s="411" t="str">
        <f t="shared" si="206"/>
        <v/>
      </c>
      <c r="J805" s="411">
        <f t="shared" si="207"/>
        <v>0.15233259999999998</v>
      </c>
      <c r="K805" s="411" t="str">
        <f t="shared" si="208"/>
        <v/>
      </c>
      <c r="L805" s="398">
        <f t="shared" si="204"/>
        <v>1</v>
      </c>
      <c r="M805" s="399"/>
      <c r="N805" s="399"/>
      <c r="O805" s="399">
        <v>1</v>
      </c>
      <c r="P805" s="399"/>
      <c r="Q805" s="475"/>
      <c r="R805" s="458" t="str">
        <f t="shared" si="211"/>
        <v>T</v>
      </c>
      <c r="S805" s="472"/>
      <c r="T805" s="472"/>
      <c r="U805" s="472"/>
      <c r="V805" s="472"/>
      <c r="W805" s="472"/>
      <c r="X805" s="472"/>
      <c r="Y805" s="472"/>
      <c r="Z805" s="472"/>
      <c r="AA805" s="472"/>
      <c r="AB805" s="472"/>
      <c r="AC805" s="472"/>
      <c r="AD805" s="472"/>
      <c r="AE805" s="472"/>
      <c r="AF805" s="472"/>
    </row>
    <row r="806" spans="1:32" s="473" customFormat="1" hidden="1" outlineLevel="2" collapsed="1">
      <c r="A806" s="405"/>
      <c r="B806" s="397" t="s">
        <v>398</v>
      </c>
      <c r="C806" s="397" t="s">
        <v>398</v>
      </c>
      <c r="D806" s="475" t="s">
        <v>28</v>
      </c>
      <c r="E806" s="475"/>
      <c r="F806" s="447" t="s">
        <v>401</v>
      </c>
      <c r="G806" s="398">
        <f>SUM(G807:G818)</f>
        <v>2.6257157643655229</v>
      </c>
      <c r="H806" s="415">
        <f>SUM(H807:H818)</f>
        <v>1.1268056000000002</v>
      </c>
      <c r="I806" s="415">
        <f>SUM(I807:I818)</f>
        <v>0.78064699873073862</v>
      </c>
      <c r="J806" s="415">
        <f>SUM(J807:J818)</f>
        <v>0.46142180808674571</v>
      </c>
      <c r="K806" s="415">
        <f>SUM(K807:K818)</f>
        <v>0.25684135754803861</v>
      </c>
      <c r="L806" s="398">
        <f t="shared" si="204"/>
        <v>12</v>
      </c>
      <c r="M806" s="399">
        <f>SUM(M807:M818)</f>
        <v>3</v>
      </c>
      <c r="N806" s="399">
        <f>SUM(N807:N818)</f>
        <v>3</v>
      </c>
      <c r="O806" s="399">
        <f>SUM(O807:O818)</f>
        <v>4</v>
      </c>
      <c r="P806" s="399">
        <f>SUM(P807:P818)</f>
        <v>2</v>
      </c>
      <c r="Q806" s="475"/>
      <c r="R806" s="458" t="str">
        <f t="shared" si="211"/>
        <v>T</v>
      </c>
      <c r="S806" s="472"/>
      <c r="T806" s="472"/>
      <c r="U806" s="472"/>
      <c r="V806" s="472"/>
      <c r="W806" s="472"/>
      <c r="X806" s="472"/>
      <c r="Y806" s="472"/>
      <c r="Z806" s="472"/>
      <c r="AA806" s="472"/>
      <c r="AB806" s="472"/>
      <c r="AC806" s="472"/>
      <c r="AD806" s="472"/>
      <c r="AE806" s="472"/>
      <c r="AF806" s="472"/>
    </row>
    <row r="807" spans="1:32" s="473" customFormat="1" hidden="1" outlineLevel="3">
      <c r="A807" s="405"/>
      <c r="B807" s="397" t="s">
        <v>398</v>
      </c>
      <c r="C807" s="397" t="s">
        <v>398</v>
      </c>
      <c r="D807" s="475" t="s">
        <v>28</v>
      </c>
      <c r="E807" s="475" t="s">
        <v>29</v>
      </c>
      <c r="F807" s="447" t="s">
        <v>32</v>
      </c>
      <c r="G807" s="398">
        <v>0.56340280000000009</v>
      </c>
      <c r="H807" s="411">
        <f t="shared" ref="H807:H818" si="212">IF(M807=1,$G807,"")</f>
        <v>0.56340280000000009</v>
      </c>
      <c r="I807" s="411" t="str">
        <f t="shared" ref="I807:I818" si="213">IF(N807=1,$G807,"")</f>
        <v/>
      </c>
      <c r="J807" s="411" t="str">
        <f t="shared" ref="J807:J818" si="214">IF(O807=1,$G807,"")</f>
        <v/>
      </c>
      <c r="K807" s="411" t="str">
        <f t="shared" ref="K807:K818" si="215">IF(P807=1,$G807,"")</f>
        <v/>
      </c>
      <c r="L807" s="398">
        <f t="shared" si="204"/>
        <v>1</v>
      </c>
      <c r="M807" s="399">
        <v>1</v>
      </c>
      <c r="N807" s="399"/>
      <c r="O807" s="399"/>
      <c r="P807" s="399"/>
      <c r="Q807" s="475"/>
      <c r="R807" s="458" t="str">
        <f t="shared" si="211"/>
        <v>T</v>
      </c>
      <c r="S807" s="472"/>
      <c r="T807" s="472"/>
      <c r="U807" s="472"/>
      <c r="V807" s="472"/>
      <c r="W807" s="472"/>
      <c r="X807" s="472"/>
      <c r="Y807" s="472"/>
      <c r="Z807" s="472"/>
      <c r="AA807" s="472"/>
      <c r="AB807" s="472"/>
      <c r="AC807" s="472"/>
      <c r="AD807" s="472"/>
      <c r="AE807" s="472"/>
      <c r="AF807" s="472"/>
    </row>
    <row r="808" spans="1:32" s="473" customFormat="1" hidden="1" outlineLevel="3">
      <c r="A808" s="405"/>
      <c r="B808" s="397" t="s">
        <v>398</v>
      </c>
      <c r="C808" s="397" t="s">
        <v>398</v>
      </c>
      <c r="D808" s="475" t="s">
        <v>28</v>
      </c>
      <c r="E808" s="475" t="s">
        <v>29</v>
      </c>
      <c r="F808" s="447" t="s">
        <v>34</v>
      </c>
      <c r="G808" s="398">
        <v>0.56340280000000009</v>
      </c>
      <c r="H808" s="411" t="str">
        <f t="shared" si="212"/>
        <v/>
      </c>
      <c r="I808" s="411">
        <f t="shared" si="213"/>
        <v>0.56340280000000009</v>
      </c>
      <c r="J808" s="411" t="str">
        <f t="shared" si="214"/>
        <v/>
      </c>
      <c r="K808" s="411" t="str">
        <f t="shared" si="215"/>
        <v/>
      </c>
      <c r="L808" s="398">
        <f t="shared" si="204"/>
        <v>1</v>
      </c>
      <c r="M808" s="399"/>
      <c r="N808" s="399">
        <v>1</v>
      </c>
      <c r="O808" s="399"/>
      <c r="P808" s="399"/>
      <c r="Q808" s="475"/>
      <c r="R808" s="458" t="str">
        <f t="shared" si="211"/>
        <v>T</v>
      </c>
      <c r="S808" s="472"/>
      <c r="T808" s="472"/>
      <c r="U808" s="472"/>
      <c r="V808" s="472"/>
      <c r="W808" s="472"/>
      <c r="X808" s="472"/>
      <c r="Y808" s="472"/>
      <c r="Z808" s="472"/>
      <c r="AA808" s="472"/>
      <c r="AB808" s="472"/>
      <c r="AC808" s="472"/>
      <c r="AD808" s="472"/>
      <c r="AE808" s="472"/>
      <c r="AF808" s="472"/>
    </row>
    <row r="809" spans="1:32" s="473" customFormat="1" hidden="1" outlineLevel="3">
      <c r="A809" s="405"/>
      <c r="B809" s="397" t="s">
        <v>398</v>
      </c>
      <c r="C809" s="397" t="s">
        <v>398</v>
      </c>
      <c r="D809" s="475" t="s">
        <v>28</v>
      </c>
      <c r="E809" s="475" t="s">
        <v>29</v>
      </c>
      <c r="F809" s="447" t="s">
        <v>33</v>
      </c>
      <c r="G809" s="398">
        <v>0.28170140000000005</v>
      </c>
      <c r="H809" s="411">
        <f t="shared" si="212"/>
        <v>0.28170140000000005</v>
      </c>
      <c r="I809" s="411" t="str">
        <f t="shared" si="213"/>
        <v/>
      </c>
      <c r="J809" s="411" t="str">
        <f t="shared" si="214"/>
        <v/>
      </c>
      <c r="K809" s="411" t="str">
        <f t="shared" si="215"/>
        <v/>
      </c>
      <c r="L809" s="398">
        <f t="shared" si="204"/>
        <v>1</v>
      </c>
      <c r="M809" s="399">
        <v>1</v>
      </c>
      <c r="N809" s="399"/>
      <c r="O809" s="399"/>
      <c r="P809" s="399"/>
      <c r="Q809" s="475"/>
      <c r="R809" s="458" t="str">
        <f t="shared" si="211"/>
        <v>T</v>
      </c>
      <c r="S809" s="472"/>
      <c r="T809" s="472"/>
      <c r="U809" s="472"/>
      <c r="V809" s="472"/>
      <c r="W809" s="472"/>
      <c r="X809" s="472"/>
      <c r="Y809" s="472"/>
      <c r="Z809" s="472"/>
      <c r="AA809" s="472"/>
      <c r="AB809" s="472"/>
      <c r="AC809" s="472"/>
      <c r="AD809" s="472"/>
      <c r="AE809" s="472"/>
      <c r="AF809" s="472"/>
    </row>
    <row r="810" spans="1:32" s="473" customFormat="1" hidden="1" outlineLevel="3">
      <c r="A810" s="405"/>
      <c r="B810" s="397" t="s">
        <v>398</v>
      </c>
      <c r="C810" s="397" t="s">
        <v>398</v>
      </c>
      <c r="D810" s="475" t="s">
        <v>28</v>
      </c>
      <c r="E810" s="475" t="s">
        <v>29</v>
      </c>
      <c r="F810" s="447" t="s">
        <v>197</v>
      </c>
      <c r="G810" s="398">
        <v>0.28170140000000005</v>
      </c>
      <c r="H810" s="411">
        <f t="shared" si="212"/>
        <v>0.28170140000000005</v>
      </c>
      <c r="I810" s="411" t="str">
        <f t="shared" si="213"/>
        <v/>
      </c>
      <c r="J810" s="411" t="str">
        <f t="shared" si="214"/>
        <v/>
      </c>
      <c r="K810" s="411" t="str">
        <f t="shared" si="215"/>
        <v/>
      </c>
      <c r="L810" s="398">
        <f t="shared" si="204"/>
        <v>1</v>
      </c>
      <c r="M810" s="399">
        <v>1</v>
      </c>
      <c r="N810" s="399"/>
      <c r="O810" s="399"/>
      <c r="P810" s="399"/>
      <c r="Q810" s="475"/>
      <c r="R810" s="458" t="str">
        <f t="shared" si="211"/>
        <v>T</v>
      </c>
      <c r="S810" s="472"/>
      <c r="T810" s="472"/>
      <c r="U810" s="472"/>
      <c r="V810" s="472"/>
      <c r="W810" s="472"/>
      <c r="X810" s="472"/>
      <c r="Y810" s="472"/>
      <c r="Z810" s="472"/>
      <c r="AA810" s="472"/>
      <c r="AB810" s="472"/>
      <c r="AC810" s="472"/>
      <c r="AD810" s="472"/>
      <c r="AE810" s="472"/>
      <c r="AF810" s="472"/>
    </row>
    <row r="811" spans="1:32" s="473" customFormat="1" hidden="1" outlineLevel="3">
      <c r="A811" s="405"/>
      <c r="B811" s="397" t="s">
        <v>398</v>
      </c>
      <c r="C811" s="397" t="s">
        <v>398</v>
      </c>
      <c r="D811" s="475" t="s">
        <v>28</v>
      </c>
      <c r="E811" s="475" t="s">
        <v>29</v>
      </c>
      <c r="F811" s="447" t="s">
        <v>432</v>
      </c>
      <c r="G811" s="415">
        <v>0.10862209936536928</v>
      </c>
      <c r="H811" s="411" t="str">
        <f t="shared" si="212"/>
        <v/>
      </c>
      <c r="I811" s="411">
        <f t="shared" si="213"/>
        <v>0.10862209936536928</v>
      </c>
      <c r="J811" s="411" t="str">
        <f t="shared" si="214"/>
        <v/>
      </c>
      <c r="K811" s="411" t="str">
        <f t="shared" si="215"/>
        <v/>
      </c>
      <c r="L811" s="415">
        <f>SUM(M811:P811)</f>
        <v>1</v>
      </c>
      <c r="M811" s="416"/>
      <c r="N811" s="416">
        <v>1</v>
      </c>
      <c r="O811" s="416"/>
      <c r="P811" s="416"/>
      <c r="Q811" s="475"/>
      <c r="R811" s="458" t="str">
        <f t="shared" si="211"/>
        <v>T</v>
      </c>
      <c r="S811" s="472"/>
      <c r="T811" s="472"/>
      <c r="U811" s="472"/>
      <c r="V811" s="472"/>
      <c r="W811" s="472"/>
      <c r="X811" s="472"/>
      <c r="Y811" s="472"/>
      <c r="Z811" s="472"/>
      <c r="AA811" s="472"/>
      <c r="AB811" s="472"/>
      <c r="AC811" s="472"/>
      <c r="AD811" s="472"/>
      <c r="AE811" s="472"/>
      <c r="AF811" s="472"/>
    </row>
    <row r="812" spans="1:32" s="473" customFormat="1" hidden="1" outlineLevel="3">
      <c r="A812" s="405"/>
      <c r="B812" s="397" t="s">
        <v>398</v>
      </c>
      <c r="C812" s="397" t="s">
        <v>398</v>
      </c>
      <c r="D812" s="475" t="s">
        <v>28</v>
      </c>
      <c r="E812" s="475" t="s">
        <v>29</v>
      </c>
      <c r="F812" s="447" t="s">
        <v>433</v>
      </c>
      <c r="G812" s="415">
        <v>0.17379535898459086</v>
      </c>
      <c r="H812" s="411" t="str">
        <f t="shared" si="212"/>
        <v/>
      </c>
      <c r="I812" s="411" t="str">
        <f t="shared" si="213"/>
        <v/>
      </c>
      <c r="J812" s="411">
        <f t="shared" si="214"/>
        <v>0.17379535898459086</v>
      </c>
      <c r="K812" s="411" t="str">
        <f t="shared" si="215"/>
        <v/>
      </c>
      <c r="L812" s="415">
        <f>SUM(M812:P812)</f>
        <v>1</v>
      </c>
      <c r="M812" s="416"/>
      <c r="N812" s="416"/>
      <c r="O812" s="416">
        <v>1</v>
      </c>
      <c r="P812" s="416"/>
      <c r="Q812" s="475"/>
      <c r="R812" s="458" t="str">
        <f t="shared" si="211"/>
        <v>T</v>
      </c>
      <c r="S812" s="472"/>
      <c r="T812" s="472"/>
      <c r="U812" s="472"/>
      <c r="V812" s="472"/>
      <c r="W812" s="472"/>
      <c r="X812" s="472"/>
      <c r="Y812" s="472"/>
      <c r="Z812" s="472"/>
      <c r="AA812" s="472"/>
      <c r="AB812" s="472"/>
      <c r="AC812" s="472"/>
      <c r="AD812" s="472"/>
      <c r="AE812" s="472"/>
      <c r="AF812" s="472"/>
    </row>
    <row r="813" spans="1:32" s="473" customFormat="1" hidden="1" outlineLevel="3">
      <c r="A813" s="405"/>
      <c r="B813" s="397" t="s">
        <v>398</v>
      </c>
      <c r="C813" s="397" t="s">
        <v>398</v>
      </c>
      <c r="D813" s="475" t="s">
        <v>28</v>
      </c>
      <c r="E813" s="475" t="s">
        <v>29</v>
      </c>
      <c r="F813" s="447" t="s">
        <v>434</v>
      </c>
      <c r="G813" s="415">
        <v>0.10862209936536928</v>
      </c>
      <c r="H813" s="411" t="str">
        <f t="shared" si="212"/>
        <v/>
      </c>
      <c r="I813" s="411">
        <f t="shared" si="213"/>
        <v>0.10862209936536928</v>
      </c>
      <c r="J813" s="411" t="str">
        <f t="shared" si="214"/>
        <v/>
      </c>
      <c r="K813" s="411" t="str">
        <f t="shared" si="215"/>
        <v/>
      </c>
      <c r="L813" s="415">
        <f>SUM(M813:P813)</f>
        <v>1</v>
      </c>
      <c r="M813" s="416"/>
      <c r="N813" s="416">
        <v>1</v>
      </c>
      <c r="O813" s="416"/>
      <c r="P813" s="416"/>
      <c r="Q813" s="475"/>
      <c r="R813" s="458" t="str">
        <f t="shared" si="211"/>
        <v>T</v>
      </c>
      <c r="S813" s="472"/>
      <c r="T813" s="472"/>
      <c r="U813" s="472"/>
      <c r="V813" s="472"/>
      <c r="W813" s="472"/>
      <c r="X813" s="472"/>
      <c r="Y813" s="472"/>
      <c r="Z813" s="472"/>
      <c r="AA813" s="472"/>
      <c r="AB813" s="472"/>
      <c r="AC813" s="472"/>
      <c r="AD813" s="472"/>
      <c r="AE813" s="472"/>
      <c r="AF813" s="472"/>
    </row>
    <row r="814" spans="1:32" s="473" customFormat="1" hidden="1" outlineLevel="3">
      <c r="A814" s="405"/>
      <c r="B814" s="397" t="s">
        <v>398</v>
      </c>
      <c r="C814" s="397" t="s">
        <v>398</v>
      </c>
      <c r="D814" s="475" t="s">
        <v>28</v>
      </c>
      <c r="E814" s="475" t="s">
        <v>29</v>
      </c>
      <c r="F814" s="447" t="s">
        <v>435</v>
      </c>
      <c r="G814" s="415">
        <v>0.17379535898459086</v>
      </c>
      <c r="H814" s="411" t="str">
        <f t="shared" si="212"/>
        <v/>
      </c>
      <c r="I814" s="411" t="str">
        <f t="shared" si="213"/>
        <v/>
      </c>
      <c r="J814" s="411" t="str">
        <f t="shared" si="214"/>
        <v/>
      </c>
      <c r="K814" s="411">
        <f t="shared" si="215"/>
        <v>0.17379535898459086</v>
      </c>
      <c r="L814" s="415">
        <f>SUM(M814:P814)</f>
        <v>1</v>
      </c>
      <c r="M814" s="416"/>
      <c r="N814" s="416"/>
      <c r="O814" s="416"/>
      <c r="P814" s="416">
        <v>1</v>
      </c>
      <c r="Q814" s="475"/>
      <c r="R814" s="458" t="str">
        <f t="shared" si="211"/>
        <v>T</v>
      </c>
      <c r="S814" s="472"/>
      <c r="T814" s="472"/>
      <c r="U814" s="472"/>
      <c r="V814" s="472"/>
      <c r="W814" s="472"/>
      <c r="X814" s="472"/>
      <c r="Y814" s="472"/>
      <c r="Z814" s="472"/>
      <c r="AA814" s="472"/>
      <c r="AB814" s="472"/>
      <c r="AC814" s="472"/>
      <c r="AD814" s="472"/>
      <c r="AE814" s="472"/>
      <c r="AF814" s="472"/>
    </row>
    <row r="815" spans="1:32" s="473" customFormat="1" hidden="1" outlineLevel="3">
      <c r="A815" s="405"/>
      <c r="B815" s="397" t="s">
        <v>398</v>
      </c>
      <c r="C815" s="397" t="s">
        <v>398</v>
      </c>
      <c r="D815" s="475" t="s">
        <v>28</v>
      </c>
      <c r="E815" s="475" t="s">
        <v>29</v>
      </c>
      <c r="F815" s="447" t="s">
        <v>436</v>
      </c>
      <c r="G815" s="398">
        <v>5.1903749102154832E-2</v>
      </c>
      <c r="H815" s="411" t="str">
        <f t="shared" si="212"/>
        <v/>
      </c>
      <c r="I815" s="411" t="str">
        <f t="shared" si="213"/>
        <v/>
      </c>
      <c r="J815" s="411">
        <f t="shared" si="214"/>
        <v>5.1903749102154832E-2</v>
      </c>
      <c r="K815" s="411" t="str">
        <f t="shared" si="215"/>
        <v/>
      </c>
      <c r="L815" s="398">
        <f t="shared" si="204"/>
        <v>1</v>
      </c>
      <c r="M815" s="399"/>
      <c r="N815" s="399"/>
      <c r="O815" s="399">
        <v>1</v>
      </c>
      <c r="P815" s="399"/>
      <c r="Q815" s="475"/>
      <c r="R815" s="458" t="str">
        <f t="shared" si="211"/>
        <v>T</v>
      </c>
      <c r="S815" s="472"/>
      <c r="T815" s="472"/>
      <c r="U815" s="472"/>
      <c r="V815" s="472"/>
      <c r="W815" s="472"/>
      <c r="X815" s="472"/>
      <c r="Y815" s="472"/>
      <c r="Z815" s="472"/>
      <c r="AA815" s="472"/>
      <c r="AB815" s="472"/>
      <c r="AC815" s="472"/>
      <c r="AD815" s="472"/>
      <c r="AE815" s="472"/>
      <c r="AF815" s="472"/>
    </row>
    <row r="816" spans="1:32" s="473" customFormat="1" hidden="1" outlineLevel="3">
      <c r="A816" s="405"/>
      <c r="B816" s="397" t="s">
        <v>398</v>
      </c>
      <c r="C816" s="397" t="s">
        <v>398</v>
      </c>
      <c r="D816" s="475" t="s">
        <v>28</v>
      </c>
      <c r="E816" s="475" t="s">
        <v>29</v>
      </c>
      <c r="F816" s="447" t="s">
        <v>437</v>
      </c>
      <c r="G816" s="398">
        <v>8.3045998563447729E-2</v>
      </c>
      <c r="H816" s="411" t="str">
        <f t="shared" si="212"/>
        <v/>
      </c>
      <c r="I816" s="411" t="str">
        <f t="shared" si="213"/>
        <v/>
      </c>
      <c r="J816" s="411" t="str">
        <f t="shared" si="214"/>
        <v/>
      </c>
      <c r="K816" s="411">
        <f t="shared" si="215"/>
        <v>8.3045998563447729E-2</v>
      </c>
      <c r="L816" s="398">
        <f t="shared" si="204"/>
        <v>1</v>
      </c>
      <c r="M816" s="399"/>
      <c r="N816" s="399"/>
      <c r="O816" s="399"/>
      <c r="P816" s="399">
        <v>1</v>
      </c>
      <c r="Q816" s="475"/>
      <c r="R816" s="458" t="str">
        <f t="shared" si="211"/>
        <v>T</v>
      </c>
      <c r="S816" s="472"/>
      <c r="T816" s="472"/>
      <c r="U816" s="472"/>
      <c r="V816" s="472"/>
      <c r="W816" s="472"/>
      <c r="X816" s="472"/>
      <c r="Y816" s="472"/>
      <c r="Z816" s="472"/>
      <c r="AA816" s="472"/>
      <c r="AB816" s="472"/>
      <c r="AC816" s="472"/>
      <c r="AD816" s="472"/>
      <c r="AE816" s="472"/>
      <c r="AF816" s="472"/>
    </row>
    <row r="817" spans="1:32" s="473" customFormat="1" hidden="1" outlineLevel="3">
      <c r="A817" s="405"/>
      <c r="B817" s="397" t="s">
        <v>398</v>
      </c>
      <c r="C817" s="397" t="s">
        <v>398</v>
      </c>
      <c r="D817" s="475" t="s">
        <v>28</v>
      </c>
      <c r="E817" s="475" t="s">
        <v>29</v>
      </c>
      <c r="F817" s="447" t="s">
        <v>69</v>
      </c>
      <c r="G817" s="398">
        <v>0.15093380000000001</v>
      </c>
      <c r="H817" s="411" t="str">
        <f t="shared" si="212"/>
        <v/>
      </c>
      <c r="I817" s="411" t="str">
        <f t="shared" si="213"/>
        <v/>
      </c>
      <c r="J817" s="411">
        <f t="shared" si="214"/>
        <v>0.15093380000000001</v>
      </c>
      <c r="K817" s="411" t="str">
        <f t="shared" si="215"/>
        <v/>
      </c>
      <c r="L817" s="398">
        <f t="shared" si="204"/>
        <v>1</v>
      </c>
      <c r="M817" s="399"/>
      <c r="N817" s="399"/>
      <c r="O817" s="399">
        <v>1</v>
      </c>
      <c r="P817" s="399"/>
      <c r="Q817" s="475"/>
      <c r="R817" s="458" t="str">
        <f t="shared" ref="R817:R850" si="216">IF(SUM(M817:P817)=L817,"T","F")</f>
        <v>T</v>
      </c>
      <c r="S817" s="472"/>
      <c r="T817" s="472"/>
      <c r="U817" s="472"/>
      <c r="V817" s="472"/>
      <c r="W817" s="472"/>
      <c r="X817" s="472"/>
      <c r="Y817" s="472"/>
      <c r="Z817" s="472"/>
      <c r="AA817" s="472"/>
      <c r="AB817" s="472"/>
      <c r="AC817" s="472"/>
      <c r="AD817" s="472"/>
      <c r="AE817" s="472"/>
      <c r="AF817" s="472"/>
    </row>
    <row r="818" spans="1:32" s="473" customFormat="1" hidden="1" outlineLevel="3">
      <c r="A818" s="405"/>
      <c r="B818" s="397" t="s">
        <v>398</v>
      </c>
      <c r="C818" s="397" t="s">
        <v>398</v>
      </c>
      <c r="D818" s="475" t="s">
        <v>28</v>
      </c>
      <c r="E818" s="475" t="s">
        <v>29</v>
      </c>
      <c r="F818" s="447" t="s">
        <v>205</v>
      </c>
      <c r="G818" s="398">
        <v>8.47889E-2</v>
      </c>
      <c r="H818" s="411" t="str">
        <f t="shared" si="212"/>
        <v/>
      </c>
      <c r="I818" s="411" t="str">
        <f t="shared" si="213"/>
        <v/>
      </c>
      <c r="J818" s="411">
        <f t="shared" si="214"/>
        <v>8.47889E-2</v>
      </c>
      <c r="K818" s="411" t="str">
        <f t="shared" si="215"/>
        <v/>
      </c>
      <c r="L818" s="398">
        <f t="shared" si="204"/>
        <v>1</v>
      </c>
      <c r="M818" s="399"/>
      <c r="N818" s="399"/>
      <c r="O818" s="399">
        <v>1</v>
      </c>
      <c r="P818" s="399"/>
      <c r="Q818" s="475"/>
      <c r="R818" s="458" t="str">
        <f t="shared" si="216"/>
        <v>T</v>
      </c>
      <c r="S818" s="472"/>
      <c r="T818" s="472"/>
      <c r="U818" s="472"/>
      <c r="V818" s="472"/>
      <c r="W818" s="472"/>
      <c r="X818" s="472"/>
      <c r="Y818" s="472"/>
      <c r="Z818" s="472"/>
      <c r="AA818" s="472"/>
      <c r="AB818" s="472"/>
      <c r="AC818" s="472"/>
      <c r="AD818" s="472"/>
      <c r="AE818" s="472"/>
      <c r="AF818" s="472"/>
    </row>
    <row r="819" spans="1:32" s="473" customFormat="1" hidden="1" outlineLevel="2" collapsed="1">
      <c r="A819" s="405">
        <v>2</v>
      </c>
      <c r="B819" s="397" t="s">
        <v>398</v>
      </c>
      <c r="C819" s="397" t="s">
        <v>398</v>
      </c>
      <c r="D819" s="475" t="s">
        <v>64</v>
      </c>
      <c r="E819" s="475"/>
      <c r="F819" s="447" t="s">
        <v>438</v>
      </c>
      <c r="G819" s="398">
        <f>SUM(G820:G823)</f>
        <v>1.2717738000000001</v>
      </c>
      <c r="H819" s="415">
        <f>SUM(H820:H823)</f>
        <v>0.63024720000000012</v>
      </c>
      <c r="I819" s="415">
        <f>SUM(I820:I823)</f>
        <v>0.47268540000000003</v>
      </c>
      <c r="J819" s="415">
        <f>SUM(J820:J823)</f>
        <v>0.16884120000000002</v>
      </c>
      <c r="K819" s="415">
        <f>SUM(K820:K823)</f>
        <v>0</v>
      </c>
      <c r="L819" s="398">
        <f t="shared" si="204"/>
        <v>4</v>
      </c>
      <c r="M819" s="399">
        <f>SUM(M820:M823)</f>
        <v>2</v>
      </c>
      <c r="N819" s="399">
        <f>SUM(N820:N823)</f>
        <v>1</v>
      </c>
      <c r="O819" s="399">
        <f>SUM(O820:O823)</f>
        <v>1</v>
      </c>
      <c r="P819" s="399">
        <f>SUM(P820:P823)</f>
        <v>0</v>
      </c>
      <c r="Q819" s="475"/>
      <c r="R819" s="458" t="str">
        <f t="shared" si="216"/>
        <v>T</v>
      </c>
      <c r="S819" s="472"/>
      <c r="T819" s="472"/>
      <c r="U819" s="472"/>
      <c r="V819" s="472"/>
      <c r="W819" s="472"/>
      <c r="X819" s="472"/>
      <c r="Y819" s="472"/>
      <c r="Z819" s="472"/>
      <c r="AA819" s="472"/>
      <c r="AB819" s="472"/>
      <c r="AC819" s="472"/>
      <c r="AD819" s="472"/>
      <c r="AE819" s="472"/>
      <c r="AF819" s="472"/>
    </row>
    <row r="820" spans="1:32" s="473" customFormat="1" hidden="1" outlineLevel="3">
      <c r="A820" s="405"/>
      <c r="B820" s="397" t="s">
        <v>398</v>
      </c>
      <c r="C820" s="397" t="s">
        <v>398</v>
      </c>
      <c r="D820" s="475" t="s">
        <v>64</v>
      </c>
      <c r="E820" s="475" t="s">
        <v>29</v>
      </c>
      <c r="F820" s="447" t="s">
        <v>32</v>
      </c>
      <c r="G820" s="398">
        <v>0.47268540000000003</v>
      </c>
      <c r="H820" s="411">
        <f t="shared" ref="H820:K823" si="217">IF(M820=1,$G820,"")</f>
        <v>0.47268540000000003</v>
      </c>
      <c r="I820" s="411" t="str">
        <f t="shared" si="217"/>
        <v/>
      </c>
      <c r="J820" s="411" t="str">
        <f t="shared" si="217"/>
        <v/>
      </c>
      <c r="K820" s="411" t="str">
        <f t="shared" si="217"/>
        <v/>
      </c>
      <c r="L820" s="398">
        <f t="shared" si="204"/>
        <v>1</v>
      </c>
      <c r="M820" s="399">
        <v>1</v>
      </c>
      <c r="N820" s="399"/>
      <c r="O820" s="399"/>
      <c r="P820" s="399"/>
      <c r="Q820" s="475"/>
      <c r="R820" s="458" t="str">
        <f t="shared" si="216"/>
        <v>T</v>
      </c>
      <c r="S820" s="472"/>
      <c r="T820" s="472"/>
      <c r="U820" s="472"/>
      <c r="V820" s="472"/>
      <c r="W820" s="472"/>
      <c r="X820" s="472"/>
      <c r="Y820" s="472"/>
      <c r="Z820" s="472"/>
      <c r="AA820" s="472"/>
      <c r="AB820" s="472"/>
      <c r="AC820" s="472"/>
      <c r="AD820" s="472"/>
      <c r="AE820" s="472"/>
      <c r="AF820" s="472"/>
    </row>
    <row r="821" spans="1:32" s="473" customFormat="1" hidden="1" outlineLevel="3">
      <c r="A821" s="405"/>
      <c r="B821" s="397" t="s">
        <v>398</v>
      </c>
      <c r="C821" s="397" t="s">
        <v>398</v>
      </c>
      <c r="D821" s="475" t="s">
        <v>64</v>
      </c>
      <c r="E821" s="475" t="s">
        <v>29</v>
      </c>
      <c r="F821" s="447" t="s">
        <v>34</v>
      </c>
      <c r="G821" s="398">
        <v>0.47268540000000003</v>
      </c>
      <c r="H821" s="411" t="str">
        <f t="shared" si="217"/>
        <v/>
      </c>
      <c r="I821" s="411">
        <f t="shared" si="217"/>
        <v>0.47268540000000003</v>
      </c>
      <c r="J821" s="411" t="str">
        <f t="shared" si="217"/>
        <v/>
      </c>
      <c r="K821" s="411" t="str">
        <f t="shared" si="217"/>
        <v/>
      </c>
      <c r="L821" s="398">
        <f t="shared" si="204"/>
        <v>1</v>
      </c>
      <c r="M821" s="399"/>
      <c r="N821" s="399">
        <v>1</v>
      </c>
      <c r="O821" s="399"/>
      <c r="P821" s="399"/>
      <c r="Q821" s="475"/>
      <c r="R821" s="458" t="str">
        <f t="shared" si="216"/>
        <v>T</v>
      </c>
      <c r="S821" s="472"/>
      <c r="T821" s="472"/>
      <c r="U821" s="472"/>
      <c r="V821" s="472"/>
      <c r="W821" s="472"/>
      <c r="X821" s="472"/>
      <c r="Y821" s="472"/>
      <c r="Z821" s="472"/>
      <c r="AA821" s="472"/>
      <c r="AB821" s="472"/>
      <c r="AC821" s="472"/>
      <c r="AD821" s="472"/>
      <c r="AE821" s="472"/>
      <c r="AF821" s="472"/>
    </row>
    <row r="822" spans="1:32" s="473" customFormat="1" hidden="1" outlineLevel="3">
      <c r="A822" s="405"/>
      <c r="B822" s="397" t="s">
        <v>398</v>
      </c>
      <c r="C822" s="397" t="s">
        <v>398</v>
      </c>
      <c r="D822" s="475" t="s">
        <v>64</v>
      </c>
      <c r="E822" s="475" t="s">
        <v>29</v>
      </c>
      <c r="F822" s="447" t="s">
        <v>197</v>
      </c>
      <c r="G822" s="398">
        <v>0.15756180000000003</v>
      </c>
      <c r="H822" s="411">
        <f t="shared" si="217"/>
        <v>0.15756180000000003</v>
      </c>
      <c r="I822" s="411" t="str">
        <f t="shared" si="217"/>
        <v/>
      </c>
      <c r="J822" s="411" t="str">
        <f t="shared" si="217"/>
        <v/>
      </c>
      <c r="K822" s="411" t="str">
        <f t="shared" si="217"/>
        <v/>
      </c>
      <c r="L822" s="398">
        <f t="shared" si="204"/>
        <v>1</v>
      </c>
      <c r="M822" s="399">
        <v>1</v>
      </c>
      <c r="N822" s="399"/>
      <c r="O822" s="399"/>
      <c r="P822" s="399"/>
      <c r="Q822" s="475"/>
      <c r="R822" s="458" t="str">
        <f t="shared" si="216"/>
        <v>T</v>
      </c>
      <c r="S822" s="472"/>
      <c r="T822" s="472"/>
      <c r="U822" s="472"/>
      <c r="V822" s="472"/>
      <c r="W822" s="472"/>
      <c r="X822" s="472"/>
      <c r="Y822" s="472"/>
      <c r="Z822" s="472"/>
      <c r="AA822" s="472"/>
      <c r="AB822" s="472"/>
      <c r="AC822" s="472"/>
      <c r="AD822" s="472"/>
      <c r="AE822" s="472"/>
      <c r="AF822" s="472"/>
    </row>
    <row r="823" spans="1:32" s="473" customFormat="1" hidden="1" outlineLevel="3">
      <c r="A823" s="405"/>
      <c r="B823" s="397" t="s">
        <v>398</v>
      </c>
      <c r="C823" s="397" t="s">
        <v>398</v>
      </c>
      <c r="D823" s="475" t="s">
        <v>64</v>
      </c>
      <c r="E823" s="475" t="s">
        <v>29</v>
      </c>
      <c r="F823" s="447" t="s">
        <v>69</v>
      </c>
      <c r="G823" s="398">
        <v>0.16884120000000002</v>
      </c>
      <c r="H823" s="411" t="str">
        <f t="shared" si="217"/>
        <v/>
      </c>
      <c r="I823" s="411" t="str">
        <f t="shared" si="217"/>
        <v/>
      </c>
      <c r="J823" s="411">
        <f t="shared" si="217"/>
        <v>0.16884120000000002</v>
      </c>
      <c r="K823" s="411" t="str">
        <f t="shared" si="217"/>
        <v/>
      </c>
      <c r="L823" s="398">
        <f t="shared" si="204"/>
        <v>1</v>
      </c>
      <c r="M823" s="399"/>
      <c r="N823" s="399"/>
      <c r="O823" s="399">
        <v>1</v>
      </c>
      <c r="P823" s="399"/>
      <c r="Q823" s="475"/>
      <c r="R823" s="458" t="str">
        <f t="shared" si="216"/>
        <v>T</v>
      </c>
      <c r="S823" s="472"/>
      <c r="T823" s="472"/>
      <c r="U823" s="472"/>
      <c r="V823" s="472"/>
      <c r="W823" s="472"/>
      <c r="X823" s="472"/>
      <c r="Y823" s="472"/>
      <c r="Z823" s="472"/>
      <c r="AA823" s="472"/>
      <c r="AB823" s="472"/>
      <c r="AC823" s="472"/>
      <c r="AD823" s="472"/>
      <c r="AE823" s="472"/>
      <c r="AF823" s="472"/>
    </row>
    <row r="824" spans="1:32" s="473" customFormat="1" outlineLevel="1" collapsed="1">
      <c r="A824" s="405"/>
      <c r="B824" s="396" t="s">
        <v>439</v>
      </c>
      <c r="C824" s="396" t="s">
        <v>440</v>
      </c>
      <c r="D824" s="396"/>
      <c r="E824" s="396"/>
      <c r="F824" s="445" t="s">
        <v>441</v>
      </c>
      <c r="G824" s="422">
        <f>SUM(G825,G836,G842,G848)</f>
        <v>29.961589350000008</v>
      </c>
      <c r="H824" s="422">
        <f>H825+H836+H842+H848</f>
        <v>13.48481799</v>
      </c>
      <c r="I824" s="422">
        <f>I825+I836+I842+I848</f>
        <v>7.8882500865000011</v>
      </c>
      <c r="J824" s="422">
        <f>J825+J836+J842+J848</f>
        <v>3.9156852735000003</v>
      </c>
      <c r="K824" s="422">
        <f>K825+K836+K842+K848</f>
        <v>4.6728360000000002</v>
      </c>
      <c r="L824" s="422">
        <f t="shared" si="204"/>
        <v>22</v>
      </c>
      <c r="M824" s="423">
        <f>M825+M836+M842+M848</f>
        <v>6</v>
      </c>
      <c r="N824" s="423">
        <f>N825+N836+N842+N848</f>
        <v>5</v>
      </c>
      <c r="O824" s="423">
        <f>O825+O836+O842+O848</f>
        <v>6</v>
      </c>
      <c r="P824" s="423">
        <f>P825+P836+P842+P848</f>
        <v>5</v>
      </c>
      <c r="Q824" s="475"/>
      <c r="R824" s="458" t="str">
        <f t="shared" si="216"/>
        <v>T</v>
      </c>
      <c r="S824" s="472"/>
      <c r="T824" s="472"/>
      <c r="U824" s="472"/>
      <c r="V824" s="472"/>
      <c r="W824" s="472"/>
      <c r="X824" s="472"/>
      <c r="Y824" s="472"/>
      <c r="Z824" s="472"/>
      <c r="AA824" s="472"/>
      <c r="AB824" s="472"/>
      <c r="AC824" s="472"/>
      <c r="AD824" s="472"/>
      <c r="AE824" s="472"/>
      <c r="AF824" s="472"/>
    </row>
    <row r="825" spans="1:32" s="473" customFormat="1" hidden="1" outlineLevel="2" collapsed="1">
      <c r="A825" s="405"/>
      <c r="B825" s="397" t="s">
        <v>440</v>
      </c>
      <c r="C825" s="397" t="s">
        <v>440</v>
      </c>
      <c r="D825" s="475" t="s">
        <v>18</v>
      </c>
      <c r="E825" s="397"/>
      <c r="F825" s="447" t="s">
        <v>442</v>
      </c>
      <c r="G825" s="415">
        <f>SUM(G826:G835)</f>
        <v>21.871694250000008</v>
      </c>
      <c r="H825" s="415">
        <f>SUM(H826:H835)</f>
        <v>11.053129500000001</v>
      </c>
      <c r="I825" s="415">
        <f>SUM(I826:I835)</f>
        <v>5.5265647500000012</v>
      </c>
      <c r="J825" s="415">
        <f>SUM(J826:J835)</f>
        <v>2.1168000000000005</v>
      </c>
      <c r="K825" s="415">
        <f>SUM(K826:K835)</f>
        <v>3.1752000000000002</v>
      </c>
      <c r="L825" s="415">
        <f t="shared" si="204"/>
        <v>10</v>
      </c>
      <c r="M825" s="416">
        <f>SUM(M826:M835)</f>
        <v>3</v>
      </c>
      <c r="N825" s="416">
        <f>SUM(N826:N835)</f>
        <v>2</v>
      </c>
      <c r="O825" s="416">
        <f>SUM(O826:O835)</f>
        <v>2</v>
      </c>
      <c r="P825" s="416">
        <f>SUM(P826:P835)</f>
        <v>3</v>
      </c>
      <c r="Q825" s="475"/>
      <c r="R825" s="458" t="str">
        <f t="shared" si="216"/>
        <v>T</v>
      </c>
      <c r="S825" s="472"/>
      <c r="T825" s="472"/>
      <c r="U825" s="472"/>
      <c r="V825" s="472"/>
      <c r="W825" s="472"/>
      <c r="X825" s="472"/>
      <c r="Y825" s="472"/>
      <c r="Z825" s="472"/>
      <c r="AA825" s="472"/>
      <c r="AB825" s="472"/>
      <c r="AC825" s="472"/>
      <c r="AD825" s="472"/>
      <c r="AE825" s="472"/>
      <c r="AF825" s="472"/>
    </row>
    <row r="826" spans="1:32" s="473" customFormat="1" hidden="1" outlineLevel="3" collapsed="1">
      <c r="A826" s="405"/>
      <c r="B826" s="397" t="s">
        <v>440</v>
      </c>
      <c r="C826" s="397" t="s">
        <v>440</v>
      </c>
      <c r="D826" s="475" t="s">
        <v>18</v>
      </c>
      <c r="E826" s="397" t="s">
        <v>72</v>
      </c>
      <c r="F826" s="447" t="s">
        <v>334</v>
      </c>
      <c r="G826" s="415">
        <v>3.6843765000000008</v>
      </c>
      <c r="H826" s="411">
        <f t="shared" ref="H826:H835" si="218">IF(M826=1,$G826,"")</f>
        <v>3.6843765000000008</v>
      </c>
      <c r="I826" s="411" t="str">
        <f t="shared" ref="I826:I835" si="219">IF(N826=1,$G826,"")</f>
        <v/>
      </c>
      <c r="J826" s="411" t="str">
        <f t="shared" ref="J826:J835" si="220">IF(O826=1,$G826,"")</f>
        <v/>
      </c>
      <c r="K826" s="411" t="str">
        <f t="shared" ref="K826:K835" si="221">IF(P826=1,$G826,"")</f>
        <v/>
      </c>
      <c r="L826" s="415">
        <f t="shared" si="204"/>
        <v>1</v>
      </c>
      <c r="M826" s="416">
        <v>1</v>
      </c>
      <c r="N826" s="416"/>
      <c r="O826" s="416"/>
      <c r="P826" s="416"/>
      <c r="Q826" s="475"/>
      <c r="R826" s="458" t="str">
        <f t="shared" si="216"/>
        <v>T</v>
      </c>
      <c r="S826" s="472"/>
      <c r="T826" s="472"/>
      <c r="U826" s="472"/>
      <c r="V826" s="472"/>
      <c r="W826" s="472"/>
      <c r="X826" s="472"/>
      <c r="Y826" s="472"/>
      <c r="Z826" s="472"/>
      <c r="AA826" s="472"/>
      <c r="AB826" s="472"/>
      <c r="AC826" s="472"/>
      <c r="AD826" s="472"/>
      <c r="AE826" s="472"/>
      <c r="AF826" s="472"/>
    </row>
    <row r="827" spans="1:32" s="473" customFormat="1" hidden="1" outlineLevel="3">
      <c r="A827" s="405"/>
      <c r="B827" s="397" t="s">
        <v>440</v>
      </c>
      <c r="C827" s="397" t="s">
        <v>440</v>
      </c>
      <c r="D827" s="475" t="s">
        <v>18</v>
      </c>
      <c r="E827" s="397" t="s">
        <v>72</v>
      </c>
      <c r="F827" s="447" t="s">
        <v>32</v>
      </c>
      <c r="G827" s="415">
        <v>3.6843765000000008</v>
      </c>
      <c r="H827" s="411">
        <f t="shared" si="218"/>
        <v>3.6843765000000008</v>
      </c>
      <c r="I827" s="411" t="str">
        <f t="shared" si="219"/>
        <v/>
      </c>
      <c r="J827" s="411" t="str">
        <f t="shared" si="220"/>
        <v/>
      </c>
      <c r="K827" s="411" t="str">
        <f t="shared" si="221"/>
        <v/>
      </c>
      <c r="L827" s="415">
        <f t="shared" si="204"/>
        <v>1</v>
      </c>
      <c r="M827" s="416">
        <v>1</v>
      </c>
      <c r="N827" s="416"/>
      <c r="O827" s="416"/>
      <c r="P827" s="416"/>
      <c r="Q827" s="475"/>
      <c r="R827" s="458" t="str">
        <f t="shared" si="216"/>
        <v>T</v>
      </c>
      <c r="S827" s="472"/>
      <c r="T827" s="472"/>
      <c r="U827" s="472"/>
      <c r="V827" s="472"/>
      <c r="W827" s="472"/>
      <c r="X827" s="472"/>
      <c r="Y827" s="472"/>
      <c r="Z827" s="472"/>
      <c r="AA827" s="472"/>
      <c r="AB827" s="472"/>
      <c r="AC827" s="472"/>
      <c r="AD827" s="472"/>
      <c r="AE827" s="472"/>
      <c r="AF827" s="472"/>
    </row>
    <row r="828" spans="1:32" s="473" customFormat="1" hidden="1" outlineLevel="3">
      <c r="A828" s="405"/>
      <c r="B828" s="397" t="s">
        <v>440</v>
      </c>
      <c r="C828" s="397" t="s">
        <v>440</v>
      </c>
      <c r="D828" s="475" t="s">
        <v>18</v>
      </c>
      <c r="E828" s="397" t="s">
        <v>72</v>
      </c>
      <c r="F828" s="447" t="s">
        <v>66</v>
      </c>
      <c r="G828" s="415">
        <v>3.6843765000000008</v>
      </c>
      <c r="H828" s="411" t="str">
        <f t="shared" si="218"/>
        <v/>
      </c>
      <c r="I828" s="411">
        <f t="shared" si="219"/>
        <v>3.6843765000000008</v>
      </c>
      <c r="J828" s="411" t="str">
        <f t="shared" si="220"/>
        <v/>
      </c>
      <c r="K828" s="411" t="str">
        <f t="shared" si="221"/>
        <v/>
      </c>
      <c r="L828" s="415">
        <f t="shared" si="204"/>
        <v>1</v>
      </c>
      <c r="M828" s="416"/>
      <c r="N828" s="416">
        <v>1</v>
      </c>
      <c r="O828" s="416"/>
      <c r="P828" s="416"/>
      <c r="Q828" s="475"/>
      <c r="R828" s="458" t="str">
        <f t="shared" si="216"/>
        <v>T</v>
      </c>
      <c r="S828" s="472"/>
      <c r="T828" s="472"/>
      <c r="U828" s="472"/>
      <c r="V828" s="472"/>
      <c r="W828" s="472"/>
      <c r="X828" s="472"/>
      <c r="Y828" s="472"/>
      <c r="Z828" s="472"/>
      <c r="AA828" s="472"/>
      <c r="AB828" s="472"/>
      <c r="AC828" s="472"/>
      <c r="AD828" s="472"/>
      <c r="AE828" s="472"/>
      <c r="AF828" s="472"/>
    </row>
    <row r="829" spans="1:32" s="473" customFormat="1" hidden="1" outlineLevel="3">
      <c r="A829" s="405"/>
      <c r="B829" s="397" t="s">
        <v>440</v>
      </c>
      <c r="C829" s="397" t="s">
        <v>440</v>
      </c>
      <c r="D829" s="475" t="s">
        <v>18</v>
      </c>
      <c r="E829" s="397" t="s">
        <v>72</v>
      </c>
      <c r="F829" s="447" t="s">
        <v>33</v>
      </c>
      <c r="G829" s="415">
        <v>3.6843764999999999</v>
      </c>
      <c r="H829" s="411">
        <f t="shared" si="218"/>
        <v>3.6843764999999999</v>
      </c>
      <c r="I829" s="411" t="str">
        <f t="shared" si="219"/>
        <v/>
      </c>
      <c r="J829" s="411" t="str">
        <f t="shared" si="220"/>
        <v/>
      </c>
      <c r="K829" s="411" t="str">
        <f t="shared" si="221"/>
        <v/>
      </c>
      <c r="L829" s="415">
        <f t="shared" si="204"/>
        <v>1</v>
      </c>
      <c r="M829" s="416">
        <v>1</v>
      </c>
      <c r="N829" s="416"/>
      <c r="O829" s="416"/>
      <c r="P829" s="416"/>
      <c r="Q829" s="475"/>
      <c r="R829" s="458" t="str">
        <f t="shared" si="216"/>
        <v>T</v>
      </c>
      <c r="S829" s="472"/>
      <c r="T829" s="472"/>
      <c r="U829" s="472"/>
      <c r="V829" s="472"/>
      <c r="W829" s="472"/>
      <c r="X829" s="472"/>
      <c r="Y829" s="472"/>
      <c r="Z829" s="472"/>
      <c r="AA829" s="472"/>
      <c r="AB829" s="472"/>
      <c r="AC829" s="472"/>
      <c r="AD829" s="472"/>
      <c r="AE829" s="472"/>
      <c r="AF829" s="472"/>
    </row>
    <row r="830" spans="1:32" s="473" customFormat="1" hidden="1" outlineLevel="3">
      <c r="A830" s="405"/>
      <c r="B830" s="397" t="s">
        <v>440</v>
      </c>
      <c r="C830" s="397" t="s">
        <v>440</v>
      </c>
      <c r="D830" s="475" t="s">
        <v>18</v>
      </c>
      <c r="E830" s="397" t="s">
        <v>72</v>
      </c>
      <c r="F830" s="447" t="s">
        <v>335</v>
      </c>
      <c r="G830" s="415">
        <v>1.8421882500000004</v>
      </c>
      <c r="H830" s="411" t="str">
        <f t="shared" si="218"/>
        <v/>
      </c>
      <c r="I830" s="411">
        <f t="shared" si="219"/>
        <v>1.8421882500000004</v>
      </c>
      <c r="J830" s="411" t="str">
        <f t="shared" si="220"/>
        <v/>
      </c>
      <c r="K830" s="411" t="str">
        <f t="shared" si="221"/>
        <v/>
      </c>
      <c r="L830" s="415">
        <f t="shared" si="204"/>
        <v>1</v>
      </c>
      <c r="M830" s="416"/>
      <c r="N830" s="416">
        <v>1</v>
      </c>
      <c r="O830" s="416"/>
      <c r="P830" s="416"/>
      <c r="Q830" s="475"/>
      <c r="R830" s="458" t="str">
        <f t="shared" si="216"/>
        <v>T</v>
      </c>
      <c r="S830" s="472"/>
      <c r="T830" s="472"/>
      <c r="U830" s="472"/>
      <c r="V830" s="472"/>
      <c r="W830" s="472"/>
      <c r="X830" s="472"/>
      <c r="Y830" s="472"/>
      <c r="Z830" s="472"/>
      <c r="AA830" s="472"/>
      <c r="AB830" s="472"/>
      <c r="AC830" s="472"/>
      <c r="AD830" s="472"/>
      <c r="AE830" s="472"/>
      <c r="AF830" s="472"/>
    </row>
    <row r="831" spans="1:32" s="473" customFormat="1" hidden="1" outlineLevel="3">
      <c r="A831" s="405"/>
      <c r="B831" s="397" t="s">
        <v>440</v>
      </c>
      <c r="C831" s="397" t="s">
        <v>440</v>
      </c>
      <c r="D831" s="475" t="s">
        <v>18</v>
      </c>
      <c r="E831" s="397" t="s">
        <v>72</v>
      </c>
      <c r="F831" s="447" t="s">
        <v>355</v>
      </c>
      <c r="G831" s="415">
        <v>1.3230000000000002</v>
      </c>
      <c r="H831" s="411" t="str">
        <f t="shared" si="218"/>
        <v/>
      </c>
      <c r="I831" s="411" t="str">
        <f t="shared" si="219"/>
        <v/>
      </c>
      <c r="J831" s="411">
        <f t="shared" si="220"/>
        <v>1.3230000000000002</v>
      </c>
      <c r="K831" s="411" t="str">
        <f t="shared" si="221"/>
        <v/>
      </c>
      <c r="L831" s="415">
        <f t="shared" si="204"/>
        <v>1</v>
      </c>
      <c r="M831" s="416"/>
      <c r="N831" s="416"/>
      <c r="O831" s="416">
        <v>1</v>
      </c>
      <c r="P831" s="416"/>
      <c r="Q831" s="475"/>
      <c r="R831" s="458" t="str">
        <f t="shared" si="216"/>
        <v>T</v>
      </c>
      <c r="S831" s="472"/>
      <c r="T831" s="472"/>
      <c r="U831" s="472"/>
      <c r="V831" s="472"/>
      <c r="W831" s="472"/>
      <c r="X831" s="472"/>
      <c r="Y831" s="472"/>
      <c r="Z831" s="472"/>
      <c r="AA831" s="472"/>
      <c r="AB831" s="472"/>
      <c r="AC831" s="472"/>
      <c r="AD831" s="472"/>
      <c r="AE831" s="472"/>
      <c r="AF831" s="472"/>
    </row>
    <row r="832" spans="1:32" s="473" customFormat="1" hidden="1" outlineLevel="3">
      <c r="A832" s="405"/>
      <c r="B832" s="397" t="s">
        <v>440</v>
      </c>
      <c r="C832" s="397" t="s">
        <v>440</v>
      </c>
      <c r="D832" s="475" t="s">
        <v>18</v>
      </c>
      <c r="E832" s="397" t="s">
        <v>72</v>
      </c>
      <c r="F832" s="447" t="s">
        <v>356</v>
      </c>
      <c r="G832" s="415">
        <v>0.79380000000000006</v>
      </c>
      <c r="H832" s="411" t="str">
        <f t="shared" si="218"/>
        <v/>
      </c>
      <c r="I832" s="411" t="str">
        <f t="shared" si="219"/>
        <v/>
      </c>
      <c r="J832" s="411">
        <f t="shared" si="220"/>
        <v>0.79380000000000006</v>
      </c>
      <c r="K832" s="411" t="str">
        <f t="shared" si="221"/>
        <v/>
      </c>
      <c r="L832" s="415">
        <f t="shared" si="204"/>
        <v>1</v>
      </c>
      <c r="M832" s="416"/>
      <c r="N832" s="416"/>
      <c r="O832" s="416">
        <v>1</v>
      </c>
      <c r="P832" s="416"/>
      <c r="Q832" s="475"/>
      <c r="R832" s="458" t="str">
        <f t="shared" si="216"/>
        <v>T</v>
      </c>
      <c r="S832" s="472"/>
      <c r="T832" s="472"/>
      <c r="U832" s="472"/>
      <c r="V832" s="472"/>
      <c r="W832" s="472"/>
      <c r="X832" s="472"/>
      <c r="Y832" s="472"/>
      <c r="Z832" s="472"/>
      <c r="AA832" s="472"/>
      <c r="AB832" s="472"/>
      <c r="AC832" s="472"/>
      <c r="AD832" s="472"/>
      <c r="AE832" s="472"/>
      <c r="AF832" s="472"/>
    </row>
    <row r="833" spans="1:32" s="473" customFormat="1" hidden="1" outlineLevel="3">
      <c r="A833" s="405"/>
      <c r="B833" s="397" t="s">
        <v>440</v>
      </c>
      <c r="C833" s="397" t="s">
        <v>440</v>
      </c>
      <c r="D833" s="475" t="s">
        <v>18</v>
      </c>
      <c r="E833" s="397" t="s">
        <v>72</v>
      </c>
      <c r="F833" s="447" t="s">
        <v>357</v>
      </c>
      <c r="G833" s="415">
        <v>1.3230000000000002</v>
      </c>
      <c r="H833" s="411" t="str">
        <f t="shared" si="218"/>
        <v/>
      </c>
      <c r="I833" s="411" t="str">
        <f t="shared" si="219"/>
        <v/>
      </c>
      <c r="J833" s="411" t="str">
        <f t="shared" si="220"/>
        <v/>
      </c>
      <c r="K833" s="411">
        <f t="shared" si="221"/>
        <v>1.3230000000000002</v>
      </c>
      <c r="L833" s="415">
        <f t="shared" si="204"/>
        <v>1</v>
      </c>
      <c r="M833" s="416"/>
      <c r="N833" s="416"/>
      <c r="O833" s="416"/>
      <c r="P833" s="416">
        <v>1</v>
      </c>
      <c r="Q833" s="475"/>
      <c r="R833" s="458" t="str">
        <f t="shared" si="216"/>
        <v>T</v>
      </c>
      <c r="S833" s="472"/>
      <c r="T833" s="472"/>
      <c r="U833" s="472"/>
      <c r="V833" s="472"/>
      <c r="W833" s="472"/>
      <c r="X833" s="472"/>
      <c r="Y833" s="472"/>
      <c r="Z833" s="472"/>
      <c r="AA833" s="472"/>
      <c r="AB833" s="472"/>
      <c r="AC833" s="472"/>
      <c r="AD833" s="472"/>
      <c r="AE833" s="472"/>
      <c r="AF833" s="472"/>
    </row>
    <row r="834" spans="1:32" s="473" customFormat="1" hidden="1" outlineLevel="3">
      <c r="A834" s="405"/>
      <c r="B834" s="397" t="s">
        <v>440</v>
      </c>
      <c r="C834" s="397" t="s">
        <v>440</v>
      </c>
      <c r="D834" s="475" t="s">
        <v>18</v>
      </c>
      <c r="E834" s="397" t="s">
        <v>72</v>
      </c>
      <c r="F834" s="447" t="s">
        <v>443</v>
      </c>
      <c r="G834" s="415">
        <v>0.92610000000000015</v>
      </c>
      <c r="H834" s="411" t="str">
        <f t="shared" si="218"/>
        <v/>
      </c>
      <c r="I834" s="411" t="str">
        <f t="shared" si="219"/>
        <v/>
      </c>
      <c r="J834" s="411" t="str">
        <f t="shared" si="220"/>
        <v/>
      </c>
      <c r="K834" s="411">
        <f t="shared" si="221"/>
        <v>0.92610000000000015</v>
      </c>
      <c r="L834" s="415">
        <f t="shared" si="204"/>
        <v>1</v>
      </c>
      <c r="M834" s="416"/>
      <c r="N834" s="416"/>
      <c r="O834" s="416"/>
      <c r="P834" s="416">
        <v>1</v>
      </c>
      <c r="Q834" s="475"/>
      <c r="R834" s="458" t="str">
        <f t="shared" si="216"/>
        <v>T</v>
      </c>
      <c r="S834" s="472"/>
      <c r="T834" s="472"/>
      <c r="U834" s="472"/>
      <c r="V834" s="472"/>
      <c r="W834" s="472"/>
      <c r="X834" s="472"/>
      <c r="Y834" s="472"/>
      <c r="Z834" s="472"/>
      <c r="AA834" s="472"/>
      <c r="AB834" s="472"/>
      <c r="AC834" s="472"/>
      <c r="AD834" s="472"/>
      <c r="AE834" s="472"/>
      <c r="AF834" s="472"/>
    </row>
    <row r="835" spans="1:32" s="473" customFormat="1" hidden="1" outlineLevel="3">
      <c r="A835" s="405"/>
      <c r="B835" s="397" t="s">
        <v>440</v>
      </c>
      <c r="C835" s="397" t="s">
        <v>440</v>
      </c>
      <c r="D835" s="475" t="s">
        <v>18</v>
      </c>
      <c r="E835" s="397" t="s">
        <v>72</v>
      </c>
      <c r="F835" s="447" t="s">
        <v>444</v>
      </c>
      <c r="G835" s="415">
        <v>0.92610000000000015</v>
      </c>
      <c r="H835" s="411" t="str">
        <f t="shared" si="218"/>
        <v/>
      </c>
      <c r="I835" s="411" t="str">
        <f t="shared" si="219"/>
        <v/>
      </c>
      <c r="J835" s="411" t="str">
        <f t="shared" si="220"/>
        <v/>
      </c>
      <c r="K835" s="411">
        <f t="shared" si="221"/>
        <v>0.92610000000000015</v>
      </c>
      <c r="L835" s="415">
        <f t="shared" si="204"/>
        <v>1</v>
      </c>
      <c r="M835" s="416"/>
      <c r="N835" s="416"/>
      <c r="O835" s="416"/>
      <c r="P835" s="416">
        <v>1</v>
      </c>
      <c r="Q835" s="475"/>
      <c r="R835" s="458" t="str">
        <f t="shared" si="216"/>
        <v>T</v>
      </c>
      <c r="S835" s="472"/>
      <c r="T835" s="472"/>
      <c r="U835" s="472"/>
      <c r="V835" s="472"/>
      <c r="W835" s="472"/>
      <c r="X835" s="472"/>
      <c r="Y835" s="472"/>
      <c r="Z835" s="472"/>
      <c r="AA835" s="472"/>
      <c r="AB835" s="472"/>
      <c r="AC835" s="472"/>
      <c r="AD835" s="472"/>
      <c r="AE835" s="472"/>
      <c r="AF835" s="472"/>
    </row>
    <row r="836" spans="1:32" s="473" customFormat="1" hidden="1" outlineLevel="2" collapsed="1">
      <c r="A836" s="405"/>
      <c r="B836" s="397" t="s">
        <v>440</v>
      </c>
      <c r="C836" s="397" t="s">
        <v>440</v>
      </c>
      <c r="D836" s="475" t="s">
        <v>26</v>
      </c>
      <c r="E836" s="475"/>
      <c r="F836" s="447" t="s">
        <v>442</v>
      </c>
      <c r="G836" s="415">
        <f>SUM(G837:G841)</f>
        <v>4.8072072720000003</v>
      </c>
      <c r="H836" s="415">
        <f>SUM(H837:H841)</f>
        <v>1.5621756360000001</v>
      </c>
      <c r="I836" s="415">
        <f>SUM(I837:I841)</f>
        <v>1.5621756360000001</v>
      </c>
      <c r="J836" s="415">
        <f>SUM(J837:J841)</f>
        <v>1.121904</v>
      </c>
      <c r="K836" s="415">
        <f>SUM(K837:K841)</f>
        <v>0.56095200000000001</v>
      </c>
      <c r="L836" s="415">
        <f t="shared" si="204"/>
        <v>5</v>
      </c>
      <c r="M836" s="416">
        <f>SUM(M837:M841)</f>
        <v>1</v>
      </c>
      <c r="N836" s="416">
        <f>SUM(N837:N841)</f>
        <v>1</v>
      </c>
      <c r="O836" s="416">
        <f>SUM(O837:O841)</f>
        <v>2</v>
      </c>
      <c r="P836" s="416">
        <f>SUM(P837:P841)</f>
        <v>1</v>
      </c>
      <c r="Q836" s="475"/>
      <c r="R836" s="458" t="str">
        <f t="shared" si="216"/>
        <v>T</v>
      </c>
      <c r="S836" s="472"/>
      <c r="T836" s="472"/>
      <c r="U836" s="472"/>
      <c r="V836" s="472"/>
      <c r="W836" s="472"/>
      <c r="X836" s="472"/>
      <c r="Y836" s="472"/>
      <c r="Z836" s="472"/>
      <c r="AA836" s="472"/>
      <c r="AB836" s="472"/>
      <c r="AC836" s="472"/>
      <c r="AD836" s="472"/>
      <c r="AE836" s="472"/>
      <c r="AF836" s="472"/>
    </row>
    <row r="837" spans="1:32" s="473" customFormat="1" hidden="1" outlineLevel="3">
      <c r="A837" s="405"/>
      <c r="B837" s="397" t="s">
        <v>440</v>
      </c>
      <c r="C837" s="397" t="s">
        <v>440</v>
      </c>
      <c r="D837" s="475" t="s">
        <v>26</v>
      </c>
      <c r="E837" s="475" t="s">
        <v>27</v>
      </c>
      <c r="F837" s="447" t="s">
        <v>32</v>
      </c>
      <c r="G837" s="415">
        <v>1.5621756360000001</v>
      </c>
      <c r="H837" s="411">
        <f t="shared" ref="H837:K841" si="222">IF(M837=1,$G837,"")</f>
        <v>1.5621756360000001</v>
      </c>
      <c r="I837" s="411" t="str">
        <f t="shared" si="222"/>
        <v/>
      </c>
      <c r="J837" s="411" t="str">
        <f t="shared" si="222"/>
        <v/>
      </c>
      <c r="K837" s="411" t="str">
        <f t="shared" si="222"/>
        <v/>
      </c>
      <c r="L837" s="415">
        <f t="shared" si="204"/>
        <v>1</v>
      </c>
      <c r="M837" s="416">
        <v>1</v>
      </c>
      <c r="N837" s="416"/>
      <c r="O837" s="416"/>
      <c r="P837" s="416"/>
      <c r="Q837" s="475"/>
      <c r="R837" s="458" t="str">
        <f t="shared" si="216"/>
        <v>T</v>
      </c>
      <c r="S837" s="472"/>
      <c r="T837" s="472"/>
      <c r="U837" s="472"/>
      <c r="V837" s="472"/>
      <c r="W837" s="472"/>
      <c r="X837" s="472"/>
      <c r="Y837" s="472"/>
      <c r="Z837" s="472"/>
      <c r="AA837" s="472"/>
      <c r="AB837" s="472"/>
      <c r="AC837" s="472"/>
      <c r="AD837" s="472"/>
      <c r="AE837" s="472"/>
      <c r="AF837" s="472"/>
    </row>
    <row r="838" spans="1:32" s="473" customFormat="1" hidden="1" outlineLevel="3">
      <c r="A838" s="405"/>
      <c r="B838" s="397" t="s">
        <v>440</v>
      </c>
      <c r="C838" s="397" t="s">
        <v>440</v>
      </c>
      <c r="D838" s="475" t="s">
        <v>26</v>
      </c>
      <c r="E838" s="475" t="s">
        <v>27</v>
      </c>
      <c r="F838" s="447" t="s">
        <v>66</v>
      </c>
      <c r="G838" s="415">
        <v>1.5621756360000001</v>
      </c>
      <c r="H838" s="411" t="str">
        <f t="shared" si="222"/>
        <v/>
      </c>
      <c r="I838" s="411">
        <f t="shared" si="222"/>
        <v>1.5621756360000001</v>
      </c>
      <c r="J838" s="411" t="str">
        <f t="shared" si="222"/>
        <v/>
      </c>
      <c r="K838" s="411" t="str">
        <f t="shared" si="222"/>
        <v/>
      </c>
      <c r="L838" s="415">
        <f t="shared" si="204"/>
        <v>1</v>
      </c>
      <c r="M838" s="416"/>
      <c r="N838" s="416">
        <v>1</v>
      </c>
      <c r="O838" s="416"/>
      <c r="P838" s="416"/>
      <c r="Q838" s="475"/>
      <c r="R838" s="458" t="str">
        <f t="shared" si="216"/>
        <v>T</v>
      </c>
      <c r="S838" s="472"/>
      <c r="T838" s="472"/>
      <c r="U838" s="472"/>
      <c r="V838" s="472"/>
      <c r="W838" s="472"/>
      <c r="X838" s="472"/>
      <c r="Y838" s="472"/>
      <c r="Z838" s="472"/>
      <c r="AA838" s="472"/>
      <c r="AB838" s="472"/>
      <c r="AC838" s="472"/>
      <c r="AD838" s="472"/>
      <c r="AE838" s="472"/>
      <c r="AF838" s="472"/>
    </row>
    <row r="839" spans="1:32" s="473" customFormat="1" hidden="1" outlineLevel="3">
      <c r="A839" s="405"/>
      <c r="B839" s="397" t="s">
        <v>440</v>
      </c>
      <c r="C839" s="397" t="s">
        <v>440</v>
      </c>
      <c r="D839" s="475" t="s">
        <v>26</v>
      </c>
      <c r="E839" s="475" t="s">
        <v>27</v>
      </c>
      <c r="F839" s="447" t="s">
        <v>355</v>
      </c>
      <c r="G839" s="415">
        <v>0.56095200000000001</v>
      </c>
      <c r="H839" s="411" t="str">
        <f t="shared" si="222"/>
        <v/>
      </c>
      <c r="I839" s="411" t="str">
        <f t="shared" si="222"/>
        <v/>
      </c>
      <c r="J839" s="411">
        <f t="shared" si="222"/>
        <v>0.56095200000000001</v>
      </c>
      <c r="K839" s="411" t="str">
        <f t="shared" si="222"/>
        <v/>
      </c>
      <c r="L839" s="415">
        <f t="shared" si="204"/>
        <v>1</v>
      </c>
      <c r="M839" s="416"/>
      <c r="N839" s="416"/>
      <c r="O839" s="416">
        <v>1</v>
      </c>
      <c r="P839" s="416"/>
      <c r="Q839" s="475"/>
      <c r="R839" s="458" t="str">
        <f t="shared" si="216"/>
        <v>T</v>
      </c>
      <c r="S839" s="472"/>
      <c r="T839" s="472"/>
      <c r="U839" s="472"/>
      <c r="V839" s="472"/>
      <c r="W839" s="472"/>
      <c r="X839" s="472"/>
      <c r="Y839" s="472"/>
      <c r="Z839" s="472"/>
      <c r="AA839" s="472"/>
      <c r="AB839" s="472"/>
      <c r="AC839" s="472"/>
      <c r="AD839" s="472"/>
      <c r="AE839" s="472"/>
      <c r="AF839" s="472"/>
    </row>
    <row r="840" spans="1:32" s="473" customFormat="1" hidden="1" outlineLevel="3">
      <c r="A840" s="405"/>
      <c r="B840" s="397" t="s">
        <v>440</v>
      </c>
      <c r="C840" s="397" t="s">
        <v>440</v>
      </c>
      <c r="D840" s="475" t="s">
        <v>26</v>
      </c>
      <c r="E840" s="475" t="s">
        <v>27</v>
      </c>
      <c r="F840" s="447" t="s">
        <v>356</v>
      </c>
      <c r="G840" s="415">
        <v>0.56095200000000001</v>
      </c>
      <c r="H840" s="411" t="str">
        <f t="shared" si="222"/>
        <v/>
      </c>
      <c r="I840" s="411" t="str">
        <f t="shared" si="222"/>
        <v/>
      </c>
      <c r="J840" s="411">
        <f t="shared" si="222"/>
        <v>0.56095200000000001</v>
      </c>
      <c r="K840" s="411" t="str">
        <f t="shared" si="222"/>
        <v/>
      </c>
      <c r="L840" s="415">
        <f t="shared" si="204"/>
        <v>1</v>
      </c>
      <c r="M840" s="416"/>
      <c r="N840" s="416"/>
      <c r="O840" s="416">
        <v>1</v>
      </c>
      <c r="P840" s="416"/>
      <c r="Q840" s="475"/>
      <c r="R840" s="458" t="str">
        <f t="shared" si="216"/>
        <v>T</v>
      </c>
      <c r="S840" s="472"/>
      <c r="T840" s="472"/>
      <c r="U840" s="472"/>
      <c r="V840" s="472"/>
      <c r="W840" s="472"/>
      <c r="X840" s="472"/>
      <c r="Y840" s="472"/>
      <c r="Z840" s="472"/>
      <c r="AA840" s="472"/>
      <c r="AB840" s="472"/>
      <c r="AC840" s="472"/>
      <c r="AD840" s="472"/>
      <c r="AE840" s="472"/>
      <c r="AF840" s="472"/>
    </row>
    <row r="841" spans="1:32" s="473" customFormat="1" hidden="1" outlineLevel="3">
      <c r="A841" s="405"/>
      <c r="B841" s="397" t="s">
        <v>440</v>
      </c>
      <c r="C841" s="397" t="s">
        <v>440</v>
      </c>
      <c r="D841" s="475" t="s">
        <v>26</v>
      </c>
      <c r="E841" s="475" t="s">
        <v>27</v>
      </c>
      <c r="F841" s="447" t="s">
        <v>443</v>
      </c>
      <c r="G841" s="415">
        <v>0.56095200000000001</v>
      </c>
      <c r="H841" s="411" t="str">
        <f t="shared" si="222"/>
        <v/>
      </c>
      <c r="I841" s="411" t="str">
        <f t="shared" si="222"/>
        <v/>
      </c>
      <c r="J841" s="411" t="str">
        <f t="shared" si="222"/>
        <v/>
      </c>
      <c r="K841" s="411">
        <f t="shared" si="222"/>
        <v>0.56095200000000001</v>
      </c>
      <c r="L841" s="415">
        <f t="shared" si="204"/>
        <v>1</v>
      </c>
      <c r="M841" s="416"/>
      <c r="N841" s="416"/>
      <c r="O841" s="416"/>
      <c r="P841" s="416">
        <v>1</v>
      </c>
      <c r="Q841" s="475"/>
      <c r="R841" s="458" t="str">
        <f t="shared" si="216"/>
        <v>T</v>
      </c>
      <c r="S841" s="472"/>
      <c r="T841" s="472"/>
      <c r="U841" s="472"/>
      <c r="V841" s="472"/>
      <c r="W841" s="472"/>
      <c r="X841" s="472"/>
      <c r="Y841" s="472"/>
      <c r="Z841" s="472"/>
      <c r="AA841" s="472"/>
      <c r="AB841" s="472"/>
      <c r="AC841" s="472"/>
      <c r="AD841" s="472"/>
      <c r="AE841" s="472"/>
      <c r="AF841" s="472"/>
    </row>
    <row r="842" spans="1:32" s="473" customFormat="1" hidden="1" outlineLevel="2" collapsed="1">
      <c r="A842" s="405"/>
      <c r="B842" s="397" t="s">
        <v>440</v>
      </c>
      <c r="C842" s="397" t="s">
        <v>440</v>
      </c>
      <c r="D842" s="475" t="s">
        <v>28</v>
      </c>
      <c r="E842" s="475"/>
      <c r="F842" s="447" t="s">
        <v>442</v>
      </c>
      <c r="G842" s="415">
        <f>SUM(G843:G847)</f>
        <v>2.5531812810000005</v>
      </c>
      <c r="H842" s="415">
        <f>SUM(H843:H847)</f>
        <v>0.86951285400000011</v>
      </c>
      <c r="I842" s="415">
        <f>SUM(I843:I847)</f>
        <v>0.43475642700000006</v>
      </c>
      <c r="J842" s="415">
        <f>SUM(J843:J847)</f>
        <v>0.31222800000000006</v>
      </c>
      <c r="K842" s="415">
        <f>SUM(K843:K847)</f>
        <v>0.93668400000000007</v>
      </c>
      <c r="L842" s="415">
        <f t="shared" ref="L842:L874" si="223">SUM(M842:P842)</f>
        <v>5</v>
      </c>
      <c r="M842" s="416">
        <f>SUM(M843:M847)</f>
        <v>2</v>
      </c>
      <c r="N842" s="416">
        <f>SUM(N843:N847)</f>
        <v>1</v>
      </c>
      <c r="O842" s="416">
        <f>SUM(O843:O847)</f>
        <v>1</v>
      </c>
      <c r="P842" s="416">
        <f>SUM(P843:P847)</f>
        <v>1</v>
      </c>
      <c r="Q842" s="475"/>
      <c r="R842" s="458" t="str">
        <f t="shared" si="216"/>
        <v>T</v>
      </c>
      <c r="S842" s="472"/>
      <c r="T842" s="472"/>
      <c r="U842" s="472"/>
      <c r="V842" s="472"/>
      <c r="W842" s="472"/>
      <c r="X842" s="472"/>
      <c r="Y842" s="472"/>
      <c r="Z842" s="472"/>
      <c r="AA842" s="472"/>
      <c r="AB842" s="472"/>
      <c r="AC842" s="472"/>
      <c r="AD842" s="472"/>
      <c r="AE842" s="472"/>
      <c r="AF842" s="472"/>
    </row>
    <row r="843" spans="1:32" s="473" customFormat="1" hidden="1" outlineLevel="3">
      <c r="A843" s="405"/>
      <c r="B843" s="397" t="s">
        <v>440</v>
      </c>
      <c r="C843" s="397" t="s">
        <v>440</v>
      </c>
      <c r="D843" s="475" t="s">
        <v>28</v>
      </c>
      <c r="E843" s="475" t="s">
        <v>29</v>
      </c>
      <c r="F843" s="447" t="s">
        <v>32</v>
      </c>
      <c r="G843" s="415">
        <v>0.43475642700000006</v>
      </c>
      <c r="H843" s="411">
        <f t="shared" ref="H843:K847" si="224">IF(M843=1,$G843,"")</f>
        <v>0.43475642700000006</v>
      </c>
      <c r="I843" s="411" t="str">
        <f t="shared" si="224"/>
        <v/>
      </c>
      <c r="J843" s="411" t="str">
        <f t="shared" si="224"/>
        <v/>
      </c>
      <c r="K843" s="411" t="str">
        <f t="shared" si="224"/>
        <v/>
      </c>
      <c r="L843" s="415">
        <f t="shared" si="223"/>
        <v>1</v>
      </c>
      <c r="M843" s="416">
        <v>1</v>
      </c>
      <c r="N843" s="416"/>
      <c r="O843" s="416"/>
      <c r="P843" s="416"/>
      <c r="Q843" s="475"/>
      <c r="R843" s="458" t="str">
        <f t="shared" si="216"/>
        <v>T</v>
      </c>
      <c r="S843" s="472"/>
      <c r="T843" s="472"/>
      <c r="U843" s="472"/>
      <c r="V843" s="472"/>
      <c r="W843" s="472"/>
      <c r="X843" s="472"/>
      <c r="Y843" s="472"/>
      <c r="Z843" s="472"/>
      <c r="AA843" s="472"/>
      <c r="AB843" s="472"/>
      <c r="AC843" s="472"/>
      <c r="AD843" s="472"/>
      <c r="AE843" s="472"/>
      <c r="AF843" s="472"/>
    </row>
    <row r="844" spans="1:32" s="473" customFormat="1" hidden="1" outlineLevel="3">
      <c r="A844" s="405"/>
      <c r="B844" s="397" t="s">
        <v>440</v>
      </c>
      <c r="C844" s="397" t="s">
        <v>440</v>
      </c>
      <c r="D844" s="475" t="s">
        <v>28</v>
      </c>
      <c r="E844" s="475" t="s">
        <v>29</v>
      </c>
      <c r="F844" s="447" t="s">
        <v>34</v>
      </c>
      <c r="G844" s="415">
        <v>0.43475642700000006</v>
      </c>
      <c r="H844" s="411" t="str">
        <f t="shared" si="224"/>
        <v/>
      </c>
      <c r="I844" s="411">
        <f t="shared" si="224"/>
        <v>0.43475642700000006</v>
      </c>
      <c r="J844" s="411" t="str">
        <f t="shared" si="224"/>
        <v/>
      </c>
      <c r="K844" s="411" t="str">
        <f t="shared" si="224"/>
        <v/>
      </c>
      <c r="L844" s="415">
        <f t="shared" si="223"/>
        <v>1</v>
      </c>
      <c r="M844" s="416"/>
      <c r="N844" s="416">
        <v>1</v>
      </c>
      <c r="O844" s="416"/>
      <c r="P844" s="416"/>
      <c r="Q844" s="475"/>
      <c r="R844" s="458" t="str">
        <f t="shared" si="216"/>
        <v>T</v>
      </c>
      <c r="S844" s="472"/>
      <c r="T844" s="472"/>
      <c r="U844" s="472"/>
      <c r="V844" s="472"/>
      <c r="W844" s="472"/>
      <c r="X844" s="472"/>
      <c r="Y844" s="472"/>
      <c r="Z844" s="472"/>
      <c r="AA844" s="472"/>
      <c r="AB844" s="472"/>
      <c r="AC844" s="472"/>
      <c r="AD844" s="472"/>
      <c r="AE844" s="472"/>
      <c r="AF844" s="472"/>
    </row>
    <row r="845" spans="1:32" s="473" customFormat="1" ht="11.25" hidden="1" customHeight="1" outlineLevel="3">
      <c r="A845" s="405"/>
      <c r="B845" s="397" t="s">
        <v>440</v>
      </c>
      <c r="C845" s="397" t="s">
        <v>440</v>
      </c>
      <c r="D845" s="475" t="s">
        <v>28</v>
      </c>
      <c r="E845" s="475" t="s">
        <v>29</v>
      </c>
      <c r="F845" s="447" t="s">
        <v>33</v>
      </c>
      <c r="G845" s="415">
        <v>0.43475642700000006</v>
      </c>
      <c r="H845" s="411">
        <f t="shared" si="224"/>
        <v>0.43475642700000006</v>
      </c>
      <c r="I845" s="411" t="str">
        <f t="shared" si="224"/>
        <v/>
      </c>
      <c r="J845" s="411" t="str">
        <f t="shared" si="224"/>
        <v/>
      </c>
      <c r="K845" s="411" t="str">
        <f t="shared" si="224"/>
        <v/>
      </c>
      <c r="L845" s="415">
        <f t="shared" si="223"/>
        <v>1</v>
      </c>
      <c r="M845" s="416">
        <v>1</v>
      </c>
      <c r="N845" s="416"/>
      <c r="O845" s="416"/>
      <c r="P845" s="416"/>
      <c r="Q845" s="475"/>
      <c r="R845" s="458" t="str">
        <f t="shared" si="216"/>
        <v>T</v>
      </c>
      <c r="S845" s="472"/>
      <c r="T845" s="472"/>
      <c r="U845" s="472"/>
      <c r="V845" s="472"/>
      <c r="W845" s="472"/>
      <c r="X845" s="472"/>
      <c r="Y845" s="472"/>
      <c r="Z845" s="472"/>
      <c r="AA845" s="472"/>
      <c r="AB845" s="472"/>
      <c r="AC845" s="472"/>
      <c r="AD845" s="472"/>
      <c r="AE845" s="472"/>
      <c r="AF845" s="472"/>
    </row>
    <row r="846" spans="1:32" s="473" customFormat="1" hidden="1" outlineLevel="3">
      <c r="A846" s="405"/>
      <c r="B846" s="397" t="s">
        <v>440</v>
      </c>
      <c r="C846" s="397" t="s">
        <v>440</v>
      </c>
      <c r="D846" s="475" t="s">
        <v>28</v>
      </c>
      <c r="E846" s="475" t="s">
        <v>29</v>
      </c>
      <c r="F846" s="447" t="s">
        <v>355</v>
      </c>
      <c r="G846" s="415">
        <v>0.31222800000000006</v>
      </c>
      <c r="H846" s="411" t="str">
        <f t="shared" si="224"/>
        <v/>
      </c>
      <c r="I846" s="411" t="str">
        <f t="shared" si="224"/>
        <v/>
      </c>
      <c r="J846" s="411">
        <f t="shared" si="224"/>
        <v>0.31222800000000006</v>
      </c>
      <c r="K846" s="411" t="str">
        <f t="shared" si="224"/>
        <v/>
      </c>
      <c r="L846" s="415">
        <f t="shared" si="223"/>
        <v>1</v>
      </c>
      <c r="M846" s="416"/>
      <c r="N846" s="416"/>
      <c r="O846" s="416">
        <v>1</v>
      </c>
      <c r="P846" s="416"/>
      <c r="Q846" s="475"/>
      <c r="R846" s="458" t="str">
        <f t="shared" si="216"/>
        <v>T</v>
      </c>
      <c r="S846" s="472"/>
      <c r="T846" s="472"/>
      <c r="U846" s="472"/>
      <c r="V846" s="472"/>
      <c r="W846" s="472"/>
      <c r="X846" s="472"/>
      <c r="Y846" s="472"/>
      <c r="Z846" s="472"/>
      <c r="AA846" s="472"/>
      <c r="AB846" s="472"/>
      <c r="AC846" s="472"/>
      <c r="AD846" s="472"/>
      <c r="AE846" s="472"/>
      <c r="AF846" s="472"/>
    </row>
    <row r="847" spans="1:32" s="473" customFormat="1" hidden="1" outlineLevel="3">
      <c r="A847" s="405"/>
      <c r="B847" s="397" t="s">
        <v>440</v>
      </c>
      <c r="C847" s="397" t="s">
        <v>440</v>
      </c>
      <c r="D847" s="475" t="s">
        <v>28</v>
      </c>
      <c r="E847" s="475" t="s">
        <v>29</v>
      </c>
      <c r="F847" s="447" t="s">
        <v>445</v>
      </c>
      <c r="G847" s="415">
        <v>0.93668400000000007</v>
      </c>
      <c r="H847" s="411" t="str">
        <f t="shared" si="224"/>
        <v/>
      </c>
      <c r="I847" s="411" t="str">
        <f t="shared" si="224"/>
        <v/>
      </c>
      <c r="J847" s="411" t="str">
        <f t="shared" si="224"/>
        <v/>
      </c>
      <c r="K847" s="411">
        <f t="shared" si="224"/>
        <v>0.93668400000000007</v>
      </c>
      <c r="L847" s="415">
        <f t="shared" si="223"/>
        <v>1</v>
      </c>
      <c r="M847" s="416"/>
      <c r="N847" s="416"/>
      <c r="O847" s="416"/>
      <c r="P847" s="416">
        <v>1</v>
      </c>
      <c r="Q847" s="475"/>
      <c r="R847" s="458" t="str">
        <f t="shared" si="216"/>
        <v>T</v>
      </c>
      <c r="S847" s="472"/>
      <c r="T847" s="472"/>
      <c r="U847" s="472"/>
      <c r="V847" s="472"/>
      <c r="W847" s="472"/>
      <c r="X847" s="472"/>
      <c r="Y847" s="472"/>
      <c r="Z847" s="472"/>
      <c r="AA847" s="472"/>
      <c r="AB847" s="472"/>
      <c r="AC847" s="472"/>
      <c r="AD847" s="472"/>
      <c r="AE847" s="472"/>
      <c r="AF847" s="472"/>
    </row>
    <row r="848" spans="1:32" s="473" customFormat="1" hidden="1" outlineLevel="2" collapsed="1">
      <c r="A848" s="405"/>
      <c r="B848" s="397" t="s">
        <v>440</v>
      </c>
      <c r="C848" s="397" t="s">
        <v>440</v>
      </c>
      <c r="D848" s="475" t="s">
        <v>64</v>
      </c>
      <c r="E848" s="475"/>
      <c r="F848" s="447" t="s">
        <v>442</v>
      </c>
      <c r="G848" s="415">
        <f>SUM(G849:G850)</f>
        <v>0.72950654699999995</v>
      </c>
      <c r="H848" s="415">
        <f>SUM(H849:H850)</f>
        <v>0</v>
      </c>
      <c r="I848" s="415">
        <f>SUM(I849:I850)</f>
        <v>0.36475327349999997</v>
      </c>
      <c r="J848" s="415">
        <f>SUM(J849:J850)</f>
        <v>0.36475327349999997</v>
      </c>
      <c r="K848" s="415">
        <f>SUM(K849:K850)</f>
        <v>0</v>
      </c>
      <c r="L848" s="415">
        <f t="shared" si="223"/>
        <v>2</v>
      </c>
      <c r="M848" s="416">
        <f>SUM(M849:M850)</f>
        <v>0</v>
      </c>
      <c r="N848" s="416">
        <f>SUM(N849:N850)</f>
        <v>1</v>
      </c>
      <c r="O848" s="416">
        <f>SUM(O849:O850)</f>
        <v>1</v>
      </c>
      <c r="P848" s="416">
        <f>SUM(P849:P850)</f>
        <v>0</v>
      </c>
      <c r="Q848" s="475"/>
      <c r="R848" s="458" t="str">
        <f t="shared" si="216"/>
        <v>T</v>
      </c>
      <c r="S848" s="472"/>
      <c r="T848" s="472"/>
      <c r="U848" s="472"/>
      <c r="V848" s="472"/>
      <c r="W848" s="472"/>
      <c r="X848" s="472"/>
      <c r="Y848" s="472"/>
      <c r="Z848" s="472"/>
      <c r="AA848" s="472"/>
      <c r="AB848" s="472"/>
      <c r="AC848" s="472"/>
      <c r="AD848" s="472"/>
      <c r="AE848" s="472"/>
      <c r="AF848" s="472"/>
    </row>
    <row r="849" spans="1:32" s="473" customFormat="1" hidden="1" outlineLevel="3">
      <c r="A849" s="405"/>
      <c r="B849" s="397" t="s">
        <v>440</v>
      </c>
      <c r="C849" s="397" t="s">
        <v>440</v>
      </c>
      <c r="D849" s="475" t="s">
        <v>64</v>
      </c>
      <c r="E849" s="475" t="s">
        <v>29</v>
      </c>
      <c r="F849" s="447" t="s">
        <v>32</v>
      </c>
      <c r="G849" s="415">
        <v>0.36475327349999997</v>
      </c>
      <c r="H849" s="411" t="str">
        <f t="shared" ref="H849:K850" si="225">IF(M849=1,$G849,"")</f>
        <v/>
      </c>
      <c r="I849" s="411">
        <f t="shared" si="225"/>
        <v>0.36475327349999997</v>
      </c>
      <c r="J849" s="411" t="str">
        <f t="shared" si="225"/>
        <v/>
      </c>
      <c r="K849" s="411" t="str">
        <f t="shared" si="225"/>
        <v/>
      </c>
      <c r="L849" s="415">
        <f t="shared" si="223"/>
        <v>1</v>
      </c>
      <c r="M849" s="416"/>
      <c r="N849" s="416">
        <v>1</v>
      </c>
      <c r="O849" s="416"/>
      <c r="P849" s="416"/>
      <c r="Q849" s="475"/>
      <c r="R849" s="458" t="str">
        <f t="shared" si="216"/>
        <v>T</v>
      </c>
      <c r="S849" s="472"/>
      <c r="T849" s="472"/>
      <c r="U849" s="472"/>
      <c r="V849" s="472"/>
      <c r="W849" s="472"/>
      <c r="X849" s="472"/>
      <c r="Y849" s="472"/>
      <c r="Z849" s="472"/>
      <c r="AA849" s="472"/>
      <c r="AB849" s="472"/>
      <c r="AC849" s="472"/>
      <c r="AD849" s="472"/>
      <c r="AE849" s="472"/>
      <c r="AF849" s="472"/>
    </row>
    <row r="850" spans="1:32" s="473" customFormat="1" hidden="1" outlineLevel="3">
      <c r="A850" s="405"/>
      <c r="B850" s="397" t="s">
        <v>440</v>
      </c>
      <c r="C850" s="397" t="s">
        <v>440</v>
      </c>
      <c r="D850" s="475" t="s">
        <v>64</v>
      </c>
      <c r="E850" s="475" t="s">
        <v>29</v>
      </c>
      <c r="F850" s="447" t="s">
        <v>34</v>
      </c>
      <c r="G850" s="415">
        <v>0.36475327349999997</v>
      </c>
      <c r="H850" s="411" t="str">
        <f t="shared" si="225"/>
        <v/>
      </c>
      <c r="I850" s="411" t="str">
        <f t="shared" si="225"/>
        <v/>
      </c>
      <c r="J850" s="411">
        <f t="shared" si="225"/>
        <v>0.36475327349999997</v>
      </c>
      <c r="K850" s="411" t="str">
        <f t="shared" si="225"/>
        <v/>
      </c>
      <c r="L850" s="415">
        <f t="shared" si="223"/>
        <v>1</v>
      </c>
      <c r="M850" s="416"/>
      <c r="N850" s="416"/>
      <c r="O850" s="416">
        <v>1</v>
      </c>
      <c r="P850" s="416"/>
      <c r="Q850" s="475"/>
      <c r="R850" s="458" t="str">
        <f t="shared" si="216"/>
        <v>T</v>
      </c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2"/>
      <c r="AE850" s="472"/>
      <c r="AF850" s="472"/>
    </row>
    <row r="851" spans="1:32" s="473" customFormat="1" outlineLevel="1" collapsed="1">
      <c r="A851" s="405"/>
      <c r="B851" s="396" t="s">
        <v>446</v>
      </c>
      <c r="C851" s="396" t="s">
        <v>447</v>
      </c>
      <c r="D851" s="396"/>
      <c r="E851" s="396"/>
      <c r="F851" s="445" t="s">
        <v>441</v>
      </c>
      <c r="G851" s="422">
        <f>SUM(G852,G862,G868,G874)</f>
        <v>9.5461964500000001</v>
      </c>
      <c r="H851" s="422">
        <f>H852+H862+H868+H874</f>
        <v>4.4949393300000002</v>
      </c>
      <c r="I851" s="422">
        <f>I852+I862+I868+I874</f>
        <v>2.6294166955000002</v>
      </c>
      <c r="J851" s="422">
        <f>J852+J862+J868+J874</f>
        <v>1.3052284245000001</v>
      </c>
      <c r="K851" s="422">
        <f>K852+K862+K868+K874</f>
        <v>1.1166120000000002</v>
      </c>
      <c r="L851" s="422">
        <f t="shared" si="223"/>
        <v>21</v>
      </c>
      <c r="M851" s="423">
        <f>M852+M862+M868+M874</f>
        <v>6</v>
      </c>
      <c r="N851" s="423">
        <f>N852+N862+N868+N874</f>
        <v>5</v>
      </c>
      <c r="O851" s="423">
        <f>O852+O862+O868+O874</f>
        <v>6</v>
      </c>
      <c r="P851" s="423">
        <f>P852+P862+P868+P874</f>
        <v>4</v>
      </c>
      <c r="Q851" s="475"/>
      <c r="R851" s="458" t="str">
        <f t="shared" ref="R851:R868" si="226">IF(SUM(M851:P851)=L851,"T","F")</f>
        <v>T</v>
      </c>
      <c r="S851" s="472" t="s">
        <v>448</v>
      </c>
      <c r="T851" s="472"/>
      <c r="U851" s="472"/>
      <c r="V851" s="472"/>
      <c r="W851" s="472"/>
      <c r="X851" s="472"/>
      <c r="Y851" s="472"/>
      <c r="Z851" s="472"/>
      <c r="AA851" s="472"/>
      <c r="AB851" s="472"/>
      <c r="AC851" s="472"/>
      <c r="AD851" s="472"/>
      <c r="AE851" s="472"/>
      <c r="AF851" s="472"/>
    </row>
    <row r="852" spans="1:32" hidden="1" outlineLevel="2" collapsed="1">
      <c r="A852" s="382"/>
      <c r="B852" s="397" t="s">
        <v>447</v>
      </c>
      <c r="C852" s="397" t="s">
        <v>447</v>
      </c>
      <c r="D852" s="382" t="s">
        <v>18</v>
      </c>
      <c r="E852" s="397"/>
      <c r="F852" s="447" t="s">
        <v>442</v>
      </c>
      <c r="G852" s="415">
        <f>SUM(G853:G861)</f>
        <v>6.8495647500000008</v>
      </c>
      <c r="H852" s="415">
        <f>SUM(H853:H861)</f>
        <v>3.6843765000000004</v>
      </c>
      <c r="I852" s="415">
        <f>SUM(I853:I861)</f>
        <v>1.8421882500000004</v>
      </c>
      <c r="J852" s="415">
        <f>SUM(J853:J861)</f>
        <v>0.7056</v>
      </c>
      <c r="K852" s="415">
        <f>SUM(K853:K861)</f>
        <v>0.61740000000000006</v>
      </c>
      <c r="L852" s="415">
        <f t="shared" si="223"/>
        <v>9</v>
      </c>
      <c r="M852" s="416">
        <f>SUM(M853:M861)</f>
        <v>3</v>
      </c>
      <c r="N852" s="416">
        <f>SUM(N853:N861)</f>
        <v>2</v>
      </c>
      <c r="O852" s="416">
        <f>SUM(O853:O861)</f>
        <v>2</v>
      </c>
      <c r="P852" s="416">
        <f>SUM(P853:P861)</f>
        <v>2</v>
      </c>
      <c r="Q852" s="382"/>
      <c r="R852" s="385" t="str">
        <f t="shared" si="226"/>
        <v>T</v>
      </c>
      <c r="S852" s="389"/>
      <c r="T852" s="389"/>
      <c r="U852" s="389"/>
      <c r="V852" s="389"/>
      <c r="W852" s="389"/>
      <c r="X852" s="389"/>
      <c r="Y852" s="389"/>
      <c r="Z852" s="389"/>
      <c r="AA852" s="389"/>
      <c r="AB852" s="389"/>
      <c r="AC852" s="389"/>
      <c r="AD852" s="389"/>
      <c r="AE852" s="389"/>
      <c r="AF852" s="389"/>
    </row>
    <row r="853" spans="1:32" hidden="1" outlineLevel="3" collapsed="1">
      <c r="A853" s="382"/>
      <c r="B853" s="397" t="s">
        <v>447</v>
      </c>
      <c r="C853" s="397" t="s">
        <v>447</v>
      </c>
      <c r="D853" s="382" t="s">
        <v>18</v>
      </c>
      <c r="E853" s="397" t="s">
        <v>72</v>
      </c>
      <c r="F853" s="447" t="s">
        <v>334</v>
      </c>
      <c r="G853" s="415">
        <v>1.2281255000000002</v>
      </c>
      <c r="H853" s="411">
        <f t="shared" ref="H853:H861" si="227">IF(M853=1,$G853,"")</f>
        <v>1.2281255000000002</v>
      </c>
      <c r="I853" s="411" t="str">
        <f t="shared" ref="I853:I861" si="228">IF(N853=1,$G853,"")</f>
        <v/>
      </c>
      <c r="J853" s="411" t="str">
        <f t="shared" ref="J853:J861" si="229">IF(O853=1,$G853,"")</f>
        <v/>
      </c>
      <c r="K853" s="411" t="str">
        <f t="shared" ref="K853:K861" si="230">IF(P853=1,$G853,"")</f>
        <v/>
      </c>
      <c r="L853" s="415">
        <f t="shared" si="223"/>
        <v>1</v>
      </c>
      <c r="M853" s="416">
        <v>1</v>
      </c>
      <c r="N853" s="416"/>
      <c r="O853" s="416"/>
      <c r="P853" s="416"/>
      <c r="Q853" s="382"/>
      <c r="R853" s="385" t="str">
        <f t="shared" si="226"/>
        <v>T</v>
      </c>
      <c r="S853" s="389"/>
      <c r="T853" s="389"/>
      <c r="U853" s="389"/>
      <c r="V853" s="389"/>
      <c r="W853" s="389"/>
      <c r="X853" s="389"/>
      <c r="Y853" s="389"/>
      <c r="Z853" s="389"/>
      <c r="AA853" s="389"/>
      <c r="AB853" s="389"/>
      <c r="AC853" s="389"/>
      <c r="AD853" s="389"/>
      <c r="AE853" s="389"/>
      <c r="AF853" s="389"/>
    </row>
    <row r="854" spans="1:32" hidden="1" outlineLevel="3">
      <c r="A854" s="382"/>
      <c r="B854" s="397" t="s">
        <v>447</v>
      </c>
      <c r="C854" s="397" t="s">
        <v>447</v>
      </c>
      <c r="D854" s="382" t="s">
        <v>18</v>
      </c>
      <c r="E854" s="397" t="s">
        <v>72</v>
      </c>
      <c r="F854" s="447" t="s">
        <v>32</v>
      </c>
      <c r="G854" s="415">
        <v>1.2281255000000002</v>
      </c>
      <c r="H854" s="411">
        <f t="shared" si="227"/>
        <v>1.2281255000000002</v>
      </c>
      <c r="I854" s="411" t="str">
        <f t="shared" si="228"/>
        <v/>
      </c>
      <c r="J854" s="411" t="str">
        <f t="shared" si="229"/>
        <v/>
      </c>
      <c r="K854" s="411" t="str">
        <f t="shared" si="230"/>
        <v/>
      </c>
      <c r="L854" s="415">
        <f t="shared" si="223"/>
        <v>1</v>
      </c>
      <c r="M854" s="416">
        <v>1</v>
      </c>
      <c r="N854" s="416"/>
      <c r="O854" s="416"/>
      <c r="P854" s="416"/>
      <c r="Q854" s="382"/>
      <c r="R854" s="385" t="str">
        <f t="shared" si="226"/>
        <v>T</v>
      </c>
      <c r="S854" s="389"/>
      <c r="T854" s="389"/>
      <c r="U854" s="389"/>
      <c r="V854" s="389"/>
      <c r="W854" s="389"/>
      <c r="X854" s="389"/>
      <c r="Y854" s="389"/>
      <c r="Z854" s="389"/>
      <c r="AA854" s="389"/>
      <c r="AB854" s="389"/>
      <c r="AC854" s="389"/>
      <c r="AD854" s="389"/>
      <c r="AE854" s="389"/>
      <c r="AF854" s="389"/>
    </row>
    <row r="855" spans="1:32" hidden="1" outlineLevel="3">
      <c r="A855" s="382"/>
      <c r="B855" s="397" t="s">
        <v>447</v>
      </c>
      <c r="C855" s="397" t="s">
        <v>447</v>
      </c>
      <c r="D855" s="382" t="s">
        <v>18</v>
      </c>
      <c r="E855" s="397" t="s">
        <v>72</v>
      </c>
      <c r="F855" s="447" t="s">
        <v>66</v>
      </c>
      <c r="G855" s="415">
        <v>1.2281255000000002</v>
      </c>
      <c r="H855" s="411" t="str">
        <f t="shared" si="227"/>
        <v/>
      </c>
      <c r="I855" s="411">
        <f t="shared" si="228"/>
        <v>1.2281255000000002</v>
      </c>
      <c r="J855" s="411" t="str">
        <f t="shared" si="229"/>
        <v/>
      </c>
      <c r="K855" s="411" t="str">
        <f t="shared" si="230"/>
        <v/>
      </c>
      <c r="L855" s="415">
        <f t="shared" si="223"/>
        <v>1</v>
      </c>
      <c r="M855" s="416"/>
      <c r="N855" s="416">
        <v>1</v>
      </c>
      <c r="O855" s="416"/>
      <c r="P855" s="416"/>
      <c r="Q855" s="382"/>
      <c r="R855" s="385" t="str">
        <f t="shared" si="226"/>
        <v>T</v>
      </c>
      <c r="S855" s="389"/>
      <c r="T855" s="389"/>
      <c r="U855" s="389"/>
      <c r="V855" s="389"/>
      <c r="W855" s="389"/>
      <c r="X855" s="389"/>
      <c r="Y855" s="389"/>
      <c r="Z855" s="389"/>
      <c r="AA855" s="389"/>
      <c r="AB855" s="389"/>
      <c r="AC855" s="389"/>
      <c r="AD855" s="389"/>
      <c r="AE855" s="389"/>
      <c r="AF855" s="389"/>
    </row>
    <row r="856" spans="1:32" hidden="1" outlineLevel="3">
      <c r="A856" s="382"/>
      <c r="B856" s="397" t="s">
        <v>447</v>
      </c>
      <c r="C856" s="397" t="s">
        <v>447</v>
      </c>
      <c r="D856" s="382" t="s">
        <v>18</v>
      </c>
      <c r="E856" s="397" t="s">
        <v>72</v>
      </c>
      <c r="F856" s="447" t="s">
        <v>33</v>
      </c>
      <c r="G856" s="415">
        <v>1.2281255</v>
      </c>
      <c r="H856" s="411">
        <f t="shared" si="227"/>
        <v>1.2281255</v>
      </c>
      <c r="I856" s="411" t="str">
        <f t="shared" si="228"/>
        <v/>
      </c>
      <c r="J856" s="411" t="str">
        <f t="shared" si="229"/>
        <v/>
      </c>
      <c r="K856" s="411" t="str">
        <f t="shared" si="230"/>
        <v/>
      </c>
      <c r="L856" s="415">
        <f t="shared" si="223"/>
        <v>1</v>
      </c>
      <c r="M856" s="416">
        <v>1</v>
      </c>
      <c r="N856" s="416"/>
      <c r="O856" s="416"/>
      <c r="P856" s="416"/>
      <c r="Q856" s="382"/>
      <c r="R856" s="385" t="str">
        <f t="shared" si="226"/>
        <v>T</v>
      </c>
      <c r="S856" s="389"/>
      <c r="T856" s="389"/>
      <c r="U856" s="389"/>
      <c r="V856" s="389"/>
      <c r="W856" s="389"/>
      <c r="X856" s="389"/>
      <c r="Y856" s="389"/>
      <c r="Z856" s="389"/>
      <c r="AA856" s="389"/>
      <c r="AB856" s="389"/>
      <c r="AC856" s="389"/>
      <c r="AD856" s="389"/>
      <c r="AE856" s="389"/>
      <c r="AF856" s="389"/>
    </row>
    <row r="857" spans="1:32" hidden="1" outlineLevel="3">
      <c r="A857" s="382"/>
      <c r="B857" s="397" t="s">
        <v>447</v>
      </c>
      <c r="C857" s="397" t="s">
        <v>447</v>
      </c>
      <c r="D857" s="382" t="s">
        <v>18</v>
      </c>
      <c r="E857" s="397" t="s">
        <v>72</v>
      </c>
      <c r="F857" s="447" t="s">
        <v>335</v>
      </c>
      <c r="G857" s="415">
        <v>0.6140627500000001</v>
      </c>
      <c r="H857" s="411" t="str">
        <f t="shared" si="227"/>
        <v/>
      </c>
      <c r="I857" s="411">
        <f t="shared" si="228"/>
        <v>0.6140627500000001</v>
      </c>
      <c r="J857" s="411" t="str">
        <f t="shared" si="229"/>
        <v/>
      </c>
      <c r="K857" s="411" t="str">
        <f t="shared" si="230"/>
        <v/>
      </c>
      <c r="L857" s="415">
        <f t="shared" si="223"/>
        <v>1</v>
      </c>
      <c r="M857" s="416"/>
      <c r="N857" s="416">
        <v>1</v>
      </c>
      <c r="O857" s="416"/>
      <c r="P857" s="416"/>
      <c r="Q857" s="382"/>
      <c r="R857" s="385" t="str">
        <f t="shared" si="226"/>
        <v>T</v>
      </c>
      <c r="S857" s="389"/>
      <c r="T857" s="389"/>
      <c r="U857" s="389"/>
      <c r="V857" s="389"/>
      <c r="W857" s="389"/>
      <c r="X857" s="389"/>
      <c r="Y857" s="389"/>
      <c r="Z857" s="389"/>
      <c r="AA857" s="389"/>
      <c r="AB857" s="389"/>
      <c r="AC857" s="389"/>
      <c r="AD857" s="389"/>
      <c r="AE857" s="389"/>
      <c r="AF857" s="389"/>
    </row>
    <row r="858" spans="1:32" hidden="1" outlineLevel="3">
      <c r="A858" s="382"/>
      <c r="B858" s="397" t="s">
        <v>447</v>
      </c>
      <c r="C858" s="397" t="s">
        <v>447</v>
      </c>
      <c r="D858" s="382" t="s">
        <v>18</v>
      </c>
      <c r="E858" s="397" t="s">
        <v>72</v>
      </c>
      <c r="F858" s="447" t="s">
        <v>355</v>
      </c>
      <c r="G858" s="415">
        <v>0.44100000000000006</v>
      </c>
      <c r="H858" s="411" t="str">
        <f t="shared" si="227"/>
        <v/>
      </c>
      <c r="I858" s="411" t="str">
        <f t="shared" si="228"/>
        <v/>
      </c>
      <c r="J858" s="411">
        <f t="shared" si="229"/>
        <v>0.44100000000000006</v>
      </c>
      <c r="K858" s="411" t="str">
        <f t="shared" si="230"/>
        <v/>
      </c>
      <c r="L858" s="415">
        <f t="shared" si="223"/>
        <v>1</v>
      </c>
      <c r="M858" s="416"/>
      <c r="N858" s="416"/>
      <c r="O858" s="416">
        <v>1</v>
      </c>
      <c r="P858" s="416"/>
      <c r="Q858" s="382"/>
      <c r="R858" s="385" t="str">
        <f t="shared" si="226"/>
        <v>T</v>
      </c>
      <c r="S858" s="389"/>
      <c r="T858" s="389"/>
      <c r="U858" s="389"/>
      <c r="V858" s="389"/>
      <c r="W858" s="389"/>
      <c r="X858" s="389"/>
      <c r="Y858" s="389"/>
      <c r="Z858" s="389"/>
      <c r="AA858" s="389"/>
      <c r="AB858" s="389"/>
      <c r="AC858" s="389"/>
      <c r="AD858" s="389"/>
      <c r="AE858" s="389"/>
      <c r="AF858" s="389"/>
    </row>
    <row r="859" spans="1:32" hidden="1" outlineLevel="3">
      <c r="A859" s="382"/>
      <c r="B859" s="397" t="s">
        <v>447</v>
      </c>
      <c r="C859" s="397" t="s">
        <v>447</v>
      </c>
      <c r="D859" s="382" t="s">
        <v>18</v>
      </c>
      <c r="E859" s="397" t="s">
        <v>72</v>
      </c>
      <c r="F859" s="447" t="s">
        <v>356</v>
      </c>
      <c r="G859" s="415">
        <v>0.2646</v>
      </c>
      <c r="H859" s="411" t="str">
        <f t="shared" si="227"/>
        <v/>
      </c>
      <c r="I859" s="411" t="str">
        <f t="shared" si="228"/>
        <v/>
      </c>
      <c r="J859" s="411">
        <f t="shared" si="229"/>
        <v>0.2646</v>
      </c>
      <c r="K859" s="411" t="str">
        <f t="shared" si="230"/>
        <v/>
      </c>
      <c r="L859" s="415">
        <f t="shared" si="223"/>
        <v>1</v>
      </c>
      <c r="M859" s="416"/>
      <c r="N859" s="416"/>
      <c r="O859" s="416">
        <v>1</v>
      </c>
      <c r="P859" s="416"/>
      <c r="Q859" s="382"/>
      <c r="R859" s="385" t="str">
        <f t="shared" si="226"/>
        <v>T</v>
      </c>
      <c r="S859" s="389"/>
      <c r="T859" s="389"/>
      <c r="U859" s="389"/>
      <c r="V859" s="389"/>
      <c r="W859" s="389"/>
      <c r="X859" s="389"/>
      <c r="Y859" s="389"/>
      <c r="Z859" s="389"/>
      <c r="AA859" s="389"/>
      <c r="AB859" s="389"/>
      <c r="AC859" s="389"/>
      <c r="AD859" s="389"/>
      <c r="AE859" s="389"/>
      <c r="AF859" s="389"/>
    </row>
    <row r="860" spans="1:32" hidden="1" outlineLevel="3">
      <c r="A860" s="382"/>
      <c r="B860" s="397" t="s">
        <v>447</v>
      </c>
      <c r="C860" s="397" t="s">
        <v>447</v>
      </c>
      <c r="D860" s="382" t="s">
        <v>18</v>
      </c>
      <c r="E860" s="397" t="s">
        <v>72</v>
      </c>
      <c r="F860" s="447" t="s">
        <v>443</v>
      </c>
      <c r="G860" s="415">
        <v>0.30870000000000003</v>
      </c>
      <c r="H860" s="411" t="str">
        <f t="shared" si="227"/>
        <v/>
      </c>
      <c r="I860" s="411" t="str">
        <f t="shared" si="228"/>
        <v/>
      </c>
      <c r="J860" s="411" t="str">
        <f t="shared" si="229"/>
        <v/>
      </c>
      <c r="K860" s="411">
        <f t="shared" si="230"/>
        <v>0.30870000000000003</v>
      </c>
      <c r="L860" s="415">
        <f t="shared" si="223"/>
        <v>1</v>
      </c>
      <c r="M860" s="416"/>
      <c r="N860" s="416"/>
      <c r="O860" s="416"/>
      <c r="P860" s="416">
        <v>1</v>
      </c>
      <c r="Q860" s="382"/>
      <c r="R860" s="385" t="str">
        <f t="shared" si="226"/>
        <v>T</v>
      </c>
      <c r="S860" s="389"/>
      <c r="T860" s="389"/>
      <c r="U860" s="389"/>
      <c r="V860" s="389"/>
      <c r="W860" s="389"/>
      <c r="X860" s="389"/>
      <c r="Y860" s="389"/>
      <c r="Z860" s="389"/>
      <c r="AA860" s="389"/>
      <c r="AB860" s="389"/>
      <c r="AC860" s="389"/>
      <c r="AD860" s="389"/>
      <c r="AE860" s="389"/>
      <c r="AF860" s="389"/>
    </row>
    <row r="861" spans="1:32" hidden="1" outlineLevel="3">
      <c r="A861" s="382"/>
      <c r="B861" s="397" t="s">
        <v>447</v>
      </c>
      <c r="C861" s="397" t="s">
        <v>447</v>
      </c>
      <c r="D861" s="382" t="s">
        <v>18</v>
      </c>
      <c r="E861" s="397" t="s">
        <v>72</v>
      </c>
      <c r="F861" s="447" t="s">
        <v>444</v>
      </c>
      <c r="G861" s="415">
        <v>0.30870000000000003</v>
      </c>
      <c r="H861" s="411" t="str">
        <f t="shared" si="227"/>
        <v/>
      </c>
      <c r="I861" s="411" t="str">
        <f t="shared" si="228"/>
        <v/>
      </c>
      <c r="J861" s="411" t="str">
        <f t="shared" si="229"/>
        <v/>
      </c>
      <c r="K861" s="411">
        <f t="shared" si="230"/>
        <v>0.30870000000000003</v>
      </c>
      <c r="L861" s="415">
        <f t="shared" si="223"/>
        <v>1</v>
      </c>
      <c r="M861" s="416"/>
      <c r="N861" s="416"/>
      <c r="O861" s="416"/>
      <c r="P861" s="416">
        <v>1</v>
      </c>
      <c r="Q861" s="382"/>
      <c r="R861" s="385" t="str">
        <f t="shared" si="226"/>
        <v>T</v>
      </c>
      <c r="S861" s="389"/>
      <c r="T861" s="389"/>
      <c r="U861" s="389"/>
      <c r="V861" s="389"/>
      <c r="W861" s="389"/>
      <c r="X861" s="389"/>
      <c r="Y861" s="389"/>
      <c r="Z861" s="389"/>
      <c r="AA861" s="389"/>
      <c r="AB861" s="389"/>
      <c r="AC861" s="389"/>
      <c r="AD861" s="389"/>
      <c r="AE861" s="389"/>
      <c r="AF861" s="389"/>
    </row>
    <row r="862" spans="1:32" hidden="1" outlineLevel="2" collapsed="1">
      <c r="A862" s="382"/>
      <c r="B862" s="397" t="s">
        <v>447</v>
      </c>
      <c r="C862" s="397" t="s">
        <v>447</v>
      </c>
      <c r="D862" s="382" t="s">
        <v>26</v>
      </c>
      <c r="E862" s="382"/>
      <c r="F862" s="447" t="s">
        <v>442</v>
      </c>
      <c r="G862" s="415">
        <f>SUM(G863:G867)</f>
        <v>1.6024024240000001</v>
      </c>
      <c r="H862" s="415">
        <f>SUM(H863:H867)</f>
        <v>0.52072521199999999</v>
      </c>
      <c r="I862" s="415">
        <f>SUM(I863:I867)</f>
        <v>0.52072521199999999</v>
      </c>
      <c r="J862" s="415">
        <f>SUM(J863:J867)</f>
        <v>0.37396800000000002</v>
      </c>
      <c r="K862" s="415">
        <f>SUM(K863:K867)</f>
        <v>0.18698400000000001</v>
      </c>
      <c r="L862" s="415">
        <f t="shared" si="223"/>
        <v>5</v>
      </c>
      <c r="M862" s="416">
        <f>SUM(M863:M867)</f>
        <v>1</v>
      </c>
      <c r="N862" s="416">
        <f>SUM(N863:N867)</f>
        <v>1</v>
      </c>
      <c r="O862" s="416">
        <f>SUM(O863:O867)</f>
        <v>2</v>
      </c>
      <c r="P862" s="416">
        <f>SUM(P863:P867)</f>
        <v>1</v>
      </c>
      <c r="Q862" s="382"/>
      <c r="R862" s="385" t="str">
        <f t="shared" si="226"/>
        <v>T</v>
      </c>
      <c r="S862" s="389"/>
      <c r="T862" s="389"/>
      <c r="U862" s="389"/>
      <c r="V862" s="389"/>
      <c r="W862" s="389"/>
      <c r="X862" s="389"/>
      <c r="Y862" s="389"/>
      <c r="Z862" s="389"/>
      <c r="AA862" s="389"/>
      <c r="AB862" s="389"/>
      <c r="AC862" s="389"/>
      <c r="AD862" s="389"/>
      <c r="AE862" s="389"/>
      <c r="AF862" s="389"/>
    </row>
    <row r="863" spans="1:32" hidden="1" outlineLevel="3">
      <c r="A863" s="382"/>
      <c r="B863" s="397" t="s">
        <v>447</v>
      </c>
      <c r="C863" s="397" t="s">
        <v>447</v>
      </c>
      <c r="D863" s="382" t="s">
        <v>26</v>
      </c>
      <c r="E863" s="382" t="s">
        <v>27</v>
      </c>
      <c r="F863" s="447" t="s">
        <v>32</v>
      </c>
      <c r="G863" s="415">
        <v>0.52072521199999999</v>
      </c>
      <c r="H863" s="411">
        <f t="shared" ref="H863:K867" si="231">IF(M863=1,$G863,"")</f>
        <v>0.52072521199999999</v>
      </c>
      <c r="I863" s="411" t="str">
        <f t="shared" si="231"/>
        <v/>
      </c>
      <c r="J863" s="411" t="str">
        <f t="shared" si="231"/>
        <v/>
      </c>
      <c r="K863" s="411" t="str">
        <f t="shared" si="231"/>
        <v/>
      </c>
      <c r="L863" s="415">
        <f t="shared" si="223"/>
        <v>1</v>
      </c>
      <c r="M863" s="416">
        <v>1</v>
      </c>
      <c r="N863" s="416"/>
      <c r="O863" s="416"/>
      <c r="P863" s="416"/>
      <c r="Q863" s="382"/>
      <c r="R863" s="385" t="str">
        <f t="shared" si="226"/>
        <v>T</v>
      </c>
      <c r="S863" s="389"/>
      <c r="T863" s="389"/>
      <c r="U863" s="389"/>
      <c r="V863" s="389"/>
      <c r="W863" s="389"/>
      <c r="X863" s="389"/>
      <c r="Y863" s="389"/>
      <c r="Z863" s="389"/>
      <c r="AA863" s="389"/>
      <c r="AB863" s="389"/>
      <c r="AC863" s="389"/>
      <c r="AD863" s="389"/>
      <c r="AE863" s="389"/>
      <c r="AF863" s="389"/>
    </row>
    <row r="864" spans="1:32" hidden="1" outlineLevel="3">
      <c r="A864" s="382"/>
      <c r="B864" s="397" t="s">
        <v>447</v>
      </c>
      <c r="C864" s="397" t="s">
        <v>447</v>
      </c>
      <c r="D864" s="382" t="s">
        <v>26</v>
      </c>
      <c r="E864" s="382" t="s">
        <v>27</v>
      </c>
      <c r="F864" s="447" t="s">
        <v>66</v>
      </c>
      <c r="G864" s="415">
        <v>0.52072521199999999</v>
      </c>
      <c r="H864" s="411" t="str">
        <f t="shared" si="231"/>
        <v/>
      </c>
      <c r="I864" s="411">
        <f t="shared" si="231"/>
        <v>0.52072521199999999</v>
      </c>
      <c r="J864" s="411" t="str">
        <f t="shared" si="231"/>
        <v/>
      </c>
      <c r="K864" s="411" t="str">
        <f t="shared" si="231"/>
        <v/>
      </c>
      <c r="L864" s="415">
        <f t="shared" si="223"/>
        <v>1</v>
      </c>
      <c r="M864" s="416"/>
      <c r="N864" s="416">
        <v>1</v>
      </c>
      <c r="O864" s="416"/>
      <c r="P864" s="416"/>
      <c r="Q864" s="382"/>
      <c r="R864" s="385" t="str">
        <f t="shared" si="226"/>
        <v>T</v>
      </c>
      <c r="S864" s="389"/>
      <c r="T864" s="389"/>
      <c r="U864" s="389"/>
      <c r="V864" s="389"/>
      <c r="W864" s="389"/>
      <c r="X864" s="389"/>
      <c r="Y864" s="389"/>
      <c r="Z864" s="389"/>
      <c r="AA864" s="389"/>
      <c r="AB864" s="389"/>
      <c r="AC864" s="389"/>
      <c r="AD864" s="389"/>
      <c r="AE864" s="389"/>
      <c r="AF864" s="389"/>
    </row>
    <row r="865" spans="1:32" hidden="1" outlineLevel="3">
      <c r="A865" s="382"/>
      <c r="B865" s="397" t="s">
        <v>447</v>
      </c>
      <c r="C865" s="397" t="s">
        <v>447</v>
      </c>
      <c r="D865" s="382" t="s">
        <v>26</v>
      </c>
      <c r="E865" s="382" t="s">
        <v>27</v>
      </c>
      <c r="F865" s="447" t="s">
        <v>355</v>
      </c>
      <c r="G865" s="415">
        <v>0.18698400000000001</v>
      </c>
      <c r="H865" s="411" t="str">
        <f t="shared" si="231"/>
        <v/>
      </c>
      <c r="I865" s="411" t="str">
        <f t="shared" si="231"/>
        <v/>
      </c>
      <c r="J865" s="411">
        <f t="shared" si="231"/>
        <v>0.18698400000000001</v>
      </c>
      <c r="K865" s="411" t="str">
        <f t="shared" si="231"/>
        <v/>
      </c>
      <c r="L865" s="415">
        <f t="shared" si="223"/>
        <v>1</v>
      </c>
      <c r="M865" s="416"/>
      <c r="N865" s="416"/>
      <c r="O865" s="416">
        <v>1</v>
      </c>
      <c r="P865" s="416"/>
      <c r="Q865" s="382"/>
      <c r="R865" s="385" t="str">
        <f t="shared" si="226"/>
        <v>T</v>
      </c>
      <c r="S865" s="389"/>
      <c r="T865" s="389"/>
      <c r="U865" s="389"/>
      <c r="V865" s="389"/>
      <c r="W865" s="389"/>
      <c r="X865" s="389"/>
      <c r="Y865" s="389"/>
      <c r="Z865" s="389"/>
      <c r="AA865" s="389"/>
      <c r="AB865" s="389"/>
      <c r="AC865" s="389"/>
      <c r="AD865" s="389"/>
      <c r="AE865" s="389"/>
      <c r="AF865" s="389"/>
    </row>
    <row r="866" spans="1:32" hidden="1" outlineLevel="3">
      <c r="A866" s="382"/>
      <c r="B866" s="397" t="s">
        <v>447</v>
      </c>
      <c r="C866" s="397" t="s">
        <v>447</v>
      </c>
      <c r="D866" s="382" t="s">
        <v>26</v>
      </c>
      <c r="E866" s="382" t="s">
        <v>27</v>
      </c>
      <c r="F866" s="447" t="s">
        <v>356</v>
      </c>
      <c r="G866" s="415">
        <v>0.18698400000000001</v>
      </c>
      <c r="H866" s="411" t="str">
        <f t="shared" si="231"/>
        <v/>
      </c>
      <c r="I866" s="411" t="str">
        <f t="shared" si="231"/>
        <v/>
      </c>
      <c r="J866" s="411">
        <f t="shared" si="231"/>
        <v>0.18698400000000001</v>
      </c>
      <c r="K866" s="411" t="str">
        <f t="shared" si="231"/>
        <v/>
      </c>
      <c r="L866" s="415">
        <f t="shared" si="223"/>
        <v>1</v>
      </c>
      <c r="M866" s="416"/>
      <c r="N866" s="416"/>
      <c r="O866" s="416">
        <v>1</v>
      </c>
      <c r="P866" s="416"/>
      <c r="Q866" s="382"/>
      <c r="R866" s="385" t="str">
        <f t="shared" si="226"/>
        <v>T</v>
      </c>
      <c r="S866" s="389"/>
      <c r="T866" s="389"/>
      <c r="U866" s="389"/>
      <c r="V866" s="389"/>
      <c r="W866" s="389"/>
      <c r="X866" s="389"/>
      <c r="Y866" s="389"/>
      <c r="Z866" s="389"/>
      <c r="AA866" s="389"/>
      <c r="AB866" s="389"/>
      <c r="AC866" s="389"/>
      <c r="AD866" s="389"/>
      <c r="AE866" s="389"/>
      <c r="AF866" s="389"/>
    </row>
    <row r="867" spans="1:32" hidden="1" outlineLevel="3">
      <c r="A867" s="382"/>
      <c r="B867" s="397" t="s">
        <v>447</v>
      </c>
      <c r="C867" s="397" t="s">
        <v>447</v>
      </c>
      <c r="D867" s="382" t="s">
        <v>26</v>
      </c>
      <c r="E867" s="382" t="s">
        <v>27</v>
      </c>
      <c r="F867" s="447" t="s">
        <v>443</v>
      </c>
      <c r="G867" s="415">
        <v>0.18698400000000001</v>
      </c>
      <c r="H867" s="411" t="str">
        <f t="shared" si="231"/>
        <v/>
      </c>
      <c r="I867" s="411" t="str">
        <f t="shared" si="231"/>
        <v/>
      </c>
      <c r="J867" s="411" t="str">
        <f t="shared" si="231"/>
        <v/>
      </c>
      <c r="K867" s="411">
        <f t="shared" si="231"/>
        <v>0.18698400000000001</v>
      </c>
      <c r="L867" s="415">
        <f t="shared" si="223"/>
        <v>1</v>
      </c>
      <c r="M867" s="416"/>
      <c r="N867" s="416"/>
      <c r="O867" s="416"/>
      <c r="P867" s="416">
        <v>1</v>
      </c>
      <c r="Q867" s="382"/>
      <c r="R867" s="385" t="str">
        <f t="shared" si="226"/>
        <v>T</v>
      </c>
      <c r="S867" s="389"/>
      <c r="T867" s="389"/>
      <c r="U867" s="389"/>
      <c r="V867" s="389"/>
      <c r="W867" s="389"/>
      <c r="X867" s="389"/>
      <c r="Y867" s="389"/>
      <c r="Z867" s="389"/>
      <c r="AA867" s="389"/>
      <c r="AB867" s="389"/>
      <c r="AC867" s="389"/>
      <c r="AD867" s="389"/>
      <c r="AE867" s="389"/>
      <c r="AF867" s="389"/>
    </row>
    <row r="868" spans="1:32" hidden="1" outlineLevel="2" collapsed="1">
      <c r="A868" s="382"/>
      <c r="B868" s="397" t="s">
        <v>447</v>
      </c>
      <c r="C868" s="397" t="s">
        <v>447</v>
      </c>
      <c r="D868" s="382" t="s">
        <v>28</v>
      </c>
      <c r="E868" s="382"/>
      <c r="F868" s="447" t="s">
        <v>449</v>
      </c>
      <c r="G868" s="415">
        <f>SUM(G869:G873)</f>
        <v>0.85106042700000017</v>
      </c>
      <c r="H868" s="415">
        <f>SUM(H869:H873)</f>
        <v>0.28983761800000002</v>
      </c>
      <c r="I868" s="415">
        <f>SUM(I869:I873)</f>
        <v>0.14491880900000001</v>
      </c>
      <c r="J868" s="415">
        <f>SUM(J869:J873)</f>
        <v>0.10407600000000002</v>
      </c>
      <c r="K868" s="415">
        <f>SUM(K869:K873)</f>
        <v>0.31222800000000001</v>
      </c>
      <c r="L868" s="415">
        <f t="shared" si="223"/>
        <v>5</v>
      </c>
      <c r="M868" s="416">
        <f>SUM(M869:M873)</f>
        <v>2</v>
      </c>
      <c r="N868" s="416">
        <f>SUM(N869:N873)</f>
        <v>1</v>
      </c>
      <c r="O868" s="416">
        <f>SUM(O869:O873)</f>
        <v>1</v>
      </c>
      <c r="P868" s="416">
        <f>SUM(P869:P873)</f>
        <v>1</v>
      </c>
      <c r="Q868" s="382"/>
      <c r="R868" s="385" t="str">
        <f t="shared" si="226"/>
        <v>T</v>
      </c>
      <c r="S868" s="389"/>
      <c r="T868" s="389"/>
      <c r="U868" s="389"/>
      <c r="V868" s="389"/>
      <c r="W868" s="389"/>
      <c r="X868" s="389"/>
      <c r="Y868" s="389"/>
      <c r="Z868" s="389"/>
      <c r="AA868" s="389"/>
      <c r="AB868" s="389"/>
      <c r="AC868" s="389"/>
      <c r="AD868" s="389"/>
      <c r="AE868" s="389"/>
      <c r="AF868" s="389"/>
    </row>
    <row r="869" spans="1:32" hidden="1" outlineLevel="3">
      <c r="A869" s="382"/>
      <c r="B869" s="397" t="s">
        <v>447</v>
      </c>
      <c r="C869" s="397" t="s">
        <v>447</v>
      </c>
      <c r="D869" s="382" t="s">
        <v>28</v>
      </c>
      <c r="E869" s="382" t="s">
        <v>29</v>
      </c>
      <c r="F869" s="447" t="s">
        <v>32</v>
      </c>
      <c r="G869" s="415">
        <v>0.14491880900000001</v>
      </c>
      <c r="H869" s="411">
        <f t="shared" ref="H869:K873" si="232">IF(M869=1,$G869,"")</f>
        <v>0.14491880900000001</v>
      </c>
      <c r="I869" s="411" t="str">
        <f t="shared" si="232"/>
        <v/>
      </c>
      <c r="J869" s="411" t="str">
        <f t="shared" si="232"/>
        <v/>
      </c>
      <c r="K869" s="411" t="str">
        <f t="shared" si="232"/>
        <v/>
      </c>
      <c r="L869" s="415">
        <f t="shared" si="223"/>
        <v>1</v>
      </c>
      <c r="M869" s="416">
        <v>1</v>
      </c>
      <c r="N869" s="416"/>
      <c r="O869" s="416"/>
      <c r="P869" s="416"/>
      <c r="Q869" s="382"/>
      <c r="R869" s="385" t="str">
        <f t="shared" ref="R869:R881" si="233">IF(SUM(M869:P869)=L869,"T","F")</f>
        <v>T</v>
      </c>
      <c r="S869" s="389"/>
      <c r="T869" s="389"/>
      <c r="U869" s="389"/>
      <c r="V869" s="389"/>
      <c r="W869" s="389"/>
      <c r="X869" s="389"/>
      <c r="Y869" s="389"/>
      <c r="Z869" s="389"/>
      <c r="AA869" s="389"/>
      <c r="AB869" s="389"/>
      <c r="AC869" s="389"/>
      <c r="AD869" s="389"/>
      <c r="AE869" s="389"/>
      <c r="AF869" s="389"/>
    </row>
    <row r="870" spans="1:32" hidden="1" outlineLevel="3">
      <c r="A870" s="382"/>
      <c r="B870" s="397" t="s">
        <v>447</v>
      </c>
      <c r="C870" s="397" t="s">
        <v>447</v>
      </c>
      <c r="D870" s="382" t="s">
        <v>28</v>
      </c>
      <c r="E870" s="382" t="s">
        <v>29</v>
      </c>
      <c r="F870" s="447" t="s">
        <v>34</v>
      </c>
      <c r="G870" s="415">
        <v>0.14491880900000001</v>
      </c>
      <c r="H870" s="411" t="str">
        <f t="shared" si="232"/>
        <v/>
      </c>
      <c r="I870" s="411">
        <f t="shared" si="232"/>
        <v>0.14491880900000001</v>
      </c>
      <c r="J870" s="411" t="str">
        <f t="shared" si="232"/>
        <v/>
      </c>
      <c r="K870" s="411" t="str">
        <f t="shared" si="232"/>
        <v/>
      </c>
      <c r="L870" s="415">
        <f t="shared" si="223"/>
        <v>1</v>
      </c>
      <c r="M870" s="416"/>
      <c r="N870" s="416">
        <v>1</v>
      </c>
      <c r="O870" s="416"/>
      <c r="P870" s="416"/>
      <c r="Q870" s="382"/>
      <c r="R870" s="385" t="str">
        <f t="shared" si="233"/>
        <v>T</v>
      </c>
      <c r="S870" s="389"/>
      <c r="T870" s="389"/>
      <c r="U870" s="389"/>
      <c r="V870" s="389"/>
      <c r="W870" s="389"/>
      <c r="X870" s="389"/>
      <c r="Y870" s="389"/>
      <c r="Z870" s="389"/>
      <c r="AA870" s="389"/>
      <c r="AB870" s="389"/>
      <c r="AC870" s="389"/>
      <c r="AD870" s="389"/>
      <c r="AE870" s="389"/>
      <c r="AF870" s="389"/>
    </row>
    <row r="871" spans="1:32" hidden="1" outlineLevel="3">
      <c r="A871" s="382"/>
      <c r="B871" s="397" t="s">
        <v>447</v>
      </c>
      <c r="C871" s="397" t="s">
        <v>447</v>
      </c>
      <c r="D871" s="382" t="s">
        <v>28</v>
      </c>
      <c r="E871" s="382" t="s">
        <v>29</v>
      </c>
      <c r="F871" s="447" t="s">
        <v>33</v>
      </c>
      <c r="G871" s="415">
        <v>0.14491880900000001</v>
      </c>
      <c r="H871" s="411">
        <f t="shared" si="232"/>
        <v>0.14491880900000001</v>
      </c>
      <c r="I871" s="411" t="str">
        <f t="shared" si="232"/>
        <v/>
      </c>
      <c r="J871" s="411" t="str">
        <f t="shared" si="232"/>
        <v/>
      </c>
      <c r="K871" s="411" t="str">
        <f t="shared" si="232"/>
        <v/>
      </c>
      <c r="L871" s="415">
        <f t="shared" si="223"/>
        <v>1</v>
      </c>
      <c r="M871" s="416">
        <v>1</v>
      </c>
      <c r="N871" s="416"/>
      <c r="O871" s="416"/>
      <c r="P871" s="416"/>
      <c r="Q871" s="382"/>
      <c r="R871" s="385" t="str">
        <f t="shared" si="233"/>
        <v>T</v>
      </c>
      <c r="S871" s="389"/>
      <c r="T871" s="389"/>
      <c r="U871" s="389"/>
      <c r="V871" s="389"/>
      <c r="W871" s="389"/>
      <c r="X871" s="389"/>
      <c r="Y871" s="389"/>
      <c r="Z871" s="389"/>
      <c r="AA871" s="389"/>
      <c r="AB871" s="389"/>
      <c r="AC871" s="389"/>
      <c r="AD871" s="389"/>
      <c r="AE871" s="389"/>
      <c r="AF871" s="389"/>
    </row>
    <row r="872" spans="1:32" hidden="1" outlineLevel="3">
      <c r="A872" s="382"/>
      <c r="B872" s="397" t="s">
        <v>447</v>
      </c>
      <c r="C872" s="397" t="s">
        <v>447</v>
      </c>
      <c r="D872" s="382" t="s">
        <v>28</v>
      </c>
      <c r="E872" s="382" t="s">
        <v>29</v>
      </c>
      <c r="F872" s="447" t="s">
        <v>355</v>
      </c>
      <c r="G872" s="415">
        <v>0.10407600000000002</v>
      </c>
      <c r="H872" s="411" t="str">
        <f t="shared" si="232"/>
        <v/>
      </c>
      <c r="I872" s="411" t="str">
        <f t="shared" si="232"/>
        <v/>
      </c>
      <c r="J872" s="411">
        <f t="shared" si="232"/>
        <v>0.10407600000000002</v>
      </c>
      <c r="K872" s="411" t="str">
        <f t="shared" si="232"/>
        <v/>
      </c>
      <c r="L872" s="415">
        <f t="shared" si="223"/>
        <v>1</v>
      </c>
      <c r="M872" s="416"/>
      <c r="N872" s="416"/>
      <c r="O872" s="416">
        <v>1</v>
      </c>
      <c r="P872" s="416"/>
      <c r="Q872" s="382"/>
      <c r="R872" s="385" t="str">
        <f t="shared" si="233"/>
        <v>T</v>
      </c>
      <c r="S872" s="389"/>
      <c r="T872" s="389"/>
      <c r="U872" s="389"/>
      <c r="V872" s="389"/>
      <c r="W872" s="389"/>
      <c r="X872" s="389"/>
      <c r="Y872" s="389"/>
      <c r="Z872" s="389"/>
      <c r="AA872" s="389"/>
      <c r="AB872" s="389"/>
      <c r="AC872" s="389"/>
      <c r="AD872" s="389"/>
      <c r="AE872" s="389"/>
      <c r="AF872" s="389"/>
    </row>
    <row r="873" spans="1:32" hidden="1" outlineLevel="3">
      <c r="A873" s="382"/>
      <c r="B873" s="397" t="s">
        <v>447</v>
      </c>
      <c r="C873" s="397" t="s">
        <v>447</v>
      </c>
      <c r="D873" s="382" t="s">
        <v>28</v>
      </c>
      <c r="E873" s="382" t="s">
        <v>29</v>
      </c>
      <c r="F873" s="447" t="s">
        <v>445</v>
      </c>
      <c r="G873" s="415">
        <v>0.31222800000000001</v>
      </c>
      <c r="H873" s="411" t="str">
        <f t="shared" si="232"/>
        <v/>
      </c>
      <c r="I873" s="411" t="str">
        <f t="shared" si="232"/>
        <v/>
      </c>
      <c r="J873" s="411" t="str">
        <f t="shared" si="232"/>
        <v/>
      </c>
      <c r="K873" s="411">
        <f t="shared" si="232"/>
        <v>0.31222800000000001</v>
      </c>
      <c r="L873" s="415">
        <f t="shared" si="223"/>
        <v>1</v>
      </c>
      <c r="M873" s="416"/>
      <c r="N873" s="416"/>
      <c r="O873" s="416"/>
      <c r="P873" s="416">
        <v>1</v>
      </c>
      <c r="Q873" s="382"/>
      <c r="R873" s="385" t="str">
        <f t="shared" si="233"/>
        <v>T</v>
      </c>
      <c r="S873" s="389"/>
      <c r="T873" s="389"/>
      <c r="U873" s="389"/>
      <c r="V873" s="389"/>
      <c r="W873" s="389"/>
      <c r="X873" s="389"/>
      <c r="Y873" s="389"/>
      <c r="Z873" s="389"/>
      <c r="AA873" s="389"/>
      <c r="AB873" s="389"/>
      <c r="AC873" s="389"/>
      <c r="AD873" s="389"/>
      <c r="AE873" s="389"/>
      <c r="AF873" s="389"/>
    </row>
    <row r="874" spans="1:32" hidden="1" outlineLevel="2" collapsed="1">
      <c r="A874" s="382"/>
      <c r="B874" s="397" t="s">
        <v>447</v>
      </c>
      <c r="C874" s="397" t="s">
        <v>447</v>
      </c>
      <c r="D874" s="382" t="s">
        <v>64</v>
      </c>
      <c r="E874" s="382"/>
      <c r="F874" s="447" t="s">
        <v>449</v>
      </c>
      <c r="G874" s="415">
        <f>SUM(G875:G876)</f>
        <v>0.24316884899999996</v>
      </c>
      <c r="H874" s="415">
        <f>SUM(H875:H876)</f>
        <v>0</v>
      </c>
      <c r="I874" s="415">
        <f>SUM(I875:I876)</f>
        <v>0.12158442449999998</v>
      </c>
      <c r="J874" s="415">
        <f>SUM(J875:J876)</f>
        <v>0.12158442449999998</v>
      </c>
      <c r="K874" s="415">
        <f>SUM(K875:K876)</f>
        <v>0</v>
      </c>
      <c r="L874" s="415">
        <f t="shared" si="223"/>
        <v>2</v>
      </c>
      <c r="M874" s="416">
        <f>SUM(M875:M876)</f>
        <v>0</v>
      </c>
      <c r="N874" s="416">
        <f>SUM(N875:N876)</f>
        <v>1</v>
      </c>
      <c r="O874" s="416">
        <f>SUM(O875:O876)</f>
        <v>1</v>
      </c>
      <c r="P874" s="416">
        <f>SUM(P875:P876)</f>
        <v>0</v>
      </c>
      <c r="Q874" s="382"/>
      <c r="R874" s="385" t="str">
        <f t="shared" si="233"/>
        <v>T</v>
      </c>
      <c r="S874" s="389"/>
      <c r="T874" s="389"/>
      <c r="U874" s="389"/>
      <c r="V874" s="389"/>
      <c r="W874" s="389"/>
      <c r="X874" s="389"/>
      <c r="Y874" s="389"/>
      <c r="Z874" s="389"/>
      <c r="AA874" s="389"/>
      <c r="AB874" s="389"/>
      <c r="AC874" s="389"/>
      <c r="AD874" s="389"/>
      <c r="AE874" s="389"/>
      <c r="AF874" s="389"/>
    </row>
    <row r="875" spans="1:32" hidden="1" outlineLevel="3">
      <c r="A875" s="382"/>
      <c r="B875" s="397" t="s">
        <v>447</v>
      </c>
      <c r="C875" s="397" t="s">
        <v>447</v>
      </c>
      <c r="D875" s="382" t="s">
        <v>64</v>
      </c>
      <c r="E875" s="382" t="s">
        <v>29</v>
      </c>
      <c r="F875" s="447" t="s">
        <v>32</v>
      </c>
      <c r="G875" s="415">
        <v>0.12158442449999998</v>
      </c>
      <c r="H875" s="411" t="str">
        <f t="shared" ref="H875:K876" si="234">IF(M875=1,$G875,"")</f>
        <v/>
      </c>
      <c r="I875" s="411">
        <f t="shared" si="234"/>
        <v>0.12158442449999998</v>
      </c>
      <c r="J875" s="411" t="str">
        <f t="shared" si="234"/>
        <v/>
      </c>
      <c r="K875" s="411" t="str">
        <f t="shared" si="234"/>
        <v/>
      </c>
      <c r="L875" s="415">
        <f t="shared" ref="L875:L876" si="235">SUM(M875:P875)</f>
        <v>1</v>
      </c>
      <c r="M875" s="416"/>
      <c r="N875" s="416">
        <v>1</v>
      </c>
      <c r="O875" s="416"/>
      <c r="P875" s="416"/>
      <c r="Q875" s="382"/>
      <c r="R875" s="385" t="str">
        <f t="shared" si="233"/>
        <v>T</v>
      </c>
      <c r="S875" s="389"/>
      <c r="T875" s="389"/>
      <c r="U875" s="389"/>
      <c r="V875" s="389"/>
      <c r="W875" s="389"/>
      <c r="X875" s="389"/>
      <c r="Y875" s="389"/>
      <c r="Z875" s="389"/>
      <c r="AA875" s="389"/>
      <c r="AB875" s="389"/>
      <c r="AC875" s="389"/>
      <c r="AD875" s="389"/>
      <c r="AE875" s="389"/>
      <c r="AF875" s="389"/>
    </row>
    <row r="876" spans="1:32" hidden="1" outlineLevel="3">
      <c r="A876" s="382"/>
      <c r="B876" s="397" t="s">
        <v>447</v>
      </c>
      <c r="C876" s="397" t="s">
        <v>447</v>
      </c>
      <c r="D876" s="382" t="s">
        <v>64</v>
      </c>
      <c r="E876" s="382" t="s">
        <v>29</v>
      </c>
      <c r="F876" s="447" t="s">
        <v>34</v>
      </c>
      <c r="G876" s="415">
        <v>0.12158442449999998</v>
      </c>
      <c r="H876" s="411" t="str">
        <f t="shared" si="234"/>
        <v/>
      </c>
      <c r="I876" s="411" t="str">
        <f t="shared" si="234"/>
        <v/>
      </c>
      <c r="J876" s="411">
        <f t="shared" si="234"/>
        <v>0.12158442449999998</v>
      </c>
      <c r="K876" s="411" t="str">
        <f t="shared" si="234"/>
        <v/>
      </c>
      <c r="L876" s="415">
        <f t="shared" si="235"/>
        <v>1</v>
      </c>
      <c r="M876" s="416"/>
      <c r="N876" s="416"/>
      <c r="O876" s="416">
        <v>1</v>
      </c>
      <c r="P876" s="416"/>
      <c r="Q876" s="382"/>
      <c r="R876" s="385" t="str">
        <f t="shared" si="233"/>
        <v>T</v>
      </c>
      <c r="S876" s="389"/>
      <c r="T876" s="389"/>
      <c r="U876" s="389"/>
      <c r="V876" s="389"/>
      <c r="W876" s="389"/>
      <c r="X876" s="389"/>
      <c r="Y876" s="389"/>
      <c r="Z876" s="389"/>
      <c r="AA876" s="389"/>
      <c r="AB876" s="389"/>
      <c r="AC876" s="389"/>
      <c r="AD876" s="389"/>
      <c r="AE876" s="389"/>
      <c r="AF876" s="389"/>
    </row>
    <row r="877" spans="1:32" outlineLevel="1" collapsed="1">
      <c r="A877" s="382"/>
      <c r="B877" s="390" t="s">
        <v>319</v>
      </c>
      <c r="C877" s="390" t="s">
        <v>319</v>
      </c>
      <c r="D877" s="395"/>
      <c r="E877" s="390"/>
      <c r="F877" s="442" t="s">
        <v>450</v>
      </c>
      <c r="G877" s="424">
        <f>SUM(G878,G896,G901,G916,G932)</f>
        <v>8.4218550000000043</v>
      </c>
      <c r="H877" s="424">
        <f t="shared" ref="H877:K877" si="236">SUM(H878,H896,H901,H916,H932)</f>
        <v>3.9379500000000003</v>
      </c>
      <c r="I877" s="424">
        <f t="shared" si="236"/>
        <v>1.8971800000000001</v>
      </c>
      <c r="J877" s="424">
        <f t="shared" si="236"/>
        <v>1.6622050000000002</v>
      </c>
      <c r="K877" s="424">
        <f t="shared" si="236"/>
        <v>0.92452000000000012</v>
      </c>
      <c r="L877" s="424">
        <f t="shared" ref="L877:L917" si="237">SUM(M877:P877)</f>
        <v>64</v>
      </c>
      <c r="M877" s="408">
        <f>SUM(M878,M896,M901,M916,M932)</f>
        <v>19</v>
      </c>
      <c r="N877" s="408">
        <f>SUM(N878,N896,N901,N916,N932)</f>
        <v>11</v>
      </c>
      <c r="O877" s="408">
        <f t="shared" ref="O877:P877" si="238">SUM(O878,O896,O901,O916,O932)</f>
        <v>22</v>
      </c>
      <c r="P877" s="408">
        <f t="shared" si="238"/>
        <v>12</v>
      </c>
      <c r="Q877" s="382"/>
      <c r="R877" s="385" t="str">
        <f t="shared" si="233"/>
        <v>T</v>
      </c>
      <c r="S877" s="389" t="s">
        <v>451</v>
      </c>
      <c r="T877" s="389"/>
      <c r="U877" s="389"/>
      <c r="V877" s="389"/>
      <c r="W877" s="389"/>
      <c r="X877" s="389"/>
      <c r="Y877" s="389"/>
      <c r="Z877" s="389"/>
      <c r="AA877" s="389"/>
      <c r="AB877" s="389"/>
      <c r="AC877" s="389"/>
      <c r="AD877" s="389"/>
      <c r="AE877" s="389"/>
      <c r="AF877" s="389"/>
    </row>
    <row r="878" spans="1:32" hidden="1" outlineLevel="2" collapsed="1">
      <c r="A878" s="382"/>
      <c r="B878" s="382" t="s">
        <v>319</v>
      </c>
      <c r="C878" s="386" t="s">
        <v>319</v>
      </c>
      <c r="D878" s="382" t="s">
        <v>202</v>
      </c>
      <c r="E878" s="382"/>
      <c r="F878" s="440" t="s">
        <v>452</v>
      </c>
      <c r="G878" s="411">
        <f>SUM(G879:G895)</f>
        <v>5.6525000000000034</v>
      </c>
      <c r="H878" s="411">
        <f t="shared" ref="H878:K878" si="239">SUM(H879:H895)</f>
        <v>2.7524999999999999</v>
      </c>
      <c r="I878" s="411">
        <f t="shared" si="239"/>
        <v>1.4500000000000002</v>
      </c>
      <c r="J878" s="411">
        <f t="shared" si="239"/>
        <v>0.87000000000000011</v>
      </c>
      <c r="K878" s="411">
        <f t="shared" si="239"/>
        <v>0.58000000000000007</v>
      </c>
      <c r="L878" s="411">
        <f t="shared" si="237"/>
        <v>17</v>
      </c>
      <c r="M878" s="409">
        <f>SUM(M879:M895)</f>
        <v>6</v>
      </c>
      <c r="N878" s="409">
        <f t="shared" ref="N878:P878" si="240">SUM(N879:N895)</f>
        <v>3</v>
      </c>
      <c r="O878" s="409">
        <f t="shared" si="240"/>
        <v>5</v>
      </c>
      <c r="P878" s="409">
        <f t="shared" si="240"/>
        <v>3</v>
      </c>
      <c r="Q878" s="382"/>
      <c r="R878" s="385" t="str">
        <f t="shared" si="233"/>
        <v>T</v>
      </c>
      <c r="S878" s="389"/>
      <c r="T878" s="389"/>
      <c r="U878" s="389"/>
      <c r="V878" s="389"/>
      <c r="W878" s="389"/>
      <c r="X878" s="389"/>
      <c r="Y878" s="389"/>
      <c r="Z878" s="389"/>
      <c r="AA878" s="389"/>
      <c r="AB878" s="389"/>
      <c r="AC878" s="389"/>
      <c r="AD878" s="389"/>
      <c r="AE878" s="389"/>
      <c r="AF878" s="389"/>
    </row>
    <row r="879" spans="1:32" hidden="1" outlineLevel="3">
      <c r="A879" s="382"/>
      <c r="B879" s="382" t="s">
        <v>319</v>
      </c>
      <c r="C879" s="386" t="s">
        <v>319</v>
      </c>
      <c r="D879" s="382" t="s">
        <v>202</v>
      </c>
      <c r="E879" s="382" t="s">
        <v>72</v>
      </c>
      <c r="F879" s="440" t="s">
        <v>453</v>
      </c>
      <c r="G879" s="411">
        <v>0.33750000000000002</v>
      </c>
      <c r="H879" s="411">
        <f t="shared" ref="H879:H900" si="241">IF(M879=1,$G879,"")</f>
        <v>0.33750000000000002</v>
      </c>
      <c r="I879" s="411" t="str">
        <f t="shared" ref="I879:I900" si="242">IF(N879=1,$G879,"")</f>
        <v/>
      </c>
      <c r="J879" s="411" t="str">
        <f t="shared" ref="J879:J900" si="243">IF(O879=1,$G879,"")</f>
        <v/>
      </c>
      <c r="K879" s="411" t="str">
        <f t="shared" ref="K879:K900" si="244">IF(P879=1,$G879,"")</f>
        <v/>
      </c>
      <c r="L879" s="411">
        <f t="shared" si="237"/>
        <v>1</v>
      </c>
      <c r="M879" s="409">
        <v>1</v>
      </c>
      <c r="N879" s="409"/>
      <c r="O879" s="409"/>
      <c r="P879" s="409"/>
      <c r="Q879" s="382"/>
      <c r="R879" s="385" t="str">
        <f t="shared" si="233"/>
        <v>T</v>
      </c>
      <c r="S879" s="389"/>
      <c r="T879" s="389"/>
      <c r="U879" s="389"/>
      <c r="V879" s="389"/>
      <c r="W879" s="389"/>
      <c r="X879" s="389"/>
      <c r="Y879" s="389"/>
      <c r="Z879" s="389"/>
      <c r="AA879" s="389"/>
      <c r="AB879" s="389"/>
      <c r="AC879" s="389"/>
      <c r="AD879" s="389"/>
      <c r="AE879" s="389"/>
      <c r="AF879" s="389"/>
    </row>
    <row r="880" spans="1:32" hidden="1" outlineLevel="3">
      <c r="A880" s="382"/>
      <c r="B880" s="382" t="s">
        <v>319</v>
      </c>
      <c r="C880" s="386" t="s">
        <v>319</v>
      </c>
      <c r="D880" s="382" t="s">
        <v>202</v>
      </c>
      <c r="E880" s="382" t="s">
        <v>72</v>
      </c>
      <c r="F880" s="440" t="s">
        <v>32</v>
      </c>
      <c r="G880" s="411">
        <v>0.58000000000000007</v>
      </c>
      <c r="H880" s="411">
        <f t="shared" si="241"/>
        <v>0.58000000000000007</v>
      </c>
      <c r="I880" s="411" t="str">
        <f t="shared" si="242"/>
        <v/>
      </c>
      <c r="J880" s="411" t="str">
        <f t="shared" si="243"/>
        <v/>
      </c>
      <c r="K880" s="411" t="str">
        <f t="shared" si="244"/>
        <v/>
      </c>
      <c r="L880" s="411">
        <f t="shared" si="237"/>
        <v>1</v>
      </c>
      <c r="M880" s="388">
        <v>1</v>
      </c>
      <c r="N880" s="388"/>
      <c r="O880" s="388"/>
      <c r="P880" s="388"/>
      <c r="Q880" s="382"/>
      <c r="R880" s="385" t="str">
        <f t="shared" si="233"/>
        <v>T</v>
      </c>
      <c r="S880" s="389"/>
      <c r="T880" s="389"/>
      <c r="U880" s="389"/>
      <c r="V880" s="389"/>
      <c r="W880" s="389"/>
      <c r="X880" s="389"/>
      <c r="Y880" s="389"/>
      <c r="Z880" s="389"/>
      <c r="AA880" s="389"/>
      <c r="AB880" s="389"/>
      <c r="AC880" s="389"/>
      <c r="AD880" s="389"/>
      <c r="AE880" s="389"/>
      <c r="AF880" s="389"/>
    </row>
    <row r="881" spans="1:32" hidden="1" outlineLevel="3">
      <c r="A881" s="382"/>
      <c r="B881" s="382" t="s">
        <v>319</v>
      </c>
      <c r="C881" s="386" t="s">
        <v>319</v>
      </c>
      <c r="D881" s="382" t="s">
        <v>202</v>
      </c>
      <c r="E881" s="382" t="s">
        <v>72</v>
      </c>
      <c r="F881" s="440" t="s">
        <v>454</v>
      </c>
      <c r="G881" s="411">
        <v>0.58000000000000007</v>
      </c>
      <c r="H881" s="411">
        <f t="shared" si="241"/>
        <v>0.58000000000000007</v>
      </c>
      <c r="I881" s="411" t="str">
        <f t="shared" si="242"/>
        <v/>
      </c>
      <c r="J881" s="411" t="str">
        <f t="shared" si="243"/>
        <v/>
      </c>
      <c r="K881" s="411" t="str">
        <f t="shared" si="244"/>
        <v/>
      </c>
      <c r="L881" s="411">
        <f t="shared" si="237"/>
        <v>1</v>
      </c>
      <c r="M881" s="409">
        <v>1</v>
      </c>
      <c r="N881" s="409"/>
      <c r="O881" s="409"/>
      <c r="P881" s="409"/>
      <c r="Q881" s="382"/>
      <c r="R881" s="385" t="str">
        <f t="shared" si="233"/>
        <v>T</v>
      </c>
      <c r="S881" s="389"/>
      <c r="T881" s="389"/>
      <c r="U881" s="389"/>
      <c r="V881" s="389"/>
      <c r="W881" s="389"/>
      <c r="X881" s="389"/>
      <c r="Y881" s="389"/>
      <c r="Z881" s="389"/>
      <c r="AA881" s="389"/>
      <c r="AB881" s="389"/>
      <c r="AC881" s="389"/>
      <c r="AD881" s="389"/>
      <c r="AE881" s="389"/>
      <c r="AF881" s="389"/>
    </row>
    <row r="882" spans="1:32" hidden="1" outlineLevel="3">
      <c r="A882" s="382"/>
      <c r="B882" s="382" t="s">
        <v>319</v>
      </c>
      <c r="C882" s="386" t="s">
        <v>319</v>
      </c>
      <c r="D882" s="382" t="s">
        <v>202</v>
      </c>
      <c r="E882" s="382" t="s">
        <v>72</v>
      </c>
      <c r="F882" s="440" t="s">
        <v>455</v>
      </c>
      <c r="G882" s="411">
        <v>0.58000000000000007</v>
      </c>
      <c r="H882" s="411">
        <f t="shared" si="241"/>
        <v>0.58000000000000007</v>
      </c>
      <c r="I882" s="411" t="str">
        <f t="shared" si="242"/>
        <v/>
      </c>
      <c r="J882" s="411" t="str">
        <f t="shared" si="243"/>
        <v/>
      </c>
      <c r="K882" s="411" t="str">
        <f t="shared" si="244"/>
        <v/>
      </c>
      <c r="L882" s="411">
        <f t="shared" si="237"/>
        <v>1</v>
      </c>
      <c r="M882" s="409">
        <v>1</v>
      </c>
      <c r="N882" s="409"/>
      <c r="O882" s="409"/>
      <c r="P882" s="409"/>
      <c r="Q882" s="382"/>
      <c r="R882" s="385" t="str">
        <f t="shared" ref="R882:R940" si="245">IF(SUM(M882:P882)=L882,"T","F")</f>
        <v>T</v>
      </c>
      <c r="S882" s="389"/>
      <c r="T882" s="389"/>
      <c r="U882" s="389"/>
      <c r="V882" s="389"/>
      <c r="W882" s="389"/>
      <c r="X882" s="389"/>
      <c r="Y882" s="389"/>
      <c r="Z882" s="389"/>
      <c r="AA882" s="389"/>
      <c r="AB882" s="389"/>
      <c r="AC882" s="389"/>
      <c r="AD882" s="389"/>
      <c r="AE882" s="389"/>
      <c r="AF882" s="389"/>
    </row>
    <row r="883" spans="1:32" hidden="1" outlineLevel="3">
      <c r="A883" s="382"/>
      <c r="B883" s="382" t="s">
        <v>319</v>
      </c>
      <c r="C883" s="386" t="s">
        <v>319</v>
      </c>
      <c r="D883" s="382" t="s">
        <v>202</v>
      </c>
      <c r="E883" s="382" t="s">
        <v>72</v>
      </c>
      <c r="F883" s="440" t="s">
        <v>335</v>
      </c>
      <c r="G883" s="411">
        <v>0.33750000000000002</v>
      </c>
      <c r="H883" s="411">
        <f t="shared" si="241"/>
        <v>0.33750000000000002</v>
      </c>
      <c r="I883" s="411" t="str">
        <f t="shared" si="242"/>
        <v/>
      </c>
      <c r="J883" s="411" t="str">
        <f t="shared" si="243"/>
        <v/>
      </c>
      <c r="K883" s="411" t="str">
        <f t="shared" si="244"/>
        <v/>
      </c>
      <c r="L883" s="411">
        <f t="shared" si="237"/>
        <v>1</v>
      </c>
      <c r="M883" s="409">
        <v>1</v>
      </c>
      <c r="N883" s="409"/>
      <c r="O883" s="409"/>
      <c r="P883" s="409"/>
      <c r="Q883" s="382"/>
      <c r="R883" s="385" t="str">
        <f t="shared" si="245"/>
        <v>T</v>
      </c>
      <c r="S883" s="389"/>
      <c r="T883" s="389"/>
      <c r="U883" s="389"/>
      <c r="V883" s="389"/>
      <c r="W883" s="389"/>
      <c r="X883" s="389"/>
      <c r="Y883" s="389"/>
      <c r="Z883" s="389"/>
      <c r="AA883" s="389"/>
      <c r="AB883" s="389"/>
      <c r="AC883" s="389"/>
      <c r="AD883" s="389"/>
      <c r="AE883" s="389"/>
      <c r="AF883" s="389"/>
    </row>
    <row r="884" spans="1:32" hidden="1" outlineLevel="3">
      <c r="A884" s="382"/>
      <c r="B884" s="382" t="s">
        <v>319</v>
      </c>
      <c r="C884" s="386" t="s">
        <v>319</v>
      </c>
      <c r="D884" s="382" t="s">
        <v>202</v>
      </c>
      <c r="E884" s="382" t="s">
        <v>72</v>
      </c>
      <c r="F884" s="440" t="s">
        <v>456</v>
      </c>
      <c r="G884" s="411">
        <v>0.33750000000000002</v>
      </c>
      <c r="H884" s="411">
        <f t="shared" si="241"/>
        <v>0.33750000000000002</v>
      </c>
      <c r="I884" s="411" t="str">
        <f t="shared" si="242"/>
        <v/>
      </c>
      <c r="J884" s="411" t="str">
        <f t="shared" si="243"/>
        <v/>
      </c>
      <c r="K884" s="411" t="str">
        <f t="shared" si="244"/>
        <v/>
      </c>
      <c r="L884" s="411">
        <f t="shared" si="237"/>
        <v>1</v>
      </c>
      <c r="M884" s="409">
        <v>1</v>
      </c>
      <c r="N884" s="409"/>
      <c r="O884" s="409"/>
      <c r="P884" s="409"/>
      <c r="Q884" s="382"/>
      <c r="R884" s="385" t="str">
        <f t="shared" si="245"/>
        <v>T</v>
      </c>
      <c r="S884" s="389"/>
      <c r="T884" s="389"/>
      <c r="U884" s="389"/>
      <c r="V884" s="389"/>
      <c r="W884" s="389"/>
      <c r="X884" s="389"/>
      <c r="Y884" s="389"/>
      <c r="Z884" s="389"/>
      <c r="AA884" s="389"/>
      <c r="AB884" s="389"/>
      <c r="AC884" s="389"/>
      <c r="AD884" s="389"/>
      <c r="AE884" s="389"/>
      <c r="AF884" s="389"/>
    </row>
    <row r="885" spans="1:32" hidden="1" outlineLevel="3">
      <c r="A885" s="382"/>
      <c r="B885" s="382" t="s">
        <v>319</v>
      </c>
      <c r="C885" s="386" t="s">
        <v>319</v>
      </c>
      <c r="D885" s="382" t="s">
        <v>202</v>
      </c>
      <c r="E885" s="382" t="s">
        <v>72</v>
      </c>
      <c r="F885" s="440" t="s">
        <v>457</v>
      </c>
      <c r="G885" s="411">
        <v>0.58000000000000007</v>
      </c>
      <c r="H885" s="411" t="str">
        <f t="shared" si="241"/>
        <v/>
      </c>
      <c r="I885" s="411">
        <f t="shared" si="242"/>
        <v>0.58000000000000007</v>
      </c>
      <c r="J885" s="411" t="str">
        <f t="shared" si="243"/>
        <v/>
      </c>
      <c r="K885" s="411" t="str">
        <f t="shared" si="244"/>
        <v/>
      </c>
      <c r="L885" s="411">
        <f t="shared" si="237"/>
        <v>1</v>
      </c>
      <c r="M885" s="409"/>
      <c r="N885" s="409">
        <v>1</v>
      </c>
      <c r="O885" s="409"/>
      <c r="P885" s="409"/>
      <c r="Q885" s="382"/>
      <c r="R885" s="385" t="str">
        <f t="shared" si="245"/>
        <v>T</v>
      </c>
      <c r="S885" s="389"/>
      <c r="T885" s="389"/>
      <c r="U885" s="389"/>
      <c r="V885" s="389"/>
      <c r="W885" s="389"/>
      <c r="X885" s="389"/>
      <c r="Y885" s="389"/>
      <c r="Z885" s="389"/>
      <c r="AA885" s="389"/>
      <c r="AB885" s="389"/>
      <c r="AC885" s="389"/>
      <c r="AD885" s="389"/>
      <c r="AE885" s="389"/>
      <c r="AF885" s="389"/>
    </row>
    <row r="886" spans="1:32" hidden="1" outlineLevel="3">
      <c r="A886" s="382"/>
      <c r="B886" s="382" t="s">
        <v>319</v>
      </c>
      <c r="C886" s="386" t="s">
        <v>319</v>
      </c>
      <c r="D886" s="382" t="s">
        <v>202</v>
      </c>
      <c r="E886" s="382" t="s">
        <v>72</v>
      </c>
      <c r="F886" s="440" t="s">
        <v>458</v>
      </c>
      <c r="G886" s="411">
        <v>0.29000000000000004</v>
      </c>
      <c r="H886" s="411" t="str">
        <f t="shared" si="241"/>
        <v/>
      </c>
      <c r="I886" s="411">
        <f t="shared" si="242"/>
        <v>0.29000000000000004</v>
      </c>
      <c r="J886" s="411" t="str">
        <f t="shared" si="243"/>
        <v/>
      </c>
      <c r="K886" s="411" t="str">
        <f t="shared" si="244"/>
        <v/>
      </c>
      <c r="L886" s="411">
        <f>SUM(M886:P886)</f>
        <v>1</v>
      </c>
      <c r="M886" s="409"/>
      <c r="N886" s="409">
        <v>1</v>
      </c>
      <c r="O886" s="409"/>
      <c r="P886" s="409"/>
      <c r="Q886" s="382"/>
      <c r="R886" s="385" t="str">
        <f t="shared" ref="R886" si="246">IF(SUM(M886:P886)=L886,"T","F")</f>
        <v>T</v>
      </c>
      <c r="S886" s="389"/>
      <c r="T886" s="389"/>
      <c r="U886" s="389"/>
      <c r="V886" s="389"/>
      <c r="W886" s="389"/>
      <c r="X886" s="389"/>
      <c r="Y886" s="389"/>
      <c r="Z886" s="389"/>
      <c r="AA886" s="389"/>
      <c r="AB886" s="389"/>
      <c r="AC886" s="389"/>
      <c r="AD886" s="389"/>
      <c r="AE886" s="389"/>
      <c r="AF886" s="389"/>
    </row>
    <row r="887" spans="1:32" hidden="1" outlineLevel="3">
      <c r="A887" s="382"/>
      <c r="B887" s="382" t="s">
        <v>319</v>
      </c>
      <c r="C887" s="386" t="s">
        <v>319</v>
      </c>
      <c r="D887" s="382" t="s">
        <v>202</v>
      </c>
      <c r="E887" s="382" t="s">
        <v>72</v>
      </c>
      <c r="F887" s="440" t="s">
        <v>459</v>
      </c>
      <c r="G887" s="411">
        <v>0.58000000000000007</v>
      </c>
      <c r="H887" s="411" t="str">
        <f t="shared" si="241"/>
        <v/>
      </c>
      <c r="I887" s="411">
        <f t="shared" si="242"/>
        <v>0.58000000000000007</v>
      </c>
      <c r="J887" s="411" t="str">
        <f t="shared" si="243"/>
        <v/>
      </c>
      <c r="K887" s="411" t="str">
        <f t="shared" si="244"/>
        <v/>
      </c>
      <c r="L887" s="411">
        <f t="shared" si="237"/>
        <v>1</v>
      </c>
      <c r="M887" s="409"/>
      <c r="N887" s="409">
        <v>1</v>
      </c>
      <c r="O887" s="409"/>
      <c r="P887" s="409"/>
      <c r="Q887" s="382"/>
      <c r="R887" s="385" t="str">
        <f t="shared" si="245"/>
        <v>T</v>
      </c>
      <c r="S887" s="389"/>
      <c r="T887" s="389"/>
      <c r="U887" s="389"/>
      <c r="V887" s="389"/>
      <c r="W887" s="389"/>
      <c r="X887" s="389"/>
      <c r="Y887" s="389"/>
      <c r="Z887" s="389"/>
      <c r="AA887" s="389"/>
      <c r="AB887" s="389"/>
      <c r="AC887" s="389"/>
      <c r="AD887" s="389"/>
      <c r="AE887" s="389"/>
      <c r="AF887" s="389"/>
    </row>
    <row r="888" spans="1:32" hidden="1" outlineLevel="3">
      <c r="A888" s="382"/>
      <c r="B888" s="382" t="s">
        <v>319</v>
      </c>
      <c r="C888" s="386" t="s">
        <v>319</v>
      </c>
      <c r="D888" s="382" t="s">
        <v>202</v>
      </c>
      <c r="E888" s="382" t="s">
        <v>72</v>
      </c>
      <c r="F888" s="440" t="s">
        <v>460</v>
      </c>
      <c r="G888" s="411">
        <v>0.17400000000000002</v>
      </c>
      <c r="H888" s="411" t="str">
        <f t="shared" si="241"/>
        <v/>
      </c>
      <c r="I888" s="411" t="str">
        <f t="shared" si="242"/>
        <v/>
      </c>
      <c r="J888" s="411">
        <f t="shared" si="243"/>
        <v>0.17400000000000002</v>
      </c>
      <c r="K888" s="411" t="str">
        <f t="shared" si="244"/>
        <v/>
      </c>
      <c r="L888" s="411">
        <f t="shared" si="237"/>
        <v>1</v>
      </c>
      <c r="M888" s="409"/>
      <c r="N888" s="409"/>
      <c r="O888" s="409">
        <v>1</v>
      </c>
      <c r="P888" s="409"/>
      <c r="Q888" s="382"/>
      <c r="R888" s="385" t="str">
        <f t="shared" si="245"/>
        <v>T</v>
      </c>
      <c r="S888" s="389"/>
      <c r="T888" s="389"/>
      <c r="U888" s="389"/>
      <c r="V888" s="389"/>
      <c r="W888" s="389"/>
      <c r="X888" s="389"/>
      <c r="Y888" s="389"/>
      <c r="Z888" s="389"/>
      <c r="AA888" s="389"/>
      <c r="AB888" s="389"/>
      <c r="AC888" s="389"/>
      <c r="AD888" s="389"/>
      <c r="AE888" s="389"/>
      <c r="AF888" s="389"/>
    </row>
    <row r="889" spans="1:32" hidden="1" outlineLevel="3">
      <c r="A889" s="382"/>
      <c r="B889" s="382" t="s">
        <v>319</v>
      </c>
      <c r="C889" s="386" t="s">
        <v>319</v>
      </c>
      <c r="D889" s="382" t="s">
        <v>202</v>
      </c>
      <c r="E889" s="382" t="s">
        <v>72</v>
      </c>
      <c r="F889" s="440" t="s">
        <v>461</v>
      </c>
      <c r="G889" s="387">
        <v>0.17400000000000002</v>
      </c>
      <c r="H889" s="411" t="str">
        <f t="shared" si="241"/>
        <v/>
      </c>
      <c r="I889" s="411" t="str">
        <f t="shared" si="242"/>
        <v/>
      </c>
      <c r="J889" s="411">
        <f t="shared" si="243"/>
        <v>0.17400000000000002</v>
      </c>
      <c r="K889" s="411" t="str">
        <f t="shared" si="244"/>
        <v/>
      </c>
      <c r="L889" s="387">
        <f t="shared" si="237"/>
        <v>1</v>
      </c>
      <c r="M889" s="388"/>
      <c r="N889" s="388"/>
      <c r="O889" s="388">
        <v>1</v>
      </c>
      <c r="P889" s="388"/>
      <c r="Q889" s="382"/>
      <c r="R889" s="385" t="str">
        <f t="shared" si="245"/>
        <v>T</v>
      </c>
      <c r="S889" s="389"/>
      <c r="T889" s="389"/>
      <c r="U889" s="389"/>
      <c r="V889" s="389"/>
      <c r="W889" s="389"/>
      <c r="X889" s="389"/>
      <c r="Y889" s="389"/>
      <c r="Z889" s="389"/>
      <c r="AA889" s="389"/>
      <c r="AB889" s="389"/>
      <c r="AC889" s="389"/>
      <c r="AD889" s="389"/>
      <c r="AE889" s="389"/>
      <c r="AF889" s="389"/>
    </row>
    <row r="890" spans="1:32" hidden="1" outlineLevel="3">
      <c r="A890" s="382"/>
      <c r="B890" s="382" t="s">
        <v>319</v>
      </c>
      <c r="C890" s="386" t="s">
        <v>319</v>
      </c>
      <c r="D890" s="382" t="s">
        <v>202</v>
      </c>
      <c r="E890" s="382" t="s">
        <v>72</v>
      </c>
      <c r="F890" s="440" t="s">
        <v>462</v>
      </c>
      <c r="G890" s="387">
        <v>0.17400000000000002</v>
      </c>
      <c r="H890" s="411" t="str">
        <f t="shared" si="241"/>
        <v/>
      </c>
      <c r="I890" s="411" t="str">
        <f t="shared" si="242"/>
        <v/>
      </c>
      <c r="J890" s="411">
        <f t="shared" si="243"/>
        <v>0.17400000000000002</v>
      </c>
      <c r="K890" s="411" t="str">
        <f t="shared" si="244"/>
        <v/>
      </c>
      <c r="L890" s="387">
        <f t="shared" si="237"/>
        <v>1</v>
      </c>
      <c r="M890" s="388"/>
      <c r="N890" s="388"/>
      <c r="O890" s="388">
        <v>1</v>
      </c>
      <c r="P890" s="388"/>
      <c r="Q890" s="382"/>
      <c r="R890" s="385" t="str">
        <f t="shared" ref="R890" si="247">IF(SUM(M890:P890)=L890,"T","F")</f>
        <v>T</v>
      </c>
      <c r="S890" s="389"/>
      <c r="T890" s="389"/>
      <c r="U890" s="389"/>
      <c r="V890" s="389"/>
      <c r="W890" s="389"/>
      <c r="X890" s="389"/>
      <c r="Y890" s="389"/>
      <c r="Z890" s="389"/>
      <c r="AA890" s="389"/>
      <c r="AB890" s="389"/>
      <c r="AC890" s="389"/>
      <c r="AD890" s="389"/>
      <c r="AE890" s="389"/>
      <c r="AF890" s="389"/>
    </row>
    <row r="891" spans="1:32" hidden="1" outlineLevel="3">
      <c r="A891" s="382"/>
      <c r="B891" s="382" t="s">
        <v>319</v>
      </c>
      <c r="C891" s="386" t="s">
        <v>319</v>
      </c>
      <c r="D891" s="382" t="s">
        <v>202</v>
      </c>
      <c r="E891" s="382" t="s">
        <v>72</v>
      </c>
      <c r="F891" s="440" t="s">
        <v>463</v>
      </c>
      <c r="G891" s="387">
        <v>0.17400000000000002</v>
      </c>
      <c r="H891" s="411" t="str">
        <f t="shared" si="241"/>
        <v/>
      </c>
      <c r="I891" s="411" t="str">
        <f t="shared" si="242"/>
        <v/>
      </c>
      <c r="J891" s="411">
        <f t="shared" si="243"/>
        <v>0.17400000000000002</v>
      </c>
      <c r="K891" s="411" t="str">
        <f t="shared" si="244"/>
        <v/>
      </c>
      <c r="L891" s="387">
        <f t="shared" si="237"/>
        <v>1</v>
      </c>
      <c r="M891" s="388"/>
      <c r="N891" s="388"/>
      <c r="O891" s="388">
        <v>1</v>
      </c>
      <c r="P891" s="388"/>
      <c r="Q891" s="382"/>
      <c r="R891" s="385" t="str">
        <f t="shared" si="245"/>
        <v>T</v>
      </c>
      <c r="S891" s="389"/>
      <c r="T891" s="389"/>
      <c r="U891" s="389"/>
      <c r="V891" s="389"/>
      <c r="W891" s="389"/>
      <c r="X891" s="389"/>
      <c r="Y891" s="389"/>
      <c r="Z891" s="389"/>
      <c r="AA891" s="389"/>
      <c r="AB891" s="389"/>
      <c r="AC891" s="389"/>
      <c r="AD891" s="389"/>
      <c r="AE891" s="389"/>
      <c r="AF891" s="389"/>
    </row>
    <row r="892" spans="1:32" hidden="1" outlineLevel="3">
      <c r="A892" s="382"/>
      <c r="B892" s="382" t="s">
        <v>319</v>
      </c>
      <c r="C892" s="386" t="s">
        <v>319</v>
      </c>
      <c r="D892" s="382" t="s">
        <v>202</v>
      </c>
      <c r="E892" s="382" t="s">
        <v>72</v>
      </c>
      <c r="F892" s="440" t="s">
        <v>464</v>
      </c>
      <c r="G892" s="387">
        <v>0.17400000000000002</v>
      </c>
      <c r="H892" s="411" t="str">
        <f t="shared" si="241"/>
        <v/>
      </c>
      <c r="I892" s="411" t="str">
        <f t="shared" si="242"/>
        <v/>
      </c>
      <c r="J892" s="411">
        <f t="shared" si="243"/>
        <v>0.17400000000000002</v>
      </c>
      <c r="K892" s="411" t="str">
        <f t="shared" si="244"/>
        <v/>
      </c>
      <c r="L892" s="387">
        <f t="shared" ref="L892" si="248">SUM(M892:P892)</f>
        <v>1</v>
      </c>
      <c r="M892" s="388"/>
      <c r="N892" s="388"/>
      <c r="O892" s="388">
        <v>1</v>
      </c>
      <c r="P892" s="388"/>
      <c r="Q892" s="382"/>
      <c r="R892" s="385" t="str">
        <f t="shared" ref="R892" si="249">IF(SUM(M892:P892)=L892,"T","F")</f>
        <v>T</v>
      </c>
      <c r="S892" s="389"/>
      <c r="T892" s="389"/>
      <c r="U892" s="389"/>
      <c r="V892" s="389"/>
      <c r="W892" s="389"/>
      <c r="X892" s="389"/>
      <c r="Y892" s="389"/>
      <c r="Z892" s="389"/>
      <c r="AA892" s="389"/>
      <c r="AB892" s="389"/>
      <c r="AC892" s="389"/>
      <c r="AD892" s="389"/>
      <c r="AE892" s="389"/>
      <c r="AF892" s="389"/>
    </row>
    <row r="893" spans="1:32" hidden="1" outlineLevel="3">
      <c r="A893" s="382"/>
      <c r="B893" s="382" t="s">
        <v>319</v>
      </c>
      <c r="C893" s="386" t="s">
        <v>319</v>
      </c>
      <c r="D893" s="382" t="s">
        <v>202</v>
      </c>
      <c r="E893" s="382" t="s">
        <v>72</v>
      </c>
      <c r="F893" s="440" t="s">
        <v>465</v>
      </c>
      <c r="G893" s="387">
        <v>0.17400000000000002</v>
      </c>
      <c r="H893" s="411" t="str">
        <f t="shared" si="241"/>
        <v/>
      </c>
      <c r="I893" s="411" t="str">
        <f t="shared" si="242"/>
        <v/>
      </c>
      <c r="J893" s="411" t="str">
        <f t="shared" si="243"/>
        <v/>
      </c>
      <c r="K893" s="411">
        <f t="shared" si="244"/>
        <v>0.17400000000000002</v>
      </c>
      <c r="L893" s="387">
        <f t="shared" ref="L893" si="250">SUM(M893:P893)</f>
        <v>1</v>
      </c>
      <c r="M893" s="388"/>
      <c r="N893" s="388"/>
      <c r="O893" s="388"/>
      <c r="P893" s="388">
        <v>1</v>
      </c>
      <c r="Q893" s="382"/>
      <c r="R893" s="385" t="str">
        <f t="shared" ref="R893" si="251">IF(SUM(M893:P893)=L893,"T","F")</f>
        <v>T</v>
      </c>
      <c r="S893" s="389"/>
      <c r="T893" s="389"/>
      <c r="U893" s="389"/>
      <c r="V893" s="389"/>
      <c r="W893" s="389"/>
      <c r="X893" s="389"/>
      <c r="Y893" s="389"/>
      <c r="Z893" s="389"/>
      <c r="AA893" s="389"/>
      <c r="AB893" s="389"/>
      <c r="AC893" s="389"/>
      <c r="AD893" s="389"/>
      <c r="AE893" s="389"/>
      <c r="AF893" s="389"/>
    </row>
    <row r="894" spans="1:32" hidden="1" outlineLevel="3">
      <c r="A894" s="382"/>
      <c r="B894" s="382" t="s">
        <v>319</v>
      </c>
      <c r="C894" s="386" t="s">
        <v>319</v>
      </c>
      <c r="D894" s="382" t="s">
        <v>202</v>
      </c>
      <c r="E894" s="382" t="s">
        <v>72</v>
      </c>
      <c r="F894" s="440" t="s">
        <v>466</v>
      </c>
      <c r="G894" s="387">
        <v>0.17400000000000002</v>
      </c>
      <c r="H894" s="411" t="str">
        <f t="shared" si="241"/>
        <v/>
      </c>
      <c r="I894" s="411" t="str">
        <f t="shared" si="242"/>
        <v/>
      </c>
      <c r="J894" s="411" t="str">
        <f t="shared" si="243"/>
        <v/>
      </c>
      <c r="K894" s="411">
        <f t="shared" si="244"/>
        <v>0.17400000000000002</v>
      </c>
      <c r="L894" s="387">
        <f t="shared" si="237"/>
        <v>1</v>
      </c>
      <c r="M894" s="388"/>
      <c r="N894" s="388"/>
      <c r="O894" s="388"/>
      <c r="P894" s="388">
        <v>1</v>
      </c>
      <c r="Q894" s="382"/>
      <c r="R894" s="385" t="str">
        <f t="shared" si="245"/>
        <v>T</v>
      </c>
      <c r="S894" s="389"/>
      <c r="T894" s="389"/>
      <c r="U894" s="389"/>
      <c r="V894" s="389"/>
      <c r="W894" s="389"/>
      <c r="X894" s="389"/>
      <c r="Y894" s="389"/>
      <c r="Z894" s="389"/>
      <c r="AA894" s="389"/>
      <c r="AB894" s="389"/>
      <c r="AC894" s="389"/>
      <c r="AD894" s="389"/>
      <c r="AE894" s="389"/>
      <c r="AF894" s="389"/>
    </row>
    <row r="895" spans="1:32" hidden="1" outlineLevel="3">
      <c r="A895" s="382"/>
      <c r="B895" s="382" t="s">
        <v>319</v>
      </c>
      <c r="C895" s="386" t="s">
        <v>319</v>
      </c>
      <c r="D895" s="382" t="s">
        <v>202</v>
      </c>
      <c r="E895" s="382" t="s">
        <v>72</v>
      </c>
      <c r="F895" s="440" t="s">
        <v>467</v>
      </c>
      <c r="G895" s="411">
        <v>0.23200000000000004</v>
      </c>
      <c r="H895" s="411" t="str">
        <f t="shared" si="241"/>
        <v/>
      </c>
      <c r="I895" s="411" t="str">
        <f t="shared" si="242"/>
        <v/>
      </c>
      <c r="J895" s="411" t="str">
        <f t="shared" si="243"/>
        <v/>
      </c>
      <c r="K895" s="411">
        <f t="shared" si="244"/>
        <v>0.23200000000000004</v>
      </c>
      <c r="L895" s="411">
        <f t="shared" si="237"/>
        <v>1</v>
      </c>
      <c r="M895" s="409"/>
      <c r="N895" s="409"/>
      <c r="O895" s="409"/>
      <c r="P895" s="409">
        <v>1</v>
      </c>
      <c r="Q895" s="382"/>
      <c r="R895" s="385" t="str">
        <f t="shared" si="245"/>
        <v>T</v>
      </c>
      <c r="S895" s="389"/>
      <c r="T895" s="389"/>
      <c r="U895" s="389"/>
      <c r="V895" s="389"/>
      <c r="W895" s="389"/>
      <c r="X895" s="389"/>
      <c r="Y895" s="389"/>
      <c r="Z895" s="389"/>
      <c r="AA895" s="389"/>
      <c r="AB895" s="389"/>
      <c r="AC895" s="389"/>
      <c r="AD895" s="389"/>
      <c r="AE895" s="389"/>
      <c r="AF895" s="389"/>
    </row>
    <row r="896" spans="1:32" hidden="1" outlineLevel="2" collapsed="1">
      <c r="A896" s="382"/>
      <c r="B896" s="382" t="s">
        <v>319</v>
      </c>
      <c r="C896" s="386" t="s">
        <v>319</v>
      </c>
      <c r="D896" s="382" t="s">
        <v>18</v>
      </c>
      <c r="E896" s="386"/>
      <c r="F896" s="440" t="s">
        <v>468</v>
      </c>
      <c r="G896" s="411">
        <f>SUM(G897:G900)</f>
        <v>0.42750000000000005</v>
      </c>
      <c r="H896" s="411">
        <f t="shared" ref="H896:K896" si="252">SUM(H897:H900)</f>
        <v>0.28500000000000003</v>
      </c>
      <c r="I896" s="411">
        <f t="shared" si="252"/>
        <v>0</v>
      </c>
      <c r="J896" s="411">
        <f t="shared" si="252"/>
        <v>0.14250000000000002</v>
      </c>
      <c r="K896" s="411">
        <f t="shared" si="252"/>
        <v>0</v>
      </c>
      <c r="L896" s="411">
        <f t="shared" ref="L896" si="253">SUM(M896:P896)</f>
        <v>4</v>
      </c>
      <c r="M896" s="409">
        <f>SUM(M897:M900)</f>
        <v>3</v>
      </c>
      <c r="N896" s="409">
        <f t="shared" ref="N896:P896" si="254">SUM(N897:N900)</f>
        <v>0</v>
      </c>
      <c r="O896" s="409">
        <f t="shared" si="254"/>
        <v>1</v>
      </c>
      <c r="P896" s="409">
        <f t="shared" si="254"/>
        <v>0</v>
      </c>
      <c r="Q896" s="382"/>
      <c r="R896" s="385" t="str">
        <f>IF(SUM(M896:P896)=L896,"T","F")</f>
        <v>T</v>
      </c>
      <c r="S896" s="389"/>
      <c r="T896" s="389"/>
      <c r="U896" s="389"/>
      <c r="V896" s="389"/>
      <c r="W896" s="389"/>
      <c r="X896" s="389"/>
      <c r="Y896" s="389"/>
      <c r="Z896" s="389"/>
      <c r="AA896" s="389"/>
      <c r="AB896" s="389"/>
      <c r="AC896" s="389"/>
      <c r="AD896" s="389"/>
      <c r="AE896" s="389"/>
      <c r="AF896" s="389"/>
    </row>
    <row r="897" spans="1:32" hidden="1" outlineLevel="3">
      <c r="A897" s="382"/>
      <c r="B897" s="382" t="s">
        <v>319</v>
      </c>
      <c r="C897" s="386" t="s">
        <v>319</v>
      </c>
      <c r="D897" s="382" t="s">
        <v>18</v>
      </c>
      <c r="E897" s="386" t="s">
        <v>204</v>
      </c>
      <c r="F897" s="420" t="s">
        <v>341</v>
      </c>
      <c r="G897" s="411">
        <v>9.5000000000000015E-2</v>
      </c>
      <c r="H897" s="411">
        <f t="shared" si="241"/>
        <v>9.5000000000000015E-2</v>
      </c>
      <c r="I897" s="411" t="str">
        <f t="shared" si="242"/>
        <v/>
      </c>
      <c r="J897" s="411" t="str">
        <f t="shared" si="243"/>
        <v/>
      </c>
      <c r="K897" s="411" t="str">
        <f t="shared" si="244"/>
        <v/>
      </c>
      <c r="L897" s="411">
        <f t="shared" ref="L897" si="255">SUM(M897:P897)</f>
        <v>1</v>
      </c>
      <c r="M897" s="409">
        <v>1</v>
      </c>
      <c r="N897" s="409"/>
      <c r="O897" s="409"/>
      <c r="P897" s="409"/>
      <c r="Q897" s="382"/>
      <c r="R897" s="385" t="str">
        <f t="shared" ref="R897" si="256">IF(SUM(M897:P897)=L897,"T","F")</f>
        <v>T</v>
      </c>
      <c r="S897" s="389"/>
      <c r="T897" s="389"/>
      <c r="U897" s="389"/>
      <c r="V897" s="389"/>
      <c r="W897" s="389"/>
      <c r="X897" s="389"/>
      <c r="Y897" s="389"/>
      <c r="Z897" s="389"/>
      <c r="AA897" s="389"/>
      <c r="AB897" s="389"/>
      <c r="AC897" s="389"/>
      <c r="AD897" s="389"/>
      <c r="AE897" s="389"/>
      <c r="AF897" s="389"/>
    </row>
    <row r="898" spans="1:32" hidden="1" outlineLevel="3">
      <c r="A898" s="382"/>
      <c r="B898" s="382" t="s">
        <v>319</v>
      </c>
      <c r="C898" s="386" t="s">
        <v>319</v>
      </c>
      <c r="D898" s="382" t="s">
        <v>18</v>
      </c>
      <c r="E898" s="386" t="s">
        <v>204</v>
      </c>
      <c r="F898" s="420" t="s">
        <v>342</v>
      </c>
      <c r="G898" s="411">
        <v>9.5000000000000015E-2</v>
      </c>
      <c r="H898" s="411">
        <f t="shared" si="241"/>
        <v>9.5000000000000015E-2</v>
      </c>
      <c r="I898" s="411" t="str">
        <f t="shared" si="242"/>
        <v/>
      </c>
      <c r="J898" s="411" t="str">
        <f t="shared" si="243"/>
        <v/>
      </c>
      <c r="K898" s="411" t="str">
        <f t="shared" si="244"/>
        <v/>
      </c>
      <c r="L898" s="411">
        <f>SUM(M898:P898)</f>
        <v>1</v>
      </c>
      <c r="M898" s="409">
        <v>1</v>
      </c>
      <c r="O898" s="409"/>
      <c r="P898" s="409"/>
      <c r="Q898" s="382"/>
      <c r="R898" s="385" t="str">
        <f>IF(SUM(M898:P898)=L898,"T","F")</f>
        <v>T</v>
      </c>
      <c r="S898" s="389"/>
      <c r="T898" s="389"/>
      <c r="U898" s="389"/>
      <c r="V898" s="389"/>
      <c r="W898" s="389"/>
      <c r="X898" s="389"/>
      <c r="Y898" s="389"/>
      <c r="Z898" s="389"/>
      <c r="AA898" s="389"/>
      <c r="AB898" s="389"/>
      <c r="AC898" s="389"/>
      <c r="AD898" s="389"/>
      <c r="AE898" s="389"/>
      <c r="AF898" s="389"/>
    </row>
    <row r="899" spans="1:32" hidden="1" outlineLevel="3">
      <c r="A899" s="382"/>
      <c r="B899" s="382" t="s">
        <v>319</v>
      </c>
      <c r="C899" s="386" t="s">
        <v>319</v>
      </c>
      <c r="D899" s="382" t="s">
        <v>18</v>
      </c>
      <c r="E899" s="386" t="s">
        <v>204</v>
      </c>
      <c r="F899" s="420" t="s">
        <v>469</v>
      </c>
      <c r="G899" s="411">
        <v>9.5000000000000015E-2</v>
      </c>
      <c r="H899" s="411">
        <f t="shared" si="241"/>
        <v>9.5000000000000015E-2</v>
      </c>
      <c r="I899" s="411" t="str">
        <f t="shared" si="242"/>
        <v/>
      </c>
      <c r="J899" s="411" t="str">
        <f t="shared" si="243"/>
        <v/>
      </c>
      <c r="K899" s="411" t="str">
        <f t="shared" si="244"/>
        <v/>
      </c>
      <c r="L899" s="411">
        <f t="shared" ref="L899" si="257">SUM(M899:P899)</f>
        <v>1</v>
      </c>
      <c r="M899" s="409">
        <v>1</v>
      </c>
      <c r="N899" s="409"/>
      <c r="O899" s="409"/>
      <c r="P899" s="409"/>
      <c r="Q899" s="382"/>
      <c r="R899" s="385" t="str">
        <f t="shared" ref="R899" si="258">IF(SUM(M899:P899)=L899,"T","F")</f>
        <v>T</v>
      </c>
      <c r="S899" s="389"/>
      <c r="T899" s="389"/>
      <c r="U899" s="389"/>
      <c r="V899" s="389"/>
      <c r="W899" s="389"/>
      <c r="X899" s="389"/>
      <c r="Y899" s="389"/>
      <c r="Z899" s="389"/>
      <c r="AA899" s="389"/>
      <c r="AB899" s="389"/>
      <c r="AC899" s="389"/>
      <c r="AD899" s="389"/>
      <c r="AE899" s="389"/>
      <c r="AF899" s="389"/>
    </row>
    <row r="900" spans="1:32" hidden="1" outlineLevel="3">
      <c r="A900" s="382"/>
      <c r="B900" s="382" t="s">
        <v>319</v>
      </c>
      <c r="C900" s="386" t="s">
        <v>319</v>
      </c>
      <c r="D900" s="382" t="s">
        <v>18</v>
      </c>
      <c r="E900" s="386" t="s">
        <v>204</v>
      </c>
      <c r="F900" s="420" t="s">
        <v>205</v>
      </c>
      <c r="G900" s="411">
        <v>0.14250000000000002</v>
      </c>
      <c r="H900" s="411" t="str">
        <f t="shared" si="241"/>
        <v/>
      </c>
      <c r="I900" s="411" t="str">
        <f t="shared" si="242"/>
        <v/>
      </c>
      <c r="J900" s="411">
        <f t="shared" si="243"/>
        <v>0.14250000000000002</v>
      </c>
      <c r="K900" s="411" t="str">
        <f t="shared" si="244"/>
        <v/>
      </c>
      <c r="L900" s="411">
        <f t="shared" si="237"/>
        <v>1</v>
      </c>
      <c r="M900" s="409"/>
      <c r="N900" s="409"/>
      <c r="O900" s="409">
        <v>1</v>
      </c>
      <c r="P900" s="409"/>
      <c r="Q900" s="382"/>
      <c r="R900" s="385" t="str">
        <f t="shared" si="245"/>
        <v>T</v>
      </c>
      <c r="S900" s="389"/>
      <c r="T900" s="389"/>
      <c r="U900" s="389"/>
      <c r="V900" s="389"/>
      <c r="W900" s="389"/>
      <c r="X900" s="389"/>
      <c r="Y900" s="389"/>
      <c r="Z900" s="389"/>
      <c r="AA900" s="389"/>
      <c r="AB900" s="389"/>
      <c r="AC900" s="389"/>
      <c r="AD900" s="389"/>
      <c r="AE900" s="389"/>
      <c r="AF900" s="389"/>
    </row>
    <row r="901" spans="1:32" hidden="1" outlineLevel="2" collapsed="1">
      <c r="A901" s="382"/>
      <c r="B901" s="382" t="s">
        <v>319</v>
      </c>
      <c r="C901" s="386" t="s">
        <v>319</v>
      </c>
      <c r="D901" s="382" t="s">
        <v>26</v>
      </c>
      <c r="E901" s="382"/>
      <c r="F901" s="440" t="s">
        <v>470</v>
      </c>
      <c r="G901" s="411">
        <f>SUM(G902:G915)</f>
        <v>1.3191699999999997</v>
      </c>
      <c r="H901" s="411">
        <f>SUM(H902:H915)</f>
        <v>0.57240000000000002</v>
      </c>
      <c r="I901" s="411">
        <f>SUM(I902:I915)</f>
        <v>0.18444000000000002</v>
      </c>
      <c r="J901" s="411">
        <f>SUM(J902:J915)</f>
        <v>0.37789</v>
      </c>
      <c r="K901" s="411">
        <f>SUM(K902:K915)</f>
        <v>0.18444000000000002</v>
      </c>
      <c r="L901" s="411">
        <f t="shared" si="237"/>
        <v>14</v>
      </c>
      <c r="M901" s="409">
        <f>SUM(M902:M915)</f>
        <v>3</v>
      </c>
      <c r="N901" s="409">
        <f>SUM(N902:N915)</f>
        <v>2</v>
      </c>
      <c r="O901" s="409">
        <f>SUM(O902:O915)</f>
        <v>6</v>
      </c>
      <c r="P901" s="409">
        <f>SUM(P902:P915)</f>
        <v>3</v>
      </c>
      <c r="Q901" s="382"/>
      <c r="R901" s="385" t="str">
        <f t="shared" si="245"/>
        <v>T</v>
      </c>
      <c r="S901" s="389"/>
      <c r="T901" s="389"/>
      <c r="U901" s="389"/>
      <c r="V901" s="389"/>
      <c r="W901" s="389"/>
      <c r="X901" s="389"/>
      <c r="Y901" s="389"/>
      <c r="Z901" s="389"/>
      <c r="AA901" s="389"/>
      <c r="AB901" s="389"/>
      <c r="AC901" s="389"/>
      <c r="AD901" s="389"/>
      <c r="AE901" s="389"/>
      <c r="AF901" s="389"/>
    </row>
    <row r="902" spans="1:32" hidden="1" outlineLevel="3">
      <c r="A902" s="382"/>
      <c r="B902" s="382" t="s">
        <v>319</v>
      </c>
      <c r="C902" s="386" t="s">
        <v>319</v>
      </c>
      <c r="D902" s="382" t="s">
        <v>26</v>
      </c>
      <c r="E902" s="382" t="s">
        <v>27</v>
      </c>
      <c r="F902" s="440" t="s">
        <v>32</v>
      </c>
      <c r="G902" s="411">
        <v>0.1431</v>
      </c>
      <c r="H902" s="411">
        <f t="shared" ref="H902:H915" si="259">IF(M902=1,$G902,"")</f>
        <v>0.1431</v>
      </c>
      <c r="I902" s="411" t="str">
        <f t="shared" ref="I902:I915" si="260">IF(N902=1,$G902,"")</f>
        <v/>
      </c>
      <c r="J902" s="411" t="str">
        <f t="shared" ref="J902:J915" si="261">IF(O902=1,$G902,"")</f>
        <v/>
      </c>
      <c r="K902" s="411" t="str">
        <f t="shared" ref="K902:K915" si="262">IF(P902=1,$G902,"")</f>
        <v/>
      </c>
      <c r="L902" s="411">
        <f t="shared" si="237"/>
        <v>1</v>
      </c>
      <c r="M902" s="409">
        <v>1</v>
      </c>
      <c r="N902" s="409"/>
      <c r="O902" s="409"/>
      <c r="P902" s="409"/>
      <c r="Q902" s="382"/>
      <c r="R902" s="385" t="str">
        <f t="shared" si="245"/>
        <v>T</v>
      </c>
      <c r="S902" s="389"/>
      <c r="T902" s="389"/>
      <c r="U902" s="389"/>
      <c r="V902" s="389"/>
      <c r="W902" s="389"/>
      <c r="X902" s="389"/>
      <c r="Y902" s="389"/>
      <c r="Z902" s="389"/>
      <c r="AA902" s="389"/>
      <c r="AB902" s="389"/>
      <c r="AC902" s="389"/>
      <c r="AD902" s="389"/>
      <c r="AE902" s="389"/>
      <c r="AF902" s="389"/>
    </row>
    <row r="903" spans="1:32" hidden="1" outlineLevel="3">
      <c r="A903" s="382"/>
      <c r="B903" s="382" t="s">
        <v>319</v>
      </c>
      <c r="C903" s="386" t="s">
        <v>319</v>
      </c>
      <c r="D903" s="382" t="s">
        <v>26</v>
      </c>
      <c r="E903" s="382" t="s">
        <v>27</v>
      </c>
      <c r="F903" s="440" t="s">
        <v>34</v>
      </c>
      <c r="G903" s="411">
        <v>0.28620000000000001</v>
      </c>
      <c r="H903" s="411">
        <f t="shared" si="259"/>
        <v>0.28620000000000001</v>
      </c>
      <c r="I903" s="411" t="str">
        <f t="shared" si="260"/>
        <v/>
      </c>
      <c r="J903" s="411" t="str">
        <f t="shared" si="261"/>
        <v/>
      </c>
      <c r="K903" s="411" t="str">
        <f t="shared" si="262"/>
        <v/>
      </c>
      <c r="L903" s="411">
        <f t="shared" ref="L903" si="263">SUM(M903:P903)</f>
        <v>1</v>
      </c>
      <c r="M903" s="388">
        <v>1</v>
      </c>
      <c r="N903" s="388"/>
      <c r="O903" s="388"/>
      <c r="P903" s="388"/>
      <c r="Q903" s="382"/>
      <c r="R903" s="385" t="str">
        <f t="shared" ref="R903" si="264">IF(SUM(M903:P903)=L903,"T","F")</f>
        <v>T</v>
      </c>
      <c r="S903" s="389"/>
      <c r="T903" s="389"/>
      <c r="U903" s="389"/>
      <c r="V903" s="389"/>
      <c r="W903" s="389"/>
      <c r="X903" s="389"/>
      <c r="Y903" s="389"/>
      <c r="Z903" s="389"/>
      <c r="AA903" s="389"/>
      <c r="AB903" s="389"/>
      <c r="AC903" s="389"/>
      <c r="AD903" s="389"/>
      <c r="AE903" s="389"/>
      <c r="AF903" s="389"/>
    </row>
    <row r="904" spans="1:32" hidden="1" outlineLevel="3">
      <c r="A904" s="382"/>
      <c r="B904" s="382" t="s">
        <v>319</v>
      </c>
      <c r="C904" s="386" t="s">
        <v>319</v>
      </c>
      <c r="D904" s="382" t="s">
        <v>26</v>
      </c>
      <c r="E904" s="382" t="s">
        <v>27</v>
      </c>
      <c r="F904" s="440" t="s">
        <v>471</v>
      </c>
      <c r="G904" s="411">
        <v>0.1431</v>
      </c>
      <c r="H904" s="411">
        <f t="shared" si="259"/>
        <v>0.1431</v>
      </c>
      <c r="I904" s="411" t="str">
        <f t="shared" si="260"/>
        <v/>
      </c>
      <c r="J904" s="411" t="str">
        <f t="shared" si="261"/>
        <v/>
      </c>
      <c r="K904" s="411" t="str">
        <f t="shared" si="262"/>
        <v/>
      </c>
      <c r="L904" s="411">
        <f t="shared" si="237"/>
        <v>1</v>
      </c>
      <c r="M904" s="388">
        <v>1</v>
      </c>
      <c r="N904" s="388"/>
      <c r="O904" s="388"/>
      <c r="P904" s="388"/>
      <c r="Q904" s="382"/>
      <c r="R904" s="385" t="str">
        <f t="shared" si="245"/>
        <v>T</v>
      </c>
      <c r="S904" s="389"/>
      <c r="T904" s="389"/>
      <c r="U904" s="389"/>
      <c r="V904" s="389"/>
      <c r="W904" s="389"/>
      <c r="X904" s="389"/>
      <c r="Y904" s="389"/>
      <c r="Z904" s="389"/>
      <c r="AA904" s="389"/>
      <c r="AB904" s="389"/>
      <c r="AC904" s="389"/>
      <c r="AD904" s="389"/>
      <c r="AE904" s="389"/>
      <c r="AF904" s="389"/>
    </row>
    <row r="905" spans="1:32" hidden="1" outlineLevel="3">
      <c r="A905" s="382"/>
      <c r="B905" s="382" t="s">
        <v>319</v>
      </c>
      <c r="C905" s="386" t="s">
        <v>319</v>
      </c>
      <c r="D905" s="382" t="s">
        <v>26</v>
      </c>
      <c r="E905" s="382" t="s">
        <v>27</v>
      </c>
      <c r="F905" s="440" t="s">
        <v>457</v>
      </c>
      <c r="G905" s="411">
        <v>6.1480000000000007E-2</v>
      </c>
      <c r="H905" s="411" t="str">
        <f t="shared" si="259"/>
        <v/>
      </c>
      <c r="I905" s="411">
        <f t="shared" si="260"/>
        <v>6.1480000000000007E-2</v>
      </c>
      <c r="J905" s="411" t="str">
        <f t="shared" si="261"/>
        <v/>
      </c>
      <c r="K905" s="411" t="str">
        <f t="shared" si="262"/>
        <v/>
      </c>
      <c r="L905" s="411">
        <f t="shared" ref="L905:L910" si="265">SUM(M905:P905)</f>
        <v>1</v>
      </c>
      <c r="M905" s="407"/>
      <c r="N905" s="409">
        <v>1</v>
      </c>
      <c r="O905" s="409"/>
      <c r="P905" s="409"/>
      <c r="Q905" s="382"/>
      <c r="R905" s="385" t="str">
        <f t="shared" ref="R905:R910" si="266">IF(SUM(M905:P905)=L905,"T","F")</f>
        <v>T</v>
      </c>
      <c r="S905" s="389"/>
      <c r="T905" s="389"/>
      <c r="U905" s="389"/>
      <c r="V905" s="389"/>
      <c r="W905" s="389"/>
      <c r="X905" s="389"/>
      <c r="Y905" s="389"/>
      <c r="Z905" s="389"/>
      <c r="AA905" s="389"/>
      <c r="AB905" s="389"/>
      <c r="AC905" s="389"/>
      <c r="AD905" s="389"/>
      <c r="AE905" s="389"/>
      <c r="AF905" s="389"/>
    </row>
    <row r="906" spans="1:32" hidden="1" outlineLevel="3">
      <c r="A906" s="382"/>
      <c r="B906" s="382" t="s">
        <v>319</v>
      </c>
      <c r="C906" s="386" t="s">
        <v>319</v>
      </c>
      <c r="D906" s="382" t="s">
        <v>26</v>
      </c>
      <c r="E906" s="382" t="s">
        <v>27</v>
      </c>
      <c r="F906" s="440" t="s">
        <v>458</v>
      </c>
      <c r="G906" s="411">
        <v>0.12296000000000001</v>
      </c>
      <c r="H906" s="411" t="str">
        <f t="shared" si="259"/>
        <v/>
      </c>
      <c r="I906" s="411">
        <f t="shared" si="260"/>
        <v>0.12296000000000001</v>
      </c>
      <c r="J906" s="411" t="str">
        <f t="shared" si="261"/>
        <v/>
      </c>
      <c r="K906" s="411" t="str">
        <f t="shared" si="262"/>
        <v/>
      </c>
      <c r="L906" s="411">
        <f t="shared" si="265"/>
        <v>1</v>
      </c>
      <c r="M906" s="407"/>
      <c r="N906" s="388">
        <v>1</v>
      </c>
      <c r="O906" s="388"/>
      <c r="P906" s="388"/>
      <c r="Q906" s="382"/>
      <c r="R906" s="385" t="str">
        <f t="shared" si="266"/>
        <v>T</v>
      </c>
      <c r="S906" s="389"/>
      <c r="T906" s="389"/>
      <c r="U906" s="389"/>
      <c r="V906" s="389"/>
      <c r="W906" s="389"/>
      <c r="X906" s="389"/>
      <c r="Y906" s="389"/>
      <c r="Z906" s="389"/>
      <c r="AA906" s="389"/>
      <c r="AB906" s="389"/>
      <c r="AC906" s="389"/>
      <c r="AD906" s="389"/>
      <c r="AE906" s="389"/>
      <c r="AF906" s="389"/>
    </row>
    <row r="907" spans="1:32" hidden="1" outlineLevel="3">
      <c r="A907" s="382"/>
      <c r="B907" s="382" t="s">
        <v>319</v>
      </c>
      <c r="C907" s="386" t="s">
        <v>319</v>
      </c>
      <c r="D907" s="382" t="s">
        <v>26</v>
      </c>
      <c r="E907" s="382" t="s">
        <v>27</v>
      </c>
      <c r="F907" s="440" t="s">
        <v>460</v>
      </c>
      <c r="G907" s="411">
        <v>6.1480000000000007E-2</v>
      </c>
      <c r="H907" s="411" t="str">
        <f t="shared" si="259"/>
        <v/>
      </c>
      <c r="I907" s="411" t="str">
        <f t="shared" si="260"/>
        <v/>
      </c>
      <c r="J907" s="411">
        <f t="shared" si="261"/>
        <v>6.1480000000000007E-2</v>
      </c>
      <c r="K907" s="411" t="str">
        <f t="shared" si="262"/>
        <v/>
      </c>
      <c r="L907" s="411">
        <f t="shared" ref="L907:L908" si="267">SUM(M907:P907)</f>
        <v>1</v>
      </c>
      <c r="M907" s="388"/>
      <c r="N907" s="409"/>
      <c r="O907" s="409">
        <v>1</v>
      </c>
      <c r="P907" s="409"/>
      <c r="Q907" s="382"/>
      <c r="R907" s="385" t="str">
        <f t="shared" ref="R907:R908" si="268">IF(SUM(M907:P907)=L907,"T","F")</f>
        <v>T</v>
      </c>
      <c r="S907" s="389"/>
      <c r="T907" s="389"/>
      <c r="U907" s="389"/>
      <c r="V907" s="389"/>
      <c r="W907" s="389"/>
      <c r="X907" s="389"/>
      <c r="Y907" s="389"/>
      <c r="Z907" s="389"/>
      <c r="AA907" s="389"/>
      <c r="AB907" s="389"/>
      <c r="AC907" s="389"/>
      <c r="AD907" s="389"/>
      <c r="AE907" s="389"/>
      <c r="AF907" s="389"/>
    </row>
    <row r="908" spans="1:32" hidden="1" outlineLevel="3">
      <c r="A908" s="382"/>
      <c r="B908" s="382" t="s">
        <v>319</v>
      </c>
      <c r="C908" s="386" t="s">
        <v>319</v>
      </c>
      <c r="D908" s="382" t="s">
        <v>26</v>
      </c>
      <c r="E908" s="382" t="s">
        <v>27</v>
      </c>
      <c r="F908" s="440" t="s">
        <v>461</v>
      </c>
      <c r="G908" s="411">
        <v>6.1480000000000007E-2</v>
      </c>
      <c r="H908" s="411" t="str">
        <f t="shared" si="259"/>
        <v/>
      </c>
      <c r="I908" s="411" t="str">
        <f t="shared" si="260"/>
        <v/>
      </c>
      <c r="J908" s="411">
        <f t="shared" si="261"/>
        <v>6.1480000000000007E-2</v>
      </c>
      <c r="K908" s="411" t="str">
        <f t="shared" si="262"/>
        <v/>
      </c>
      <c r="L908" s="411">
        <f t="shared" si="267"/>
        <v>1</v>
      </c>
      <c r="M908" s="388"/>
      <c r="N908" s="409"/>
      <c r="O908" s="409">
        <v>1</v>
      </c>
      <c r="P908" s="409"/>
      <c r="Q908" s="382"/>
      <c r="R908" s="385" t="str">
        <f t="shared" si="268"/>
        <v>T</v>
      </c>
      <c r="S908" s="389"/>
      <c r="T908" s="389"/>
      <c r="U908" s="389"/>
      <c r="V908" s="389"/>
      <c r="W908" s="389"/>
      <c r="X908" s="389"/>
      <c r="Y908" s="389"/>
      <c r="Z908" s="389"/>
      <c r="AA908" s="389"/>
      <c r="AB908" s="389"/>
      <c r="AC908" s="389"/>
      <c r="AD908" s="389"/>
      <c r="AE908" s="389"/>
      <c r="AF908" s="389"/>
    </row>
    <row r="909" spans="1:32" hidden="1" outlineLevel="3">
      <c r="A909" s="382"/>
      <c r="B909" s="382" t="s">
        <v>319</v>
      </c>
      <c r="C909" s="386" t="s">
        <v>319</v>
      </c>
      <c r="D909" s="382" t="s">
        <v>26</v>
      </c>
      <c r="E909" s="382" t="s">
        <v>27</v>
      </c>
      <c r="F909" s="440" t="s">
        <v>462</v>
      </c>
      <c r="G909" s="411">
        <v>6.1480000000000007E-2</v>
      </c>
      <c r="H909" s="411" t="str">
        <f t="shared" si="259"/>
        <v/>
      </c>
      <c r="I909" s="411" t="str">
        <f t="shared" si="260"/>
        <v/>
      </c>
      <c r="J909" s="411">
        <f t="shared" si="261"/>
        <v>6.1480000000000007E-2</v>
      </c>
      <c r="K909" s="411" t="str">
        <f t="shared" si="262"/>
        <v/>
      </c>
      <c r="L909" s="411">
        <f t="shared" si="265"/>
        <v>1</v>
      </c>
      <c r="M909" s="407"/>
      <c r="N909" s="409"/>
      <c r="O909" s="409">
        <v>1</v>
      </c>
      <c r="P909" s="409"/>
      <c r="Q909" s="382"/>
      <c r="R909" s="385" t="str">
        <f t="shared" si="266"/>
        <v>T</v>
      </c>
      <c r="S909" s="389"/>
      <c r="T909" s="389"/>
      <c r="U909" s="389"/>
      <c r="V909" s="389"/>
      <c r="W909" s="389"/>
      <c r="X909" s="389"/>
      <c r="Y909" s="389"/>
      <c r="Z909" s="389"/>
      <c r="AA909" s="389"/>
      <c r="AB909" s="389"/>
      <c r="AC909" s="389"/>
      <c r="AD909" s="389"/>
      <c r="AE909" s="389"/>
      <c r="AF909" s="389"/>
    </row>
    <row r="910" spans="1:32" hidden="1" outlineLevel="3">
      <c r="A910" s="382"/>
      <c r="B910" s="382" t="s">
        <v>319</v>
      </c>
      <c r="C910" s="386" t="s">
        <v>319</v>
      </c>
      <c r="D910" s="382" t="s">
        <v>26</v>
      </c>
      <c r="E910" s="382" t="s">
        <v>27</v>
      </c>
      <c r="F910" s="440" t="s">
        <v>463</v>
      </c>
      <c r="G910" s="411">
        <v>6.1480000000000007E-2</v>
      </c>
      <c r="H910" s="411" t="str">
        <f t="shared" si="259"/>
        <v/>
      </c>
      <c r="I910" s="411" t="str">
        <f t="shared" si="260"/>
        <v/>
      </c>
      <c r="J910" s="411">
        <f t="shared" si="261"/>
        <v>6.1480000000000007E-2</v>
      </c>
      <c r="K910" s="411" t="str">
        <f t="shared" si="262"/>
        <v/>
      </c>
      <c r="L910" s="411">
        <f t="shared" si="265"/>
        <v>1</v>
      </c>
      <c r="M910" s="407"/>
      <c r="N910" s="409"/>
      <c r="O910" s="409">
        <v>1</v>
      </c>
      <c r="P910" s="409"/>
      <c r="Q910" s="382"/>
      <c r="R910" s="385" t="str">
        <f t="shared" si="266"/>
        <v>T</v>
      </c>
      <c r="S910" s="389"/>
      <c r="T910" s="389"/>
      <c r="U910" s="389"/>
      <c r="V910" s="389"/>
      <c r="W910" s="389"/>
      <c r="X910" s="389"/>
      <c r="Y910" s="389"/>
      <c r="Z910" s="389"/>
      <c r="AA910" s="389"/>
      <c r="AB910" s="389"/>
      <c r="AC910" s="389"/>
      <c r="AD910" s="389"/>
      <c r="AE910" s="389"/>
      <c r="AF910" s="389"/>
    </row>
    <row r="911" spans="1:32" hidden="1" outlineLevel="3">
      <c r="A911" s="382"/>
      <c r="B911" s="382" t="s">
        <v>319</v>
      </c>
      <c r="C911" s="386" t="s">
        <v>319</v>
      </c>
      <c r="D911" s="382" t="s">
        <v>26</v>
      </c>
      <c r="E911" s="382" t="s">
        <v>27</v>
      </c>
      <c r="F911" s="440" t="s">
        <v>464</v>
      </c>
      <c r="G911" s="411">
        <v>6.1480000000000007E-2</v>
      </c>
      <c r="H911" s="411" t="str">
        <f t="shared" si="259"/>
        <v/>
      </c>
      <c r="I911" s="411" t="str">
        <f t="shared" si="260"/>
        <v/>
      </c>
      <c r="J911" s="411">
        <f t="shared" si="261"/>
        <v>6.1480000000000007E-2</v>
      </c>
      <c r="K911" s="411" t="str">
        <f t="shared" si="262"/>
        <v/>
      </c>
      <c r="L911" s="411">
        <f t="shared" ref="L911:L914" si="269">SUM(M911:P911)</f>
        <v>1</v>
      </c>
      <c r="M911" s="407"/>
      <c r="N911" s="409"/>
      <c r="O911" s="409">
        <v>1</v>
      </c>
      <c r="P911" s="409"/>
      <c r="Q911" s="382"/>
      <c r="R911" s="385" t="str">
        <f t="shared" ref="R911:R914" si="270">IF(SUM(M911:P911)=L911,"T","F")</f>
        <v>T</v>
      </c>
      <c r="S911" s="389"/>
      <c r="T911" s="389"/>
      <c r="U911" s="389"/>
      <c r="V911" s="389"/>
      <c r="W911" s="389"/>
      <c r="X911" s="389"/>
      <c r="Y911" s="389"/>
      <c r="Z911" s="389"/>
      <c r="AA911" s="389"/>
      <c r="AB911" s="389"/>
      <c r="AC911" s="389"/>
      <c r="AD911" s="389"/>
      <c r="AE911" s="389"/>
      <c r="AF911" s="389"/>
    </row>
    <row r="912" spans="1:32" hidden="1" outlineLevel="3">
      <c r="A912" s="382"/>
      <c r="B912" s="382" t="s">
        <v>319</v>
      </c>
      <c r="C912" s="386" t="s">
        <v>319</v>
      </c>
      <c r="D912" s="382" t="s">
        <v>26</v>
      </c>
      <c r="E912" s="382" t="s">
        <v>27</v>
      </c>
      <c r="F912" s="440" t="s">
        <v>465</v>
      </c>
      <c r="G912" s="411">
        <v>6.1480000000000007E-2</v>
      </c>
      <c r="H912" s="411" t="str">
        <f t="shared" si="259"/>
        <v/>
      </c>
      <c r="I912" s="411" t="str">
        <f t="shared" si="260"/>
        <v/>
      </c>
      <c r="J912" s="411" t="str">
        <f t="shared" si="261"/>
        <v/>
      </c>
      <c r="K912" s="411">
        <f t="shared" si="262"/>
        <v>6.1480000000000007E-2</v>
      </c>
      <c r="L912" s="411">
        <f t="shared" si="269"/>
        <v>1</v>
      </c>
      <c r="M912" s="407"/>
      <c r="N912" s="388"/>
      <c r="O912" s="388"/>
      <c r="P912" s="388">
        <v>1</v>
      </c>
      <c r="Q912" s="382"/>
      <c r="R912" s="385" t="str">
        <f t="shared" si="270"/>
        <v>T</v>
      </c>
      <c r="S912" s="389"/>
      <c r="T912" s="389"/>
      <c r="U912" s="389"/>
      <c r="V912" s="389"/>
      <c r="W912" s="389"/>
      <c r="X912" s="389"/>
      <c r="Y912" s="389"/>
      <c r="Z912" s="389"/>
      <c r="AA912" s="389"/>
      <c r="AB912" s="389"/>
      <c r="AC912" s="389"/>
      <c r="AD912" s="389"/>
      <c r="AE912" s="389"/>
      <c r="AF912" s="389"/>
    </row>
    <row r="913" spans="1:32" hidden="1" outlineLevel="3">
      <c r="A913" s="382"/>
      <c r="B913" s="382" t="s">
        <v>319</v>
      </c>
      <c r="C913" s="386" t="s">
        <v>319</v>
      </c>
      <c r="D913" s="382" t="s">
        <v>26</v>
      </c>
      <c r="E913" s="382" t="s">
        <v>27</v>
      </c>
      <c r="F913" s="440" t="s">
        <v>466</v>
      </c>
      <c r="G913" s="411">
        <v>6.1480000000000007E-2</v>
      </c>
      <c r="H913" s="411" t="str">
        <f t="shared" si="259"/>
        <v/>
      </c>
      <c r="I913" s="411" t="str">
        <f t="shared" si="260"/>
        <v/>
      </c>
      <c r="J913" s="411" t="str">
        <f t="shared" si="261"/>
        <v/>
      </c>
      <c r="K913" s="411">
        <f t="shared" si="262"/>
        <v>6.1480000000000007E-2</v>
      </c>
      <c r="L913" s="411">
        <f t="shared" si="269"/>
        <v>1</v>
      </c>
      <c r="M913" s="407"/>
      <c r="N913" s="409"/>
      <c r="O913" s="409"/>
      <c r="P913" s="409">
        <v>1</v>
      </c>
      <c r="Q913" s="382"/>
      <c r="R913" s="385" t="str">
        <f t="shared" si="270"/>
        <v>T</v>
      </c>
      <c r="S913" s="389"/>
      <c r="T913" s="389"/>
      <c r="U913" s="389"/>
      <c r="V913" s="389"/>
      <c r="W913" s="389"/>
      <c r="X913" s="389"/>
      <c r="Y913" s="389"/>
      <c r="Z913" s="389"/>
      <c r="AA913" s="389"/>
      <c r="AB913" s="389"/>
      <c r="AC913" s="389"/>
      <c r="AD913" s="389"/>
      <c r="AE913" s="389"/>
      <c r="AF913" s="389"/>
    </row>
    <row r="914" spans="1:32" hidden="1" outlineLevel="3">
      <c r="A914" s="382"/>
      <c r="B914" s="382" t="s">
        <v>319</v>
      </c>
      <c r="C914" s="386" t="s">
        <v>319</v>
      </c>
      <c r="D914" s="382" t="s">
        <v>26</v>
      </c>
      <c r="E914" s="382" t="s">
        <v>27</v>
      </c>
      <c r="F914" s="440" t="s">
        <v>467</v>
      </c>
      <c r="G914" s="411">
        <v>6.1480000000000007E-2</v>
      </c>
      <c r="H914" s="411" t="str">
        <f t="shared" si="259"/>
        <v/>
      </c>
      <c r="I914" s="411" t="str">
        <f t="shared" si="260"/>
        <v/>
      </c>
      <c r="J914" s="411" t="str">
        <f t="shared" si="261"/>
        <v/>
      </c>
      <c r="K914" s="411">
        <f t="shared" si="262"/>
        <v>6.1480000000000007E-2</v>
      </c>
      <c r="L914" s="411">
        <f t="shared" si="269"/>
        <v>1</v>
      </c>
      <c r="M914" s="407"/>
      <c r="N914" s="409"/>
      <c r="O914" s="409"/>
      <c r="P914" s="409">
        <v>1</v>
      </c>
      <c r="Q914" s="382"/>
      <c r="R914" s="385" t="str">
        <f t="shared" si="270"/>
        <v>T</v>
      </c>
      <c r="S914" s="389"/>
      <c r="T914" s="389"/>
      <c r="U914" s="389"/>
      <c r="V914" s="389"/>
      <c r="W914" s="389"/>
      <c r="X914" s="389"/>
      <c r="Y914" s="389"/>
      <c r="Z914" s="389"/>
      <c r="AA914" s="389"/>
      <c r="AB914" s="389"/>
      <c r="AC914" s="389"/>
      <c r="AD914" s="389"/>
      <c r="AE914" s="389"/>
      <c r="AF914" s="389"/>
    </row>
    <row r="915" spans="1:32" hidden="1" outlineLevel="3">
      <c r="A915" s="382"/>
      <c r="B915" s="382" t="s">
        <v>319</v>
      </c>
      <c r="C915" s="386" t="s">
        <v>319</v>
      </c>
      <c r="D915" s="382" t="s">
        <v>26</v>
      </c>
      <c r="E915" s="382" t="s">
        <v>27</v>
      </c>
      <c r="F915" s="440" t="s">
        <v>205</v>
      </c>
      <c r="G915" s="411">
        <v>7.0489999999999997E-2</v>
      </c>
      <c r="H915" s="411" t="str">
        <f t="shared" si="259"/>
        <v/>
      </c>
      <c r="I915" s="411" t="str">
        <f t="shared" si="260"/>
        <v/>
      </c>
      <c r="J915" s="411">
        <f t="shared" si="261"/>
        <v>7.0489999999999997E-2</v>
      </c>
      <c r="K915" s="411" t="str">
        <f t="shared" si="262"/>
        <v/>
      </c>
      <c r="L915" s="411">
        <f t="shared" si="237"/>
        <v>1</v>
      </c>
      <c r="M915" s="407"/>
      <c r="N915" s="409"/>
      <c r="O915" s="409">
        <v>1</v>
      </c>
      <c r="P915" s="409"/>
      <c r="Q915" s="382"/>
      <c r="R915" s="385" t="str">
        <f t="shared" si="245"/>
        <v>T</v>
      </c>
      <c r="S915" s="389"/>
      <c r="T915" s="389"/>
      <c r="U915" s="389"/>
      <c r="V915" s="389"/>
      <c r="W915" s="389"/>
      <c r="X915" s="389"/>
      <c r="Y915" s="389"/>
      <c r="Z915" s="389"/>
      <c r="AA915" s="389"/>
      <c r="AB915" s="389"/>
      <c r="AC915" s="389"/>
      <c r="AD915" s="389"/>
      <c r="AE915" s="389"/>
      <c r="AF915" s="389"/>
    </row>
    <row r="916" spans="1:32" hidden="1" outlineLevel="2" collapsed="1">
      <c r="A916" s="382"/>
      <c r="B916" s="382" t="s">
        <v>319</v>
      </c>
      <c r="C916" s="386" t="s">
        <v>319</v>
      </c>
      <c r="D916" s="382" t="s">
        <v>28</v>
      </c>
      <c r="E916" s="382"/>
      <c r="F916" s="440" t="s">
        <v>472</v>
      </c>
      <c r="G916" s="411">
        <f>SUM(G917:G931)</f>
        <v>0.72304500000000016</v>
      </c>
      <c r="H916" s="411">
        <f>SUM(H917:H931)</f>
        <v>0.23895</v>
      </c>
      <c r="I916" s="411">
        <f>SUM(I917:I931)</f>
        <v>0.20532</v>
      </c>
      <c r="J916" s="411">
        <f>SUM(J917:J931)</f>
        <v>0.17611499999999999</v>
      </c>
      <c r="K916" s="411">
        <f>SUM(K917:K931)</f>
        <v>0.10266</v>
      </c>
      <c r="L916" s="411">
        <f t="shared" si="237"/>
        <v>15</v>
      </c>
      <c r="M916" s="409">
        <f>SUM(M917:M931)</f>
        <v>4</v>
      </c>
      <c r="N916" s="409">
        <f>SUM(N917:N931)</f>
        <v>3</v>
      </c>
      <c r="O916" s="409">
        <f>SUM(O917:O931)</f>
        <v>5</v>
      </c>
      <c r="P916" s="409">
        <f>SUM(P917:P931)</f>
        <v>3</v>
      </c>
      <c r="Q916" s="382"/>
      <c r="R916" s="385" t="str">
        <f t="shared" si="245"/>
        <v>T</v>
      </c>
      <c r="S916" s="389"/>
      <c r="T916" s="389"/>
      <c r="U916" s="389"/>
      <c r="V916" s="389"/>
      <c r="W916" s="389"/>
      <c r="X916" s="389"/>
      <c r="Y916" s="389"/>
      <c r="Z916" s="389"/>
      <c r="AA916" s="389"/>
      <c r="AB916" s="389"/>
      <c r="AC916" s="389"/>
      <c r="AD916" s="389"/>
      <c r="AE916" s="389"/>
      <c r="AF916" s="389"/>
    </row>
    <row r="917" spans="1:32" hidden="1" outlineLevel="3">
      <c r="A917" s="382"/>
      <c r="B917" s="382" t="s">
        <v>319</v>
      </c>
      <c r="C917" s="386" t="s">
        <v>319</v>
      </c>
      <c r="D917" s="382" t="s">
        <v>28</v>
      </c>
      <c r="E917" s="382" t="s">
        <v>29</v>
      </c>
      <c r="F917" s="440" t="s">
        <v>32</v>
      </c>
      <c r="G917" s="411">
        <v>3.9824999999999999E-2</v>
      </c>
      <c r="H917" s="411">
        <f t="shared" ref="H917:H931" si="271">IF(M917=1,$G917,"")</f>
        <v>3.9824999999999999E-2</v>
      </c>
      <c r="I917" s="411" t="str">
        <f t="shared" ref="I917:I931" si="272">IF(N917=1,$G917,"")</f>
        <v/>
      </c>
      <c r="J917" s="411" t="str">
        <f t="shared" ref="J917:J931" si="273">IF(O917=1,$G917,"")</f>
        <v/>
      </c>
      <c r="K917" s="411" t="str">
        <f t="shared" ref="K917:K931" si="274">IF(P917=1,$G917,"")</f>
        <v/>
      </c>
      <c r="L917" s="411">
        <f t="shared" si="237"/>
        <v>1</v>
      </c>
      <c r="M917" s="409">
        <v>1</v>
      </c>
      <c r="N917" s="409"/>
      <c r="O917" s="409"/>
      <c r="P917" s="409"/>
      <c r="Q917" s="382"/>
      <c r="R917" s="385" t="str">
        <f t="shared" si="245"/>
        <v>T</v>
      </c>
      <c r="S917" s="389"/>
      <c r="T917" s="389"/>
      <c r="U917" s="389"/>
      <c r="V917" s="389"/>
      <c r="W917" s="389"/>
      <c r="X917" s="389"/>
      <c r="Y917" s="389"/>
      <c r="Z917" s="389"/>
      <c r="AA917" s="389"/>
      <c r="AB917" s="389"/>
      <c r="AC917" s="389"/>
      <c r="AD917" s="389"/>
      <c r="AE917" s="389"/>
      <c r="AF917" s="389"/>
    </row>
    <row r="918" spans="1:32" hidden="1" outlineLevel="3">
      <c r="A918" s="382"/>
      <c r="B918" s="382" t="s">
        <v>319</v>
      </c>
      <c r="C918" s="386" t="s">
        <v>319</v>
      </c>
      <c r="D918" s="382" t="s">
        <v>28</v>
      </c>
      <c r="E918" s="382" t="s">
        <v>29</v>
      </c>
      <c r="F918" s="440" t="s">
        <v>33</v>
      </c>
      <c r="G918" s="411">
        <v>7.9649999999999999E-2</v>
      </c>
      <c r="H918" s="411">
        <f t="shared" si="271"/>
        <v>7.9649999999999999E-2</v>
      </c>
      <c r="I918" s="411" t="str">
        <f t="shared" si="272"/>
        <v/>
      </c>
      <c r="J918" s="411" t="str">
        <f t="shared" si="273"/>
        <v/>
      </c>
      <c r="K918" s="411" t="str">
        <f t="shared" si="274"/>
        <v/>
      </c>
      <c r="L918" s="411">
        <f t="shared" ref="L918:L940" si="275">SUM(M918:P918)</f>
        <v>1</v>
      </c>
      <c r="M918" s="409">
        <v>1</v>
      </c>
      <c r="N918" s="409"/>
      <c r="O918" s="409"/>
      <c r="P918" s="409"/>
      <c r="Q918" s="382"/>
      <c r="R918" s="385" t="str">
        <f t="shared" si="245"/>
        <v>T</v>
      </c>
      <c r="S918" s="389"/>
      <c r="T918" s="389"/>
      <c r="U918" s="389"/>
      <c r="V918" s="389"/>
      <c r="W918" s="389"/>
      <c r="X918" s="389"/>
      <c r="Y918" s="389"/>
      <c r="Z918" s="389"/>
      <c r="AA918" s="389"/>
      <c r="AB918" s="389"/>
      <c r="AC918" s="389"/>
      <c r="AD918" s="389"/>
      <c r="AE918" s="389"/>
      <c r="AF918" s="389"/>
    </row>
    <row r="919" spans="1:32" hidden="1" outlineLevel="3">
      <c r="A919" s="382"/>
      <c r="B919" s="382" t="s">
        <v>319</v>
      </c>
      <c r="C919" s="386" t="s">
        <v>319</v>
      </c>
      <c r="D919" s="382" t="s">
        <v>28</v>
      </c>
      <c r="E919" s="382" t="s">
        <v>29</v>
      </c>
      <c r="F919" s="440" t="s">
        <v>34</v>
      </c>
      <c r="G919" s="411">
        <v>7.9649999999999999E-2</v>
      </c>
      <c r="H919" s="411">
        <f t="shared" si="271"/>
        <v>7.9649999999999999E-2</v>
      </c>
      <c r="I919" s="411" t="str">
        <f t="shared" si="272"/>
        <v/>
      </c>
      <c r="J919" s="411" t="str">
        <f t="shared" si="273"/>
        <v/>
      </c>
      <c r="K919" s="411" t="str">
        <f t="shared" si="274"/>
        <v/>
      </c>
      <c r="L919" s="411">
        <f t="shared" si="275"/>
        <v>1</v>
      </c>
      <c r="M919" s="409">
        <v>1</v>
      </c>
      <c r="N919" s="409"/>
      <c r="O919" s="409"/>
      <c r="P919" s="409"/>
      <c r="Q919" s="382"/>
      <c r="R919" s="385" t="str">
        <f t="shared" si="245"/>
        <v>T</v>
      </c>
      <c r="S919" s="389"/>
      <c r="T919" s="389"/>
      <c r="U919" s="389"/>
      <c r="V919" s="389"/>
      <c r="W919" s="389"/>
      <c r="X919" s="389"/>
      <c r="Y919" s="389"/>
      <c r="Z919" s="389"/>
      <c r="AA919" s="389"/>
      <c r="AB919" s="389"/>
      <c r="AC919" s="389"/>
      <c r="AD919" s="389"/>
      <c r="AE919" s="389"/>
      <c r="AF919" s="389"/>
    </row>
    <row r="920" spans="1:32" hidden="1" outlineLevel="3" collapsed="1">
      <c r="A920" s="382"/>
      <c r="B920" s="382" t="s">
        <v>319</v>
      </c>
      <c r="C920" s="386" t="s">
        <v>319</v>
      </c>
      <c r="D920" s="382" t="s">
        <v>28</v>
      </c>
      <c r="E920" s="382" t="s">
        <v>29</v>
      </c>
      <c r="F920" s="440" t="s">
        <v>197</v>
      </c>
      <c r="G920" s="387">
        <v>3.9824999999999999E-2</v>
      </c>
      <c r="H920" s="411">
        <f t="shared" si="271"/>
        <v>3.9824999999999999E-2</v>
      </c>
      <c r="I920" s="411" t="str">
        <f t="shared" si="272"/>
        <v/>
      </c>
      <c r="J920" s="411" t="str">
        <f t="shared" si="273"/>
        <v/>
      </c>
      <c r="K920" s="411" t="str">
        <f t="shared" si="274"/>
        <v/>
      </c>
      <c r="L920" s="387">
        <f t="shared" si="275"/>
        <v>1</v>
      </c>
      <c r="M920" s="388">
        <v>1</v>
      </c>
      <c r="N920" s="388"/>
      <c r="O920" s="388"/>
      <c r="P920" s="388"/>
      <c r="Q920" s="382"/>
      <c r="R920" s="385" t="str">
        <f t="shared" si="245"/>
        <v>T</v>
      </c>
      <c r="S920" s="389"/>
      <c r="T920" s="389"/>
      <c r="U920" s="389"/>
      <c r="V920" s="389"/>
      <c r="W920" s="389"/>
      <c r="X920" s="389"/>
      <c r="Y920" s="389"/>
      <c r="Z920" s="389"/>
      <c r="AA920" s="389"/>
      <c r="AB920" s="389"/>
      <c r="AC920" s="389"/>
      <c r="AD920" s="389"/>
      <c r="AE920" s="389"/>
      <c r="AF920" s="389"/>
    </row>
    <row r="921" spans="1:32" hidden="1" outlineLevel="3">
      <c r="A921" s="382"/>
      <c r="B921" s="382" t="s">
        <v>319</v>
      </c>
      <c r="C921" s="386" t="s">
        <v>319</v>
      </c>
      <c r="D921" s="382" t="s">
        <v>28</v>
      </c>
      <c r="E921" s="382" t="s">
        <v>29</v>
      </c>
      <c r="F921" s="440" t="s">
        <v>458</v>
      </c>
      <c r="G921" s="411">
        <v>0.10266</v>
      </c>
      <c r="H921" s="411" t="str">
        <f t="shared" si="271"/>
        <v/>
      </c>
      <c r="I921" s="411">
        <f t="shared" si="272"/>
        <v>0.10266</v>
      </c>
      <c r="J921" s="411" t="str">
        <f t="shared" si="273"/>
        <v/>
      </c>
      <c r="K921" s="411" t="str">
        <f t="shared" si="274"/>
        <v/>
      </c>
      <c r="L921" s="411">
        <f t="shared" si="275"/>
        <v>1</v>
      </c>
      <c r="M921" s="407"/>
      <c r="N921" s="409">
        <v>1</v>
      </c>
      <c r="O921" s="409"/>
      <c r="P921" s="409"/>
      <c r="Q921" s="382"/>
      <c r="R921" s="385" t="str">
        <f t="shared" si="245"/>
        <v>T</v>
      </c>
      <c r="S921" s="389"/>
      <c r="T921" s="389"/>
      <c r="U921" s="389"/>
      <c r="V921" s="389"/>
      <c r="W921" s="389"/>
      <c r="X921" s="389"/>
      <c r="Y921" s="389"/>
      <c r="Z921" s="389"/>
      <c r="AA921" s="389"/>
      <c r="AB921" s="389"/>
      <c r="AC921" s="389"/>
      <c r="AD921" s="389"/>
      <c r="AE921" s="389"/>
      <c r="AF921" s="389"/>
    </row>
    <row r="922" spans="1:32" hidden="1" outlineLevel="3" collapsed="1">
      <c r="A922" s="382"/>
      <c r="B922" s="382" t="s">
        <v>319</v>
      </c>
      <c r="C922" s="386" t="s">
        <v>319</v>
      </c>
      <c r="D922" s="382" t="s">
        <v>28</v>
      </c>
      <c r="E922" s="382" t="s">
        <v>29</v>
      </c>
      <c r="F922" s="440" t="s">
        <v>459</v>
      </c>
      <c r="G922" s="387">
        <v>3.422E-2</v>
      </c>
      <c r="H922" s="411" t="str">
        <f t="shared" si="271"/>
        <v/>
      </c>
      <c r="I922" s="411">
        <f t="shared" si="272"/>
        <v>3.422E-2</v>
      </c>
      <c r="J922" s="411" t="str">
        <f t="shared" si="273"/>
        <v/>
      </c>
      <c r="K922" s="411" t="str">
        <f t="shared" si="274"/>
        <v/>
      </c>
      <c r="L922" s="387">
        <f t="shared" si="275"/>
        <v>1</v>
      </c>
      <c r="M922" s="407"/>
      <c r="N922" s="388">
        <v>1</v>
      </c>
      <c r="O922" s="388"/>
      <c r="P922" s="388"/>
      <c r="Q922" s="382"/>
      <c r="R922" s="385" t="str">
        <f t="shared" si="245"/>
        <v>T</v>
      </c>
      <c r="S922" s="389"/>
      <c r="T922" s="389"/>
      <c r="U922" s="389"/>
      <c r="V922" s="389"/>
      <c r="W922" s="389"/>
      <c r="X922" s="389"/>
      <c r="Y922" s="389"/>
      <c r="Z922" s="389"/>
      <c r="AA922" s="389"/>
      <c r="AB922" s="389"/>
      <c r="AC922" s="389"/>
      <c r="AD922" s="389"/>
      <c r="AE922" s="389"/>
      <c r="AF922" s="389"/>
    </row>
    <row r="923" spans="1:32" hidden="1" outlineLevel="3">
      <c r="A923" s="382"/>
      <c r="B923" s="382" t="s">
        <v>319</v>
      </c>
      <c r="C923" s="386" t="s">
        <v>319</v>
      </c>
      <c r="D923" s="382" t="s">
        <v>28</v>
      </c>
      <c r="E923" s="382" t="s">
        <v>29</v>
      </c>
      <c r="F923" s="440" t="s">
        <v>473</v>
      </c>
      <c r="G923" s="411">
        <v>6.8440000000000001E-2</v>
      </c>
      <c r="H923" s="411" t="str">
        <f t="shared" si="271"/>
        <v/>
      </c>
      <c r="I923" s="411">
        <f t="shared" si="272"/>
        <v>6.8440000000000001E-2</v>
      </c>
      <c r="J923" s="411" t="str">
        <f t="shared" si="273"/>
        <v/>
      </c>
      <c r="K923" s="411" t="str">
        <f t="shared" si="274"/>
        <v/>
      </c>
      <c r="L923" s="411">
        <f t="shared" ref="L923" si="276">SUM(M923:P923)</f>
        <v>1</v>
      </c>
      <c r="M923" s="407"/>
      <c r="N923" s="409">
        <v>1</v>
      </c>
      <c r="O923" s="409"/>
      <c r="P923" s="409"/>
      <c r="Q923" s="382"/>
      <c r="R923" s="385" t="str">
        <f t="shared" si="245"/>
        <v>T</v>
      </c>
      <c r="S923" s="389"/>
      <c r="T923" s="389"/>
      <c r="U923" s="389"/>
      <c r="V923" s="389"/>
      <c r="W923" s="389"/>
      <c r="X923" s="389"/>
      <c r="Y923" s="389"/>
      <c r="Z923" s="389"/>
      <c r="AA923" s="389"/>
      <c r="AB923" s="389"/>
      <c r="AC923" s="389"/>
      <c r="AD923" s="389"/>
      <c r="AE923" s="389"/>
      <c r="AF923" s="389"/>
    </row>
    <row r="924" spans="1:32" hidden="1" outlineLevel="3">
      <c r="A924" s="382"/>
      <c r="B924" s="382" t="s">
        <v>319</v>
      </c>
      <c r="C924" s="386" t="s">
        <v>319</v>
      </c>
      <c r="D924" s="382" t="s">
        <v>28</v>
      </c>
      <c r="E924" s="382" t="s">
        <v>29</v>
      </c>
      <c r="F924" s="440" t="s">
        <v>460</v>
      </c>
      <c r="G924" s="411">
        <v>3.422E-2</v>
      </c>
      <c r="H924" s="411" t="str">
        <f t="shared" si="271"/>
        <v/>
      </c>
      <c r="I924" s="411" t="str">
        <f t="shared" si="272"/>
        <v/>
      </c>
      <c r="J924" s="411">
        <f t="shared" si="273"/>
        <v>3.422E-2</v>
      </c>
      <c r="K924" s="411" t="str">
        <f t="shared" si="274"/>
        <v/>
      </c>
      <c r="L924" s="411">
        <f t="shared" si="275"/>
        <v>1</v>
      </c>
      <c r="M924" s="407"/>
      <c r="N924" s="409"/>
      <c r="O924" s="409">
        <v>1</v>
      </c>
      <c r="P924" s="409"/>
      <c r="Q924" s="382"/>
      <c r="R924" s="385" t="str">
        <f t="shared" si="245"/>
        <v>T</v>
      </c>
      <c r="S924" s="389"/>
      <c r="T924" s="389"/>
      <c r="U924" s="389"/>
      <c r="V924" s="389"/>
      <c r="W924" s="389"/>
      <c r="X924" s="389"/>
      <c r="Y924" s="389"/>
      <c r="Z924" s="389"/>
      <c r="AA924" s="389"/>
      <c r="AB924" s="389"/>
      <c r="AC924" s="389"/>
      <c r="AD924" s="389"/>
      <c r="AE924" s="389"/>
      <c r="AF924" s="389"/>
    </row>
    <row r="925" spans="1:32" hidden="1" outlineLevel="3">
      <c r="A925" s="382"/>
      <c r="B925" s="382" t="s">
        <v>319</v>
      </c>
      <c r="C925" s="386" t="s">
        <v>319</v>
      </c>
      <c r="D925" s="382" t="s">
        <v>28</v>
      </c>
      <c r="E925" s="382" t="s">
        <v>29</v>
      </c>
      <c r="F925" s="440" t="s">
        <v>462</v>
      </c>
      <c r="G925" s="411">
        <v>3.422E-2</v>
      </c>
      <c r="H925" s="411" t="str">
        <f t="shared" si="271"/>
        <v/>
      </c>
      <c r="I925" s="411" t="str">
        <f t="shared" si="272"/>
        <v/>
      </c>
      <c r="J925" s="411">
        <f t="shared" si="273"/>
        <v>3.422E-2</v>
      </c>
      <c r="K925" s="411" t="str">
        <f t="shared" si="274"/>
        <v/>
      </c>
      <c r="L925" s="411">
        <f t="shared" ref="L925:L927" si="277">SUM(M925:P925)</f>
        <v>1</v>
      </c>
      <c r="M925" s="407"/>
      <c r="N925" s="409"/>
      <c r="O925" s="409">
        <v>1</v>
      </c>
      <c r="P925" s="409"/>
      <c r="Q925" s="382"/>
      <c r="R925" s="385" t="str">
        <f t="shared" si="245"/>
        <v>T</v>
      </c>
      <c r="S925" s="389"/>
      <c r="T925" s="389"/>
      <c r="U925" s="389"/>
      <c r="V925" s="389"/>
      <c r="W925" s="389"/>
      <c r="X925" s="389"/>
      <c r="Y925" s="389"/>
      <c r="Z925" s="389"/>
      <c r="AA925" s="389"/>
      <c r="AB925" s="389"/>
      <c r="AC925" s="389"/>
      <c r="AD925" s="389"/>
      <c r="AE925" s="389"/>
      <c r="AF925" s="389"/>
    </row>
    <row r="926" spans="1:32" hidden="1" outlineLevel="3" collapsed="1">
      <c r="A926" s="382"/>
      <c r="B926" s="382" t="s">
        <v>319</v>
      </c>
      <c r="C926" s="386" t="s">
        <v>319</v>
      </c>
      <c r="D926" s="382" t="s">
        <v>28</v>
      </c>
      <c r="E926" s="382" t="s">
        <v>29</v>
      </c>
      <c r="F926" s="440" t="s">
        <v>463</v>
      </c>
      <c r="G926" s="387">
        <v>3.422E-2</v>
      </c>
      <c r="H926" s="411" t="str">
        <f t="shared" si="271"/>
        <v/>
      </c>
      <c r="I926" s="411" t="str">
        <f t="shared" si="272"/>
        <v/>
      </c>
      <c r="J926" s="411">
        <f t="shared" si="273"/>
        <v>3.422E-2</v>
      </c>
      <c r="K926" s="411" t="str">
        <f t="shared" si="274"/>
        <v/>
      </c>
      <c r="L926" s="387">
        <f t="shared" si="277"/>
        <v>1</v>
      </c>
      <c r="M926" s="407"/>
      <c r="N926" s="388"/>
      <c r="O926" s="388">
        <v>1</v>
      </c>
      <c r="P926" s="388"/>
      <c r="Q926" s="382"/>
      <c r="R926" s="385" t="str">
        <f t="shared" si="245"/>
        <v>T</v>
      </c>
      <c r="S926" s="389"/>
      <c r="T926" s="389"/>
      <c r="U926" s="389"/>
      <c r="V926" s="389"/>
      <c r="W926" s="389"/>
      <c r="X926" s="389"/>
      <c r="Y926" s="389"/>
      <c r="Z926" s="389"/>
      <c r="AA926" s="389"/>
      <c r="AB926" s="389"/>
      <c r="AC926" s="389"/>
      <c r="AD926" s="389"/>
      <c r="AE926" s="389"/>
      <c r="AF926" s="389"/>
    </row>
    <row r="927" spans="1:32" hidden="1" outlineLevel="3">
      <c r="A927" s="382"/>
      <c r="B927" s="382" t="s">
        <v>319</v>
      </c>
      <c r="C927" s="386" t="s">
        <v>319</v>
      </c>
      <c r="D927" s="382" t="s">
        <v>28</v>
      </c>
      <c r="E927" s="382" t="s">
        <v>29</v>
      </c>
      <c r="F927" s="440" t="s">
        <v>464</v>
      </c>
      <c r="G927" s="411">
        <v>3.422E-2</v>
      </c>
      <c r="H927" s="411" t="str">
        <f t="shared" si="271"/>
        <v/>
      </c>
      <c r="I927" s="411" t="str">
        <f t="shared" si="272"/>
        <v/>
      </c>
      <c r="J927" s="411">
        <f t="shared" si="273"/>
        <v>3.422E-2</v>
      </c>
      <c r="K927" s="411" t="str">
        <f t="shared" si="274"/>
        <v/>
      </c>
      <c r="L927" s="411">
        <f t="shared" si="277"/>
        <v>1</v>
      </c>
      <c r="M927" s="407"/>
      <c r="N927" s="409"/>
      <c r="O927" s="409">
        <v>1</v>
      </c>
      <c r="P927" s="409"/>
      <c r="Q927" s="382"/>
      <c r="R927" s="385" t="str">
        <f t="shared" si="245"/>
        <v>T</v>
      </c>
      <c r="S927" s="389"/>
      <c r="T927" s="389"/>
      <c r="U927" s="389"/>
      <c r="V927" s="389"/>
      <c r="W927" s="389"/>
      <c r="X927" s="389"/>
      <c r="Y927" s="389"/>
      <c r="Z927" s="389"/>
      <c r="AA927" s="389"/>
      <c r="AB927" s="389"/>
      <c r="AC927" s="389"/>
      <c r="AD927" s="389"/>
      <c r="AE927" s="389"/>
      <c r="AF927" s="389"/>
    </row>
    <row r="928" spans="1:32" hidden="1" outlineLevel="3">
      <c r="A928" s="382"/>
      <c r="B928" s="382" t="s">
        <v>319</v>
      </c>
      <c r="C928" s="386" t="s">
        <v>319</v>
      </c>
      <c r="D928" s="382" t="s">
        <v>28</v>
      </c>
      <c r="E928" s="382" t="s">
        <v>29</v>
      </c>
      <c r="F928" s="440" t="s">
        <v>465</v>
      </c>
      <c r="G928" s="411">
        <v>3.422E-2</v>
      </c>
      <c r="H928" s="411" t="str">
        <f t="shared" si="271"/>
        <v/>
      </c>
      <c r="I928" s="411" t="str">
        <f t="shared" si="272"/>
        <v/>
      </c>
      <c r="J928" s="411" t="str">
        <f t="shared" si="273"/>
        <v/>
      </c>
      <c r="K928" s="411">
        <f t="shared" si="274"/>
        <v>3.422E-2</v>
      </c>
      <c r="L928" s="411">
        <f t="shared" ref="L928:L930" si="278">SUM(M928:P928)</f>
        <v>1</v>
      </c>
      <c r="M928" s="407"/>
      <c r="N928" s="409"/>
      <c r="O928" s="409"/>
      <c r="P928" s="409">
        <v>1</v>
      </c>
      <c r="Q928" s="382"/>
      <c r="R928" s="385" t="str">
        <f t="shared" si="245"/>
        <v>T</v>
      </c>
      <c r="S928" s="389"/>
      <c r="T928" s="389"/>
      <c r="U928" s="389"/>
      <c r="V928" s="389"/>
      <c r="W928" s="389"/>
      <c r="X928" s="389"/>
      <c r="Y928" s="389"/>
      <c r="Z928" s="389"/>
      <c r="AA928" s="389"/>
      <c r="AB928" s="389"/>
      <c r="AC928" s="389"/>
      <c r="AD928" s="389"/>
      <c r="AE928" s="389"/>
      <c r="AF928" s="389"/>
    </row>
    <row r="929" spans="1:32" hidden="1" outlineLevel="3" collapsed="1">
      <c r="A929" s="382"/>
      <c r="B929" s="382" t="s">
        <v>319</v>
      </c>
      <c r="C929" s="386" t="s">
        <v>319</v>
      </c>
      <c r="D929" s="382" t="s">
        <v>28</v>
      </c>
      <c r="E929" s="382" t="s">
        <v>29</v>
      </c>
      <c r="F929" s="440" t="s">
        <v>466</v>
      </c>
      <c r="G929" s="387">
        <v>3.422E-2</v>
      </c>
      <c r="H929" s="411" t="str">
        <f t="shared" si="271"/>
        <v/>
      </c>
      <c r="I929" s="411" t="str">
        <f t="shared" si="272"/>
        <v/>
      </c>
      <c r="J929" s="411" t="str">
        <f t="shared" si="273"/>
        <v/>
      </c>
      <c r="K929" s="411">
        <f t="shared" si="274"/>
        <v>3.422E-2</v>
      </c>
      <c r="L929" s="387">
        <f t="shared" si="278"/>
        <v>1</v>
      </c>
      <c r="M929" s="407"/>
      <c r="N929" s="388"/>
      <c r="O929" s="388"/>
      <c r="P929" s="388">
        <v>1</v>
      </c>
      <c r="Q929" s="382"/>
      <c r="R929" s="385" t="str">
        <f t="shared" si="245"/>
        <v>T</v>
      </c>
      <c r="S929" s="389"/>
      <c r="T929" s="389"/>
      <c r="U929" s="389"/>
      <c r="V929" s="389"/>
      <c r="W929" s="389"/>
      <c r="X929" s="389"/>
      <c r="Y929" s="389"/>
      <c r="Z929" s="389"/>
      <c r="AA929" s="389"/>
      <c r="AB929" s="389"/>
      <c r="AC929" s="389"/>
      <c r="AD929" s="389"/>
      <c r="AE929" s="389"/>
      <c r="AF929" s="389"/>
    </row>
    <row r="930" spans="1:32" hidden="1" outlineLevel="3">
      <c r="A930" s="382"/>
      <c r="B930" s="382" t="s">
        <v>319</v>
      </c>
      <c r="C930" s="386" t="s">
        <v>319</v>
      </c>
      <c r="D930" s="382" t="s">
        <v>28</v>
      </c>
      <c r="E930" s="382" t="s">
        <v>29</v>
      </c>
      <c r="F930" s="440" t="s">
        <v>467</v>
      </c>
      <c r="G930" s="411">
        <v>3.422E-2</v>
      </c>
      <c r="H930" s="411" t="str">
        <f t="shared" si="271"/>
        <v/>
      </c>
      <c r="I930" s="411" t="str">
        <f t="shared" si="272"/>
        <v/>
      </c>
      <c r="J930" s="411" t="str">
        <f t="shared" si="273"/>
        <v/>
      </c>
      <c r="K930" s="411">
        <f t="shared" si="274"/>
        <v>3.422E-2</v>
      </c>
      <c r="L930" s="411">
        <f t="shared" si="278"/>
        <v>1</v>
      </c>
      <c r="M930" s="407"/>
      <c r="N930" s="409"/>
      <c r="O930" s="409"/>
      <c r="P930" s="409">
        <v>1</v>
      </c>
      <c r="Q930" s="382"/>
      <c r="R930" s="385" t="str">
        <f t="shared" si="245"/>
        <v>T</v>
      </c>
      <c r="S930" s="389"/>
      <c r="T930" s="389"/>
      <c r="U930" s="389"/>
      <c r="V930" s="389"/>
      <c r="W930" s="389"/>
      <c r="X930" s="389"/>
      <c r="Y930" s="389"/>
      <c r="Z930" s="389"/>
      <c r="AA930" s="389"/>
      <c r="AB930" s="389"/>
      <c r="AC930" s="389"/>
      <c r="AD930" s="389"/>
      <c r="AE930" s="389"/>
      <c r="AF930" s="389"/>
    </row>
    <row r="931" spans="1:32" hidden="1" outlineLevel="3">
      <c r="A931" s="382"/>
      <c r="B931" s="382" t="s">
        <v>319</v>
      </c>
      <c r="C931" s="386" t="s">
        <v>319</v>
      </c>
      <c r="D931" s="382" t="s">
        <v>28</v>
      </c>
      <c r="E931" s="382" t="s">
        <v>29</v>
      </c>
      <c r="F931" s="440" t="s">
        <v>205</v>
      </c>
      <c r="G931" s="411">
        <v>3.9234999999999992E-2</v>
      </c>
      <c r="H931" s="411" t="str">
        <f t="shared" si="271"/>
        <v/>
      </c>
      <c r="I931" s="411" t="str">
        <f t="shared" si="272"/>
        <v/>
      </c>
      <c r="J931" s="411">
        <f t="shared" si="273"/>
        <v>3.9234999999999992E-2</v>
      </c>
      <c r="K931" s="411" t="str">
        <f t="shared" si="274"/>
        <v/>
      </c>
      <c r="L931" s="411">
        <f t="shared" si="275"/>
        <v>1</v>
      </c>
      <c r="M931" s="407"/>
      <c r="N931" s="409"/>
      <c r="O931" s="409">
        <v>1</v>
      </c>
      <c r="P931" s="409"/>
      <c r="Q931" s="382"/>
      <c r="R931" s="385" t="str">
        <f t="shared" si="245"/>
        <v>T</v>
      </c>
      <c r="S931" s="389"/>
      <c r="T931" s="389"/>
      <c r="U931" s="389"/>
      <c r="V931" s="389"/>
      <c r="W931" s="389"/>
      <c r="X931" s="389"/>
      <c r="Y931" s="389"/>
      <c r="Z931" s="389"/>
      <c r="AA931" s="389"/>
      <c r="AB931" s="389"/>
      <c r="AC931" s="389"/>
      <c r="AD931" s="389"/>
      <c r="AE931" s="389"/>
      <c r="AF931" s="389"/>
    </row>
    <row r="932" spans="1:32" hidden="1" outlineLevel="2" collapsed="1">
      <c r="A932" s="382"/>
      <c r="B932" s="382" t="s">
        <v>319</v>
      </c>
      <c r="C932" s="386" t="s">
        <v>319</v>
      </c>
      <c r="D932" s="382" t="s">
        <v>64</v>
      </c>
      <c r="E932" s="382"/>
      <c r="F932" s="440" t="s">
        <v>472</v>
      </c>
      <c r="G932" s="411">
        <f>SUM(G933:G946)</f>
        <v>0.29963999999999996</v>
      </c>
      <c r="H932" s="411">
        <f>SUM(H933:H946)</f>
        <v>8.9100000000000013E-2</v>
      </c>
      <c r="I932" s="411">
        <f>SUM(I933:I946)</f>
        <v>5.7419999999999999E-2</v>
      </c>
      <c r="J932" s="411">
        <f>SUM(J933:J946)</f>
        <v>9.5700000000000007E-2</v>
      </c>
      <c r="K932" s="411">
        <f>SUM(K933:K946)</f>
        <v>5.7419999999999999E-2</v>
      </c>
      <c r="L932" s="411">
        <f t="shared" si="275"/>
        <v>14</v>
      </c>
      <c r="M932" s="409">
        <f>SUM(M933:M946)</f>
        <v>3</v>
      </c>
      <c r="N932" s="409">
        <f>SUM(N933:N946)</f>
        <v>3</v>
      </c>
      <c r="O932" s="409">
        <f>SUM(O933:O946)</f>
        <v>5</v>
      </c>
      <c r="P932" s="409">
        <f>SUM(P933:P946)</f>
        <v>3</v>
      </c>
      <c r="Q932" s="382"/>
      <c r="R932" s="385" t="str">
        <f t="shared" si="245"/>
        <v>T</v>
      </c>
      <c r="S932" s="389"/>
      <c r="T932" s="389"/>
      <c r="U932" s="389"/>
      <c r="V932" s="389"/>
      <c r="W932" s="389"/>
      <c r="X932" s="389"/>
      <c r="Y932" s="389"/>
      <c r="Z932" s="389"/>
      <c r="AA932" s="389"/>
      <c r="AB932" s="389"/>
      <c r="AC932" s="389"/>
      <c r="AD932" s="389"/>
      <c r="AE932" s="389"/>
      <c r="AF932" s="389"/>
    </row>
    <row r="933" spans="1:32" hidden="1" outlineLevel="3" collapsed="1">
      <c r="A933" s="382"/>
      <c r="B933" s="382" t="s">
        <v>319</v>
      </c>
      <c r="C933" s="386" t="s">
        <v>319</v>
      </c>
      <c r="D933" s="382" t="s">
        <v>64</v>
      </c>
      <c r="E933" s="382" t="s">
        <v>29</v>
      </c>
      <c r="F933" s="553" t="s">
        <v>32</v>
      </c>
      <c r="G933" s="411">
        <v>4.4550000000000006E-2</v>
      </c>
      <c r="H933" s="411">
        <f t="shared" ref="H933:H946" si="279">IF(M933=1,$G933,"")</f>
        <v>4.4550000000000006E-2</v>
      </c>
      <c r="I933" s="411" t="str">
        <f t="shared" ref="I933:I946" si="280">IF(N933=1,$G933,"")</f>
        <v/>
      </c>
      <c r="J933" s="411" t="str">
        <f t="shared" ref="J933:J946" si="281">IF(O933=1,$G933,"")</f>
        <v/>
      </c>
      <c r="K933" s="411" t="str">
        <f t="shared" ref="K933:K946" si="282">IF(P933=1,$G933,"")</f>
        <v/>
      </c>
      <c r="L933" s="411">
        <f t="shared" si="275"/>
        <v>1</v>
      </c>
      <c r="M933" s="409">
        <v>1</v>
      </c>
      <c r="N933" s="409"/>
      <c r="O933" s="409"/>
      <c r="P933" s="409"/>
      <c r="Q933" s="382"/>
      <c r="R933" s="385" t="str">
        <f t="shared" si="245"/>
        <v>T</v>
      </c>
      <c r="S933" s="389"/>
      <c r="T933" s="389"/>
      <c r="U933" s="389"/>
      <c r="V933" s="389"/>
      <c r="W933" s="389"/>
      <c r="X933" s="389"/>
      <c r="Y933" s="389"/>
      <c r="Z933" s="389"/>
      <c r="AA933" s="389"/>
      <c r="AB933" s="389"/>
      <c r="AC933" s="389"/>
      <c r="AD933" s="389"/>
      <c r="AE933" s="389"/>
      <c r="AF933" s="389"/>
    </row>
    <row r="934" spans="1:32" hidden="1" outlineLevel="3">
      <c r="A934" s="382"/>
      <c r="B934" s="382" t="s">
        <v>319</v>
      </c>
      <c r="C934" s="386" t="s">
        <v>319</v>
      </c>
      <c r="D934" s="382" t="s">
        <v>64</v>
      </c>
      <c r="E934" s="382" t="s">
        <v>29</v>
      </c>
      <c r="F934" s="440" t="s">
        <v>34</v>
      </c>
      <c r="G934" s="411">
        <v>2.2275000000000003E-2</v>
      </c>
      <c r="H934" s="411">
        <f t="shared" si="279"/>
        <v>2.2275000000000003E-2</v>
      </c>
      <c r="I934" s="411" t="str">
        <f t="shared" si="280"/>
        <v/>
      </c>
      <c r="J934" s="411" t="str">
        <f t="shared" si="281"/>
        <v/>
      </c>
      <c r="K934" s="411" t="str">
        <f t="shared" si="282"/>
        <v/>
      </c>
      <c r="L934" s="411">
        <f t="shared" si="275"/>
        <v>1</v>
      </c>
      <c r="M934" s="409">
        <v>1</v>
      </c>
      <c r="N934" s="409"/>
      <c r="O934" s="409"/>
      <c r="P934" s="409"/>
      <c r="Q934" s="382"/>
      <c r="R934" s="385" t="str">
        <f t="shared" ref="R934" si="283">IF(SUM(M934:P934)=L934,"T","F")</f>
        <v>T</v>
      </c>
      <c r="S934" s="389"/>
      <c r="T934" s="389"/>
      <c r="U934" s="389"/>
      <c r="V934" s="389"/>
      <c r="W934" s="389"/>
      <c r="X934" s="389"/>
      <c r="Y934" s="389"/>
      <c r="Z934" s="389"/>
      <c r="AA934" s="389"/>
      <c r="AB934" s="389"/>
      <c r="AC934" s="389"/>
      <c r="AD934" s="389"/>
      <c r="AE934" s="389"/>
      <c r="AF934" s="389"/>
    </row>
    <row r="935" spans="1:32" hidden="1" outlineLevel="3">
      <c r="A935" s="382"/>
      <c r="B935" s="382" t="s">
        <v>319</v>
      </c>
      <c r="C935" s="386" t="s">
        <v>319</v>
      </c>
      <c r="D935" s="382" t="s">
        <v>64</v>
      </c>
      <c r="E935" s="382" t="s">
        <v>29</v>
      </c>
      <c r="F935" s="440" t="s">
        <v>471</v>
      </c>
      <c r="G935" s="411">
        <v>2.2275000000000003E-2</v>
      </c>
      <c r="H935" s="411">
        <f t="shared" si="279"/>
        <v>2.2275000000000003E-2</v>
      </c>
      <c r="I935" s="411" t="str">
        <f t="shared" si="280"/>
        <v/>
      </c>
      <c r="J935" s="411" t="str">
        <f t="shared" si="281"/>
        <v/>
      </c>
      <c r="K935" s="411" t="str">
        <f t="shared" si="282"/>
        <v/>
      </c>
      <c r="L935" s="411">
        <f t="shared" si="275"/>
        <v>1</v>
      </c>
      <c r="M935" s="409">
        <v>1</v>
      </c>
      <c r="N935" s="409"/>
      <c r="O935" s="409"/>
      <c r="P935" s="409"/>
      <c r="Q935" s="382"/>
      <c r="R935" s="385" t="str">
        <f t="shared" si="245"/>
        <v>T</v>
      </c>
      <c r="S935" s="389"/>
      <c r="T935" s="389"/>
      <c r="U935" s="389"/>
      <c r="V935" s="389"/>
      <c r="W935" s="389"/>
      <c r="X935" s="389"/>
      <c r="Y935" s="389"/>
      <c r="Z935" s="389"/>
      <c r="AA935" s="389"/>
      <c r="AB935" s="389"/>
      <c r="AC935" s="389"/>
      <c r="AD935" s="389"/>
      <c r="AE935" s="389"/>
      <c r="AF935" s="389"/>
    </row>
    <row r="936" spans="1:32" hidden="1" outlineLevel="3">
      <c r="A936" s="382"/>
      <c r="B936" s="382" t="s">
        <v>319</v>
      </c>
      <c r="C936" s="386" t="s">
        <v>319</v>
      </c>
      <c r="D936" s="382" t="s">
        <v>64</v>
      </c>
      <c r="E936" s="382" t="s">
        <v>29</v>
      </c>
      <c r="F936" s="440" t="s">
        <v>458</v>
      </c>
      <c r="G936" s="411">
        <v>1.9140000000000001E-2</v>
      </c>
      <c r="H936" s="411" t="str">
        <f t="shared" si="279"/>
        <v/>
      </c>
      <c r="I936" s="411">
        <f t="shared" si="280"/>
        <v>1.9140000000000001E-2</v>
      </c>
      <c r="J936" s="411" t="str">
        <f t="shared" si="281"/>
        <v/>
      </c>
      <c r="K936" s="411" t="str">
        <f t="shared" si="282"/>
        <v/>
      </c>
      <c r="L936" s="411">
        <f t="shared" ref="L936:L938" si="284">SUM(M936:P936)</f>
        <v>1</v>
      </c>
      <c r="M936" s="407"/>
      <c r="N936" s="409">
        <v>1</v>
      </c>
      <c r="O936" s="409"/>
      <c r="P936" s="409"/>
      <c r="Q936" s="382"/>
      <c r="R936" s="385" t="str">
        <f t="shared" ref="R936:R938" si="285">IF(SUM(M936:P936)=L936,"T","F")</f>
        <v>T</v>
      </c>
      <c r="S936" s="389"/>
      <c r="T936" s="389"/>
      <c r="U936" s="389"/>
      <c r="V936" s="389"/>
      <c r="W936" s="389"/>
      <c r="X936" s="389"/>
      <c r="Y936" s="389"/>
      <c r="Z936" s="389"/>
      <c r="AA936" s="389"/>
      <c r="AB936" s="389"/>
      <c r="AC936" s="389"/>
      <c r="AD936" s="389"/>
      <c r="AE936" s="389"/>
      <c r="AF936" s="389"/>
    </row>
    <row r="937" spans="1:32" hidden="1" outlineLevel="3">
      <c r="A937" s="382"/>
      <c r="B937" s="382" t="s">
        <v>319</v>
      </c>
      <c r="C937" s="386" t="s">
        <v>319</v>
      </c>
      <c r="D937" s="382" t="s">
        <v>64</v>
      </c>
      <c r="E937" s="382" t="s">
        <v>29</v>
      </c>
      <c r="F937" s="440" t="s">
        <v>459</v>
      </c>
      <c r="G937" s="411">
        <v>1.9140000000000001E-2</v>
      </c>
      <c r="H937" s="411" t="str">
        <f t="shared" si="279"/>
        <v/>
      </c>
      <c r="I937" s="411">
        <f t="shared" si="280"/>
        <v>1.9140000000000001E-2</v>
      </c>
      <c r="J937" s="411" t="str">
        <f t="shared" si="281"/>
        <v/>
      </c>
      <c r="K937" s="411" t="str">
        <f t="shared" si="282"/>
        <v/>
      </c>
      <c r="L937" s="411">
        <f t="shared" si="284"/>
        <v>1</v>
      </c>
      <c r="M937" s="407"/>
      <c r="N937" s="409">
        <v>1</v>
      </c>
      <c r="O937" s="409"/>
      <c r="P937" s="409"/>
      <c r="Q937" s="382"/>
      <c r="R937" s="385" t="str">
        <f t="shared" si="285"/>
        <v>T</v>
      </c>
      <c r="S937" s="389"/>
      <c r="T937" s="389"/>
      <c r="U937" s="389"/>
      <c r="V937" s="389"/>
      <c r="W937" s="389"/>
      <c r="X937" s="389"/>
      <c r="Y937" s="389"/>
      <c r="Z937" s="389"/>
      <c r="AA937" s="389"/>
      <c r="AB937" s="389"/>
      <c r="AC937" s="389"/>
      <c r="AD937" s="389"/>
      <c r="AE937" s="389"/>
      <c r="AF937" s="389"/>
    </row>
    <row r="938" spans="1:32" hidden="1" outlineLevel="3">
      <c r="A938" s="382"/>
      <c r="B938" s="382" t="s">
        <v>319</v>
      </c>
      <c r="C938" s="386" t="s">
        <v>319</v>
      </c>
      <c r="D938" s="382" t="s">
        <v>64</v>
      </c>
      <c r="E938" s="382" t="s">
        <v>29</v>
      </c>
      <c r="F938" s="440" t="s">
        <v>473</v>
      </c>
      <c r="G938" s="411">
        <v>1.9140000000000001E-2</v>
      </c>
      <c r="H938" s="411" t="str">
        <f t="shared" si="279"/>
        <v/>
      </c>
      <c r="I938" s="411">
        <f t="shared" si="280"/>
        <v>1.9140000000000001E-2</v>
      </c>
      <c r="J938" s="411" t="str">
        <f t="shared" si="281"/>
        <v/>
      </c>
      <c r="K938" s="411" t="str">
        <f t="shared" si="282"/>
        <v/>
      </c>
      <c r="L938" s="411">
        <f t="shared" si="284"/>
        <v>1</v>
      </c>
      <c r="M938" s="407"/>
      <c r="N938" s="409">
        <v>1</v>
      </c>
      <c r="O938" s="409"/>
      <c r="P938" s="409"/>
      <c r="Q938" s="382"/>
      <c r="R938" s="385" t="str">
        <f t="shared" si="285"/>
        <v>T</v>
      </c>
      <c r="S938" s="389"/>
      <c r="T938" s="389"/>
      <c r="U938" s="389"/>
      <c r="V938" s="389"/>
      <c r="W938" s="389"/>
      <c r="X938" s="389"/>
      <c r="Y938" s="389"/>
      <c r="Z938" s="389"/>
      <c r="AA938" s="389"/>
      <c r="AB938" s="389"/>
      <c r="AC938" s="389"/>
      <c r="AD938" s="389"/>
      <c r="AE938" s="389"/>
      <c r="AF938" s="389"/>
    </row>
    <row r="939" spans="1:32" hidden="1" outlineLevel="3">
      <c r="A939" s="382"/>
      <c r="B939" s="382" t="s">
        <v>319</v>
      </c>
      <c r="C939" s="386" t="s">
        <v>319</v>
      </c>
      <c r="D939" s="382" t="s">
        <v>64</v>
      </c>
      <c r="E939" s="382" t="s">
        <v>29</v>
      </c>
      <c r="F939" s="440" t="s">
        <v>460</v>
      </c>
      <c r="G939" s="411">
        <v>1.9140000000000001E-2</v>
      </c>
      <c r="H939" s="411" t="str">
        <f t="shared" si="279"/>
        <v/>
      </c>
      <c r="I939" s="411" t="str">
        <f t="shared" si="280"/>
        <v/>
      </c>
      <c r="J939" s="411">
        <f t="shared" si="281"/>
        <v>1.9140000000000001E-2</v>
      </c>
      <c r="K939" s="411" t="str">
        <f t="shared" si="282"/>
        <v/>
      </c>
      <c r="L939" s="411">
        <f t="shared" si="275"/>
        <v>1</v>
      </c>
      <c r="M939" s="409"/>
      <c r="N939" s="409"/>
      <c r="O939" s="409">
        <v>1</v>
      </c>
      <c r="P939" s="409"/>
      <c r="Q939" s="382"/>
      <c r="R939" s="385" t="str">
        <f t="shared" si="245"/>
        <v>T</v>
      </c>
      <c r="S939" s="389"/>
      <c r="T939" s="389"/>
      <c r="U939" s="389"/>
      <c r="V939" s="389"/>
      <c r="W939" s="389"/>
      <c r="X939" s="389"/>
      <c r="Y939" s="389"/>
      <c r="Z939" s="389"/>
      <c r="AA939" s="389"/>
      <c r="AB939" s="389"/>
      <c r="AC939" s="389"/>
      <c r="AD939" s="389"/>
      <c r="AE939" s="389"/>
      <c r="AF939" s="389"/>
    </row>
    <row r="940" spans="1:32" hidden="1" outlineLevel="3">
      <c r="A940" s="382"/>
      <c r="B940" s="382" t="s">
        <v>319</v>
      </c>
      <c r="C940" s="386" t="s">
        <v>319</v>
      </c>
      <c r="D940" s="382" t="s">
        <v>64</v>
      </c>
      <c r="E940" s="382" t="s">
        <v>29</v>
      </c>
      <c r="F940" s="440" t="s">
        <v>461</v>
      </c>
      <c r="G940" s="411">
        <v>1.9140000000000001E-2</v>
      </c>
      <c r="H940" s="411" t="str">
        <f t="shared" si="279"/>
        <v/>
      </c>
      <c r="I940" s="411" t="str">
        <f t="shared" si="280"/>
        <v/>
      </c>
      <c r="J940" s="411">
        <f t="shared" si="281"/>
        <v>1.9140000000000001E-2</v>
      </c>
      <c r="K940" s="411" t="str">
        <f t="shared" si="282"/>
        <v/>
      </c>
      <c r="L940" s="411">
        <f t="shared" si="275"/>
        <v>1</v>
      </c>
      <c r="M940" s="409"/>
      <c r="N940" s="409"/>
      <c r="O940" s="409">
        <v>1</v>
      </c>
      <c r="P940" s="409"/>
      <c r="Q940" s="382"/>
      <c r="R940" s="385" t="str">
        <f t="shared" si="245"/>
        <v>T</v>
      </c>
      <c r="S940" s="389"/>
      <c r="T940" s="389"/>
      <c r="U940" s="389"/>
      <c r="V940" s="389"/>
      <c r="W940" s="389"/>
      <c r="X940" s="389"/>
      <c r="Y940" s="389"/>
      <c r="Z940" s="389"/>
      <c r="AA940" s="389"/>
      <c r="AB940" s="389"/>
      <c r="AC940" s="389"/>
      <c r="AD940" s="389"/>
      <c r="AE940" s="389"/>
      <c r="AF940" s="389"/>
    </row>
    <row r="941" spans="1:32" hidden="1" outlineLevel="3">
      <c r="A941" s="382"/>
      <c r="B941" s="382" t="s">
        <v>319</v>
      </c>
      <c r="C941" s="386" t="s">
        <v>319</v>
      </c>
      <c r="D941" s="382" t="s">
        <v>64</v>
      </c>
      <c r="E941" s="382" t="s">
        <v>29</v>
      </c>
      <c r="F941" s="440" t="s">
        <v>462</v>
      </c>
      <c r="G941" s="411">
        <v>1.9140000000000001E-2</v>
      </c>
      <c r="H941" s="411" t="str">
        <f t="shared" si="279"/>
        <v/>
      </c>
      <c r="I941" s="411" t="str">
        <f t="shared" si="280"/>
        <v/>
      </c>
      <c r="J941" s="411">
        <f t="shared" si="281"/>
        <v>1.9140000000000001E-2</v>
      </c>
      <c r="K941" s="411" t="str">
        <f t="shared" si="282"/>
        <v/>
      </c>
      <c r="L941" s="411">
        <f t="shared" ref="L941:L942" si="286">SUM(M941:P941)</f>
        <v>1</v>
      </c>
      <c r="M941" s="407"/>
      <c r="N941" s="409"/>
      <c r="O941" s="409">
        <v>1</v>
      </c>
      <c r="P941" s="409"/>
      <c r="Q941" s="382"/>
      <c r="R941" s="385" t="str">
        <f t="shared" ref="R941:R946" si="287">IF(SUM(M941:P941)=L941,"T","F")</f>
        <v>T</v>
      </c>
      <c r="S941" s="389"/>
      <c r="T941" s="389"/>
      <c r="U941" s="389"/>
      <c r="V941" s="389"/>
      <c r="W941" s="389"/>
      <c r="X941" s="389"/>
      <c r="Y941" s="389"/>
      <c r="Z941" s="389"/>
      <c r="AA941" s="389"/>
      <c r="AB941" s="389"/>
      <c r="AC941" s="389"/>
      <c r="AD941" s="389"/>
      <c r="AE941" s="389"/>
      <c r="AF941" s="389"/>
    </row>
    <row r="942" spans="1:32" hidden="1" outlineLevel="3">
      <c r="A942" s="382"/>
      <c r="B942" s="382" t="s">
        <v>319</v>
      </c>
      <c r="C942" s="386" t="s">
        <v>319</v>
      </c>
      <c r="D942" s="382" t="s">
        <v>64</v>
      </c>
      <c r="E942" s="382" t="s">
        <v>29</v>
      </c>
      <c r="F942" s="440" t="s">
        <v>463</v>
      </c>
      <c r="G942" s="411">
        <v>1.9140000000000001E-2</v>
      </c>
      <c r="H942" s="411" t="str">
        <f t="shared" si="279"/>
        <v/>
      </c>
      <c r="I942" s="411" t="str">
        <f t="shared" si="280"/>
        <v/>
      </c>
      <c r="J942" s="411">
        <f t="shared" si="281"/>
        <v>1.9140000000000001E-2</v>
      </c>
      <c r="K942" s="411" t="str">
        <f t="shared" si="282"/>
        <v/>
      </c>
      <c r="L942" s="411">
        <f t="shared" si="286"/>
        <v>1</v>
      </c>
      <c r="M942" s="407"/>
      <c r="N942" s="409"/>
      <c r="O942" s="409">
        <v>1</v>
      </c>
      <c r="P942" s="409"/>
      <c r="Q942" s="382"/>
      <c r="R942" s="385" t="str">
        <f t="shared" si="287"/>
        <v>T</v>
      </c>
      <c r="S942" s="389"/>
      <c r="T942" s="389"/>
      <c r="U942" s="389"/>
      <c r="V942" s="389"/>
      <c r="W942" s="389"/>
      <c r="X942" s="389"/>
      <c r="Y942" s="389"/>
      <c r="Z942" s="389"/>
      <c r="AA942" s="389"/>
      <c r="AB942" s="389"/>
      <c r="AC942" s="389"/>
      <c r="AD942" s="389"/>
      <c r="AE942" s="389"/>
      <c r="AF942" s="389"/>
    </row>
    <row r="943" spans="1:32" hidden="1" outlineLevel="3">
      <c r="A943" s="382"/>
      <c r="B943" s="382" t="s">
        <v>319</v>
      </c>
      <c r="C943" s="386" t="s">
        <v>319</v>
      </c>
      <c r="D943" s="382" t="s">
        <v>64</v>
      </c>
      <c r="E943" s="382" t="s">
        <v>29</v>
      </c>
      <c r="F943" s="440" t="s">
        <v>464</v>
      </c>
      <c r="G943" s="411">
        <v>1.9140000000000001E-2</v>
      </c>
      <c r="H943" s="411" t="str">
        <f t="shared" si="279"/>
        <v/>
      </c>
      <c r="I943" s="411" t="str">
        <f t="shared" si="280"/>
        <v/>
      </c>
      <c r="J943" s="411">
        <f t="shared" si="281"/>
        <v>1.9140000000000001E-2</v>
      </c>
      <c r="K943" s="411" t="str">
        <f t="shared" si="282"/>
        <v/>
      </c>
      <c r="L943" s="411">
        <f t="shared" ref="L943" si="288">SUM(M943:P943)</f>
        <v>1</v>
      </c>
      <c r="M943" s="407"/>
      <c r="N943" s="409"/>
      <c r="O943" s="409">
        <v>1</v>
      </c>
      <c r="P943" s="409"/>
      <c r="Q943" s="382"/>
      <c r="R943" s="385" t="str">
        <f t="shared" si="287"/>
        <v>T</v>
      </c>
      <c r="S943" s="389"/>
      <c r="T943" s="389"/>
      <c r="U943" s="389"/>
      <c r="V943" s="389"/>
      <c r="W943" s="389"/>
      <c r="X943" s="389"/>
      <c r="Y943" s="389"/>
      <c r="Z943" s="389"/>
      <c r="AA943" s="389"/>
      <c r="AB943" s="389"/>
      <c r="AC943" s="389"/>
      <c r="AD943" s="389"/>
      <c r="AE943" s="389"/>
      <c r="AF943" s="389"/>
    </row>
    <row r="944" spans="1:32" hidden="1" outlineLevel="3">
      <c r="A944" s="382"/>
      <c r="B944" s="382" t="s">
        <v>319</v>
      </c>
      <c r="C944" s="386" t="s">
        <v>319</v>
      </c>
      <c r="D944" s="382" t="s">
        <v>64</v>
      </c>
      <c r="E944" s="382" t="s">
        <v>29</v>
      </c>
      <c r="F944" s="440" t="s">
        <v>465</v>
      </c>
      <c r="G944" s="411">
        <v>1.9140000000000001E-2</v>
      </c>
      <c r="H944" s="411" t="str">
        <f t="shared" si="279"/>
        <v/>
      </c>
      <c r="I944" s="411" t="str">
        <f t="shared" si="280"/>
        <v/>
      </c>
      <c r="J944" s="411" t="str">
        <f t="shared" si="281"/>
        <v/>
      </c>
      <c r="K944" s="411">
        <f t="shared" si="282"/>
        <v>1.9140000000000001E-2</v>
      </c>
      <c r="L944" s="411">
        <f t="shared" ref="L944" si="289">SUM(M944:P944)</f>
        <v>1</v>
      </c>
      <c r="M944" s="407"/>
      <c r="N944" s="409"/>
      <c r="O944" s="409"/>
      <c r="P944" s="409">
        <v>1</v>
      </c>
      <c r="Q944" s="382"/>
      <c r="R944" s="385" t="str">
        <f t="shared" si="287"/>
        <v>T</v>
      </c>
      <c r="S944" s="389"/>
      <c r="T944" s="389"/>
      <c r="U944" s="389"/>
      <c r="V944" s="389"/>
      <c r="W944" s="389"/>
      <c r="X944" s="389"/>
      <c r="Y944" s="389"/>
      <c r="Z944" s="389"/>
      <c r="AA944" s="389"/>
      <c r="AB944" s="389"/>
      <c r="AC944" s="389"/>
      <c r="AD944" s="389"/>
      <c r="AE944" s="389"/>
      <c r="AF944" s="389"/>
    </row>
    <row r="945" spans="1:32" hidden="1" outlineLevel="3">
      <c r="A945" s="382"/>
      <c r="B945" s="382" t="s">
        <v>319</v>
      </c>
      <c r="C945" s="386" t="s">
        <v>319</v>
      </c>
      <c r="D945" s="382" t="s">
        <v>64</v>
      </c>
      <c r="E945" s="382" t="s">
        <v>29</v>
      </c>
      <c r="F945" s="440" t="s">
        <v>466</v>
      </c>
      <c r="G945" s="411">
        <v>1.9140000000000001E-2</v>
      </c>
      <c r="H945" s="411" t="str">
        <f t="shared" si="279"/>
        <v/>
      </c>
      <c r="I945" s="411" t="str">
        <f t="shared" si="280"/>
        <v/>
      </c>
      <c r="J945" s="411" t="str">
        <f t="shared" si="281"/>
        <v/>
      </c>
      <c r="K945" s="411">
        <f t="shared" si="282"/>
        <v>1.9140000000000001E-2</v>
      </c>
      <c r="L945" s="411">
        <f t="shared" ref="L945:L946" si="290">SUM(M945:P945)</f>
        <v>1</v>
      </c>
      <c r="M945" s="407"/>
      <c r="N945" s="409"/>
      <c r="O945" s="409"/>
      <c r="P945" s="409">
        <v>1</v>
      </c>
      <c r="Q945" s="382"/>
      <c r="R945" s="385" t="str">
        <f t="shared" si="287"/>
        <v>T</v>
      </c>
      <c r="S945" s="389"/>
      <c r="T945" s="389"/>
      <c r="U945" s="389"/>
      <c r="V945" s="389"/>
      <c r="W945" s="389"/>
      <c r="X945" s="389"/>
      <c r="Y945" s="389"/>
      <c r="Z945" s="389"/>
      <c r="AA945" s="389"/>
      <c r="AB945" s="389"/>
      <c r="AC945" s="389"/>
      <c r="AD945" s="389"/>
      <c r="AE945" s="389"/>
      <c r="AF945" s="389"/>
    </row>
    <row r="946" spans="1:32" hidden="1" outlineLevel="3">
      <c r="A946" s="382"/>
      <c r="B946" s="382" t="s">
        <v>319</v>
      </c>
      <c r="C946" s="386" t="s">
        <v>319</v>
      </c>
      <c r="D946" s="382" t="s">
        <v>64</v>
      </c>
      <c r="E946" s="382" t="s">
        <v>29</v>
      </c>
      <c r="F946" s="440" t="s">
        <v>467</v>
      </c>
      <c r="G946" s="411">
        <v>1.9140000000000001E-2</v>
      </c>
      <c r="H946" s="411" t="str">
        <f t="shared" si="279"/>
        <v/>
      </c>
      <c r="I946" s="411" t="str">
        <f t="shared" si="280"/>
        <v/>
      </c>
      <c r="J946" s="411" t="str">
        <f t="shared" si="281"/>
        <v/>
      </c>
      <c r="K946" s="411">
        <f t="shared" si="282"/>
        <v>1.9140000000000001E-2</v>
      </c>
      <c r="L946" s="411">
        <f t="shared" si="290"/>
        <v>1</v>
      </c>
      <c r="M946" s="407"/>
      <c r="N946" s="409"/>
      <c r="O946" s="409"/>
      <c r="P946" s="409">
        <v>1</v>
      </c>
      <c r="Q946" s="382"/>
      <c r="R946" s="385" t="str">
        <f t="shared" si="287"/>
        <v>T</v>
      </c>
      <c r="S946" s="389"/>
      <c r="T946" s="389"/>
      <c r="U946" s="389"/>
      <c r="V946" s="389"/>
      <c r="W946" s="389"/>
      <c r="X946" s="389"/>
      <c r="Y946" s="389"/>
      <c r="Z946" s="389"/>
      <c r="AA946" s="389"/>
      <c r="AB946" s="389"/>
      <c r="AC946" s="389"/>
      <c r="AD946" s="389"/>
      <c r="AE946" s="389"/>
      <c r="AF946" s="389"/>
    </row>
    <row r="947" spans="1:32" ht="21" customHeight="1" outlineLevel="1" collapsed="1">
      <c r="A947" s="382"/>
      <c r="B947" s="390" t="s">
        <v>474</v>
      </c>
      <c r="C947" s="390" t="s">
        <v>313</v>
      </c>
      <c r="D947" s="390"/>
      <c r="E947" s="395"/>
      <c r="F947" s="442" t="s">
        <v>475</v>
      </c>
      <c r="G947" s="418">
        <f>G948+G960+G964+G972+G981</f>
        <v>16.213855000000006</v>
      </c>
      <c r="H947" s="424">
        <f>SUM(H948+H960+H964+H972+H981)</f>
        <v>5.9871800000000004</v>
      </c>
      <c r="I947" s="424">
        <f>SUM(I948+I960+I964+I972+I981)</f>
        <v>3.6046800000000001</v>
      </c>
      <c r="J947" s="424">
        <f>SUM(J948+J960+J964+J972+J981)</f>
        <v>4.7616600000000009</v>
      </c>
      <c r="K947" s="424">
        <f>SUM(K948+K960+K964+K972+K981)</f>
        <v>1.8603350000000001</v>
      </c>
      <c r="L947" s="418">
        <f t="shared" ref="L947:L981" si="291">SUM(M947:P947)</f>
        <v>38</v>
      </c>
      <c r="M947" s="408">
        <f>SUM(M948+M960+M964+M972+M981)</f>
        <v>12</v>
      </c>
      <c r="N947" s="408">
        <f>SUM(N948+N960+N964+N972+N981)</f>
        <v>7</v>
      </c>
      <c r="O947" s="408">
        <f>SUM(O948+O960+O964+O972+O981)</f>
        <v>10</v>
      </c>
      <c r="P947" s="408">
        <f>SUM(P948+P960+P964+P972+P981)</f>
        <v>9</v>
      </c>
      <c r="Q947" s="382"/>
      <c r="R947" s="385" t="str">
        <f t="shared" ref="R947:R988" si="292">IF(SUM(M947:P947)=L947,"T","F")</f>
        <v>T</v>
      </c>
      <c r="S947" s="389" t="s">
        <v>476</v>
      </c>
      <c r="T947" s="389"/>
      <c r="U947" s="389"/>
      <c r="V947" s="389"/>
      <c r="W947" s="389"/>
      <c r="X947" s="389"/>
      <c r="Y947" s="389"/>
      <c r="Z947" s="389"/>
      <c r="AA947" s="389"/>
      <c r="AB947" s="389"/>
      <c r="AC947" s="389"/>
      <c r="AD947" s="389"/>
      <c r="AE947" s="389"/>
      <c r="AF947" s="389"/>
    </row>
    <row r="948" spans="1:32" hidden="1" outlineLevel="2" collapsed="1">
      <c r="A948" s="382"/>
      <c r="B948" s="386" t="s">
        <v>474</v>
      </c>
      <c r="C948" s="386" t="s">
        <v>136</v>
      </c>
      <c r="D948" s="382" t="s">
        <v>202</v>
      </c>
      <c r="E948" s="382"/>
      <c r="F948" s="440" t="s">
        <v>477</v>
      </c>
      <c r="G948" s="387">
        <f>SUM(G949:G959)</f>
        <v>11.135500000000004</v>
      </c>
      <c r="H948" s="387">
        <f>SUM(H949:H959)</f>
        <v>4.5200000000000005</v>
      </c>
      <c r="I948" s="387">
        <f t="shared" ref="I948:K948" si="293">SUM(I949:I959)</f>
        <v>2.2600000000000002</v>
      </c>
      <c r="J948" s="387">
        <f t="shared" si="293"/>
        <v>3.5125000000000006</v>
      </c>
      <c r="K948" s="387">
        <f t="shared" si="293"/>
        <v>0.84299999999999997</v>
      </c>
      <c r="L948" s="387">
        <f t="shared" si="291"/>
        <v>11</v>
      </c>
      <c r="M948" s="388">
        <f>SUM(M949:M957)</f>
        <v>4</v>
      </c>
      <c r="N948" s="388">
        <f>SUM(N949:N957)</f>
        <v>2</v>
      </c>
      <c r="O948" s="388">
        <f>SUM(O949:O957)</f>
        <v>3</v>
      </c>
      <c r="P948" s="388">
        <f>SUM(P949:P959)</f>
        <v>2</v>
      </c>
      <c r="Q948" s="382"/>
      <c r="R948" s="385" t="str">
        <f t="shared" si="292"/>
        <v>T</v>
      </c>
      <c r="S948" s="389"/>
      <c r="T948" s="389"/>
      <c r="U948" s="389"/>
      <c r="V948" s="389"/>
      <c r="W948" s="389"/>
      <c r="X948" s="389"/>
      <c r="Y948" s="389"/>
      <c r="Z948" s="389"/>
      <c r="AA948" s="389"/>
      <c r="AB948" s="389"/>
      <c r="AC948" s="389"/>
      <c r="AD948" s="389"/>
      <c r="AE948" s="389"/>
      <c r="AF948" s="389"/>
    </row>
    <row r="949" spans="1:32" hidden="1" outlineLevel="3">
      <c r="A949" s="382"/>
      <c r="B949" s="386" t="s">
        <v>474</v>
      </c>
      <c r="C949" s="386" t="s">
        <v>136</v>
      </c>
      <c r="D949" s="382" t="s">
        <v>202</v>
      </c>
      <c r="E949" s="382" t="s">
        <v>29</v>
      </c>
      <c r="F949" s="440" t="s">
        <v>334</v>
      </c>
      <c r="G949" s="387">
        <v>0.85500000000000009</v>
      </c>
      <c r="H949" s="411">
        <f>IF(M949=1,$G949,"")</f>
        <v>0.85500000000000009</v>
      </c>
      <c r="I949" s="411" t="str">
        <f t="shared" ref="I949:I957" si="294">IF(N949=1,$G949,"")</f>
        <v/>
      </c>
      <c r="J949" s="411" t="str">
        <f t="shared" ref="J949:J957" si="295">IF(O949=1,$G949,"")</f>
        <v/>
      </c>
      <c r="K949" s="411" t="str">
        <f t="shared" ref="K949:K957" si="296">IF(P949=1,$G949,"")</f>
        <v/>
      </c>
      <c r="L949" s="387">
        <f t="shared" si="291"/>
        <v>1</v>
      </c>
      <c r="M949" s="409">
        <v>1</v>
      </c>
      <c r="N949" s="388"/>
      <c r="O949" s="388"/>
      <c r="P949" s="388"/>
      <c r="Q949" s="382"/>
      <c r="R949" s="385" t="str">
        <f>IF(SUM(M949:P949)=L949,"T","F")</f>
        <v>T</v>
      </c>
      <c r="S949" s="389"/>
      <c r="T949" s="389"/>
      <c r="U949" s="389"/>
      <c r="V949" s="389"/>
      <c r="W949" s="389"/>
      <c r="X949" s="389"/>
      <c r="Y949" s="389"/>
      <c r="Z949" s="389"/>
      <c r="AA949" s="389"/>
      <c r="AB949" s="389"/>
      <c r="AC949" s="389"/>
      <c r="AD949" s="389"/>
      <c r="AE949" s="389"/>
      <c r="AF949" s="389"/>
    </row>
    <row r="950" spans="1:32" hidden="1" outlineLevel="3">
      <c r="A950" s="382"/>
      <c r="B950" s="386" t="s">
        <v>474</v>
      </c>
      <c r="C950" s="386" t="s">
        <v>136</v>
      </c>
      <c r="D950" s="382" t="s">
        <v>202</v>
      </c>
      <c r="E950" s="382" t="s">
        <v>29</v>
      </c>
      <c r="F950" s="440" t="s">
        <v>32</v>
      </c>
      <c r="G950" s="387">
        <v>1.4050000000000002</v>
      </c>
      <c r="H950" s="411">
        <f t="shared" ref="H950:H957" si="297">IF(M950=1,$G950,"")</f>
        <v>1.4050000000000002</v>
      </c>
      <c r="I950" s="411" t="str">
        <f t="shared" si="294"/>
        <v/>
      </c>
      <c r="J950" s="411" t="str">
        <f t="shared" si="295"/>
        <v/>
      </c>
      <c r="K950" s="411" t="str">
        <f t="shared" si="296"/>
        <v/>
      </c>
      <c r="L950" s="387">
        <f t="shared" si="291"/>
        <v>1</v>
      </c>
      <c r="M950" s="409">
        <v>1</v>
      </c>
      <c r="N950" s="388"/>
      <c r="O950" s="388"/>
      <c r="P950" s="388"/>
      <c r="Q950" s="382"/>
      <c r="R950" s="385" t="str">
        <f t="shared" si="292"/>
        <v>T</v>
      </c>
      <c r="S950" s="389"/>
      <c r="T950" s="389"/>
      <c r="U950" s="389"/>
      <c r="V950" s="389"/>
      <c r="W950" s="389"/>
      <c r="X950" s="389"/>
      <c r="Y950" s="389"/>
      <c r="Z950" s="389"/>
      <c r="AA950" s="389"/>
      <c r="AB950" s="389"/>
      <c r="AC950" s="389"/>
      <c r="AD950" s="389"/>
      <c r="AE950" s="389"/>
      <c r="AF950" s="389"/>
    </row>
    <row r="951" spans="1:32" hidden="1" outlineLevel="3">
      <c r="A951" s="382"/>
      <c r="B951" s="386" t="s">
        <v>474</v>
      </c>
      <c r="C951" s="386" t="s">
        <v>136</v>
      </c>
      <c r="D951" s="382" t="s">
        <v>202</v>
      </c>
      <c r="E951" s="382" t="s">
        <v>29</v>
      </c>
      <c r="F951" s="440" t="s">
        <v>33</v>
      </c>
      <c r="G951" s="387">
        <v>1.4050000000000002</v>
      </c>
      <c r="H951" s="411">
        <f t="shared" si="297"/>
        <v>1.4050000000000002</v>
      </c>
      <c r="I951" s="411" t="str">
        <f t="shared" si="294"/>
        <v/>
      </c>
      <c r="J951" s="411" t="str">
        <f t="shared" si="295"/>
        <v/>
      </c>
      <c r="K951" s="411" t="str">
        <f t="shared" si="296"/>
        <v/>
      </c>
      <c r="L951" s="387">
        <f t="shared" si="291"/>
        <v>1</v>
      </c>
      <c r="M951" s="409">
        <v>1</v>
      </c>
      <c r="N951" s="388"/>
      <c r="O951" s="388"/>
      <c r="P951" s="388"/>
      <c r="Q951" s="382"/>
      <c r="R951" s="385" t="str">
        <f t="shared" si="292"/>
        <v>T</v>
      </c>
      <c r="S951" s="389"/>
      <c r="T951" s="389"/>
      <c r="U951" s="389"/>
      <c r="V951" s="389"/>
      <c r="W951" s="389"/>
      <c r="X951" s="389"/>
      <c r="Y951" s="389"/>
      <c r="Z951" s="389"/>
      <c r="AA951" s="389"/>
      <c r="AB951" s="389"/>
      <c r="AC951" s="389"/>
      <c r="AD951" s="389"/>
      <c r="AE951" s="389"/>
      <c r="AF951" s="389"/>
    </row>
    <row r="952" spans="1:32" hidden="1" outlineLevel="3">
      <c r="A952" s="382"/>
      <c r="B952" s="386" t="s">
        <v>474</v>
      </c>
      <c r="C952" s="386" t="s">
        <v>136</v>
      </c>
      <c r="D952" s="382" t="s">
        <v>202</v>
      </c>
      <c r="E952" s="382" t="s">
        <v>29</v>
      </c>
      <c r="F952" s="440" t="s">
        <v>471</v>
      </c>
      <c r="G952" s="387">
        <v>0.85500000000000009</v>
      </c>
      <c r="H952" s="411">
        <f t="shared" si="297"/>
        <v>0.85500000000000009</v>
      </c>
      <c r="I952" s="411" t="str">
        <f t="shared" si="294"/>
        <v/>
      </c>
      <c r="J952" s="411" t="str">
        <f t="shared" si="295"/>
        <v/>
      </c>
      <c r="K952" s="411" t="str">
        <f t="shared" si="296"/>
        <v/>
      </c>
      <c r="L952" s="387">
        <f t="shared" si="291"/>
        <v>1</v>
      </c>
      <c r="M952" s="409">
        <v>1</v>
      </c>
      <c r="N952" s="388"/>
      <c r="O952" s="388"/>
      <c r="P952" s="388"/>
      <c r="Q952" s="382"/>
      <c r="R952" s="385" t="str">
        <f t="shared" si="292"/>
        <v>T</v>
      </c>
      <c r="S952" s="389"/>
      <c r="T952" s="389"/>
      <c r="U952" s="389"/>
      <c r="V952" s="389"/>
      <c r="W952" s="389"/>
      <c r="X952" s="389"/>
      <c r="Y952" s="389"/>
      <c r="Z952" s="389"/>
      <c r="AA952" s="389"/>
      <c r="AB952" s="389"/>
      <c r="AC952" s="389"/>
      <c r="AD952" s="389"/>
      <c r="AE952" s="389"/>
      <c r="AF952" s="389"/>
    </row>
    <row r="953" spans="1:32" hidden="1" outlineLevel="3">
      <c r="A953" s="382"/>
      <c r="B953" s="386" t="s">
        <v>474</v>
      </c>
      <c r="C953" s="386" t="s">
        <v>136</v>
      </c>
      <c r="D953" s="382" t="s">
        <v>202</v>
      </c>
      <c r="E953" s="382" t="s">
        <v>29</v>
      </c>
      <c r="F953" s="440" t="s">
        <v>478</v>
      </c>
      <c r="G953" s="387">
        <v>1.4050000000000002</v>
      </c>
      <c r="H953" s="411" t="str">
        <f t="shared" si="297"/>
        <v/>
      </c>
      <c r="I953" s="411">
        <f t="shared" si="294"/>
        <v>1.4050000000000002</v>
      </c>
      <c r="J953" s="411" t="str">
        <f t="shared" si="295"/>
        <v/>
      </c>
      <c r="K953" s="411" t="str">
        <f t="shared" si="296"/>
        <v/>
      </c>
      <c r="L953" s="387">
        <f t="shared" si="291"/>
        <v>1</v>
      </c>
      <c r="N953" s="409">
        <v>1</v>
      </c>
      <c r="O953" s="388"/>
      <c r="P953" s="388"/>
      <c r="Q953" s="382"/>
      <c r="R953" s="385" t="str">
        <f t="shared" si="292"/>
        <v>T</v>
      </c>
      <c r="S953" s="389"/>
      <c r="T953" s="389"/>
      <c r="U953" s="389"/>
      <c r="V953" s="389"/>
      <c r="W953" s="389"/>
      <c r="X953" s="389"/>
      <c r="Y953" s="389"/>
      <c r="Z953" s="389"/>
      <c r="AA953" s="389"/>
      <c r="AB953" s="389"/>
      <c r="AC953" s="389"/>
      <c r="AD953" s="389"/>
      <c r="AE953" s="389"/>
      <c r="AF953" s="389"/>
    </row>
    <row r="954" spans="1:32" hidden="1" outlineLevel="3">
      <c r="A954" s="382"/>
      <c r="B954" s="386" t="s">
        <v>474</v>
      </c>
      <c r="C954" s="386" t="s">
        <v>136</v>
      </c>
      <c r="D954" s="382" t="s">
        <v>202</v>
      </c>
      <c r="E954" s="382" t="s">
        <v>29</v>
      </c>
      <c r="F954" s="440" t="s">
        <v>479</v>
      </c>
      <c r="G954" s="387">
        <v>0.85500000000000009</v>
      </c>
      <c r="H954" s="411" t="str">
        <f t="shared" si="297"/>
        <v/>
      </c>
      <c r="I954" s="411">
        <f t="shared" si="294"/>
        <v>0.85500000000000009</v>
      </c>
      <c r="J954" s="411" t="str">
        <f t="shared" si="295"/>
        <v/>
      </c>
      <c r="K954" s="411" t="str">
        <f t="shared" si="296"/>
        <v/>
      </c>
      <c r="L954" s="387">
        <f t="shared" si="291"/>
        <v>1</v>
      </c>
      <c r="N954" s="409">
        <v>1</v>
      </c>
      <c r="O954" s="388"/>
      <c r="P954" s="388"/>
      <c r="Q954" s="382"/>
      <c r="R954" s="385" t="str">
        <f t="shared" si="292"/>
        <v>T</v>
      </c>
      <c r="S954" s="389"/>
      <c r="T954" s="389"/>
      <c r="U954" s="389"/>
      <c r="V954" s="389"/>
      <c r="W954" s="389"/>
      <c r="X954" s="389"/>
      <c r="Y954" s="389"/>
      <c r="Z954" s="389"/>
      <c r="AA954" s="389"/>
      <c r="AB954" s="389"/>
      <c r="AC954" s="389"/>
      <c r="AD954" s="389"/>
      <c r="AE954" s="389"/>
      <c r="AF954" s="389"/>
    </row>
    <row r="955" spans="1:32" hidden="1" outlineLevel="3">
      <c r="A955" s="382"/>
      <c r="B955" s="386" t="s">
        <v>474</v>
      </c>
      <c r="C955" s="386" t="s">
        <v>136</v>
      </c>
      <c r="D955" s="382" t="s">
        <v>202</v>
      </c>
      <c r="E955" s="382" t="s">
        <v>29</v>
      </c>
      <c r="F955" s="440" t="s">
        <v>480</v>
      </c>
      <c r="G955" s="387">
        <v>1.4050000000000002</v>
      </c>
      <c r="H955" s="411" t="str">
        <f t="shared" si="297"/>
        <v/>
      </c>
      <c r="I955" s="411" t="str">
        <f t="shared" si="294"/>
        <v/>
      </c>
      <c r="J955" s="411">
        <f t="shared" si="295"/>
        <v>1.4050000000000002</v>
      </c>
      <c r="K955" s="411" t="str">
        <f t="shared" si="296"/>
        <v/>
      </c>
      <c r="L955" s="387">
        <f>SUM(M955:P955)</f>
        <v>1</v>
      </c>
      <c r="M955" s="388"/>
      <c r="O955" s="409">
        <v>1</v>
      </c>
      <c r="P955" s="388"/>
      <c r="Q955" s="382"/>
      <c r="R955" s="385" t="str">
        <f>IF(SUM(M955:P955)=L955,"T","F")</f>
        <v>T</v>
      </c>
      <c r="S955" s="389"/>
      <c r="T955" s="389"/>
      <c r="U955" s="389"/>
      <c r="V955" s="389"/>
      <c r="W955" s="389"/>
      <c r="X955" s="389"/>
      <c r="Y955" s="389"/>
      <c r="Z955" s="389"/>
      <c r="AA955" s="389"/>
      <c r="AB955" s="389"/>
      <c r="AC955" s="389"/>
      <c r="AD955" s="389"/>
      <c r="AE955" s="389"/>
      <c r="AF955" s="389"/>
    </row>
    <row r="956" spans="1:32" hidden="1" outlineLevel="3">
      <c r="A956" s="382"/>
      <c r="B956" s="386" t="s">
        <v>474</v>
      </c>
      <c r="C956" s="386" t="s">
        <v>136</v>
      </c>
      <c r="D956" s="382" t="s">
        <v>202</v>
      </c>
      <c r="E956" s="382" t="s">
        <v>29</v>
      </c>
      <c r="F956" s="440" t="s">
        <v>481</v>
      </c>
      <c r="G956" s="387">
        <v>1.4050000000000002</v>
      </c>
      <c r="H956" s="411" t="str">
        <f t="shared" si="297"/>
        <v/>
      </c>
      <c r="I956" s="411" t="str">
        <f t="shared" si="294"/>
        <v/>
      </c>
      <c r="J956" s="411">
        <f t="shared" si="295"/>
        <v>1.4050000000000002</v>
      </c>
      <c r="K956" s="411" t="str">
        <f t="shared" si="296"/>
        <v/>
      </c>
      <c r="L956" s="387">
        <f>SUM(M956:P956)</f>
        <v>1</v>
      </c>
      <c r="M956" s="388"/>
      <c r="O956" s="409">
        <v>1</v>
      </c>
      <c r="P956" s="388"/>
      <c r="Q956" s="382"/>
      <c r="R956" s="385" t="str">
        <f>IF(SUM(M956:P956)=L956,"T","F")</f>
        <v>T</v>
      </c>
      <c r="S956" s="389"/>
      <c r="T956" s="389"/>
      <c r="U956" s="389"/>
      <c r="V956" s="389"/>
      <c r="W956" s="389"/>
      <c r="X956" s="389"/>
      <c r="Y956" s="389"/>
      <c r="Z956" s="389"/>
      <c r="AA956" s="389"/>
      <c r="AB956" s="389"/>
      <c r="AC956" s="389"/>
      <c r="AD956" s="389"/>
      <c r="AE956" s="389"/>
      <c r="AF956" s="389"/>
    </row>
    <row r="957" spans="1:32" hidden="1" outlineLevel="3">
      <c r="A957" s="382"/>
      <c r="B957" s="386" t="s">
        <v>474</v>
      </c>
      <c r="C957" s="386" t="s">
        <v>136</v>
      </c>
      <c r="D957" s="382" t="s">
        <v>202</v>
      </c>
      <c r="E957" s="382" t="s">
        <v>29</v>
      </c>
      <c r="F957" s="440" t="s">
        <v>459</v>
      </c>
      <c r="G957" s="387">
        <v>0.70250000000000012</v>
      </c>
      <c r="H957" s="411" t="str">
        <f t="shared" si="297"/>
        <v/>
      </c>
      <c r="I957" s="411" t="str">
        <f t="shared" si="294"/>
        <v/>
      </c>
      <c r="J957" s="411">
        <f t="shared" si="295"/>
        <v>0.70250000000000012</v>
      </c>
      <c r="K957" s="411" t="str">
        <f t="shared" si="296"/>
        <v/>
      </c>
      <c r="L957" s="387">
        <f t="shared" si="291"/>
        <v>1</v>
      </c>
      <c r="M957" s="388"/>
      <c r="N957" s="388"/>
      <c r="O957" s="388">
        <v>1</v>
      </c>
      <c r="P957" s="388"/>
      <c r="Q957" s="382"/>
      <c r="R957" s="385" t="str">
        <f t="shared" si="292"/>
        <v>T</v>
      </c>
      <c r="S957" s="389"/>
      <c r="T957" s="389"/>
      <c r="U957" s="389"/>
      <c r="V957" s="389"/>
      <c r="W957" s="389"/>
      <c r="X957" s="389"/>
      <c r="Y957" s="389"/>
      <c r="Z957" s="389"/>
      <c r="AA957" s="389"/>
      <c r="AB957" s="389"/>
      <c r="AC957" s="389"/>
      <c r="AD957" s="389"/>
      <c r="AE957" s="389"/>
      <c r="AF957" s="389"/>
    </row>
    <row r="958" spans="1:32" s="473" customFormat="1" hidden="1" outlineLevel="3">
      <c r="A958" s="405"/>
      <c r="B958" s="386" t="s">
        <v>474</v>
      </c>
      <c r="C958" s="386" t="s">
        <v>136</v>
      </c>
      <c r="D958" s="382" t="s">
        <v>202</v>
      </c>
      <c r="E958" s="382" t="s">
        <v>29</v>
      </c>
      <c r="F958" s="447" t="s">
        <v>460</v>
      </c>
      <c r="G958" s="387">
        <v>0.42149999999999999</v>
      </c>
      <c r="H958" s="411" t="str">
        <f t="shared" ref="H958:H959" si="298">IF(M958=1,$G958,"")</f>
        <v/>
      </c>
      <c r="I958" s="411" t="str">
        <f t="shared" ref="I958:I959" si="299">IF(N958=1,$G958,"")</f>
        <v/>
      </c>
      <c r="J958" s="411" t="str">
        <f t="shared" ref="J958:J959" si="300">IF(O958=1,$G958,"")</f>
        <v/>
      </c>
      <c r="K958" s="411">
        <f t="shared" ref="K958:K959" si="301">IF(P958=1,$G958,"")</f>
        <v>0.42149999999999999</v>
      </c>
      <c r="L958" s="387">
        <f t="shared" ref="L958:L959" si="302">SUM(M958:P958)</f>
        <v>1</v>
      </c>
      <c r="M958" s="456"/>
      <c r="N958" s="456"/>
      <c r="O958" s="456"/>
      <c r="P958" s="416">
        <v>1</v>
      </c>
      <c r="Q958" s="405"/>
      <c r="R958" s="471" t="str">
        <f>IF(SUM(M958:P958)=L958,"T","F")</f>
        <v>T</v>
      </c>
      <c r="S958" s="472"/>
      <c r="T958" s="472"/>
      <c r="U958" s="472"/>
      <c r="V958" s="472"/>
      <c r="W958" s="472"/>
      <c r="X958" s="472"/>
      <c r="Y958" s="472"/>
      <c r="Z958" s="472"/>
      <c r="AA958" s="472"/>
      <c r="AB958" s="472"/>
      <c r="AC958" s="472"/>
      <c r="AD958" s="472"/>
      <c r="AE958" s="472"/>
      <c r="AF958" s="472"/>
    </row>
    <row r="959" spans="1:32" s="473" customFormat="1" hidden="1" outlineLevel="3">
      <c r="A959" s="405"/>
      <c r="B959" s="386" t="s">
        <v>474</v>
      </c>
      <c r="C959" s="386" t="s">
        <v>136</v>
      </c>
      <c r="D959" s="382" t="s">
        <v>202</v>
      </c>
      <c r="E959" s="382" t="s">
        <v>29</v>
      </c>
      <c r="F959" s="447" t="s">
        <v>461</v>
      </c>
      <c r="G959" s="387">
        <v>0.42149999999999999</v>
      </c>
      <c r="H959" s="411" t="str">
        <f t="shared" si="298"/>
        <v/>
      </c>
      <c r="I959" s="411" t="str">
        <f t="shared" si="299"/>
        <v/>
      </c>
      <c r="J959" s="411" t="str">
        <f t="shared" si="300"/>
        <v/>
      </c>
      <c r="K959" s="411">
        <f t="shared" si="301"/>
        <v>0.42149999999999999</v>
      </c>
      <c r="L959" s="387">
        <f t="shared" si="302"/>
        <v>1</v>
      </c>
      <c r="M959" s="456"/>
      <c r="N959" s="456"/>
      <c r="O959" s="456"/>
      <c r="P959" s="416">
        <v>1</v>
      </c>
      <c r="Q959" s="405"/>
      <c r="R959" s="471" t="str">
        <f>IF(SUM(M959:P959)=L959,"T","F")</f>
        <v>T</v>
      </c>
      <c r="S959" s="472"/>
      <c r="T959" s="472"/>
      <c r="U959" s="472"/>
      <c r="V959" s="472"/>
      <c r="W959" s="472"/>
      <c r="X959" s="472"/>
      <c r="Y959" s="472"/>
      <c r="Z959" s="472"/>
      <c r="AA959" s="472"/>
      <c r="AB959" s="472"/>
      <c r="AC959" s="472"/>
      <c r="AD959" s="472"/>
      <c r="AE959" s="472"/>
      <c r="AF959" s="472"/>
    </row>
    <row r="960" spans="1:32" hidden="1" outlineLevel="2" collapsed="1">
      <c r="A960" s="382"/>
      <c r="B960" s="386" t="s">
        <v>474</v>
      </c>
      <c r="C960" s="386" t="s">
        <v>136</v>
      </c>
      <c r="D960" s="382" t="s">
        <v>18</v>
      </c>
      <c r="E960" s="382"/>
      <c r="F960" s="440" t="s">
        <v>468</v>
      </c>
      <c r="G960" s="387">
        <f>SUM(G961:G963)</f>
        <v>0.91500000000000015</v>
      </c>
      <c r="H960" s="387">
        <f>SUM(H961:H963)</f>
        <v>0</v>
      </c>
      <c r="I960" s="387">
        <f>SUM(I961:I963)</f>
        <v>0.30500000000000005</v>
      </c>
      <c r="J960" s="387">
        <f>SUM(J961:J963)</f>
        <v>0.30500000000000005</v>
      </c>
      <c r="K960" s="387">
        <f>SUM(K961:K963)</f>
        <v>0.30500000000000005</v>
      </c>
      <c r="L960" s="387">
        <f>SUM(M960:P960)</f>
        <v>3</v>
      </c>
      <c r="M960" s="388">
        <f>SUM(M961:M963)</f>
        <v>0</v>
      </c>
      <c r="N960" s="388">
        <f>SUM(N961:N963)</f>
        <v>1</v>
      </c>
      <c r="O960" s="388">
        <f>SUM(O961:O963)</f>
        <v>1</v>
      </c>
      <c r="P960" s="388">
        <f>SUM(P961:P963)</f>
        <v>1</v>
      </c>
      <c r="Q960" s="382"/>
      <c r="R960" s="385" t="str">
        <f t="shared" si="292"/>
        <v>T</v>
      </c>
      <c r="S960" s="389"/>
      <c r="T960" s="389"/>
      <c r="U960" s="389"/>
      <c r="V960" s="389"/>
      <c r="W960" s="389"/>
      <c r="X960" s="389"/>
      <c r="Y960" s="389"/>
      <c r="Z960" s="389"/>
      <c r="AA960" s="389"/>
      <c r="AB960" s="389"/>
      <c r="AC960" s="389"/>
      <c r="AD960" s="389"/>
      <c r="AE960" s="389"/>
      <c r="AF960" s="389"/>
    </row>
    <row r="961" spans="1:32" hidden="1" outlineLevel="3">
      <c r="A961" s="382"/>
      <c r="B961" s="386" t="s">
        <v>474</v>
      </c>
      <c r="C961" s="386" t="s">
        <v>136</v>
      </c>
      <c r="D961" s="382" t="s">
        <v>18</v>
      </c>
      <c r="E961" s="382" t="s">
        <v>204</v>
      </c>
      <c r="F961" s="440" t="s">
        <v>32</v>
      </c>
      <c r="G961" s="387">
        <v>0.30500000000000005</v>
      </c>
      <c r="H961" s="411" t="str">
        <f t="shared" ref="H961:K963" si="303">IF(M961=1,$G961,"")</f>
        <v/>
      </c>
      <c r="I961" s="411">
        <f t="shared" si="303"/>
        <v>0.30500000000000005</v>
      </c>
      <c r="J961" s="411" t="str">
        <f t="shared" si="303"/>
        <v/>
      </c>
      <c r="K961" s="411" t="str">
        <f t="shared" si="303"/>
        <v/>
      </c>
      <c r="L961" s="387">
        <f>SUM(M961:P961)</f>
        <v>1</v>
      </c>
      <c r="M961" s="388"/>
      <c r="N961" s="388">
        <v>1</v>
      </c>
      <c r="O961" s="409"/>
      <c r="P961" s="409"/>
      <c r="Q961" s="382"/>
      <c r="R961" s="385" t="str">
        <f>IF(SUM(M961:P961)=L961,"T","F")</f>
        <v>T</v>
      </c>
      <c r="S961" s="389"/>
      <c r="T961" s="389"/>
      <c r="U961" s="389"/>
      <c r="V961" s="389"/>
      <c r="W961" s="389"/>
      <c r="X961" s="389"/>
      <c r="Y961" s="389"/>
      <c r="Z961" s="389"/>
      <c r="AA961" s="389"/>
      <c r="AB961" s="389"/>
      <c r="AC961" s="389"/>
      <c r="AD961" s="389"/>
      <c r="AE961" s="389"/>
      <c r="AF961" s="389"/>
    </row>
    <row r="962" spans="1:32" hidden="1" outlineLevel="3">
      <c r="A962" s="382"/>
      <c r="B962" s="386" t="s">
        <v>474</v>
      </c>
      <c r="C962" s="386" t="s">
        <v>136</v>
      </c>
      <c r="D962" s="382" t="s">
        <v>18</v>
      </c>
      <c r="E962" s="382" t="s">
        <v>204</v>
      </c>
      <c r="F962" s="440" t="s">
        <v>33</v>
      </c>
      <c r="G962" s="387">
        <v>0.30500000000000005</v>
      </c>
      <c r="H962" s="411" t="str">
        <f t="shared" si="303"/>
        <v/>
      </c>
      <c r="I962" s="411" t="str">
        <f t="shared" si="303"/>
        <v/>
      </c>
      <c r="J962" s="411">
        <f t="shared" si="303"/>
        <v>0.30500000000000005</v>
      </c>
      <c r="K962" s="411" t="str">
        <f t="shared" si="303"/>
        <v/>
      </c>
      <c r="L962" s="387">
        <f>SUM(M962:P962)</f>
        <v>1</v>
      </c>
      <c r="M962" s="388"/>
      <c r="N962" s="388"/>
      <c r="O962" s="409">
        <v>1</v>
      </c>
      <c r="P962" s="409"/>
      <c r="Q962" s="382"/>
      <c r="R962" s="385" t="str">
        <f>IF(SUM(M962:P962)=L962,"T","F")</f>
        <v>T</v>
      </c>
      <c r="S962" s="389"/>
      <c r="T962" s="389"/>
      <c r="U962" s="389"/>
      <c r="V962" s="389"/>
      <c r="W962" s="389"/>
      <c r="X962" s="389"/>
      <c r="Y962" s="389"/>
      <c r="Z962" s="389"/>
      <c r="AA962" s="389"/>
      <c r="AB962" s="389"/>
      <c r="AC962" s="389"/>
      <c r="AD962" s="389"/>
      <c r="AE962" s="389"/>
      <c r="AF962" s="389"/>
    </row>
    <row r="963" spans="1:32" hidden="1" outlineLevel="3">
      <c r="A963" s="382"/>
      <c r="B963" s="386" t="s">
        <v>474</v>
      </c>
      <c r="C963" s="386" t="s">
        <v>136</v>
      </c>
      <c r="D963" s="382" t="s">
        <v>18</v>
      </c>
      <c r="E963" s="382" t="s">
        <v>204</v>
      </c>
      <c r="F963" s="440" t="s">
        <v>34</v>
      </c>
      <c r="G963" s="411">
        <v>0.30500000000000005</v>
      </c>
      <c r="H963" s="411" t="str">
        <f t="shared" si="303"/>
        <v/>
      </c>
      <c r="I963" s="411" t="str">
        <f t="shared" si="303"/>
        <v/>
      </c>
      <c r="J963" s="411" t="str">
        <f t="shared" si="303"/>
        <v/>
      </c>
      <c r="K963" s="411">
        <f t="shared" si="303"/>
        <v>0.30500000000000005</v>
      </c>
      <c r="L963" s="411">
        <f>SUM(M963:P963)</f>
        <v>1</v>
      </c>
      <c r="M963" s="409"/>
      <c r="N963" s="409"/>
      <c r="O963" s="409"/>
      <c r="P963" s="409">
        <v>1</v>
      </c>
      <c r="Q963" s="382"/>
      <c r="R963" s="385" t="str">
        <f>IF(SUM(M963:P963)=L963,"T","F")</f>
        <v>T</v>
      </c>
      <c r="S963" s="389"/>
      <c r="T963" s="389"/>
      <c r="U963" s="389"/>
      <c r="V963" s="389"/>
      <c r="W963" s="389"/>
      <c r="X963" s="389"/>
      <c r="Y963" s="389"/>
      <c r="Z963" s="389"/>
      <c r="AA963" s="389"/>
      <c r="AB963" s="389"/>
      <c r="AC963" s="389"/>
      <c r="AD963" s="389"/>
      <c r="AE963" s="389"/>
      <c r="AF963" s="389"/>
    </row>
    <row r="964" spans="1:32" hidden="1" outlineLevel="2" collapsed="1">
      <c r="A964" s="382"/>
      <c r="B964" s="386" t="s">
        <v>474</v>
      </c>
      <c r="C964" s="386" t="s">
        <v>136</v>
      </c>
      <c r="D964" s="382" t="s">
        <v>26</v>
      </c>
      <c r="E964" s="382"/>
      <c r="F964" s="440" t="s">
        <v>482</v>
      </c>
      <c r="G964" s="387">
        <f>SUM(G965:G971)</f>
        <v>2.1947299999999998</v>
      </c>
      <c r="H964" s="387">
        <f>SUM(H965:H971)</f>
        <v>0.72504000000000002</v>
      </c>
      <c r="I964" s="387">
        <f t="shared" ref="I964:K964" si="304">SUM(I965:I971)</f>
        <v>0.72504000000000002</v>
      </c>
      <c r="J964" s="387">
        <f t="shared" si="304"/>
        <v>0.44679000000000002</v>
      </c>
      <c r="K964" s="387">
        <f t="shared" si="304"/>
        <v>0.29786000000000001</v>
      </c>
      <c r="L964" s="387">
        <f t="shared" si="291"/>
        <v>7</v>
      </c>
      <c r="M964" s="388">
        <f>SUM(M965:M971)</f>
        <v>2</v>
      </c>
      <c r="N964" s="388">
        <f>SUM(N965:N971)</f>
        <v>1</v>
      </c>
      <c r="O964" s="388">
        <f>SUM(O965:O971)</f>
        <v>2</v>
      </c>
      <c r="P964" s="388">
        <f>SUM(P965:P971)</f>
        <v>2</v>
      </c>
      <c r="Q964" s="382"/>
      <c r="R964" s="385" t="str">
        <f t="shared" si="292"/>
        <v>T</v>
      </c>
      <c r="S964" s="389"/>
      <c r="T964" s="389"/>
      <c r="U964" s="389"/>
      <c r="V964" s="389"/>
      <c r="W964" s="389"/>
      <c r="X964" s="389"/>
      <c r="Y964" s="389"/>
      <c r="Z964" s="389"/>
      <c r="AA964" s="389"/>
      <c r="AB964" s="389"/>
      <c r="AC964" s="389"/>
      <c r="AD964" s="389"/>
      <c r="AE964" s="389"/>
      <c r="AF964" s="389"/>
    </row>
    <row r="965" spans="1:32" hidden="1" outlineLevel="3">
      <c r="A965" s="382"/>
      <c r="B965" s="386" t="s">
        <v>474</v>
      </c>
      <c r="C965" s="386" t="s">
        <v>136</v>
      </c>
      <c r="D965" s="382" t="s">
        <v>26</v>
      </c>
      <c r="E965" s="382" t="s">
        <v>27</v>
      </c>
      <c r="F965" s="440" t="s">
        <v>32</v>
      </c>
      <c r="G965" s="387">
        <v>0.36252000000000001</v>
      </c>
      <c r="H965" s="411">
        <f t="shared" ref="H965:K969" si="305">IF(M965=1,$G965,"")</f>
        <v>0.36252000000000001</v>
      </c>
      <c r="I965" s="411" t="str">
        <f t="shared" si="305"/>
        <v/>
      </c>
      <c r="J965" s="411" t="str">
        <f t="shared" si="305"/>
        <v/>
      </c>
      <c r="K965" s="411" t="str">
        <f t="shared" si="305"/>
        <v/>
      </c>
      <c r="L965" s="387">
        <f t="shared" si="291"/>
        <v>1</v>
      </c>
      <c r="M965" s="388">
        <v>1</v>
      </c>
      <c r="N965" s="388"/>
      <c r="O965" s="388"/>
      <c r="P965" s="388"/>
      <c r="Q965" s="382"/>
      <c r="R965" s="385" t="str">
        <f t="shared" si="292"/>
        <v>T</v>
      </c>
      <c r="S965" s="389"/>
      <c r="T965" s="389"/>
      <c r="U965" s="389"/>
      <c r="V965" s="389"/>
      <c r="W965" s="389"/>
      <c r="X965" s="389"/>
      <c r="Y965" s="389"/>
      <c r="Z965" s="389"/>
      <c r="AA965" s="389"/>
      <c r="AB965" s="389"/>
      <c r="AC965" s="389"/>
      <c r="AD965" s="389"/>
      <c r="AE965" s="389"/>
      <c r="AF965" s="389"/>
    </row>
    <row r="966" spans="1:32" hidden="1" outlineLevel="3">
      <c r="A966" s="382"/>
      <c r="B966" s="386" t="s">
        <v>474</v>
      </c>
      <c r="C966" s="386" t="s">
        <v>136</v>
      </c>
      <c r="D966" s="382" t="s">
        <v>26</v>
      </c>
      <c r="E966" s="382" t="s">
        <v>27</v>
      </c>
      <c r="F966" s="440" t="s">
        <v>34</v>
      </c>
      <c r="G966" s="387">
        <v>0.72504000000000002</v>
      </c>
      <c r="H966" s="411" t="str">
        <f t="shared" si="305"/>
        <v/>
      </c>
      <c r="I966" s="411">
        <f t="shared" si="305"/>
        <v>0.72504000000000002</v>
      </c>
      <c r="J966" s="411" t="str">
        <f t="shared" si="305"/>
        <v/>
      </c>
      <c r="K966" s="411" t="str">
        <f t="shared" si="305"/>
        <v/>
      </c>
      <c r="L966" s="387">
        <f t="shared" si="291"/>
        <v>1</v>
      </c>
      <c r="M966" s="388"/>
      <c r="N966" s="388">
        <v>1</v>
      </c>
      <c r="O966" s="388"/>
      <c r="P966" s="388"/>
      <c r="Q966" s="382"/>
      <c r="R966" s="385" t="str">
        <f t="shared" si="292"/>
        <v>T</v>
      </c>
      <c r="S966" s="389"/>
      <c r="T966" s="389"/>
      <c r="U966" s="389"/>
      <c r="V966" s="389"/>
      <c r="W966" s="389"/>
      <c r="X966" s="389"/>
      <c r="Y966" s="389"/>
      <c r="Z966" s="389"/>
      <c r="AA966" s="389"/>
      <c r="AB966" s="389"/>
      <c r="AC966" s="389"/>
      <c r="AD966" s="389"/>
      <c r="AE966" s="389"/>
      <c r="AF966" s="389"/>
    </row>
    <row r="967" spans="1:32" hidden="1" outlineLevel="3">
      <c r="A967" s="382"/>
      <c r="B967" s="386" t="s">
        <v>474</v>
      </c>
      <c r="C967" s="386" t="s">
        <v>136</v>
      </c>
      <c r="D967" s="382" t="s">
        <v>26</v>
      </c>
      <c r="E967" s="382" t="s">
        <v>27</v>
      </c>
      <c r="F967" s="440" t="s">
        <v>471</v>
      </c>
      <c r="G967" s="411">
        <v>0.36252000000000001</v>
      </c>
      <c r="H967" s="411">
        <f t="shared" si="305"/>
        <v>0.36252000000000001</v>
      </c>
      <c r="I967" s="411" t="str">
        <f t="shared" si="305"/>
        <v/>
      </c>
      <c r="J967" s="411" t="str">
        <f t="shared" si="305"/>
        <v/>
      </c>
      <c r="K967" s="411" t="str">
        <f t="shared" si="305"/>
        <v/>
      </c>
      <c r="L967" s="411">
        <f t="shared" si="291"/>
        <v>1</v>
      </c>
      <c r="M967" s="409">
        <v>1</v>
      </c>
      <c r="N967" s="409"/>
      <c r="O967" s="409"/>
      <c r="P967" s="409"/>
      <c r="Q967" s="382"/>
      <c r="R967" s="385" t="str">
        <f t="shared" si="292"/>
        <v>T</v>
      </c>
      <c r="S967" s="389"/>
      <c r="T967" s="389"/>
      <c r="U967" s="389"/>
      <c r="V967" s="389"/>
      <c r="W967" s="389"/>
      <c r="X967" s="389"/>
      <c r="Y967" s="389"/>
      <c r="Z967" s="389"/>
      <c r="AA967" s="389"/>
      <c r="AB967" s="389"/>
      <c r="AC967" s="389"/>
      <c r="AD967" s="389"/>
      <c r="AE967" s="389"/>
      <c r="AF967" s="389"/>
    </row>
    <row r="968" spans="1:32" hidden="1" outlineLevel="3">
      <c r="A968" s="382"/>
      <c r="B968" s="386" t="s">
        <v>474</v>
      </c>
      <c r="C968" s="386" t="s">
        <v>136</v>
      </c>
      <c r="D968" s="382" t="s">
        <v>26</v>
      </c>
      <c r="E968" s="382" t="s">
        <v>27</v>
      </c>
      <c r="F968" s="440" t="s">
        <v>480</v>
      </c>
      <c r="G968" s="411">
        <v>0.14893000000000001</v>
      </c>
      <c r="H968" s="411" t="str">
        <f t="shared" si="305"/>
        <v/>
      </c>
      <c r="I968" s="411" t="str">
        <f t="shared" si="305"/>
        <v/>
      </c>
      <c r="J968" s="411">
        <f t="shared" ref="J968:K971" si="306">IF(O968=1,$G968,"")</f>
        <v>0.14893000000000001</v>
      </c>
      <c r="K968" s="411" t="str">
        <f t="shared" si="306"/>
        <v/>
      </c>
      <c r="L968" s="411">
        <f>SUM(M968:P968)</f>
        <v>1</v>
      </c>
      <c r="M968" s="409"/>
      <c r="N968" s="409"/>
      <c r="O968" s="409">
        <v>1</v>
      </c>
      <c r="P968" s="409"/>
      <c r="Q968" s="382"/>
      <c r="R968" s="385" t="str">
        <f>IF(SUM(M968:P968)=L968,"T","F")</f>
        <v>T</v>
      </c>
      <c r="S968" s="389"/>
      <c r="T968" s="389"/>
      <c r="U968" s="389"/>
      <c r="V968" s="389"/>
      <c r="W968" s="389"/>
      <c r="X968" s="389"/>
      <c r="Y968" s="389"/>
      <c r="Z968" s="389"/>
      <c r="AA968" s="389"/>
      <c r="AB968" s="389"/>
      <c r="AC968" s="389"/>
      <c r="AD968" s="389"/>
      <c r="AE968" s="389"/>
      <c r="AF968" s="389"/>
    </row>
    <row r="969" spans="1:32" hidden="1" outlineLevel="3">
      <c r="A969" s="382"/>
      <c r="B969" s="386" t="s">
        <v>474</v>
      </c>
      <c r="C969" s="386" t="s">
        <v>136</v>
      </c>
      <c r="D969" s="382" t="s">
        <v>26</v>
      </c>
      <c r="E969" s="382" t="s">
        <v>27</v>
      </c>
      <c r="F969" s="440" t="s">
        <v>481</v>
      </c>
      <c r="G969" s="411">
        <v>0.29786000000000001</v>
      </c>
      <c r="H969" s="411" t="str">
        <f t="shared" si="305"/>
        <v/>
      </c>
      <c r="I969" s="411" t="str">
        <f t="shared" si="305"/>
        <v/>
      </c>
      <c r="J969" s="411">
        <f t="shared" si="306"/>
        <v>0.29786000000000001</v>
      </c>
      <c r="K969" s="411" t="str">
        <f t="shared" si="306"/>
        <v/>
      </c>
      <c r="L969" s="411">
        <f>SUM(M969:P969)</f>
        <v>1</v>
      </c>
      <c r="M969" s="409"/>
      <c r="N969" s="409"/>
      <c r="O969" s="409">
        <v>1</v>
      </c>
      <c r="P969" s="409"/>
      <c r="Q969" s="382"/>
      <c r="R969" s="385" t="str">
        <f>IF(SUM(M969:P969)=L969,"T","F")</f>
        <v>T</v>
      </c>
      <c r="S969" s="389"/>
      <c r="T969" s="389"/>
      <c r="U969" s="389"/>
      <c r="V969" s="389"/>
      <c r="W969" s="389"/>
      <c r="X969" s="389"/>
      <c r="Y969" s="389"/>
      <c r="Z969" s="389"/>
      <c r="AA969" s="389"/>
      <c r="AB969" s="389"/>
      <c r="AC969" s="389"/>
      <c r="AD969" s="389"/>
      <c r="AE969" s="389"/>
      <c r="AF969" s="389"/>
    </row>
    <row r="970" spans="1:32" hidden="1" outlineLevel="3">
      <c r="A970" s="382"/>
      <c r="B970" s="386" t="s">
        <v>474</v>
      </c>
      <c r="C970" s="386" t="s">
        <v>136</v>
      </c>
      <c r="D970" s="382" t="s">
        <v>26</v>
      </c>
      <c r="E970" s="382" t="s">
        <v>27</v>
      </c>
      <c r="F970" s="440" t="s">
        <v>460</v>
      </c>
      <c r="G970" s="411">
        <v>0.14893000000000001</v>
      </c>
      <c r="H970" s="411" t="str">
        <f>IF(M970=1,$G970,"")</f>
        <v/>
      </c>
      <c r="I970" s="411" t="str">
        <f>IF(N970=1,$G970,"")</f>
        <v/>
      </c>
      <c r="J970" s="411" t="str">
        <f t="shared" si="306"/>
        <v/>
      </c>
      <c r="K970" s="411">
        <f t="shared" si="306"/>
        <v>0.14893000000000001</v>
      </c>
      <c r="L970" s="411">
        <f>SUM(M970:P970)</f>
        <v>1</v>
      </c>
      <c r="M970" s="409"/>
      <c r="N970" s="409"/>
      <c r="P970" s="409">
        <v>1</v>
      </c>
      <c r="Q970" s="382"/>
      <c r="R970" s="385" t="str">
        <f t="shared" ref="R970:R971" si="307">IF(SUM(M970:P970)=L970,"T","F")</f>
        <v>T</v>
      </c>
      <c r="S970" s="389"/>
      <c r="T970" s="389"/>
      <c r="U970" s="389"/>
      <c r="V970" s="389"/>
      <c r="W970" s="389"/>
      <c r="X970" s="389"/>
      <c r="Y970" s="389"/>
      <c r="Z970" s="389"/>
      <c r="AA970" s="389"/>
      <c r="AB970" s="389"/>
      <c r="AC970" s="389"/>
      <c r="AD970" s="389"/>
      <c r="AE970" s="389"/>
      <c r="AF970" s="389"/>
    </row>
    <row r="971" spans="1:32" hidden="1" outlineLevel="3">
      <c r="A971" s="382"/>
      <c r="B971" s="386" t="s">
        <v>474</v>
      </c>
      <c r="C971" s="386" t="s">
        <v>136</v>
      </c>
      <c r="D971" s="382" t="s">
        <v>26</v>
      </c>
      <c r="E971" s="382" t="s">
        <v>27</v>
      </c>
      <c r="F971" s="440" t="s">
        <v>461</v>
      </c>
      <c r="G971" s="411">
        <v>0.14893000000000001</v>
      </c>
      <c r="H971" s="411" t="str">
        <f>IF(M971=1,$G971,"")</f>
        <v/>
      </c>
      <c r="I971" s="411" t="str">
        <f>IF(N971=1,$G971,"")</f>
        <v/>
      </c>
      <c r="J971" s="411" t="str">
        <f t="shared" si="306"/>
        <v/>
      </c>
      <c r="K971" s="411">
        <f t="shared" si="306"/>
        <v>0.14893000000000001</v>
      </c>
      <c r="L971" s="411">
        <f>SUM(M971:P971)</f>
        <v>1</v>
      </c>
      <c r="M971" s="409"/>
      <c r="N971" s="409"/>
      <c r="P971" s="409">
        <v>1</v>
      </c>
      <c r="Q971" s="382"/>
      <c r="R971" s="385" t="str">
        <f t="shared" si="307"/>
        <v>T</v>
      </c>
      <c r="S971" s="389"/>
      <c r="T971" s="389"/>
      <c r="U971" s="389"/>
      <c r="V971" s="389"/>
      <c r="W971" s="389"/>
      <c r="X971" s="389"/>
      <c r="Y971" s="389"/>
      <c r="Z971" s="389"/>
      <c r="AA971" s="389"/>
      <c r="AB971" s="389"/>
      <c r="AC971" s="389"/>
      <c r="AD971" s="389"/>
      <c r="AE971" s="389"/>
      <c r="AF971" s="389"/>
    </row>
    <row r="972" spans="1:32" hidden="1" outlineLevel="2" collapsed="1">
      <c r="A972" s="382"/>
      <c r="B972" s="386" t="s">
        <v>474</v>
      </c>
      <c r="C972" s="386" t="s">
        <v>136</v>
      </c>
      <c r="D972" s="382" t="s">
        <v>28</v>
      </c>
      <c r="E972" s="382"/>
      <c r="F972" s="440" t="s">
        <v>468</v>
      </c>
      <c r="G972" s="387">
        <f>SUM(G973:G980)</f>
        <v>1.185605</v>
      </c>
      <c r="H972" s="387">
        <f>SUM(H973:H980)</f>
        <v>0.40355999999999997</v>
      </c>
      <c r="I972" s="387">
        <f t="shared" ref="I972:K972" si="308">SUM(I973:I980)</f>
        <v>0.20177999999999999</v>
      </c>
      <c r="J972" s="387">
        <f t="shared" si="308"/>
        <v>0.33157999999999999</v>
      </c>
      <c r="K972" s="387">
        <f t="shared" si="308"/>
        <v>0.24868499999999999</v>
      </c>
      <c r="L972" s="387">
        <f t="shared" si="291"/>
        <v>8</v>
      </c>
      <c r="M972" s="388">
        <f>SUM(M973:M980)</f>
        <v>3</v>
      </c>
      <c r="N972" s="388">
        <f>SUM(N973:N980)</f>
        <v>1</v>
      </c>
      <c r="O972" s="388">
        <f>SUM(O973:O980)</f>
        <v>2</v>
      </c>
      <c r="P972" s="388">
        <f>SUM(P973:P980)</f>
        <v>2</v>
      </c>
      <c r="Q972" s="382"/>
      <c r="R972" s="385" t="str">
        <f t="shared" si="292"/>
        <v>T</v>
      </c>
      <c r="S972" s="389"/>
      <c r="T972" s="389"/>
      <c r="U972" s="389"/>
      <c r="V972" s="389"/>
      <c r="W972" s="389"/>
      <c r="X972" s="389"/>
      <c r="Y972" s="389"/>
      <c r="Z972" s="389"/>
      <c r="AA972" s="389"/>
      <c r="AB972" s="389"/>
      <c r="AC972" s="389"/>
      <c r="AD972" s="389"/>
      <c r="AE972" s="389"/>
      <c r="AF972" s="389"/>
    </row>
    <row r="973" spans="1:32" hidden="1" outlineLevel="3">
      <c r="A973" s="382"/>
      <c r="B973" s="386" t="s">
        <v>474</v>
      </c>
      <c r="C973" s="386" t="s">
        <v>136</v>
      </c>
      <c r="D973" s="382" t="s">
        <v>28</v>
      </c>
      <c r="E973" s="382" t="s">
        <v>29</v>
      </c>
      <c r="F973" s="440" t="s">
        <v>32</v>
      </c>
      <c r="G973" s="411">
        <v>0.10088999999999999</v>
      </c>
      <c r="H973" s="411">
        <f t="shared" ref="H973:K976" si="309">IF(M973=1,$G973,"")</f>
        <v>0.10088999999999999</v>
      </c>
      <c r="I973" s="411" t="str">
        <f t="shared" si="309"/>
        <v/>
      </c>
      <c r="J973" s="411" t="str">
        <f t="shared" si="309"/>
        <v/>
      </c>
      <c r="K973" s="411" t="str">
        <f t="shared" si="309"/>
        <v/>
      </c>
      <c r="L973" s="411">
        <f t="shared" si="291"/>
        <v>1</v>
      </c>
      <c r="M973" s="409">
        <v>1</v>
      </c>
      <c r="N973" s="409"/>
      <c r="O973" s="409"/>
      <c r="P973" s="409"/>
      <c r="Q973" s="382"/>
      <c r="R973" s="385" t="str">
        <f t="shared" si="292"/>
        <v>T</v>
      </c>
      <c r="S973" s="389"/>
      <c r="T973" s="389"/>
      <c r="U973" s="389"/>
      <c r="V973" s="389"/>
      <c r="W973" s="389"/>
      <c r="X973" s="389"/>
      <c r="Y973" s="389"/>
      <c r="Z973" s="389"/>
      <c r="AA973" s="389"/>
      <c r="AB973" s="389"/>
      <c r="AC973" s="389"/>
      <c r="AD973" s="389"/>
      <c r="AE973" s="389"/>
      <c r="AF973" s="389"/>
    </row>
    <row r="974" spans="1:32" hidden="1" outlineLevel="3">
      <c r="A974" s="382"/>
      <c r="B974" s="386" t="s">
        <v>474</v>
      </c>
      <c r="C974" s="386" t="s">
        <v>136</v>
      </c>
      <c r="D974" s="382" t="s">
        <v>28</v>
      </c>
      <c r="E974" s="382" t="s">
        <v>29</v>
      </c>
      <c r="F974" s="440" t="s">
        <v>33</v>
      </c>
      <c r="G974" s="411">
        <v>0.20177999999999999</v>
      </c>
      <c r="H974" s="411">
        <f t="shared" si="309"/>
        <v>0.20177999999999999</v>
      </c>
      <c r="I974" s="411" t="str">
        <f t="shared" si="309"/>
        <v/>
      </c>
      <c r="J974" s="411" t="str">
        <f t="shared" si="309"/>
        <v/>
      </c>
      <c r="K974" s="411" t="str">
        <f t="shared" si="309"/>
        <v/>
      </c>
      <c r="L974" s="411">
        <f t="shared" si="291"/>
        <v>1</v>
      </c>
      <c r="M974" s="409">
        <v>1</v>
      </c>
      <c r="N974" s="409"/>
      <c r="O974" s="409"/>
      <c r="P974" s="409"/>
      <c r="Q974" s="382"/>
      <c r="R974" s="385" t="str">
        <f t="shared" si="292"/>
        <v>T</v>
      </c>
      <c r="S974" s="389"/>
      <c r="T974" s="389"/>
      <c r="U974" s="389"/>
      <c r="V974" s="389"/>
      <c r="W974" s="389"/>
      <c r="X974" s="389"/>
      <c r="Y974" s="389"/>
      <c r="Z974" s="389"/>
      <c r="AA974" s="389"/>
      <c r="AB974" s="389"/>
      <c r="AC974" s="389"/>
      <c r="AD974" s="389"/>
      <c r="AE974" s="389"/>
      <c r="AF974" s="389"/>
    </row>
    <row r="975" spans="1:32" hidden="1" outlineLevel="3">
      <c r="A975" s="382"/>
      <c r="B975" s="386" t="s">
        <v>474</v>
      </c>
      <c r="C975" s="386" t="s">
        <v>136</v>
      </c>
      <c r="D975" s="382" t="s">
        <v>28</v>
      </c>
      <c r="E975" s="382" t="s">
        <v>29</v>
      </c>
      <c r="F975" s="440" t="s">
        <v>471</v>
      </c>
      <c r="G975" s="387">
        <v>0.10088999999999999</v>
      </c>
      <c r="H975" s="411">
        <f t="shared" si="309"/>
        <v>0.10088999999999999</v>
      </c>
      <c r="I975" s="411" t="str">
        <f t="shared" si="309"/>
        <v/>
      </c>
      <c r="J975" s="411" t="str">
        <f t="shared" si="309"/>
        <v/>
      </c>
      <c r="K975" s="411" t="str">
        <f t="shared" si="309"/>
        <v/>
      </c>
      <c r="L975" s="387">
        <f t="shared" si="291"/>
        <v>1</v>
      </c>
      <c r="M975" s="388">
        <v>1</v>
      </c>
      <c r="N975" s="388"/>
      <c r="O975" s="388"/>
      <c r="P975" s="388"/>
      <c r="Q975" s="382"/>
      <c r="R975" s="385" t="str">
        <f t="shared" si="292"/>
        <v>T</v>
      </c>
      <c r="S975" s="389"/>
      <c r="T975" s="389"/>
      <c r="U975" s="389"/>
      <c r="V975" s="389"/>
      <c r="W975" s="389"/>
      <c r="X975" s="389"/>
      <c r="Y975" s="389"/>
      <c r="Z975" s="389"/>
      <c r="AA975" s="389"/>
      <c r="AB975" s="389"/>
      <c r="AC975" s="389"/>
      <c r="AD975" s="389"/>
      <c r="AE975" s="389"/>
      <c r="AF975" s="389"/>
    </row>
    <row r="976" spans="1:32" hidden="1" outlineLevel="3">
      <c r="A976" s="382"/>
      <c r="B976" s="386" t="s">
        <v>474</v>
      </c>
      <c r="C976" s="386" t="s">
        <v>136</v>
      </c>
      <c r="D976" s="382" t="s">
        <v>28</v>
      </c>
      <c r="E976" s="382" t="s">
        <v>29</v>
      </c>
      <c r="F976" s="440" t="s">
        <v>478</v>
      </c>
      <c r="G976" s="411">
        <v>0.20177999999999999</v>
      </c>
      <c r="H976" s="411" t="str">
        <f t="shared" si="309"/>
        <v/>
      </c>
      <c r="I976" s="411">
        <f t="shared" si="309"/>
        <v>0.20177999999999999</v>
      </c>
      <c r="J976" s="411" t="str">
        <f t="shared" si="309"/>
        <v/>
      </c>
      <c r="K976" s="411" t="str">
        <f t="shared" si="309"/>
        <v/>
      </c>
      <c r="L976" s="411">
        <f t="shared" si="291"/>
        <v>1</v>
      </c>
      <c r="M976" s="409"/>
      <c r="N976" s="409">
        <v>1</v>
      </c>
      <c r="O976" s="409"/>
      <c r="P976" s="409"/>
      <c r="Q976" s="382"/>
      <c r="R976" s="385" t="str">
        <f t="shared" si="292"/>
        <v>T</v>
      </c>
      <c r="S976" s="389"/>
      <c r="T976" s="389"/>
      <c r="U976" s="389"/>
      <c r="V976" s="389"/>
      <c r="W976" s="389"/>
      <c r="X976" s="389"/>
      <c r="Y976" s="389"/>
      <c r="Z976" s="389"/>
      <c r="AA976" s="389"/>
      <c r="AB976" s="389"/>
      <c r="AC976" s="389"/>
      <c r="AD976" s="389"/>
      <c r="AE976" s="389"/>
      <c r="AF976" s="389"/>
    </row>
    <row r="977" spans="1:32" hidden="1" outlineLevel="3">
      <c r="A977" s="382"/>
      <c r="B977" s="386" t="s">
        <v>474</v>
      </c>
      <c r="C977" s="386" t="s">
        <v>136</v>
      </c>
      <c r="D977" s="382" t="s">
        <v>28</v>
      </c>
      <c r="E977" s="382" t="s">
        <v>29</v>
      </c>
      <c r="F977" s="440" t="s">
        <v>481</v>
      </c>
      <c r="G977" s="411">
        <v>0.24868499999999999</v>
      </c>
      <c r="H977" s="411" t="str">
        <f t="shared" ref="H977:H980" si="310">IF(M977=1,$G977,"")</f>
        <v/>
      </c>
      <c r="I977" s="411" t="str">
        <f t="shared" ref="I977:I980" si="311">IF(N977=1,$G977,"")</f>
        <v/>
      </c>
      <c r="J977" s="411">
        <f t="shared" ref="J977:J980" si="312">IF(O977=1,$G977,"")</f>
        <v>0.24868499999999999</v>
      </c>
      <c r="K977" s="411" t="str">
        <f t="shared" ref="K977:K980" si="313">IF(P977=1,$G977,"")</f>
        <v/>
      </c>
      <c r="L977" s="411">
        <f t="shared" ref="L977:L980" si="314">SUM(M977:P977)</f>
        <v>1</v>
      </c>
      <c r="M977" s="409"/>
      <c r="N977" s="409"/>
      <c r="O977" s="409">
        <v>1</v>
      </c>
      <c r="P977" s="409"/>
      <c r="Q977" s="382"/>
      <c r="R977" s="385"/>
      <c r="S977" s="389"/>
      <c r="T977" s="389"/>
      <c r="U977" s="389"/>
      <c r="V977" s="389"/>
      <c r="W977" s="389"/>
      <c r="X977" s="389"/>
      <c r="Y977" s="389"/>
      <c r="Z977" s="389"/>
      <c r="AA977" s="389"/>
      <c r="AB977" s="389"/>
      <c r="AC977" s="389"/>
      <c r="AD977" s="389"/>
      <c r="AE977" s="389"/>
      <c r="AF977" s="389"/>
    </row>
    <row r="978" spans="1:32" hidden="1" outlineLevel="3">
      <c r="A978" s="382"/>
      <c r="B978" s="386" t="s">
        <v>474</v>
      </c>
      <c r="C978" s="386" t="s">
        <v>136</v>
      </c>
      <c r="D978" s="382" t="s">
        <v>28</v>
      </c>
      <c r="E978" s="382" t="s">
        <v>29</v>
      </c>
      <c r="F978" s="440" t="s">
        <v>459</v>
      </c>
      <c r="G978" s="411">
        <v>8.2894999999999996E-2</v>
      </c>
      <c r="H978" s="411" t="str">
        <f t="shared" si="310"/>
        <v/>
      </c>
      <c r="I978" s="411" t="str">
        <f t="shared" si="311"/>
        <v/>
      </c>
      <c r="J978" s="411">
        <f t="shared" si="312"/>
        <v>8.2894999999999996E-2</v>
      </c>
      <c r="K978" s="411" t="str">
        <f t="shared" si="313"/>
        <v/>
      </c>
      <c r="L978" s="411">
        <f t="shared" si="314"/>
        <v>1</v>
      </c>
      <c r="M978" s="409"/>
      <c r="N978" s="409"/>
      <c r="O978" s="409">
        <v>1</v>
      </c>
      <c r="P978" s="409"/>
      <c r="Q978" s="382"/>
      <c r="R978" s="385"/>
      <c r="S978" s="389"/>
      <c r="T978" s="389"/>
      <c r="U978" s="389"/>
      <c r="V978" s="389"/>
      <c r="W978" s="389"/>
      <c r="X978" s="389"/>
      <c r="Y978" s="389"/>
      <c r="Z978" s="389"/>
      <c r="AA978" s="389"/>
      <c r="AB978" s="389"/>
      <c r="AC978" s="389"/>
      <c r="AD978" s="389"/>
      <c r="AE978" s="389"/>
      <c r="AF978" s="389"/>
    </row>
    <row r="979" spans="1:32" hidden="1" outlineLevel="3">
      <c r="A979" s="382"/>
      <c r="B979" s="386" t="s">
        <v>474</v>
      </c>
      <c r="C979" s="386" t="s">
        <v>136</v>
      </c>
      <c r="D979" s="382" t="s">
        <v>28</v>
      </c>
      <c r="E979" s="382" t="s">
        <v>29</v>
      </c>
      <c r="F979" s="440" t="s">
        <v>473</v>
      </c>
      <c r="G979" s="411">
        <v>0.16578999999999999</v>
      </c>
      <c r="H979" s="411" t="str">
        <f t="shared" si="310"/>
        <v/>
      </c>
      <c r="I979" s="411" t="str">
        <f t="shared" si="311"/>
        <v/>
      </c>
      <c r="J979" s="411" t="str">
        <f t="shared" si="312"/>
        <v/>
      </c>
      <c r="K979" s="411">
        <f t="shared" si="313"/>
        <v>0.16578999999999999</v>
      </c>
      <c r="L979" s="411">
        <f t="shared" si="314"/>
        <v>1</v>
      </c>
      <c r="M979" s="409"/>
      <c r="N979" s="409"/>
      <c r="O979" s="409"/>
      <c r="P979" s="409">
        <v>1</v>
      </c>
      <c r="Q979" s="382"/>
      <c r="R979" s="385"/>
      <c r="S979" s="389"/>
      <c r="T979" s="389"/>
      <c r="U979" s="389"/>
      <c r="V979" s="389"/>
      <c r="W979" s="389"/>
      <c r="X979" s="389"/>
      <c r="Y979" s="389"/>
      <c r="Z979" s="389"/>
      <c r="AA979" s="389"/>
      <c r="AB979" s="389"/>
      <c r="AC979" s="389"/>
      <c r="AD979" s="389"/>
      <c r="AE979" s="389"/>
      <c r="AF979" s="389"/>
    </row>
    <row r="980" spans="1:32" hidden="1" outlineLevel="3">
      <c r="A980" s="382"/>
      <c r="B980" s="386" t="s">
        <v>474</v>
      </c>
      <c r="C980" s="386" t="s">
        <v>136</v>
      </c>
      <c r="D980" s="382" t="s">
        <v>28</v>
      </c>
      <c r="E980" s="382" t="s">
        <v>29</v>
      </c>
      <c r="F980" s="440" t="s">
        <v>460</v>
      </c>
      <c r="G980" s="411">
        <v>8.2894999999999996E-2</v>
      </c>
      <c r="H980" s="411" t="str">
        <f t="shared" si="310"/>
        <v/>
      </c>
      <c r="I980" s="411" t="str">
        <f t="shared" si="311"/>
        <v/>
      </c>
      <c r="J980" s="411" t="str">
        <f t="shared" si="312"/>
        <v/>
      </c>
      <c r="K980" s="411">
        <f t="shared" si="313"/>
        <v>8.2894999999999996E-2</v>
      </c>
      <c r="L980" s="411">
        <f t="shared" si="314"/>
        <v>1</v>
      </c>
      <c r="M980" s="409"/>
      <c r="N980" s="409"/>
      <c r="O980" s="409"/>
      <c r="P980" s="409">
        <v>1</v>
      </c>
      <c r="Q980" s="382"/>
      <c r="R980" s="385"/>
      <c r="S980" s="389"/>
      <c r="T980" s="389"/>
      <c r="U980" s="389"/>
      <c r="V980" s="389"/>
      <c r="W980" s="389"/>
      <c r="X980" s="389"/>
      <c r="Y980" s="389"/>
      <c r="Z980" s="389"/>
      <c r="AA980" s="389"/>
      <c r="AB980" s="389"/>
      <c r="AC980" s="389"/>
      <c r="AD980" s="389"/>
      <c r="AE980" s="389"/>
      <c r="AF980" s="389"/>
    </row>
    <row r="981" spans="1:32" hidden="1" outlineLevel="2" collapsed="1">
      <c r="A981" s="382"/>
      <c r="B981" s="386" t="s">
        <v>474</v>
      </c>
      <c r="C981" s="386" t="s">
        <v>136</v>
      </c>
      <c r="D981" s="382" t="s">
        <v>64</v>
      </c>
      <c r="E981" s="382"/>
      <c r="F981" s="440" t="s">
        <v>468</v>
      </c>
      <c r="G981" s="387">
        <f>+SUM(G982:G990)</f>
        <v>0.78301999999999983</v>
      </c>
      <c r="H981" s="387">
        <f>SUM(H982:H990)</f>
        <v>0.33857999999999999</v>
      </c>
      <c r="I981" s="387">
        <f t="shared" ref="I981:K981" si="315">SUM(I982:I990)</f>
        <v>0.11286000000000002</v>
      </c>
      <c r="J981" s="387">
        <f t="shared" si="315"/>
        <v>0.16578999999999999</v>
      </c>
      <c r="K981" s="387">
        <f t="shared" si="315"/>
        <v>0.16578999999999999</v>
      </c>
      <c r="L981" s="387">
        <f t="shared" si="291"/>
        <v>9</v>
      </c>
      <c r="M981" s="388">
        <f>SUM(M982:M990)</f>
        <v>3</v>
      </c>
      <c r="N981" s="388">
        <f t="shared" ref="N981:P981" si="316">SUM(N982:N990)</f>
        <v>2</v>
      </c>
      <c r="O981" s="388">
        <f t="shared" si="316"/>
        <v>2</v>
      </c>
      <c r="P981" s="388">
        <f t="shared" si="316"/>
        <v>2</v>
      </c>
      <c r="Q981" s="382"/>
      <c r="R981" s="385" t="str">
        <f t="shared" si="292"/>
        <v>T</v>
      </c>
      <c r="S981" s="389"/>
      <c r="T981" s="389"/>
      <c r="U981" s="389"/>
      <c r="V981" s="389"/>
      <c r="W981" s="389"/>
      <c r="X981" s="389"/>
      <c r="Y981" s="389"/>
      <c r="Z981" s="389"/>
      <c r="AA981" s="389"/>
      <c r="AB981" s="389"/>
      <c r="AC981" s="389"/>
      <c r="AD981" s="389"/>
      <c r="AE981" s="389"/>
      <c r="AF981" s="389"/>
    </row>
    <row r="982" spans="1:32" hidden="1" outlineLevel="3">
      <c r="A982" s="382"/>
      <c r="B982" s="386" t="s">
        <v>474</v>
      </c>
      <c r="C982" s="386" t="s">
        <v>136</v>
      </c>
      <c r="D982" s="382" t="s">
        <v>64</v>
      </c>
      <c r="E982" s="382" t="s">
        <v>29</v>
      </c>
      <c r="F982" s="440" t="s">
        <v>32</v>
      </c>
      <c r="G982" s="411">
        <v>0.11286000000000002</v>
      </c>
      <c r="H982" s="411">
        <f t="shared" ref="H982:K988" si="317">IF(M982=1,$G982,"")</f>
        <v>0.11286000000000002</v>
      </c>
      <c r="I982" s="411" t="str">
        <f t="shared" si="317"/>
        <v/>
      </c>
      <c r="J982" s="411" t="str">
        <f t="shared" si="317"/>
        <v/>
      </c>
      <c r="K982" s="411" t="str">
        <f t="shared" si="317"/>
        <v/>
      </c>
      <c r="L982" s="411">
        <f t="shared" ref="L982:L1015" si="318">SUM(M982:P982)</f>
        <v>1</v>
      </c>
      <c r="M982" s="409">
        <v>1</v>
      </c>
      <c r="N982" s="409"/>
      <c r="O982" s="409"/>
      <c r="P982" s="409"/>
      <c r="Q982" s="382"/>
      <c r="R982" s="385" t="str">
        <f t="shared" si="292"/>
        <v>T</v>
      </c>
      <c r="S982" s="389"/>
      <c r="T982" s="389"/>
      <c r="U982" s="389"/>
      <c r="V982" s="389"/>
      <c r="W982" s="389"/>
      <c r="X982" s="389"/>
      <c r="Y982" s="389"/>
      <c r="Z982" s="389"/>
      <c r="AA982" s="389"/>
      <c r="AB982" s="389"/>
      <c r="AC982" s="389"/>
      <c r="AD982" s="389"/>
      <c r="AE982" s="389"/>
      <c r="AF982" s="389"/>
    </row>
    <row r="983" spans="1:32" hidden="1" outlineLevel="3">
      <c r="A983" s="382"/>
      <c r="B983" s="386" t="s">
        <v>474</v>
      </c>
      <c r="C983" s="386" t="s">
        <v>136</v>
      </c>
      <c r="D983" s="382" t="s">
        <v>64</v>
      </c>
      <c r="E983" s="382" t="s">
        <v>29</v>
      </c>
      <c r="F983" s="440" t="s">
        <v>33</v>
      </c>
      <c r="G983" s="411">
        <v>0.16929</v>
      </c>
      <c r="H983" s="411">
        <f t="shared" si="317"/>
        <v>0.16929</v>
      </c>
      <c r="I983" s="411" t="str">
        <f t="shared" si="317"/>
        <v/>
      </c>
      <c r="J983" s="411" t="str">
        <f t="shared" si="317"/>
        <v/>
      </c>
      <c r="K983" s="411" t="str">
        <f t="shared" si="317"/>
        <v/>
      </c>
      <c r="L983" s="411">
        <f t="shared" si="318"/>
        <v>1</v>
      </c>
      <c r="M983" s="409">
        <v>1</v>
      </c>
      <c r="N983" s="409"/>
      <c r="O983" s="409"/>
      <c r="P983" s="409"/>
      <c r="Q983" s="382"/>
      <c r="R983" s="385" t="str">
        <f t="shared" si="292"/>
        <v>T</v>
      </c>
      <c r="S983" s="389"/>
      <c r="T983" s="389"/>
      <c r="U983" s="389"/>
      <c r="V983" s="389"/>
      <c r="W983" s="389"/>
      <c r="X983" s="389"/>
      <c r="Y983" s="389"/>
      <c r="Z983" s="389"/>
      <c r="AA983" s="389"/>
      <c r="AB983" s="389"/>
      <c r="AC983" s="389"/>
      <c r="AD983" s="389"/>
      <c r="AE983" s="389"/>
      <c r="AF983" s="389"/>
    </row>
    <row r="984" spans="1:32" hidden="1" outlineLevel="3">
      <c r="A984" s="382"/>
      <c r="B984" s="386" t="s">
        <v>474</v>
      </c>
      <c r="C984" s="386" t="s">
        <v>136</v>
      </c>
      <c r="D984" s="382" t="s">
        <v>64</v>
      </c>
      <c r="E984" s="382" t="s">
        <v>29</v>
      </c>
      <c r="F984" s="440" t="s">
        <v>34</v>
      </c>
      <c r="G984" s="411">
        <v>5.6430000000000008E-2</v>
      </c>
      <c r="H984" s="411" t="str">
        <f t="shared" si="317"/>
        <v/>
      </c>
      <c r="I984" s="411">
        <f t="shared" si="317"/>
        <v>5.6430000000000008E-2</v>
      </c>
      <c r="J984" s="411" t="str">
        <f t="shared" si="317"/>
        <v/>
      </c>
      <c r="K984" s="411" t="str">
        <f t="shared" si="317"/>
        <v/>
      </c>
      <c r="L984" s="411">
        <f t="shared" si="318"/>
        <v>1</v>
      </c>
      <c r="M984" s="409"/>
      <c r="N984" s="409">
        <v>1</v>
      </c>
      <c r="O984" s="409"/>
      <c r="P984" s="409"/>
      <c r="Q984" s="382"/>
      <c r="R984" s="385" t="str">
        <f t="shared" si="292"/>
        <v>T</v>
      </c>
      <c r="S984" s="389"/>
      <c r="T984" s="389"/>
      <c r="U984" s="389"/>
      <c r="V984" s="389"/>
      <c r="W984" s="389"/>
      <c r="X984" s="389"/>
      <c r="Y984" s="389"/>
      <c r="Z984" s="389"/>
      <c r="AA984" s="389"/>
      <c r="AB984" s="389"/>
      <c r="AC984" s="389"/>
      <c r="AD984" s="389"/>
      <c r="AE984" s="389"/>
      <c r="AF984" s="389"/>
    </row>
    <row r="985" spans="1:32" hidden="1" outlineLevel="3">
      <c r="A985" s="382"/>
      <c r="B985" s="386" t="s">
        <v>474</v>
      </c>
      <c r="C985" s="386" t="s">
        <v>136</v>
      </c>
      <c r="D985" s="382" t="s">
        <v>64</v>
      </c>
      <c r="E985" s="382" t="s">
        <v>29</v>
      </c>
      <c r="F985" s="440" t="s">
        <v>471</v>
      </c>
      <c r="G985" s="387">
        <v>5.6430000000000008E-2</v>
      </c>
      <c r="H985" s="411">
        <f t="shared" si="317"/>
        <v>5.6430000000000008E-2</v>
      </c>
      <c r="I985" s="411" t="str">
        <f t="shared" si="317"/>
        <v/>
      </c>
      <c r="J985" s="411" t="str">
        <f t="shared" si="317"/>
        <v/>
      </c>
      <c r="K985" s="411" t="str">
        <f t="shared" si="317"/>
        <v/>
      </c>
      <c r="L985" s="387">
        <f t="shared" si="318"/>
        <v>1</v>
      </c>
      <c r="M985" s="388">
        <v>1</v>
      </c>
      <c r="N985" s="388"/>
      <c r="O985" s="388"/>
      <c r="P985" s="388"/>
      <c r="Q985" s="382"/>
      <c r="R985" s="385" t="str">
        <f t="shared" si="292"/>
        <v>T</v>
      </c>
      <c r="S985" s="389"/>
      <c r="T985" s="389"/>
      <c r="U985" s="389"/>
      <c r="V985" s="389"/>
      <c r="W985" s="389"/>
      <c r="X985" s="389"/>
      <c r="Y985" s="389"/>
      <c r="Z985" s="389"/>
      <c r="AA985" s="389"/>
      <c r="AB985" s="389"/>
      <c r="AC985" s="389"/>
      <c r="AD985" s="389"/>
      <c r="AE985" s="389"/>
      <c r="AF985" s="389"/>
    </row>
    <row r="986" spans="1:32" hidden="1" outlineLevel="3">
      <c r="A986" s="382"/>
      <c r="B986" s="386" t="s">
        <v>474</v>
      </c>
      <c r="C986" s="386" t="s">
        <v>136</v>
      </c>
      <c r="D986" s="382" t="s">
        <v>64</v>
      </c>
      <c r="E986" s="382" t="s">
        <v>29</v>
      </c>
      <c r="F986" s="440" t="s">
        <v>335</v>
      </c>
      <c r="G986" s="387">
        <v>5.6430000000000008E-2</v>
      </c>
      <c r="H986" s="411" t="str">
        <f t="shared" si="317"/>
        <v/>
      </c>
      <c r="I986" s="411">
        <f t="shared" si="317"/>
        <v>5.6430000000000008E-2</v>
      </c>
      <c r="J986" s="411" t="str">
        <f t="shared" si="317"/>
        <v/>
      </c>
      <c r="K986" s="411" t="str">
        <f t="shared" si="317"/>
        <v/>
      </c>
      <c r="L986" s="387">
        <f t="shared" si="318"/>
        <v>1</v>
      </c>
      <c r="M986" s="388"/>
      <c r="N986" s="388">
        <v>1</v>
      </c>
      <c r="O986" s="388"/>
      <c r="P986" s="388"/>
      <c r="Q986" s="382"/>
      <c r="R986" s="385" t="str">
        <f t="shared" si="292"/>
        <v>T</v>
      </c>
      <c r="S986" s="389"/>
      <c r="T986" s="389"/>
      <c r="U986" s="389"/>
      <c r="V986" s="389"/>
      <c r="W986" s="389"/>
      <c r="X986" s="389"/>
      <c r="Y986" s="389"/>
      <c r="Z986" s="389"/>
      <c r="AA986" s="389"/>
      <c r="AB986" s="389"/>
      <c r="AC986" s="389"/>
      <c r="AD986" s="389"/>
      <c r="AE986" s="389"/>
      <c r="AF986" s="389"/>
    </row>
    <row r="987" spans="1:32" hidden="1" outlineLevel="3">
      <c r="A987" s="382"/>
      <c r="B987" s="386" t="s">
        <v>474</v>
      </c>
      <c r="C987" s="386" t="s">
        <v>136</v>
      </c>
      <c r="D987" s="382" t="s">
        <v>64</v>
      </c>
      <c r="E987" s="382" t="s">
        <v>29</v>
      </c>
      <c r="F987" s="440" t="s">
        <v>483</v>
      </c>
      <c r="G987" s="411">
        <v>8.2894999999999996E-2</v>
      </c>
      <c r="H987" s="411" t="str">
        <f t="shared" si="317"/>
        <v/>
      </c>
      <c r="I987" s="411" t="str">
        <f t="shared" si="317"/>
        <v/>
      </c>
      <c r="J987" s="411">
        <f t="shared" si="317"/>
        <v>8.2894999999999996E-2</v>
      </c>
      <c r="K987" s="411" t="str">
        <f t="shared" si="317"/>
        <v/>
      </c>
      <c r="L987" s="411">
        <f t="shared" si="318"/>
        <v>1</v>
      </c>
      <c r="M987" s="409"/>
      <c r="N987" s="409"/>
      <c r="O987" s="409">
        <v>1</v>
      </c>
      <c r="P987" s="409"/>
      <c r="Q987" s="382"/>
      <c r="R987" s="385" t="str">
        <f t="shared" si="292"/>
        <v>T</v>
      </c>
      <c r="S987" s="389"/>
      <c r="T987" s="389"/>
      <c r="U987" s="389"/>
      <c r="V987" s="389"/>
      <c r="W987" s="389"/>
      <c r="X987" s="389"/>
      <c r="Y987" s="389"/>
      <c r="Z987" s="389"/>
      <c r="AA987" s="389"/>
      <c r="AB987" s="389"/>
      <c r="AC987" s="389"/>
      <c r="AD987" s="389"/>
      <c r="AE987" s="389"/>
      <c r="AF987" s="389"/>
    </row>
    <row r="988" spans="1:32" hidden="1" outlineLevel="3">
      <c r="A988" s="382"/>
      <c r="B988" s="386" t="s">
        <v>474</v>
      </c>
      <c r="C988" s="386" t="s">
        <v>136</v>
      </c>
      <c r="D988" s="382" t="s">
        <v>64</v>
      </c>
      <c r="E988" s="382" t="s">
        <v>29</v>
      </c>
      <c r="F988" s="440" t="s">
        <v>459</v>
      </c>
      <c r="G988" s="411">
        <v>8.2894999999999996E-2</v>
      </c>
      <c r="H988" s="411" t="str">
        <f t="shared" si="317"/>
        <v/>
      </c>
      <c r="I988" s="411" t="str">
        <f t="shared" si="317"/>
        <v/>
      </c>
      <c r="J988" s="411">
        <f t="shared" si="317"/>
        <v>8.2894999999999996E-2</v>
      </c>
      <c r="K988" s="411" t="str">
        <f t="shared" si="317"/>
        <v/>
      </c>
      <c r="L988" s="411">
        <f t="shared" si="318"/>
        <v>1</v>
      </c>
      <c r="M988" s="409"/>
      <c r="N988" s="409"/>
      <c r="O988" s="409">
        <v>1</v>
      </c>
      <c r="P988" s="409"/>
      <c r="Q988" s="382"/>
      <c r="R988" s="385" t="str">
        <f t="shared" si="292"/>
        <v>T</v>
      </c>
      <c r="S988" s="389"/>
      <c r="T988" s="389"/>
      <c r="U988" s="389"/>
      <c r="V988" s="389"/>
      <c r="W988" s="389"/>
      <c r="X988" s="389"/>
      <c r="Y988" s="389"/>
      <c r="Z988" s="389"/>
      <c r="AA988" s="389"/>
      <c r="AB988" s="389"/>
      <c r="AC988" s="389"/>
      <c r="AD988" s="389"/>
      <c r="AE988" s="389"/>
      <c r="AF988" s="389"/>
    </row>
    <row r="989" spans="1:32" hidden="1" outlineLevel="3">
      <c r="A989" s="382"/>
      <c r="B989" s="386" t="s">
        <v>474</v>
      </c>
      <c r="C989" s="386" t="s">
        <v>136</v>
      </c>
      <c r="D989" s="382" t="s">
        <v>64</v>
      </c>
      <c r="E989" s="382" t="s">
        <v>29</v>
      </c>
      <c r="F989" s="440" t="s">
        <v>484</v>
      </c>
      <c r="G989" s="411">
        <v>8.2894999999999996E-2</v>
      </c>
      <c r="H989" s="411"/>
      <c r="I989" s="411" t="str">
        <f t="shared" ref="I989:K990" si="319">IF(N989=1,$G989,"")</f>
        <v/>
      </c>
      <c r="J989" s="411" t="str">
        <f t="shared" si="319"/>
        <v/>
      </c>
      <c r="K989" s="411">
        <f t="shared" si="319"/>
        <v>8.2894999999999996E-2</v>
      </c>
      <c r="L989" s="411">
        <f t="shared" si="318"/>
        <v>1</v>
      </c>
      <c r="M989" s="409"/>
      <c r="N989" s="409"/>
      <c r="O989" s="409"/>
      <c r="P989" s="409">
        <v>1</v>
      </c>
      <c r="Q989" s="382"/>
      <c r="R989" s="385"/>
      <c r="S989" s="389"/>
      <c r="T989" s="389"/>
      <c r="U989" s="389"/>
      <c r="V989" s="389"/>
      <c r="W989" s="389"/>
      <c r="X989" s="389"/>
      <c r="Y989" s="389"/>
      <c r="Z989" s="389"/>
      <c r="AA989" s="389"/>
      <c r="AB989" s="389"/>
      <c r="AC989" s="389"/>
      <c r="AD989" s="389"/>
      <c r="AE989" s="389"/>
      <c r="AF989" s="389"/>
    </row>
    <row r="990" spans="1:32" hidden="1" outlineLevel="3">
      <c r="A990" s="382"/>
      <c r="B990" s="386" t="s">
        <v>474</v>
      </c>
      <c r="C990" s="386" t="s">
        <v>136</v>
      </c>
      <c r="D990" s="382" t="s">
        <v>64</v>
      </c>
      <c r="E990" s="382" t="s">
        <v>29</v>
      </c>
      <c r="F990" s="440" t="s">
        <v>485</v>
      </c>
      <c r="G990" s="411">
        <v>8.2894999999999996E-2</v>
      </c>
      <c r="H990" s="411"/>
      <c r="I990" s="411" t="str">
        <f t="shared" si="319"/>
        <v/>
      </c>
      <c r="J990" s="411" t="str">
        <f t="shared" si="319"/>
        <v/>
      </c>
      <c r="K990" s="411">
        <f t="shared" si="319"/>
        <v>8.2894999999999996E-2</v>
      </c>
      <c r="L990" s="411">
        <f t="shared" si="318"/>
        <v>1</v>
      </c>
      <c r="M990" s="409"/>
      <c r="N990" s="409"/>
      <c r="O990" s="409"/>
      <c r="P990" s="409">
        <v>1</v>
      </c>
      <c r="Q990" s="382"/>
      <c r="R990" s="385"/>
      <c r="S990" s="389"/>
      <c r="T990" s="389"/>
      <c r="U990" s="389"/>
      <c r="V990" s="389"/>
      <c r="W990" s="389"/>
      <c r="X990" s="389"/>
      <c r="Y990" s="389"/>
      <c r="Z990" s="389"/>
      <c r="AA990" s="389"/>
      <c r="AB990" s="389"/>
      <c r="AC990" s="389"/>
      <c r="AD990" s="389"/>
      <c r="AE990" s="389"/>
      <c r="AF990" s="389"/>
    </row>
    <row r="991" spans="1:32" outlineLevel="1" collapsed="1">
      <c r="A991" s="382"/>
      <c r="B991" s="396" t="s">
        <v>486</v>
      </c>
      <c r="C991" s="396" t="s">
        <v>136</v>
      </c>
      <c r="D991" s="403"/>
      <c r="E991" s="395"/>
      <c r="F991" s="442" t="s">
        <v>487</v>
      </c>
      <c r="G991" s="428">
        <f>G992+G1003+G1008+G1016+G1026</f>
        <v>9.1002667288263215</v>
      </c>
      <c r="H991" s="428">
        <f>H992+H1003+H1008+H1016+H1026</f>
        <v>2.7968904440006535</v>
      </c>
      <c r="I991" s="428">
        <f>I992+I1003+I1008+I1016+I1026</f>
        <v>2.082779175619387</v>
      </c>
      <c r="J991" s="428">
        <f>J992+J1003+J1008+J1016+J1026</f>
        <v>2.9201030262575602</v>
      </c>
      <c r="K991" s="428">
        <f>K992+K1003+K1008+K1016+K1026</f>
        <v>1.3004940829487208</v>
      </c>
      <c r="L991" s="428">
        <f t="shared" si="318"/>
        <v>39</v>
      </c>
      <c r="M991" s="429">
        <f>M992+M1003+M1008+M1016+M1026</f>
        <v>9</v>
      </c>
      <c r="N991" s="429">
        <f>N992+N1003+N1008+N1016+N1026</f>
        <v>8</v>
      </c>
      <c r="O991" s="429">
        <f>O992+O1003+O1008+O1016+O1026</f>
        <v>14</v>
      </c>
      <c r="P991" s="429">
        <f>P992+P1003+P1008+P1016+P1026</f>
        <v>8</v>
      </c>
      <c r="Q991" s="382"/>
      <c r="R991" s="385" t="str">
        <f t="shared" ref="R991:R1025" si="320">IF(SUM(M991:P991)=L991,"T","F")</f>
        <v>T</v>
      </c>
      <c r="S991" s="389" t="s">
        <v>488</v>
      </c>
      <c r="T991" s="389"/>
      <c r="U991" s="389"/>
      <c r="V991" s="389"/>
      <c r="W991" s="389"/>
      <c r="X991" s="389"/>
      <c r="Y991" s="389"/>
      <c r="Z991" s="389"/>
      <c r="AA991" s="389"/>
      <c r="AB991" s="389"/>
      <c r="AC991" s="389"/>
      <c r="AD991" s="389"/>
      <c r="AE991" s="389"/>
      <c r="AF991" s="389"/>
    </row>
    <row r="992" spans="1:32" hidden="1" outlineLevel="2" collapsed="1">
      <c r="A992" s="382"/>
      <c r="B992" s="382" t="s">
        <v>486</v>
      </c>
      <c r="C992" s="397" t="s">
        <v>136</v>
      </c>
      <c r="D992" s="382" t="s">
        <v>202</v>
      </c>
      <c r="E992" s="382"/>
      <c r="F992" s="440" t="s">
        <v>489</v>
      </c>
      <c r="G992" s="411">
        <f>SUM(G993:G1002)</f>
        <v>6.3815017660773794</v>
      </c>
      <c r="H992" s="411">
        <f>SUM(H993:H1002)</f>
        <v>2.184224765452226</v>
      </c>
      <c r="I992" s="411">
        <f>SUM(I993:I1002)</f>
        <v>1.3283621140557333</v>
      </c>
      <c r="J992" s="411">
        <f>SUM(J993:J1002)</f>
        <v>2.0130522351729274</v>
      </c>
      <c r="K992" s="411">
        <f>SUM(K993:K1002)</f>
        <v>0.85586265139649265</v>
      </c>
      <c r="L992" s="411">
        <f t="shared" si="318"/>
        <v>10</v>
      </c>
      <c r="M992" s="409">
        <f>SUM(M993:M1002)</f>
        <v>3</v>
      </c>
      <c r="N992" s="409">
        <f>SUM(N993:N1002)</f>
        <v>2</v>
      </c>
      <c r="O992" s="409">
        <f>SUM(O993:O1002)</f>
        <v>4</v>
      </c>
      <c r="P992" s="409">
        <f>SUM(P993:P1002)</f>
        <v>1</v>
      </c>
      <c r="Q992" s="382"/>
      <c r="R992" s="385" t="str">
        <f t="shared" si="320"/>
        <v>T</v>
      </c>
      <c r="S992" s="389"/>
      <c r="T992" s="389"/>
      <c r="U992" s="389"/>
      <c r="V992" s="389"/>
      <c r="W992" s="389"/>
      <c r="X992" s="389"/>
      <c r="Y992" s="389"/>
      <c r="Z992" s="389"/>
      <c r="AA992" s="389"/>
      <c r="AB992" s="389"/>
      <c r="AC992" s="389"/>
      <c r="AD992" s="389"/>
      <c r="AE992" s="389"/>
      <c r="AF992" s="389"/>
    </row>
    <row r="993" spans="1:32" hidden="1" outlineLevel="3">
      <c r="A993" s="382"/>
      <c r="B993" s="382" t="s">
        <v>486</v>
      </c>
      <c r="C993" s="397" t="s">
        <v>136</v>
      </c>
      <c r="D993" s="382" t="s">
        <v>202</v>
      </c>
      <c r="E993" s="382" t="s">
        <v>29</v>
      </c>
      <c r="F993" s="440" t="s">
        <v>334</v>
      </c>
      <c r="G993" s="411">
        <v>0.4724994626592407</v>
      </c>
      <c r="H993" s="411">
        <f t="shared" ref="H993:H1002" si="321">IF(M993=1,$G993,"")</f>
        <v>0.4724994626592407</v>
      </c>
      <c r="I993" s="411" t="str">
        <f t="shared" ref="I993:I1002" si="322">IF(N993=1,$G993,"")</f>
        <v/>
      </c>
      <c r="J993" s="411" t="str">
        <f t="shared" ref="J993:J1002" si="323">IF(O993=1,$G993,"")</f>
        <v/>
      </c>
      <c r="K993" s="411" t="str">
        <f t="shared" ref="K993:K1002" si="324">IF(P993=1,$G993,"")</f>
        <v/>
      </c>
      <c r="L993" s="411">
        <f t="shared" si="318"/>
        <v>1</v>
      </c>
      <c r="M993" s="409">
        <v>1</v>
      </c>
      <c r="N993" s="409"/>
      <c r="O993" s="409"/>
      <c r="P993" s="409"/>
      <c r="Q993" s="382"/>
      <c r="R993" s="385" t="str">
        <f t="shared" si="320"/>
        <v>T</v>
      </c>
      <c r="S993" s="389"/>
      <c r="T993" s="389"/>
      <c r="U993" s="389"/>
      <c r="V993" s="389"/>
      <c r="W993" s="389"/>
      <c r="X993" s="389"/>
      <c r="Y993" s="389"/>
      <c r="Z993" s="389"/>
      <c r="AA993" s="389"/>
      <c r="AB993" s="389"/>
      <c r="AC993" s="389"/>
      <c r="AD993" s="389"/>
      <c r="AE993" s="389"/>
      <c r="AF993" s="389"/>
    </row>
    <row r="994" spans="1:32" hidden="1" outlineLevel="3">
      <c r="A994" s="382"/>
      <c r="B994" s="382" t="s">
        <v>486</v>
      </c>
      <c r="C994" s="397" t="s">
        <v>136</v>
      </c>
      <c r="D994" s="382" t="s">
        <v>202</v>
      </c>
      <c r="E994" s="382" t="s">
        <v>29</v>
      </c>
      <c r="F994" s="440" t="s">
        <v>32</v>
      </c>
      <c r="G994" s="411">
        <v>0.85586265139649265</v>
      </c>
      <c r="H994" s="411">
        <f t="shared" si="321"/>
        <v>0.85586265139649265</v>
      </c>
      <c r="I994" s="411" t="str">
        <f t="shared" si="322"/>
        <v/>
      </c>
      <c r="J994" s="411" t="str">
        <f t="shared" si="323"/>
        <v/>
      </c>
      <c r="K994" s="411" t="str">
        <f t="shared" si="324"/>
        <v/>
      </c>
      <c r="L994" s="411">
        <f t="shared" si="318"/>
        <v>1</v>
      </c>
      <c r="M994" s="409">
        <v>1</v>
      </c>
      <c r="N994" s="409"/>
      <c r="O994" s="409"/>
      <c r="P994" s="409"/>
      <c r="Q994" s="382"/>
      <c r="R994" s="385" t="str">
        <f t="shared" si="320"/>
        <v>T</v>
      </c>
      <c r="S994" s="389"/>
      <c r="T994" s="389"/>
      <c r="U994" s="389"/>
      <c r="V994" s="389"/>
      <c r="W994" s="389"/>
      <c r="X994" s="389"/>
      <c r="Y994" s="389"/>
      <c r="Z994" s="389"/>
      <c r="AA994" s="389"/>
      <c r="AB994" s="389"/>
      <c r="AC994" s="389"/>
      <c r="AD994" s="389"/>
      <c r="AE994" s="389"/>
      <c r="AF994" s="389"/>
    </row>
    <row r="995" spans="1:32" hidden="1" outlineLevel="3">
      <c r="A995" s="382"/>
      <c r="B995" s="382" t="s">
        <v>486</v>
      </c>
      <c r="C995" s="397" t="s">
        <v>136</v>
      </c>
      <c r="D995" s="382" t="s">
        <v>202</v>
      </c>
      <c r="E995" s="382" t="s">
        <v>29</v>
      </c>
      <c r="F995" s="440" t="s">
        <v>33</v>
      </c>
      <c r="G995" s="411">
        <v>0.85586265139649265</v>
      </c>
      <c r="H995" s="411">
        <f t="shared" si="321"/>
        <v>0.85586265139649265</v>
      </c>
      <c r="I995" s="411" t="str">
        <f t="shared" si="322"/>
        <v/>
      </c>
      <c r="J995" s="411" t="str">
        <f t="shared" si="323"/>
        <v/>
      </c>
      <c r="K995" s="411" t="str">
        <f t="shared" si="324"/>
        <v/>
      </c>
      <c r="L995" s="411">
        <f t="shared" si="318"/>
        <v>1</v>
      </c>
      <c r="M995" s="409">
        <v>1</v>
      </c>
      <c r="N995" s="409"/>
      <c r="O995" s="409"/>
      <c r="P995" s="409"/>
      <c r="Q995" s="382"/>
      <c r="R995" s="385" t="str">
        <f t="shared" si="320"/>
        <v>T</v>
      </c>
      <c r="S995" s="389"/>
      <c r="T995" s="389"/>
      <c r="U995" s="389"/>
      <c r="V995" s="389"/>
      <c r="W995" s="389"/>
      <c r="X995" s="389"/>
      <c r="Y995" s="389"/>
      <c r="Z995" s="389"/>
      <c r="AA995" s="389"/>
      <c r="AB995" s="389"/>
      <c r="AC995" s="389"/>
      <c r="AD995" s="389"/>
      <c r="AE995" s="389"/>
      <c r="AF995" s="389"/>
    </row>
    <row r="996" spans="1:32" hidden="1" outlineLevel="3">
      <c r="A996" s="382"/>
      <c r="B996" s="382" t="s">
        <v>486</v>
      </c>
      <c r="C996" s="397" t="s">
        <v>136</v>
      </c>
      <c r="D996" s="382" t="s">
        <v>202</v>
      </c>
      <c r="E996" s="382" t="s">
        <v>29</v>
      </c>
      <c r="F996" s="440" t="s">
        <v>34</v>
      </c>
      <c r="G996" s="411">
        <v>0.85586265139649265</v>
      </c>
      <c r="H996" s="411" t="str">
        <f t="shared" si="321"/>
        <v/>
      </c>
      <c r="I996" s="411">
        <f t="shared" si="322"/>
        <v>0.85586265139649265</v>
      </c>
      <c r="J996" s="411" t="str">
        <f t="shared" si="323"/>
        <v/>
      </c>
      <c r="K996" s="411" t="str">
        <f t="shared" si="324"/>
        <v/>
      </c>
      <c r="L996" s="411">
        <f>SUM(N996:P996)</f>
        <v>1</v>
      </c>
      <c r="M996" s="409"/>
      <c r="N996" s="409">
        <v>1</v>
      </c>
      <c r="O996" s="409"/>
      <c r="P996" s="409"/>
      <c r="Q996" s="382"/>
      <c r="R996" s="385" t="str">
        <f>IF(SUM(N996:P996)=L996,"T","F")</f>
        <v>T</v>
      </c>
      <c r="S996" s="389"/>
      <c r="T996" s="389"/>
      <c r="U996" s="389"/>
      <c r="V996" s="389"/>
      <c r="W996" s="389"/>
      <c r="X996" s="389"/>
      <c r="Y996" s="389"/>
      <c r="Z996" s="389"/>
      <c r="AA996" s="389"/>
      <c r="AB996" s="389"/>
      <c r="AC996" s="389"/>
      <c r="AD996" s="389"/>
      <c r="AE996" s="389"/>
      <c r="AF996" s="389"/>
    </row>
    <row r="997" spans="1:32" hidden="1" outlineLevel="3">
      <c r="A997" s="382"/>
      <c r="B997" s="382" t="s">
        <v>486</v>
      </c>
      <c r="C997" s="397" t="s">
        <v>136</v>
      </c>
      <c r="D997" s="382" t="s">
        <v>202</v>
      </c>
      <c r="E997" s="382" t="s">
        <v>29</v>
      </c>
      <c r="F997" s="440" t="s">
        <v>471</v>
      </c>
      <c r="G997" s="411">
        <v>0.4724994626592407</v>
      </c>
      <c r="H997" s="411" t="str">
        <f t="shared" si="321"/>
        <v/>
      </c>
      <c r="I997" s="411" t="str">
        <f t="shared" si="322"/>
        <v/>
      </c>
      <c r="J997" s="411">
        <f t="shared" si="323"/>
        <v>0.4724994626592407</v>
      </c>
      <c r="K997" s="411" t="str">
        <f t="shared" si="324"/>
        <v/>
      </c>
      <c r="L997" s="411">
        <f>SUM(N997:P997)</f>
        <v>1</v>
      </c>
      <c r="M997" s="409"/>
      <c r="N997" s="409"/>
      <c r="O997" s="409">
        <v>1</v>
      </c>
      <c r="P997" s="409"/>
      <c r="Q997" s="382"/>
      <c r="R997" s="385" t="str">
        <f>IF(SUM(N997:P997)=L997,"T","F")</f>
        <v>T</v>
      </c>
      <c r="S997" s="389"/>
      <c r="T997" s="389"/>
      <c r="U997" s="389"/>
      <c r="V997" s="389"/>
      <c r="W997" s="389"/>
      <c r="X997" s="389"/>
      <c r="Y997" s="389"/>
      <c r="Z997" s="389"/>
      <c r="AA997" s="389"/>
      <c r="AB997" s="389"/>
      <c r="AC997" s="389"/>
      <c r="AD997" s="389"/>
      <c r="AE997" s="389"/>
      <c r="AF997" s="389"/>
    </row>
    <row r="998" spans="1:32" hidden="1" outlineLevel="3">
      <c r="A998" s="382"/>
      <c r="B998" s="382" t="s">
        <v>486</v>
      </c>
      <c r="C998" s="397" t="s">
        <v>136</v>
      </c>
      <c r="D998" s="382" t="s">
        <v>202</v>
      </c>
      <c r="E998" s="382" t="s">
        <v>29</v>
      </c>
      <c r="F998" s="440" t="s">
        <v>335</v>
      </c>
      <c r="G998" s="411">
        <v>0.4724994626592407</v>
      </c>
      <c r="H998" s="411" t="str">
        <f t="shared" si="321"/>
        <v/>
      </c>
      <c r="I998" s="411">
        <f t="shared" si="322"/>
        <v>0.4724994626592407</v>
      </c>
      <c r="J998" s="411" t="str">
        <f t="shared" si="323"/>
        <v/>
      </c>
      <c r="K998" s="411" t="str">
        <f t="shared" si="324"/>
        <v/>
      </c>
      <c r="L998" s="411">
        <f>SUM(N998:P998)</f>
        <v>1</v>
      </c>
      <c r="M998" s="409"/>
      <c r="N998" s="409">
        <v>1</v>
      </c>
      <c r="O998" s="409"/>
      <c r="P998" s="409"/>
      <c r="Q998" s="382"/>
      <c r="R998" s="385" t="str">
        <f>IF(SUM(N998:P998)=L998,"T","F")</f>
        <v>T</v>
      </c>
      <c r="S998" s="389"/>
      <c r="T998" s="389"/>
      <c r="U998" s="389"/>
      <c r="V998" s="389"/>
      <c r="W998" s="389"/>
      <c r="X998" s="389"/>
      <c r="Y998" s="389"/>
      <c r="Z998" s="389"/>
      <c r="AA998" s="389"/>
      <c r="AB998" s="389"/>
      <c r="AC998" s="389"/>
      <c r="AD998" s="389"/>
      <c r="AE998" s="389"/>
      <c r="AF998" s="389"/>
    </row>
    <row r="999" spans="1:32" hidden="1" outlineLevel="3">
      <c r="A999" s="382"/>
      <c r="B999" s="382" t="s">
        <v>486</v>
      </c>
      <c r="C999" s="397" t="s">
        <v>136</v>
      </c>
      <c r="D999" s="382" t="s">
        <v>202</v>
      </c>
      <c r="E999" s="382" t="s">
        <v>29</v>
      </c>
      <c r="F999" s="440" t="s">
        <v>457</v>
      </c>
      <c r="G999" s="411">
        <v>0.85586265139649265</v>
      </c>
      <c r="H999" s="411" t="str">
        <f t="shared" si="321"/>
        <v/>
      </c>
      <c r="I999" s="411" t="str">
        <f t="shared" si="322"/>
        <v/>
      </c>
      <c r="J999" s="411">
        <f t="shared" si="323"/>
        <v>0.85586265139649265</v>
      </c>
      <c r="K999" s="411" t="str">
        <f t="shared" si="324"/>
        <v/>
      </c>
      <c r="L999" s="411">
        <f t="shared" si="318"/>
        <v>1</v>
      </c>
      <c r="M999" s="409"/>
      <c r="N999" s="409"/>
      <c r="O999" s="409">
        <v>1</v>
      </c>
      <c r="P999" s="409"/>
      <c r="Q999" s="382"/>
      <c r="R999" s="385" t="str">
        <f t="shared" si="320"/>
        <v>T</v>
      </c>
      <c r="S999" s="389"/>
      <c r="T999" s="389"/>
      <c r="U999" s="389"/>
      <c r="V999" s="389"/>
      <c r="W999" s="389"/>
      <c r="X999" s="389"/>
      <c r="Y999" s="389"/>
      <c r="Z999" s="389"/>
      <c r="AA999" s="389"/>
      <c r="AB999" s="389"/>
      <c r="AC999" s="389"/>
      <c r="AD999" s="389"/>
      <c r="AE999" s="389"/>
      <c r="AF999" s="389"/>
    </row>
    <row r="1000" spans="1:32" hidden="1" outlineLevel="3">
      <c r="A1000" s="382"/>
      <c r="B1000" s="382" t="s">
        <v>486</v>
      </c>
      <c r="C1000" s="397" t="s">
        <v>136</v>
      </c>
      <c r="D1000" s="382" t="s">
        <v>202</v>
      </c>
      <c r="E1000" s="382" t="s">
        <v>29</v>
      </c>
      <c r="F1000" s="440" t="s">
        <v>458</v>
      </c>
      <c r="G1000" s="411">
        <v>0.42793132569824632</v>
      </c>
      <c r="H1000" s="411" t="str">
        <f t="shared" si="321"/>
        <v/>
      </c>
      <c r="I1000" s="411" t="str">
        <f t="shared" si="322"/>
        <v/>
      </c>
      <c r="J1000" s="411">
        <f t="shared" si="323"/>
        <v>0.42793132569824632</v>
      </c>
      <c r="K1000" s="411" t="str">
        <f t="shared" si="324"/>
        <v/>
      </c>
      <c r="L1000" s="411">
        <f>SUM(M1000:O1000)</f>
        <v>1</v>
      </c>
      <c r="M1000" s="409"/>
      <c r="N1000" s="409"/>
      <c r="O1000" s="409">
        <v>1</v>
      </c>
      <c r="Q1000" s="382"/>
      <c r="R1000" s="385" t="str">
        <f>IF(SUM(M1000:O1000)=L1000,"T","F")</f>
        <v>T</v>
      </c>
      <c r="S1000" s="389"/>
      <c r="T1000" s="389"/>
      <c r="U1000" s="389"/>
      <c r="V1000" s="389"/>
      <c r="W1000" s="389"/>
      <c r="X1000" s="389"/>
      <c r="Y1000" s="389"/>
      <c r="Z1000" s="389"/>
      <c r="AA1000" s="389"/>
      <c r="AB1000" s="389"/>
      <c r="AC1000" s="389"/>
      <c r="AD1000" s="389"/>
      <c r="AE1000" s="389"/>
      <c r="AF1000" s="389"/>
    </row>
    <row r="1001" spans="1:32" hidden="1" outlineLevel="3">
      <c r="A1001" s="382"/>
      <c r="B1001" s="382" t="s">
        <v>486</v>
      </c>
      <c r="C1001" s="397" t="s">
        <v>136</v>
      </c>
      <c r="D1001" s="382" t="s">
        <v>202</v>
      </c>
      <c r="E1001" s="382" t="s">
        <v>29</v>
      </c>
      <c r="F1001" s="440" t="s">
        <v>459</v>
      </c>
      <c r="G1001" s="411">
        <v>0.85586265139649265</v>
      </c>
      <c r="H1001" s="411" t="str">
        <f t="shared" si="321"/>
        <v/>
      </c>
      <c r="I1001" s="411" t="str">
        <f t="shared" si="322"/>
        <v/>
      </c>
      <c r="J1001" s="411" t="str">
        <f t="shared" si="323"/>
        <v/>
      </c>
      <c r="K1001" s="411">
        <f t="shared" si="324"/>
        <v>0.85586265139649265</v>
      </c>
      <c r="L1001" s="411">
        <f>SUM(M1001:P1001)</f>
        <v>1</v>
      </c>
      <c r="M1001" s="409"/>
      <c r="N1001" s="409"/>
      <c r="O1001" s="409"/>
      <c r="P1001" s="409">
        <v>1</v>
      </c>
      <c r="Q1001" s="382"/>
      <c r="R1001" s="385" t="str">
        <f>IF(SUM(M1001:O1001)=L1001,"T","F")</f>
        <v>F</v>
      </c>
      <c r="S1001" s="389"/>
      <c r="T1001" s="389"/>
      <c r="U1001" s="389"/>
      <c r="V1001" s="389"/>
      <c r="W1001" s="389"/>
      <c r="X1001" s="389"/>
      <c r="Y1001" s="389"/>
      <c r="Z1001" s="389"/>
      <c r="AA1001" s="389"/>
      <c r="AB1001" s="389"/>
      <c r="AC1001" s="389"/>
      <c r="AD1001" s="389"/>
      <c r="AE1001" s="389"/>
      <c r="AF1001" s="389"/>
    </row>
    <row r="1002" spans="1:32" hidden="1" outlineLevel="3">
      <c r="A1002" s="382"/>
      <c r="B1002" s="382" t="s">
        <v>486</v>
      </c>
      <c r="C1002" s="397" t="s">
        <v>136</v>
      </c>
      <c r="D1002" s="382" t="s">
        <v>202</v>
      </c>
      <c r="E1002" s="382" t="s">
        <v>29</v>
      </c>
      <c r="F1002" s="440" t="s">
        <v>460</v>
      </c>
      <c r="G1002" s="411">
        <v>0.25675879541894775</v>
      </c>
      <c r="H1002" s="411" t="str">
        <f t="shared" si="321"/>
        <v/>
      </c>
      <c r="I1002" s="411" t="str">
        <f t="shared" si="322"/>
        <v/>
      </c>
      <c r="J1002" s="411">
        <f t="shared" si="323"/>
        <v>0.25675879541894775</v>
      </c>
      <c r="K1002" s="411" t="str">
        <f t="shared" si="324"/>
        <v/>
      </c>
      <c r="L1002" s="411">
        <f t="shared" si="318"/>
        <v>1</v>
      </c>
      <c r="M1002" s="409"/>
      <c r="N1002" s="409"/>
      <c r="O1002" s="409">
        <v>1</v>
      </c>
      <c r="P1002" s="409"/>
      <c r="Q1002" s="382"/>
      <c r="R1002" s="385" t="str">
        <f t="shared" si="320"/>
        <v>T</v>
      </c>
      <c r="S1002" s="389"/>
      <c r="T1002" s="389"/>
      <c r="U1002" s="389"/>
      <c r="V1002" s="389"/>
      <c r="W1002" s="389"/>
      <c r="X1002" s="389"/>
      <c r="Y1002" s="389"/>
      <c r="Z1002" s="389"/>
      <c r="AA1002" s="389"/>
      <c r="AB1002" s="389"/>
      <c r="AC1002" s="389"/>
      <c r="AD1002" s="389"/>
      <c r="AE1002" s="389"/>
      <c r="AF1002" s="389"/>
    </row>
    <row r="1003" spans="1:32" hidden="1" outlineLevel="2" collapsed="1">
      <c r="A1003" s="382"/>
      <c r="B1003" s="382" t="s">
        <v>486</v>
      </c>
      <c r="C1003" s="397" t="s">
        <v>136</v>
      </c>
      <c r="D1003" s="382" t="s">
        <v>18</v>
      </c>
      <c r="E1003" s="382"/>
      <c r="F1003" s="440" t="s">
        <v>489</v>
      </c>
      <c r="G1003" s="411">
        <f>SUM(G1004:G1007)</f>
        <v>0.40111323264894982</v>
      </c>
      <c r="H1003" s="411">
        <f>SUM(H1004:H1007)</f>
        <v>8.9136273921988848E-2</v>
      </c>
      <c r="I1003" s="411">
        <f>SUM(I1004:I1007)</f>
        <v>8.9136273921988848E-2</v>
      </c>
      <c r="J1003" s="411">
        <f>SUM(J1004:J1007)</f>
        <v>8.9136273921988848E-2</v>
      </c>
      <c r="K1003" s="411">
        <f>SUM(K1004:K1007)</f>
        <v>0.13370441088298327</v>
      </c>
      <c r="L1003" s="411">
        <f t="shared" si="318"/>
        <v>4</v>
      </c>
      <c r="M1003" s="409">
        <f>SUM(M1004:M1007)</f>
        <v>1</v>
      </c>
      <c r="N1003" s="409">
        <f>SUM(N1004:N1007)</f>
        <v>1</v>
      </c>
      <c r="O1003" s="409">
        <f>SUM(O1004:O1007)</f>
        <v>1</v>
      </c>
      <c r="P1003" s="409">
        <f>SUM(P1004:P1007)</f>
        <v>1</v>
      </c>
      <c r="Q1003" s="382"/>
      <c r="R1003" s="385" t="str">
        <f t="shared" si="320"/>
        <v>T</v>
      </c>
      <c r="S1003" s="389"/>
      <c r="T1003" s="389"/>
      <c r="U1003" s="389"/>
      <c r="V1003" s="389"/>
      <c r="W1003" s="389"/>
      <c r="X1003" s="389"/>
      <c r="Y1003" s="389"/>
      <c r="Z1003" s="389"/>
      <c r="AA1003" s="389"/>
      <c r="AB1003" s="389"/>
      <c r="AC1003" s="389"/>
      <c r="AD1003" s="389"/>
      <c r="AE1003" s="389"/>
      <c r="AF1003" s="389"/>
    </row>
    <row r="1004" spans="1:32" hidden="1" outlineLevel="3">
      <c r="A1004" s="382"/>
      <c r="B1004" s="382" t="s">
        <v>486</v>
      </c>
      <c r="C1004" s="397" t="s">
        <v>136</v>
      </c>
      <c r="D1004" s="382" t="s">
        <v>18</v>
      </c>
      <c r="E1004" s="382" t="s">
        <v>204</v>
      </c>
      <c r="F1004" s="440" t="s">
        <v>32</v>
      </c>
      <c r="G1004" s="411">
        <v>8.9136273921988848E-2</v>
      </c>
      <c r="H1004" s="411">
        <f t="shared" ref="H1004:K1007" si="325">IF(M1004=1,$G1004,"")</f>
        <v>8.9136273921988848E-2</v>
      </c>
      <c r="I1004" s="411" t="str">
        <f t="shared" si="325"/>
        <v/>
      </c>
      <c r="J1004" s="411" t="str">
        <f t="shared" si="325"/>
        <v/>
      </c>
      <c r="K1004" s="411" t="str">
        <f t="shared" si="325"/>
        <v/>
      </c>
      <c r="L1004" s="411">
        <f t="shared" si="318"/>
        <v>1</v>
      </c>
      <c r="M1004" s="409">
        <v>1</v>
      </c>
      <c r="N1004" s="409"/>
      <c r="O1004" s="409"/>
      <c r="P1004" s="409"/>
      <c r="Q1004" s="382"/>
      <c r="R1004" s="385" t="str">
        <f t="shared" si="320"/>
        <v>T</v>
      </c>
      <c r="S1004" s="389"/>
      <c r="T1004" s="389"/>
      <c r="U1004" s="389"/>
      <c r="V1004" s="389"/>
      <c r="W1004" s="389"/>
      <c r="X1004" s="389"/>
      <c r="Y1004" s="389"/>
      <c r="Z1004" s="389"/>
      <c r="AA1004" s="389"/>
      <c r="AB1004" s="389"/>
      <c r="AC1004" s="389"/>
      <c r="AD1004" s="389"/>
      <c r="AE1004" s="389"/>
      <c r="AF1004" s="389"/>
    </row>
    <row r="1005" spans="1:32" hidden="1" outlineLevel="3">
      <c r="A1005" s="382"/>
      <c r="B1005" s="382" t="s">
        <v>486</v>
      </c>
      <c r="C1005" s="397" t="s">
        <v>136</v>
      </c>
      <c r="D1005" s="382" t="s">
        <v>18</v>
      </c>
      <c r="E1005" s="382" t="s">
        <v>204</v>
      </c>
      <c r="F1005" s="440" t="s">
        <v>33</v>
      </c>
      <c r="G1005" s="411">
        <v>8.9136273921988848E-2</v>
      </c>
      <c r="H1005" s="411" t="str">
        <f t="shared" si="325"/>
        <v/>
      </c>
      <c r="I1005" s="411">
        <f t="shared" si="325"/>
        <v>8.9136273921988848E-2</v>
      </c>
      <c r="J1005" s="411" t="str">
        <f t="shared" si="325"/>
        <v/>
      </c>
      <c r="K1005" s="411" t="str">
        <f t="shared" si="325"/>
        <v/>
      </c>
      <c r="L1005" s="411">
        <f t="shared" si="318"/>
        <v>1</v>
      </c>
      <c r="M1005" s="409"/>
      <c r="N1005" s="409">
        <v>1</v>
      </c>
      <c r="O1005" s="409"/>
      <c r="P1005" s="409"/>
      <c r="Q1005" s="382"/>
      <c r="R1005" s="385" t="str">
        <f t="shared" si="320"/>
        <v>T</v>
      </c>
      <c r="S1005" s="389"/>
      <c r="T1005" s="389"/>
      <c r="U1005" s="389"/>
      <c r="V1005" s="389"/>
      <c r="W1005" s="389"/>
      <c r="X1005" s="389"/>
      <c r="Y1005" s="389"/>
      <c r="Z1005" s="389"/>
      <c r="AA1005" s="389"/>
      <c r="AB1005" s="389"/>
      <c r="AC1005" s="389"/>
      <c r="AD1005" s="389"/>
      <c r="AE1005" s="389"/>
      <c r="AF1005" s="389"/>
    </row>
    <row r="1006" spans="1:32" hidden="1" outlineLevel="3">
      <c r="A1006" s="382"/>
      <c r="B1006" s="382" t="s">
        <v>486</v>
      </c>
      <c r="C1006" s="397" t="s">
        <v>136</v>
      </c>
      <c r="D1006" s="382" t="s">
        <v>18</v>
      </c>
      <c r="E1006" s="382" t="s">
        <v>204</v>
      </c>
      <c r="F1006" s="440" t="s">
        <v>34</v>
      </c>
      <c r="G1006" s="411">
        <v>8.9136273921988848E-2</v>
      </c>
      <c r="H1006" s="411" t="str">
        <f t="shared" si="325"/>
        <v/>
      </c>
      <c r="I1006" s="411" t="str">
        <f t="shared" si="325"/>
        <v/>
      </c>
      <c r="J1006" s="411">
        <f t="shared" si="325"/>
        <v>8.9136273921988848E-2</v>
      </c>
      <c r="K1006" s="411" t="str">
        <f t="shared" si="325"/>
        <v/>
      </c>
      <c r="L1006" s="411">
        <f t="shared" si="318"/>
        <v>1</v>
      </c>
      <c r="M1006" s="409"/>
      <c r="N1006" s="409"/>
      <c r="O1006" s="409">
        <v>1</v>
      </c>
      <c r="P1006" s="409"/>
      <c r="Q1006" s="382"/>
      <c r="R1006" s="385" t="str">
        <f t="shared" si="320"/>
        <v>T</v>
      </c>
      <c r="S1006" s="389"/>
      <c r="T1006" s="389"/>
      <c r="U1006" s="389"/>
      <c r="V1006" s="389"/>
      <c r="W1006" s="389"/>
      <c r="X1006" s="389"/>
      <c r="Y1006" s="389"/>
      <c r="Z1006" s="389"/>
      <c r="AA1006" s="389"/>
      <c r="AB1006" s="389"/>
      <c r="AC1006" s="389"/>
      <c r="AD1006" s="389"/>
      <c r="AE1006" s="389"/>
      <c r="AF1006" s="389"/>
    </row>
    <row r="1007" spans="1:32" hidden="1" outlineLevel="3">
      <c r="A1007" s="382"/>
      <c r="B1007" s="382" t="s">
        <v>486</v>
      </c>
      <c r="C1007" s="397" t="s">
        <v>136</v>
      </c>
      <c r="D1007" s="382" t="s">
        <v>18</v>
      </c>
      <c r="E1007" s="382" t="s">
        <v>204</v>
      </c>
      <c r="F1007" s="440" t="s">
        <v>205</v>
      </c>
      <c r="G1007" s="411">
        <v>0.13370441088298327</v>
      </c>
      <c r="H1007" s="411" t="str">
        <f t="shared" si="325"/>
        <v/>
      </c>
      <c r="I1007" s="411" t="str">
        <f t="shared" si="325"/>
        <v/>
      </c>
      <c r="J1007" s="411" t="str">
        <f t="shared" si="325"/>
        <v/>
      </c>
      <c r="K1007" s="411">
        <f t="shared" si="325"/>
        <v>0.13370441088298327</v>
      </c>
      <c r="L1007" s="411">
        <f t="shared" si="318"/>
        <v>1</v>
      </c>
      <c r="M1007" s="409"/>
      <c r="N1007" s="409"/>
      <c r="O1007" s="409"/>
      <c r="P1007" s="409">
        <v>1</v>
      </c>
      <c r="Q1007" s="382"/>
      <c r="R1007" s="385" t="str">
        <f t="shared" si="320"/>
        <v>T</v>
      </c>
      <c r="S1007" s="389"/>
      <c r="T1007" s="389"/>
      <c r="U1007" s="389"/>
      <c r="V1007" s="389"/>
      <c r="W1007" s="389"/>
      <c r="X1007" s="389"/>
      <c r="Y1007" s="389"/>
      <c r="Z1007" s="389"/>
      <c r="AA1007" s="389"/>
      <c r="AB1007" s="389"/>
      <c r="AC1007" s="389"/>
      <c r="AD1007" s="389"/>
      <c r="AE1007" s="389"/>
      <c r="AF1007" s="389"/>
    </row>
    <row r="1008" spans="1:32" hidden="1" outlineLevel="2" collapsed="1">
      <c r="A1008" s="382"/>
      <c r="B1008" s="382" t="s">
        <v>486</v>
      </c>
      <c r="C1008" s="397" t="s">
        <v>136</v>
      </c>
      <c r="D1008" s="382" t="s">
        <v>26</v>
      </c>
      <c r="E1008" s="382"/>
      <c r="F1008" s="440" t="s">
        <v>489</v>
      </c>
      <c r="G1008" s="411">
        <f>SUM(G1009:G1015)</f>
        <v>1.2303839681123008</v>
      </c>
      <c r="H1008" s="411">
        <f>SUM(H1009:H1015)</f>
        <v>0.20033977216751808</v>
      </c>
      <c r="I1008" s="411">
        <f>SUM(I1009:I1015)</f>
        <v>0.49140098538306437</v>
      </c>
      <c r="J1008" s="411">
        <f>SUM(J1009:J1015)</f>
        <v>0.47250409531160276</v>
      </c>
      <c r="K1008" s="411">
        <f>SUM(K1009:K1015)</f>
        <v>6.6139115250115718E-2</v>
      </c>
      <c r="L1008" s="411">
        <f t="shared" si="318"/>
        <v>7</v>
      </c>
      <c r="M1008" s="409">
        <f>SUM(M1009:M1015)</f>
        <v>1</v>
      </c>
      <c r="N1008" s="409">
        <f>SUM(N1009:N1015)</f>
        <v>2</v>
      </c>
      <c r="O1008" s="409">
        <f>SUM(O1009:O1015)</f>
        <v>3</v>
      </c>
      <c r="P1008" s="409">
        <f>SUM(P1009:P1015)</f>
        <v>1</v>
      </c>
      <c r="Q1008" s="382"/>
      <c r="R1008" s="385" t="str">
        <f t="shared" si="320"/>
        <v>T</v>
      </c>
      <c r="S1008" s="389"/>
      <c r="T1008" s="389"/>
      <c r="U1008" s="389"/>
      <c r="V1008" s="389"/>
      <c r="W1008" s="389"/>
      <c r="X1008" s="389"/>
      <c r="Y1008" s="389"/>
      <c r="Z1008" s="389"/>
      <c r="AA1008" s="389"/>
      <c r="AB1008" s="389"/>
      <c r="AC1008" s="389"/>
      <c r="AD1008" s="389"/>
      <c r="AE1008" s="389"/>
      <c r="AF1008" s="389"/>
    </row>
    <row r="1009" spans="1:32" hidden="1" outlineLevel="3">
      <c r="A1009" s="382"/>
      <c r="B1009" s="382" t="s">
        <v>486</v>
      </c>
      <c r="C1009" s="397" t="s">
        <v>136</v>
      </c>
      <c r="D1009" s="382" t="s">
        <v>26</v>
      </c>
      <c r="E1009" s="382" t="s">
        <v>27</v>
      </c>
      <c r="F1009" s="440" t="s">
        <v>32</v>
      </c>
      <c r="G1009" s="411">
        <v>0.20033977216751808</v>
      </c>
      <c r="H1009" s="411">
        <f t="shared" ref="H1009:H1015" si="326">IF(M1009=1,$G1009,"")</f>
        <v>0.20033977216751808</v>
      </c>
      <c r="I1009" s="411" t="str">
        <f t="shared" ref="I1009:I1015" si="327">IF(N1009=1,$G1009,"")</f>
        <v/>
      </c>
      <c r="J1009" s="411" t="str">
        <f t="shared" ref="J1009:J1015" si="328">IF(O1009=1,$G1009,"")</f>
        <v/>
      </c>
      <c r="K1009" s="411" t="str">
        <f t="shared" ref="K1009:K1014" si="329">IF(P1009=1,$G1009,"")</f>
        <v/>
      </c>
      <c r="L1009" s="411">
        <f t="shared" si="318"/>
        <v>1</v>
      </c>
      <c r="M1009" s="409">
        <v>1</v>
      </c>
      <c r="N1009" s="409"/>
      <c r="O1009" s="409"/>
      <c r="P1009" s="409"/>
      <c r="Q1009" s="382"/>
      <c r="R1009" s="385" t="str">
        <f t="shared" si="320"/>
        <v>T</v>
      </c>
      <c r="S1009" s="389"/>
      <c r="T1009" s="389"/>
      <c r="U1009" s="389"/>
      <c r="V1009" s="389"/>
      <c r="W1009" s="389"/>
      <c r="X1009" s="389"/>
      <c r="Y1009" s="389"/>
      <c r="Z1009" s="389"/>
      <c r="AA1009" s="389"/>
      <c r="AB1009" s="389"/>
      <c r="AC1009" s="389"/>
      <c r="AD1009" s="389"/>
      <c r="AE1009" s="389"/>
      <c r="AF1009" s="389"/>
    </row>
    <row r="1010" spans="1:32" hidden="1" outlineLevel="3">
      <c r="A1010" s="382"/>
      <c r="B1010" s="382" t="s">
        <v>486</v>
      </c>
      <c r="C1010" s="397" t="s">
        <v>136</v>
      </c>
      <c r="D1010" s="382" t="s">
        <v>26</v>
      </c>
      <c r="E1010" s="382" t="s">
        <v>27</v>
      </c>
      <c r="F1010" s="440" t="s">
        <v>34</v>
      </c>
      <c r="G1010" s="411">
        <v>0.40067954433503616</v>
      </c>
      <c r="H1010" s="411" t="str">
        <f t="shared" si="326"/>
        <v/>
      </c>
      <c r="I1010" s="411">
        <f t="shared" si="327"/>
        <v>0.40067954433503616</v>
      </c>
      <c r="J1010" s="411" t="str">
        <f t="shared" si="328"/>
        <v/>
      </c>
      <c r="K1010" s="411" t="str">
        <f t="shared" si="329"/>
        <v/>
      </c>
      <c r="L1010" s="411">
        <f t="shared" si="318"/>
        <v>1</v>
      </c>
      <c r="M1010" s="409"/>
      <c r="N1010" s="409">
        <v>1</v>
      </c>
      <c r="O1010" s="409"/>
      <c r="P1010" s="409"/>
      <c r="Q1010" s="382"/>
      <c r="R1010" s="385" t="str">
        <f t="shared" si="320"/>
        <v>T</v>
      </c>
      <c r="S1010" s="389"/>
      <c r="T1010" s="389"/>
      <c r="U1010" s="389"/>
      <c r="V1010" s="389"/>
      <c r="W1010" s="389"/>
      <c r="X1010" s="389"/>
      <c r="Y1010" s="389"/>
      <c r="Z1010" s="389"/>
      <c r="AA1010" s="389"/>
      <c r="AB1010" s="389"/>
      <c r="AC1010" s="389"/>
      <c r="AD1010" s="389"/>
      <c r="AE1010" s="389"/>
      <c r="AF1010" s="389"/>
    </row>
    <row r="1011" spans="1:32" hidden="1" outlineLevel="3">
      <c r="A1011" s="382"/>
      <c r="B1011" s="382" t="s">
        <v>486</v>
      </c>
      <c r="C1011" s="397" t="s">
        <v>136</v>
      </c>
      <c r="D1011" s="382" t="s">
        <v>26</v>
      </c>
      <c r="E1011" s="382" t="s">
        <v>27</v>
      </c>
      <c r="F1011" s="440" t="s">
        <v>471</v>
      </c>
      <c r="G1011" s="411">
        <v>0.20033977216751808</v>
      </c>
      <c r="H1011" s="411" t="str">
        <f t="shared" si="326"/>
        <v/>
      </c>
      <c r="I1011" s="411" t="str">
        <f t="shared" si="327"/>
        <v/>
      </c>
      <c r="J1011" s="411">
        <f t="shared" si="328"/>
        <v>0.20033977216751808</v>
      </c>
      <c r="K1011" s="411" t="str">
        <f t="shared" si="329"/>
        <v/>
      </c>
      <c r="L1011" s="411">
        <f t="shared" si="318"/>
        <v>1</v>
      </c>
      <c r="M1011" s="409"/>
      <c r="N1011" s="409"/>
      <c r="O1011" s="409">
        <v>1</v>
      </c>
      <c r="P1011" s="409"/>
      <c r="Q1011" s="382"/>
      <c r="R1011" s="385" t="str">
        <f t="shared" si="320"/>
        <v>T</v>
      </c>
      <c r="S1011" s="389"/>
      <c r="T1011" s="389"/>
      <c r="U1011" s="389"/>
      <c r="V1011" s="389"/>
      <c r="W1011" s="389"/>
      <c r="X1011" s="389"/>
      <c r="Y1011" s="389"/>
      <c r="Z1011" s="389"/>
      <c r="AA1011" s="389"/>
      <c r="AB1011" s="389"/>
      <c r="AC1011" s="389"/>
      <c r="AD1011" s="389"/>
      <c r="AE1011" s="389"/>
      <c r="AF1011" s="389"/>
    </row>
    <row r="1012" spans="1:32" hidden="1" outlineLevel="3">
      <c r="A1012" s="382"/>
      <c r="B1012" s="382" t="s">
        <v>486</v>
      </c>
      <c r="C1012" s="397" t="s">
        <v>136</v>
      </c>
      <c r="D1012" s="382" t="s">
        <v>26</v>
      </c>
      <c r="E1012" s="382" t="s">
        <v>27</v>
      </c>
      <c r="F1012" s="440" t="s">
        <v>457</v>
      </c>
      <c r="G1012" s="411">
        <v>9.072144104802822E-2</v>
      </c>
      <c r="H1012" s="411" t="str">
        <f t="shared" si="326"/>
        <v/>
      </c>
      <c r="I1012" s="411" t="str">
        <f t="shared" si="327"/>
        <v/>
      </c>
      <c r="J1012" s="411">
        <f t="shared" si="328"/>
        <v>9.072144104802822E-2</v>
      </c>
      <c r="K1012" s="411" t="str">
        <f t="shared" si="329"/>
        <v/>
      </c>
      <c r="L1012" s="411">
        <f t="shared" si="318"/>
        <v>1</v>
      </c>
      <c r="M1012" s="409"/>
      <c r="N1012" s="409"/>
      <c r="O1012" s="409">
        <v>1</v>
      </c>
      <c r="P1012" s="409"/>
      <c r="Q1012" s="382"/>
      <c r="R1012" s="385" t="str">
        <f t="shared" si="320"/>
        <v>T</v>
      </c>
      <c r="S1012" s="389"/>
      <c r="T1012" s="389"/>
      <c r="U1012" s="389"/>
      <c r="V1012" s="389"/>
      <c r="W1012" s="389"/>
      <c r="X1012" s="389"/>
      <c r="Y1012" s="389"/>
      <c r="Z1012" s="389"/>
      <c r="AA1012" s="389"/>
      <c r="AB1012" s="389"/>
      <c r="AC1012" s="389"/>
      <c r="AD1012" s="389"/>
      <c r="AE1012" s="389"/>
      <c r="AF1012" s="389"/>
    </row>
    <row r="1013" spans="1:32" hidden="1" outlineLevel="3">
      <c r="A1013" s="382"/>
      <c r="B1013" s="382" t="s">
        <v>486</v>
      </c>
      <c r="C1013" s="397" t="s">
        <v>136</v>
      </c>
      <c r="D1013" s="382" t="s">
        <v>26</v>
      </c>
      <c r="E1013" s="382" t="s">
        <v>27</v>
      </c>
      <c r="F1013" s="440" t="s">
        <v>458</v>
      </c>
      <c r="G1013" s="411">
        <v>0.18144288209605644</v>
      </c>
      <c r="H1013" s="411" t="str">
        <f t="shared" si="326"/>
        <v/>
      </c>
      <c r="I1013" s="411" t="str">
        <f t="shared" si="327"/>
        <v/>
      </c>
      <c r="J1013" s="411">
        <f t="shared" si="328"/>
        <v>0.18144288209605644</v>
      </c>
      <c r="K1013" s="411" t="str">
        <f t="shared" si="329"/>
        <v/>
      </c>
      <c r="L1013" s="411">
        <f t="shared" si="318"/>
        <v>1</v>
      </c>
      <c r="M1013" s="409"/>
      <c r="N1013" s="409"/>
      <c r="O1013" s="409">
        <v>1</v>
      </c>
      <c r="P1013" s="409"/>
      <c r="Q1013" s="382"/>
      <c r="R1013" s="385" t="str">
        <f t="shared" si="320"/>
        <v>T</v>
      </c>
      <c r="S1013" s="389"/>
      <c r="T1013" s="389"/>
      <c r="U1013" s="389"/>
      <c r="V1013" s="389"/>
      <c r="W1013" s="389"/>
      <c r="X1013" s="389"/>
      <c r="Y1013" s="389"/>
      <c r="Z1013" s="389"/>
      <c r="AA1013" s="389"/>
      <c r="AB1013" s="389"/>
      <c r="AC1013" s="389"/>
      <c r="AD1013" s="389"/>
      <c r="AE1013" s="389"/>
      <c r="AF1013" s="389"/>
    </row>
    <row r="1014" spans="1:32" hidden="1" outlineLevel="3">
      <c r="A1014" s="382"/>
      <c r="B1014" s="382" t="s">
        <v>486</v>
      </c>
      <c r="C1014" s="397" t="s">
        <v>136</v>
      </c>
      <c r="D1014" s="382" t="s">
        <v>26</v>
      </c>
      <c r="E1014" s="382" t="s">
        <v>27</v>
      </c>
      <c r="F1014" s="440" t="s">
        <v>460</v>
      </c>
      <c r="G1014" s="411">
        <v>9.072144104802822E-2</v>
      </c>
      <c r="H1014" s="411" t="str">
        <f t="shared" si="326"/>
        <v/>
      </c>
      <c r="I1014" s="411">
        <f t="shared" si="327"/>
        <v>9.072144104802822E-2</v>
      </c>
      <c r="J1014" s="411" t="str">
        <f t="shared" si="328"/>
        <v/>
      </c>
      <c r="K1014" s="411" t="str">
        <f t="shared" si="329"/>
        <v/>
      </c>
      <c r="L1014" s="411">
        <f t="shared" si="318"/>
        <v>1</v>
      </c>
      <c r="M1014" s="409"/>
      <c r="N1014" s="409">
        <v>1</v>
      </c>
      <c r="O1014" s="409"/>
      <c r="P1014" s="409"/>
      <c r="Q1014" s="382"/>
      <c r="R1014" s="385" t="str">
        <f t="shared" si="320"/>
        <v>T</v>
      </c>
      <c r="S1014" s="389"/>
      <c r="T1014" s="389"/>
      <c r="U1014" s="389"/>
      <c r="V1014" s="389"/>
      <c r="W1014" s="389"/>
      <c r="X1014" s="389"/>
      <c r="Y1014" s="389"/>
      <c r="Z1014" s="389"/>
      <c r="AA1014" s="389"/>
      <c r="AB1014" s="389"/>
      <c r="AC1014" s="389"/>
      <c r="AD1014" s="389"/>
      <c r="AE1014" s="389"/>
      <c r="AF1014" s="389"/>
    </row>
    <row r="1015" spans="1:32" hidden="1" outlineLevel="3">
      <c r="A1015" s="382"/>
      <c r="B1015" s="382" t="s">
        <v>486</v>
      </c>
      <c r="C1015" s="397" t="s">
        <v>136</v>
      </c>
      <c r="D1015" s="382" t="s">
        <v>26</v>
      </c>
      <c r="E1015" s="382" t="s">
        <v>27</v>
      </c>
      <c r="F1015" s="440" t="s">
        <v>205</v>
      </c>
      <c r="G1015" s="411">
        <v>6.6139115250115718E-2</v>
      </c>
      <c r="H1015" s="411" t="str">
        <f t="shared" si="326"/>
        <v/>
      </c>
      <c r="I1015" s="411" t="str">
        <f t="shared" si="327"/>
        <v/>
      </c>
      <c r="J1015" s="411" t="str">
        <f t="shared" si="328"/>
        <v/>
      </c>
      <c r="K1015" s="411">
        <v>6.6139115250115718E-2</v>
      </c>
      <c r="L1015" s="411">
        <f t="shared" si="318"/>
        <v>1</v>
      </c>
      <c r="M1015" s="409"/>
      <c r="N1015" s="409"/>
      <c r="O1015" s="409"/>
      <c r="P1015" s="409">
        <v>1</v>
      </c>
      <c r="Q1015" s="382"/>
      <c r="R1015" s="385" t="str">
        <f t="shared" si="320"/>
        <v>T</v>
      </c>
      <c r="S1015" s="389"/>
      <c r="T1015" s="389"/>
      <c r="U1015" s="389"/>
      <c r="V1015" s="389"/>
      <c r="W1015" s="389"/>
      <c r="X1015" s="389"/>
      <c r="Y1015" s="389"/>
      <c r="Z1015" s="389"/>
      <c r="AA1015" s="389"/>
      <c r="AB1015" s="389"/>
      <c r="AC1015" s="389"/>
      <c r="AD1015" s="389"/>
      <c r="AE1015" s="389"/>
      <c r="AF1015" s="389"/>
    </row>
    <row r="1016" spans="1:32" hidden="1" outlineLevel="2" collapsed="1">
      <c r="A1016" s="382"/>
      <c r="B1016" s="382" t="s">
        <v>486</v>
      </c>
      <c r="C1016" s="397" t="s">
        <v>136</v>
      </c>
      <c r="D1016" s="382" t="s">
        <v>28</v>
      </c>
      <c r="E1016" s="382"/>
      <c r="F1016" s="440" t="s">
        <v>489</v>
      </c>
      <c r="G1016" s="411">
        <f>SUM(G1017:G1025)</f>
        <v>0.7248141757192752</v>
      </c>
      <c r="H1016" s="411">
        <f>SUM(H1017:H1025)</f>
        <v>0.1672648097813712</v>
      </c>
      <c r="I1016" s="411">
        <f>SUM(I1017:I1025)</f>
        <v>0.11150987318758079</v>
      </c>
      <c r="J1016" s="411">
        <f>SUM(J1017:J1025)</f>
        <v>0.25773852232336264</v>
      </c>
      <c r="K1016" s="411">
        <f>SUM(K1017:K1025)</f>
        <v>0.18830097042696059</v>
      </c>
      <c r="L1016" s="411">
        <f t="shared" ref="L1016:L1059" si="330">SUM(M1016:P1016)</f>
        <v>9</v>
      </c>
      <c r="M1016" s="409">
        <f>SUM(M1017:M1025)</f>
        <v>2</v>
      </c>
      <c r="N1016" s="409">
        <f>SUM(N1017:N1025)</f>
        <v>1</v>
      </c>
      <c r="O1016" s="409">
        <f>SUM(O1017:O1025)</f>
        <v>3</v>
      </c>
      <c r="P1016" s="409">
        <f>SUM(P1017:P1025)</f>
        <v>3</v>
      </c>
      <c r="Q1016" s="382"/>
      <c r="R1016" s="385" t="str">
        <f t="shared" si="320"/>
        <v>T</v>
      </c>
      <c r="S1016" s="389"/>
      <c r="T1016" s="389"/>
      <c r="U1016" s="389"/>
      <c r="V1016" s="389"/>
      <c r="W1016" s="389"/>
      <c r="X1016" s="389"/>
      <c r="Y1016" s="389"/>
      <c r="Z1016" s="389"/>
      <c r="AA1016" s="389"/>
      <c r="AB1016" s="389"/>
      <c r="AC1016" s="389"/>
      <c r="AD1016" s="389"/>
      <c r="AE1016" s="389"/>
      <c r="AF1016" s="389"/>
    </row>
    <row r="1017" spans="1:32" hidden="1" outlineLevel="3">
      <c r="A1017" s="382"/>
      <c r="B1017" s="382" t="s">
        <v>486</v>
      </c>
      <c r="C1017" s="397" t="s">
        <v>136</v>
      </c>
      <c r="D1017" s="383" t="s">
        <v>28</v>
      </c>
      <c r="E1017" s="383" t="s">
        <v>29</v>
      </c>
      <c r="F1017" s="440" t="s">
        <v>32</v>
      </c>
      <c r="G1017" s="411">
        <v>5.5754936593790397E-2</v>
      </c>
      <c r="H1017" s="411">
        <f t="shared" ref="H1017:H1025" si="331">IF(M1017=1,$G1017,"")</f>
        <v>5.5754936593790397E-2</v>
      </c>
      <c r="I1017" s="411" t="str">
        <f t="shared" ref="I1017:I1025" si="332">IF(N1017=1,$G1017,"")</f>
        <v/>
      </c>
      <c r="J1017" s="411" t="str">
        <f t="shared" ref="J1017:J1025" si="333">IF(O1017=1,$G1017,"")</f>
        <v/>
      </c>
      <c r="K1017" s="411" t="str">
        <f t="shared" ref="K1017:K1025" si="334">IF(P1017=1,$G1017,"")</f>
        <v/>
      </c>
      <c r="L1017" s="411">
        <f t="shared" si="330"/>
        <v>1</v>
      </c>
      <c r="M1017" s="409">
        <v>1</v>
      </c>
      <c r="N1017" s="409"/>
      <c r="O1017" s="409"/>
      <c r="P1017" s="409"/>
      <c r="Q1017" s="382"/>
      <c r="R1017" s="385" t="str">
        <f t="shared" si="320"/>
        <v>T</v>
      </c>
      <c r="S1017" s="389"/>
      <c r="T1017" s="389"/>
      <c r="U1017" s="389"/>
      <c r="V1017" s="389"/>
      <c r="W1017" s="389"/>
      <c r="X1017" s="389"/>
      <c r="Y1017" s="389"/>
      <c r="Z1017" s="389"/>
      <c r="AA1017" s="389"/>
      <c r="AB1017" s="389"/>
      <c r="AC1017" s="389"/>
      <c r="AD1017" s="389"/>
      <c r="AE1017" s="389"/>
      <c r="AF1017" s="389"/>
    </row>
    <row r="1018" spans="1:32" hidden="1" outlineLevel="3">
      <c r="A1018" s="382"/>
      <c r="B1018" s="382" t="s">
        <v>486</v>
      </c>
      <c r="C1018" s="397" t="s">
        <v>136</v>
      </c>
      <c r="D1018" s="383" t="s">
        <v>28</v>
      </c>
      <c r="E1018" s="383" t="s">
        <v>29</v>
      </c>
      <c r="F1018" s="440" t="s">
        <v>33</v>
      </c>
      <c r="G1018" s="411">
        <v>0.11150987318758079</v>
      </c>
      <c r="H1018" s="411">
        <f t="shared" si="331"/>
        <v>0.11150987318758079</v>
      </c>
      <c r="I1018" s="411" t="str">
        <f t="shared" si="332"/>
        <v/>
      </c>
      <c r="J1018" s="411" t="str">
        <f t="shared" si="333"/>
        <v/>
      </c>
      <c r="K1018" s="411" t="str">
        <f t="shared" si="334"/>
        <v/>
      </c>
      <c r="L1018" s="411">
        <f t="shared" si="330"/>
        <v>1</v>
      </c>
      <c r="M1018" s="409">
        <v>1</v>
      </c>
      <c r="N1018" s="409"/>
      <c r="O1018" s="409"/>
      <c r="P1018" s="409"/>
      <c r="Q1018" s="382"/>
      <c r="R1018" s="385" t="str">
        <f t="shared" si="320"/>
        <v>T</v>
      </c>
      <c r="S1018" s="389"/>
      <c r="T1018" s="389"/>
      <c r="U1018" s="389"/>
      <c r="V1018" s="389"/>
      <c r="W1018" s="389"/>
      <c r="X1018" s="389"/>
      <c r="Y1018" s="389"/>
      <c r="Z1018" s="389"/>
      <c r="AA1018" s="389"/>
      <c r="AB1018" s="389"/>
      <c r="AC1018" s="389"/>
      <c r="AD1018" s="389"/>
      <c r="AE1018" s="389"/>
      <c r="AF1018" s="389"/>
    </row>
    <row r="1019" spans="1:32" hidden="1" outlineLevel="3">
      <c r="A1019" s="382"/>
      <c r="B1019" s="382" t="s">
        <v>486</v>
      </c>
      <c r="C1019" s="397" t="s">
        <v>136</v>
      </c>
      <c r="D1019" s="383" t="s">
        <v>28</v>
      </c>
      <c r="E1019" s="383" t="s">
        <v>29</v>
      </c>
      <c r="F1019" s="440" t="s">
        <v>34</v>
      </c>
      <c r="G1019" s="411">
        <v>0.11150987318758079</v>
      </c>
      <c r="H1019" s="411" t="str">
        <f t="shared" si="331"/>
        <v/>
      </c>
      <c r="I1019" s="411">
        <f t="shared" si="332"/>
        <v>0.11150987318758079</v>
      </c>
      <c r="J1019" s="411" t="str">
        <f t="shared" si="333"/>
        <v/>
      </c>
      <c r="K1019" s="411" t="str">
        <f t="shared" si="334"/>
        <v/>
      </c>
      <c r="L1019" s="411">
        <f t="shared" si="330"/>
        <v>1</v>
      </c>
      <c r="M1019" s="409"/>
      <c r="N1019" s="409">
        <v>1</v>
      </c>
      <c r="O1019" s="409"/>
      <c r="P1019" s="409"/>
      <c r="Q1019" s="382"/>
      <c r="R1019" s="385" t="str">
        <f t="shared" si="320"/>
        <v>T</v>
      </c>
      <c r="S1019" s="389"/>
      <c r="T1019" s="389"/>
      <c r="U1019" s="389"/>
      <c r="V1019" s="389"/>
      <c r="W1019" s="389"/>
      <c r="X1019" s="389"/>
      <c r="Y1019" s="389"/>
      <c r="Z1019" s="389"/>
      <c r="AA1019" s="389"/>
      <c r="AB1019" s="389"/>
      <c r="AC1019" s="389"/>
      <c r="AD1019" s="389"/>
      <c r="AE1019" s="389"/>
      <c r="AF1019" s="389"/>
    </row>
    <row r="1020" spans="1:32" hidden="1" outlineLevel="3">
      <c r="A1020" s="382"/>
      <c r="B1020" s="382" t="s">
        <v>486</v>
      </c>
      <c r="C1020" s="397" t="s">
        <v>136</v>
      </c>
      <c r="D1020" s="383" t="s">
        <v>28</v>
      </c>
      <c r="E1020" s="383" t="s">
        <v>29</v>
      </c>
      <c r="F1020" s="440" t="s">
        <v>471</v>
      </c>
      <c r="G1020" s="411">
        <v>5.5754936593790397E-2</v>
      </c>
      <c r="H1020" s="411" t="str">
        <f t="shared" si="331"/>
        <v/>
      </c>
      <c r="I1020" s="411" t="str">
        <f t="shared" si="332"/>
        <v/>
      </c>
      <c r="J1020" s="411">
        <f t="shared" si="333"/>
        <v>5.5754936593790397E-2</v>
      </c>
      <c r="K1020" s="411" t="str">
        <f t="shared" si="334"/>
        <v/>
      </c>
      <c r="L1020" s="411">
        <f t="shared" si="330"/>
        <v>1</v>
      </c>
      <c r="M1020" s="409"/>
      <c r="N1020" s="409"/>
      <c r="O1020" s="409">
        <v>1</v>
      </c>
      <c r="P1020" s="409"/>
      <c r="Q1020" s="382"/>
      <c r="R1020" s="385" t="str">
        <f t="shared" si="320"/>
        <v>T</v>
      </c>
      <c r="S1020" s="389"/>
      <c r="T1020" s="389"/>
      <c r="U1020" s="389"/>
      <c r="V1020" s="389"/>
      <c r="W1020" s="389"/>
      <c r="X1020" s="389"/>
      <c r="Y1020" s="389"/>
      <c r="Z1020" s="389"/>
      <c r="AA1020" s="389"/>
      <c r="AB1020" s="389"/>
      <c r="AC1020" s="389"/>
      <c r="AD1020" s="389"/>
      <c r="AE1020" s="389"/>
      <c r="AF1020" s="389"/>
    </row>
    <row r="1021" spans="1:32" hidden="1" outlineLevel="3">
      <c r="A1021" s="382"/>
      <c r="B1021" s="382" t="s">
        <v>486</v>
      </c>
      <c r="C1021" s="397" t="s">
        <v>136</v>
      </c>
      <c r="D1021" s="383" t="s">
        <v>28</v>
      </c>
      <c r="E1021" s="383" t="s">
        <v>29</v>
      </c>
      <c r="F1021" s="440" t="s">
        <v>458</v>
      </c>
      <c r="G1021" s="411">
        <v>0.15148768929717918</v>
      </c>
      <c r="H1021" s="411" t="str">
        <f t="shared" si="331"/>
        <v/>
      </c>
      <c r="I1021" s="411" t="str">
        <f t="shared" si="332"/>
        <v/>
      </c>
      <c r="J1021" s="411">
        <f t="shared" si="333"/>
        <v>0.15148768929717918</v>
      </c>
      <c r="K1021" s="411" t="str">
        <f t="shared" si="334"/>
        <v/>
      </c>
      <c r="L1021" s="411">
        <f t="shared" si="330"/>
        <v>1</v>
      </c>
      <c r="M1021" s="409"/>
      <c r="N1021" s="409"/>
      <c r="O1021" s="409">
        <v>1</v>
      </c>
      <c r="P1021" s="409"/>
      <c r="Q1021" s="382"/>
      <c r="R1021" s="385" t="str">
        <f t="shared" si="320"/>
        <v>T</v>
      </c>
      <c r="S1021" s="389"/>
      <c r="T1021" s="389"/>
      <c r="U1021" s="389"/>
      <c r="V1021" s="389"/>
      <c r="W1021" s="389"/>
      <c r="X1021" s="389"/>
      <c r="Y1021" s="389"/>
      <c r="Z1021" s="389"/>
      <c r="AA1021" s="389"/>
      <c r="AB1021" s="389"/>
      <c r="AC1021" s="389"/>
      <c r="AD1021" s="389"/>
      <c r="AE1021" s="389"/>
      <c r="AF1021" s="389"/>
    </row>
    <row r="1022" spans="1:32" hidden="1" outlineLevel="3">
      <c r="A1022" s="382"/>
      <c r="B1022" s="382" t="s">
        <v>486</v>
      </c>
      <c r="C1022" s="397" t="s">
        <v>136</v>
      </c>
      <c r="D1022" s="383" t="s">
        <v>28</v>
      </c>
      <c r="E1022" s="383" t="s">
        <v>29</v>
      </c>
      <c r="F1022" s="440" t="s">
        <v>459</v>
      </c>
      <c r="G1022" s="411">
        <v>5.0495896432393064E-2</v>
      </c>
      <c r="H1022" s="411" t="str">
        <f t="shared" si="331"/>
        <v/>
      </c>
      <c r="I1022" s="411" t="str">
        <f t="shared" si="332"/>
        <v/>
      </c>
      <c r="J1022" s="411" t="str">
        <f t="shared" si="333"/>
        <v/>
      </c>
      <c r="K1022" s="411">
        <f t="shared" si="334"/>
        <v>5.0495896432393064E-2</v>
      </c>
      <c r="L1022" s="411">
        <f t="shared" si="330"/>
        <v>1</v>
      </c>
      <c r="M1022" s="409"/>
      <c r="N1022" s="409"/>
      <c r="O1022" s="409"/>
      <c r="P1022" s="409">
        <v>1</v>
      </c>
      <c r="Q1022" s="382"/>
      <c r="R1022" s="385" t="str">
        <f t="shared" si="320"/>
        <v>T</v>
      </c>
      <c r="S1022" s="389"/>
      <c r="T1022" s="389"/>
      <c r="U1022" s="389"/>
      <c r="V1022" s="389"/>
      <c r="W1022" s="389"/>
      <c r="X1022" s="389"/>
      <c r="Y1022" s="389"/>
      <c r="Z1022" s="389"/>
      <c r="AA1022" s="389"/>
      <c r="AB1022" s="389"/>
      <c r="AC1022" s="389"/>
      <c r="AD1022" s="389"/>
      <c r="AE1022" s="389"/>
      <c r="AF1022" s="389"/>
    </row>
    <row r="1023" spans="1:32" hidden="1" outlineLevel="3">
      <c r="A1023" s="382"/>
      <c r="B1023" s="382" t="s">
        <v>486</v>
      </c>
      <c r="C1023" s="397" t="s">
        <v>136</v>
      </c>
      <c r="D1023" s="383" t="s">
        <v>28</v>
      </c>
      <c r="E1023" s="383" t="s">
        <v>29</v>
      </c>
      <c r="F1023" s="440" t="s">
        <v>473</v>
      </c>
      <c r="G1023" s="411">
        <v>0.10099179286478613</v>
      </c>
      <c r="H1023" s="411" t="str">
        <f t="shared" si="331"/>
        <v/>
      </c>
      <c r="I1023" s="411" t="str">
        <f t="shared" si="332"/>
        <v/>
      </c>
      <c r="J1023" s="411" t="str">
        <f t="shared" si="333"/>
        <v/>
      </c>
      <c r="K1023" s="411">
        <f t="shared" si="334"/>
        <v>0.10099179286478613</v>
      </c>
      <c r="L1023" s="411">
        <f t="shared" si="330"/>
        <v>1</v>
      </c>
      <c r="M1023" s="409"/>
      <c r="N1023" s="409"/>
      <c r="O1023" s="409"/>
      <c r="P1023" s="409">
        <v>1</v>
      </c>
      <c r="Q1023" s="382"/>
      <c r="R1023" s="385" t="str">
        <f t="shared" si="320"/>
        <v>T</v>
      </c>
      <c r="S1023" s="389"/>
      <c r="T1023" s="389"/>
      <c r="U1023" s="389"/>
      <c r="V1023" s="389"/>
      <c r="W1023" s="389"/>
      <c r="X1023" s="389"/>
      <c r="Y1023" s="389"/>
      <c r="Z1023" s="389"/>
      <c r="AA1023" s="389"/>
      <c r="AB1023" s="389"/>
      <c r="AC1023" s="389"/>
      <c r="AD1023" s="389"/>
      <c r="AE1023" s="389"/>
      <c r="AF1023" s="389"/>
    </row>
    <row r="1024" spans="1:32" hidden="1" outlineLevel="3">
      <c r="A1024" s="382"/>
      <c r="B1024" s="382" t="s">
        <v>486</v>
      </c>
      <c r="C1024" s="397" t="s">
        <v>136</v>
      </c>
      <c r="D1024" s="383" t="s">
        <v>28</v>
      </c>
      <c r="E1024" s="383" t="s">
        <v>29</v>
      </c>
      <c r="F1024" s="440" t="s">
        <v>460</v>
      </c>
      <c r="G1024" s="411">
        <v>5.0495896432393064E-2</v>
      </c>
      <c r="H1024" s="411" t="str">
        <f t="shared" si="331"/>
        <v/>
      </c>
      <c r="I1024" s="411" t="str">
        <f t="shared" si="332"/>
        <v/>
      </c>
      <c r="J1024" s="411">
        <f t="shared" si="333"/>
        <v>5.0495896432393064E-2</v>
      </c>
      <c r="K1024" s="411" t="str">
        <f t="shared" si="334"/>
        <v/>
      </c>
      <c r="L1024" s="411">
        <f t="shared" si="330"/>
        <v>1</v>
      </c>
      <c r="M1024" s="409"/>
      <c r="N1024" s="409"/>
      <c r="O1024" s="409">
        <v>1</v>
      </c>
      <c r="P1024" s="409"/>
      <c r="Q1024" s="382"/>
      <c r="R1024" s="385" t="str">
        <f t="shared" si="320"/>
        <v>T</v>
      </c>
      <c r="S1024" s="389"/>
      <c r="T1024" s="389"/>
      <c r="U1024" s="389"/>
      <c r="V1024" s="389"/>
      <c r="W1024" s="389"/>
      <c r="X1024" s="389"/>
      <c r="Y1024" s="389"/>
      <c r="Z1024" s="389"/>
      <c r="AA1024" s="389"/>
      <c r="AB1024" s="389"/>
      <c r="AC1024" s="389"/>
      <c r="AD1024" s="389"/>
      <c r="AE1024" s="389"/>
      <c r="AF1024" s="389"/>
    </row>
    <row r="1025" spans="1:37" hidden="1" outlineLevel="3">
      <c r="A1025" s="382"/>
      <c r="B1025" s="382" t="s">
        <v>486</v>
      </c>
      <c r="C1025" s="397" t="s">
        <v>136</v>
      </c>
      <c r="D1025" s="383" t="s">
        <v>28</v>
      </c>
      <c r="E1025" s="383" t="s">
        <v>29</v>
      </c>
      <c r="F1025" s="440" t="s">
        <v>205</v>
      </c>
      <c r="G1025" s="411">
        <v>3.6813281129781383E-2</v>
      </c>
      <c r="H1025" s="411" t="str">
        <f t="shared" si="331"/>
        <v/>
      </c>
      <c r="I1025" s="411" t="str">
        <f t="shared" si="332"/>
        <v/>
      </c>
      <c r="J1025" s="411" t="str">
        <f t="shared" si="333"/>
        <v/>
      </c>
      <c r="K1025" s="411">
        <f t="shared" si="334"/>
        <v>3.6813281129781383E-2</v>
      </c>
      <c r="L1025" s="411">
        <f t="shared" si="330"/>
        <v>1</v>
      </c>
      <c r="M1025" s="409"/>
      <c r="N1025" s="409"/>
      <c r="O1025" s="409"/>
      <c r="P1025" s="409">
        <v>1</v>
      </c>
      <c r="Q1025" s="382"/>
      <c r="R1025" s="385" t="str">
        <f t="shared" si="320"/>
        <v>T</v>
      </c>
      <c r="S1025" s="389"/>
      <c r="T1025" s="389"/>
      <c r="U1025" s="389"/>
      <c r="V1025" s="389"/>
      <c r="W1025" s="389"/>
      <c r="X1025" s="389"/>
      <c r="Y1025" s="389"/>
      <c r="Z1025" s="389"/>
      <c r="AA1025" s="389"/>
      <c r="AB1025" s="389"/>
      <c r="AC1025" s="389"/>
      <c r="AD1025" s="389"/>
      <c r="AE1025" s="389"/>
      <c r="AF1025" s="389"/>
    </row>
    <row r="1026" spans="1:37" s="413" customFormat="1" hidden="1" outlineLevel="2" collapsed="1">
      <c r="A1026" s="382"/>
      <c r="B1026" s="382" t="s">
        <v>486</v>
      </c>
      <c r="C1026" s="397" t="s">
        <v>136</v>
      </c>
      <c r="D1026" s="382" t="s">
        <v>64</v>
      </c>
      <c r="E1026" s="382"/>
      <c r="F1026" s="440" t="s">
        <v>489</v>
      </c>
      <c r="G1026" s="411">
        <f>SUM(G1027:G1035)</f>
        <v>0.36245358626841612</v>
      </c>
      <c r="H1026" s="411">
        <f>SUM(H1027:H1035)</f>
        <v>0.15592482267754942</v>
      </c>
      <c r="I1026" s="411">
        <f>SUM(I1027:I1035)</f>
        <v>6.2369929071019771E-2</v>
      </c>
      <c r="J1026" s="411">
        <f>SUM(J1027:J1035)</f>
        <v>8.7671899527678399E-2</v>
      </c>
      <c r="K1026" s="411">
        <f>SUM(K1027:K1035)</f>
        <v>5.6486934992168517E-2</v>
      </c>
      <c r="L1026" s="411">
        <f t="shared" si="330"/>
        <v>9</v>
      </c>
      <c r="M1026" s="409">
        <f>SUM(M1027:M1035)</f>
        <v>2</v>
      </c>
      <c r="N1026" s="409">
        <f>SUM(N1027:N1035)</f>
        <v>2</v>
      </c>
      <c r="O1026" s="409">
        <f>SUM(O1027:O1035)</f>
        <v>3</v>
      </c>
      <c r="P1026" s="409">
        <f>SUM(P1027:P1035)</f>
        <v>2</v>
      </c>
      <c r="Q1026" s="382"/>
      <c r="R1026" s="385" t="str">
        <f t="shared" ref="R1026:R1081" si="335">IF(SUM(M1026:P1026)=L1026,"T","F")</f>
        <v>T</v>
      </c>
      <c r="S1026" s="389"/>
      <c r="T1026" s="389"/>
      <c r="U1026" s="389"/>
      <c r="V1026" s="389"/>
      <c r="W1026" s="389"/>
      <c r="X1026" s="389"/>
      <c r="Y1026" s="389"/>
      <c r="Z1026" s="389"/>
      <c r="AA1026" s="389"/>
      <c r="AB1026" s="389"/>
      <c r="AC1026" s="389"/>
      <c r="AD1026" s="389"/>
      <c r="AE1026" s="389"/>
      <c r="AF1026" s="389"/>
      <c r="AG1026" s="383"/>
      <c r="AH1026" s="383"/>
      <c r="AI1026" s="383"/>
      <c r="AJ1026" s="383"/>
      <c r="AK1026" s="383"/>
    </row>
    <row r="1027" spans="1:37" s="413" customFormat="1" hidden="1" outlineLevel="4">
      <c r="A1027" s="382"/>
      <c r="B1027" s="382" t="s">
        <v>486</v>
      </c>
      <c r="C1027" s="397" t="s">
        <v>136</v>
      </c>
      <c r="D1027" s="382" t="s">
        <v>64</v>
      </c>
      <c r="E1027" s="383" t="s">
        <v>29</v>
      </c>
      <c r="F1027" s="440" t="s">
        <v>32</v>
      </c>
      <c r="G1027" s="411">
        <v>6.2369929071019771E-2</v>
      </c>
      <c r="H1027" s="411">
        <f t="shared" ref="H1027:H1035" si="336">IF(M1027=1,$G1027,"")</f>
        <v>6.2369929071019771E-2</v>
      </c>
      <c r="I1027" s="411" t="str">
        <f t="shared" ref="I1027:I1035" si="337">IF(N1027=1,$G1027,"")</f>
        <v/>
      </c>
      <c r="J1027" s="411" t="str">
        <f t="shared" ref="J1027:J1035" si="338">IF(O1027=1,$G1027,"")</f>
        <v/>
      </c>
      <c r="K1027" s="411" t="str">
        <f t="shared" ref="K1027:K1035" si="339">IF(P1027=1,$G1027,"")</f>
        <v/>
      </c>
      <c r="L1027" s="411">
        <f t="shared" si="330"/>
        <v>1</v>
      </c>
      <c r="M1027" s="409">
        <v>1</v>
      </c>
      <c r="N1027" s="409"/>
      <c r="O1027" s="409"/>
      <c r="P1027" s="409"/>
      <c r="Q1027" s="382"/>
      <c r="R1027" s="385" t="str">
        <f t="shared" si="335"/>
        <v>T</v>
      </c>
      <c r="S1027" s="389"/>
      <c r="T1027" s="389"/>
      <c r="U1027" s="389"/>
      <c r="V1027" s="389"/>
      <c r="W1027" s="389"/>
      <c r="X1027" s="389"/>
      <c r="Y1027" s="389"/>
      <c r="Z1027" s="389"/>
      <c r="AA1027" s="389"/>
      <c r="AB1027" s="389"/>
      <c r="AC1027" s="389"/>
      <c r="AD1027" s="389"/>
      <c r="AE1027" s="389"/>
      <c r="AF1027" s="389"/>
      <c r="AG1027" s="383"/>
      <c r="AH1027" s="383"/>
      <c r="AI1027" s="383"/>
      <c r="AJ1027" s="383"/>
      <c r="AK1027" s="383"/>
    </row>
    <row r="1028" spans="1:37" s="413" customFormat="1" hidden="1" outlineLevel="4">
      <c r="A1028" s="382"/>
      <c r="B1028" s="382" t="s">
        <v>486</v>
      </c>
      <c r="C1028" s="397" t="s">
        <v>136</v>
      </c>
      <c r="D1028" s="382" t="s">
        <v>64</v>
      </c>
      <c r="E1028" s="383" t="s">
        <v>29</v>
      </c>
      <c r="F1028" s="440" t="s">
        <v>33</v>
      </c>
      <c r="G1028" s="411">
        <v>9.3554893606529646E-2</v>
      </c>
      <c r="H1028" s="411">
        <f t="shared" si="336"/>
        <v>9.3554893606529646E-2</v>
      </c>
      <c r="I1028" s="411" t="str">
        <f t="shared" si="337"/>
        <v/>
      </c>
      <c r="J1028" s="411" t="str">
        <f t="shared" si="338"/>
        <v/>
      </c>
      <c r="K1028" s="411" t="str">
        <f t="shared" si="339"/>
        <v/>
      </c>
      <c r="L1028" s="411">
        <f t="shared" si="330"/>
        <v>1</v>
      </c>
      <c r="M1028" s="409">
        <v>1</v>
      </c>
      <c r="N1028" s="409"/>
      <c r="O1028" s="409"/>
      <c r="P1028" s="409"/>
      <c r="Q1028" s="382"/>
      <c r="R1028" s="385" t="str">
        <f t="shared" si="335"/>
        <v>T</v>
      </c>
      <c r="S1028" s="389"/>
      <c r="T1028" s="389"/>
      <c r="U1028" s="389"/>
      <c r="V1028" s="389"/>
      <c r="W1028" s="389"/>
      <c r="X1028" s="389"/>
      <c r="Y1028" s="389"/>
      <c r="Z1028" s="389"/>
      <c r="AA1028" s="389"/>
      <c r="AB1028" s="389"/>
      <c r="AC1028" s="389"/>
      <c r="AD1028" s="389"/>
      <c r="AE1028" s="389"/>
      <c r="AF1028" s="389"/>
      <c r="AG1028" s="383"/>
      <c r="AH1028" s="383"/>
      <c r="AI1028" s="383"/>
      <c r="AJ1028" s="383"/>
      <c r="AK1028" s="383"/>
    </row>
    <row r="1029" spans="1:37" s="413" customFormat="1" hidden="1" outlineLevel="4">
      <c r="A1029" s="382"/>
      <c r="B1029" s="382" t="s">
        <v>486</v>
      </c>
      <c r="C1029" s="397" t="s">
        <v>136</v>
      </c>
      <c r="D1029" s="382" t="s">
        <v>64</v>
      </c>
      <c r="E1029" s="383" t="s">
        <v>29</v>
      </c>
      <c r="F1029" s="440" t="s">
        <v>34</v>
      </c>
      <c r="G1029" s="411">
        <v>3.1184964535509885E-2</v>
      </c>
      <c r="H1029" s="411" t="str">
        <f t="shared" si="336"/>
        <v/>
      </c>
      <c r="I1029" s="411">
        <f t="shared" si="337"/>
        <v>3.1184964535509885E-2</v>
      </c>
      <c r="J1029" s="411" t="str">
        <f t="shared" si="338"/>
        <v/>
      </c>
      <c r="K1029" s="411" t="str">
        <f t="shared" si="339"/>
        <v/>
      </c>
      <c r="L1029" s="411">
        <f t="shared" si="330"/>
        <v>1</v>
      </c>
      <c r="M1029" s="409"/>
      <c r="N1029" s="409">
        <v>1</v>
      </c>
      <c r="O1029" s="409"/>
      <c r="P1029" s="409"/>
      <c r="Q1029" s="382"/>
      <c r="R1029" s="385" t="str">
        <f t="shared" si="335"/>
        <v>T</v>
      </c>
      <c r="S1029" s="389"/>
      <c r="T1029" s="389"/>
      <c r="U1029" s="389"/>
      <c r="V1029" s="389"/>
      <c r="W1029" s="389"/>
      <c r="X1029" s="389"/>
      <c r="Y1029" s="389"/>
      <c r="Z1029" s="389"/>
      <c r="AA1029" s="389"/>
      <c r="AB1029" s="389"/>
      <c r="AC1029" s="389"/>
      <c r="AD1029" s="389"/>
      <c r="AE1029" s="389"/>
      <c r="AF1029" s="389"/>
      <c r="AG1029" s="383"/>
      <c r="AH1029" s="383"/>
      <c r="AI1029" s="383"/>
      <c r="AJ1029" s="383"/>
      <c r="AK1029" s="383"/>
    </row>
    <row r="1030" spans="1:37" s="413" customFormat="1" hidden="1" outlineLevel="4">
      <c r="A1030" s="382"/>
      <c r="B1030" s="382" t="s">
        <v>486</v>
      </c>
      <c r="C1030" s="397" t="s">
        <v>136</v>
      </c>
      <c r="D1030" s="382" t="s">
        <v>64</v>
      </c>
      <c r="E1030" s="383" t="s">
        <v>29</v>
      </c>
      <c r="F1030" s="440" t="s">
        <v>471</v>
      </c>
      <c r="G1030" s="411">
        <v>3.1184964535509885E-2</v>
      </c>
      <c r="H1030" s="411" t="str">
        <f t="shared" si="336"/>
        <v/>
      </c>
      <c r="I1030" s="411" t="str">
        <f t="shared" si="337"/>
        <v/>
      </c>
      <c r="J1030" s="411">
        <f t="shared" si="338"/>
        <v>3.1184964535509885E-2</v>
      </c>
      <c r="K1030" s="411" t="str">
        <f t="shared" si="339"/>
        <v/>
      </c>
      <c r="L1030" s="411">
        <f t="shared" si="330"/>
        <v>1</v>
      </c>
      <c r="M1030" s="409"/>
      <c r="N1030" s="409"/>
      <c r="O1030" s="409">
        <v>1</v>
      </c>
      <c r="P1030" s="409"/>
      <c r="Q1030" s="382"/>
      <c r="R1030" s="385" t="str">
        <f t="shared" si="335"/>
        <v>T</v>
      </c>
      <c r="S1030" s="389"/>
      <c r="T1030" s="389"/>
      <c r="U1030" s="389"/>
      <c r="V1030" s="389"/>
      <c r="W1030" s="389"/>
      <c r="X1030" s="389"/>
      <c r="Y1030" s="389"/>
      <c r="Z1030" s="389"/>
      <c r="AA1030" s="389"/>
      <c r="AB1030" s="389"/>
      <c r="AC1030" s="389"/>
      <c r="AD1030" s="389"/>
      <c r="AE1030" s="389"/>
      <c r="AF1030" s="389"/>
      <c r="AG1030" s="383"/>
      <c r="AH1030" s="383"/>
      <c r="AI1030" s="383"/>
      <c r="AJ1030" s="383"/>
      <c r="AK1030" s="383"/>
    </row>
    <row r="1031" spans="1:37" s="413" customFormat="1" hidden="1" outlineLevel="4">
      <c r="A1031" s="382"/>
      <c r="B1031" s="382" t="s">
        <v>486</v>
      </c>
      <c r="C1031" s="397" t="s">
        <v>136</v>
      </c>
      <c r="D1031" s="382" t="s">
        <v>64</v>
      </c>
      <c r="E1031" s="383" t="s">
        <v>29</v>
      </c>
      <c r="F1031" s="440" t="s">
        <v>335</v>
      </c>
      <c r="G1031" s="411">
        <v>3.1184964535509885E-2</v>
      </c>
      <c r="H1031" s="411" t="str">
        <f t="shared" si="336"/>
        <v/>
      </c>
      <c r="I1031" s="411">
        <f t="shared" si="337"/>
        <v>3.1184964535509885E-2</v>
      </c>
      <c r="J1031" s="411" t="str">
        <f t="shared" si="338"/>
        <v/>
      </c>
      <c r="K1031" s="411" t="str">
        <f t="shared" si="339"/>
        <v/>
      </c>
      <c r="L1031" s="411">
        <f t="shared" si="330"/>
        <v>1</v>
      </c>
      <c r="M1031" s="409"/>
      <c r="N1031" s="409">
        <v>1</v>
      </c>
      <c r="O1031" s="409"/>
      <c r="P1031" s="409"/>
      <c r="Q1031" s="382"/>
      <c r="R1031" s="385" t="str">
        <f t="shared" si="335"/>
        <v>T</v>
      </c>
      <c r="S1031" s="389"/>
      <c r="T1031" s="389"/>
      <c r="U1031" s="389"/>
      <c r="V1031" s="389"/>
      <c r="W1031" s="389"/>
      <c r="X1031" s="389"/>
      <c r="Y1031" s="389"/>
      <c r="Z1031" s="389"/>
      <c r="AA1031" s="389"/>
      <c r="AB1031" s="389"/>
      <c r="AC1031" s="389"/>
      <c r="AD1031" s="389"/>
      <c r="AE1031" s="389"/>
      <c r="AF1031" s="389"/>
      <c r="AG1031" s="383"/>
      <c r="AH1031" s="383"/>
      <c r="AI1031" s="383"/>
      <c r="AJ1031" s="383"/>
      <c r="AK1031" s="383"/>
    </row>
    <row r="1032" spans="1:37" s="413" customFormat="1" hidden="1" outlineLevel="4">
      <c r="A1032" s="382"/>
      <c r="B1032" s="382" t="s">
        <v>486</v>
      </c>
      <c r="C1032" s="397" t="s">
        <v>136</v>
      </c>
      <c r="D1032" s="382" t="s">
        <v>64</v>
      </c>
      <c r="E1032" s="383" t="s">
        <v>29</v>
      </c>
      <c r="F1032" s="440" t="s">
        <v>458</v>
      </c>
      <c r="G1032" s="411">
        <v>2.8243467496084258E-2</v>
      </c>
      <c r="H1032" s="411" t="str">
        <f t="shared" si="336"/>
        <v/>
      </c>
      <c r="I1032" s="411" t="str">
        <f t="shared" si="337"/>
        <v/>
      </c>
      <c r="J1032" s="411">
        <f t="shared" si="338"/>
        <v>2.8243467496084258E-2</v>
      </c>
      <c r="K1032" s="411" t="str">
        <f t="shared" si="339"/>
        <v/>
      </c>
      <c r="L1032" s="411">
        <f t="shared" si="330"/>
        <v>1</v>
      </c>
      <c r="M1032" s="409"/>
      <c r="N1032" s="409"/>
      <c r="O1032" s="409">
        <v>1</v>
      </c>
      <c r="P1032" s="409"/>
      <c r="Q1032" s="382"/>
      <c r="R1032" s="385" t="str">
        <f t="shared" si="335"/>
        <v>T</v>
      </c>
      <c r="S1032" s="389"/>
      <c r="T1032" s="389"/>
      <c r="U1032" s="389"/>
      <c r="V1032" s="389"/>
      <c r="W1032" s="389"/>
      <c r="X1032" s="389"/>
      <c r="Y1032" s="389"/>
      <c r="Z1032" s="389"/>
      <c r="AA1032" s="389"/>
      <c r="AB1032" s="389"/>
      <c r="AC1032" s="389"/>
      <c r="AD1032" s="389"/>
      <c r="AE1032" s="389"/>
      <c r="AF1032" s="389"/>
      <c r="AG1032" s="383"/>
      <c r="AH1032" s="383"/>
      <c r="AI1032" s="383"/>
      <c r="AJ1032" s="383"/>
      <c r="AK1032" s="383"/>
    </row>
    <row r="1033" spans="1:37" s="413" customFormat="1" hidden="1" outlineLevel="4">
      <c r="A1033" s="382"/>
      <c r="B1033" s="382" t="s">
        <v>486</v>
      </c>
      <c r="C1033" s="397" t="s">
        <v>136</v>
      </c>
      <c r="D1033" s="382" t="s">
        <v>64</v>
      </c>
      <c r="E1033" s="383" t="s">
        <v>29</v>
      </c>
      <c r="F1033" s="440" t="s">
        <v>459</v>
      </c>
      <c r="G1033" s="411">
        <v>2.8243467496084258E-2</v>
      </c>
      <c r="H1033" s="411" t="str">
        <f t="shared" si="336"/>
        <v/>
      </c>
      <c r="I1033" s="411" t="str">
        <f t="shared" si="337"/>
        <v/>
      </c>
      <c r="J1033" s="411" t="str">
        <f t="shared" si="338"/>
        <v/>
      </c>
      <c r="K1033" s="411">
        <f t="shared" si="339"/>
        <v>2.8243467496084258E-2</v>
      </c>
      <c r="L1033" s="411">
        <f t="shared" si="330"/>
        <v>1</v>
      </c>
      <c r="M1033" s="409"/>
      <c r="N1033" s="409"/>
      <c r="O1033" s="409"/>
      <c r="P1033" s="409">
        <v>1</v>
      </c>
      <c r="Q1033" s="382"/>
      <c r="R1033" s="385" t="str">
        <f t="shared" si="335"/>
        <v>T</v>
      </c>
      <c r="S1033" s="389"/>
      <c r="T1033" s="389"/>
      <c r="U1033" s="389"/>
      <c r="V1033" s="389"/>
      <c r="W1033" s="389"/>
      <c r="X1033" s="389"/>
      <c r="Y1033" s="389"/>
      <c r="Z1033" s="389"/>
      <c r="AA1033" s="389"/>
      <c r="AB1033" s="389"/>
      <c r="AC1033" s="389"/>
      <c r="AD1033" s="389"/>
      <c r="AE1033" s="389"/>
      <c r="AF1033" s="389"/>
      <c r="AG1033" s="383"/>
      <c r="AH1033" s="383"/>
      <c r="AI1033" s="383"/>
      <c r="AJ1033" s="383"/>
      <c r="AK1033" s="383"/>
    </row>
    <row r="1034" spans="1:37" s="413" customFormat="1" hidden="1" outlineLevel="4">
      <c r="A1034" s="382"/>
      <c r="B1034" s="382" t="s">
        <v>486</v>
      </c>
      <c r="C1034" s="397" t="s">
        <v>136</v>
      </c>
      <c r="D1034" s="382" t="s">
        <v>64</v>
      </c>
      <c r="E1034" s="383" t="s">
        <v>29</v>
      </c>
      <c r="F1034" s="440" t="s">
        <v>473</v>
      </c>
      <c r="G1034" s="411">
        <v>2.8243467496084258E-2</v>
      </c>
      <c r="H1034" s="411" t="str">
        <f t="shared" si="336"/>
        <v/>
      </c>
      <c r="I1034" s="411" t="str">
        <f t="shared" si="337"/>
        <v/>
      </c>
      <c r="J1034" s="411" t="str">
        <f t="shared" si="338"/>
        <v/>
      </c>
      <c r="K1034" s="411">
        <f t="shared" si="339"/>
        <v>2.8243467496084258E-2</v>
      </c>
      <c r="L1034" s="411">
        <f t="shared" si="330"/>
        <v>1</v>
      </c>
      <c r="M1034" s="409"/>
      <c r="N1034" s="409"/>
      <c r="O1034" s="409"/>
      <c r="P1034" s="409">
        <v>1</v>
      </c>
      <c r="Q1034" s="382"/>
      <c r="R1034" s="385" t="str">
        <f t="shared" si="335"/>
        <v>T</v>
      </c>
      <c r="S1034" s="389"/>
      <c r="T1034" s="389"/>
      <c r="U1034" s="389"/>
      <c r="V1034" s="389"/>
      <c r="W1034" s="389"/>
      <c r="X1034" s="389"/>
      <c r="Y1034" s="389"/>
      <c r="Z1034" s="389"/>
      <c r="AA1034" s="389"/>
      <c r="AB1034" s="389"/>
      <c r="AC1034" s="389"/>
      <c r="AD1034" s="389"/>
      <c r="AE1034" s="389"/>
      <c r="AF1034" s="389"/>
      <c r="AG1034" s="383"/>
      <c r="AH1034" s="383"/>
      <c r="AI1034" s="383"/>
      <c r="AJ1034" s="383"/>
      <c r="AK1034" s="383"/>
    </row>
    <row r="1035" spans="1:37" s="413" customFormat="1" hidden="1" outlineLevel="4">
      <c r="A1035" s="382"/>
      <c r="B1035" s="382" t="s">
        <v>486</v>
      </c>
      <c r="C1035" s="397" t="s">
        <v>136</v>
      </c>
      <c r="D1035" s="382" t="s">
        <v>64</v>
      </c>
      <c r="E1035" s="383" t="s">
        <v>29</v>
      </c>
      <c r="F1035" s="440" t="s">
        <v>460</v>
      </c>
      <c r="G1035" s="411">
        <v>2.8243467496084258E-2</v>
      </c>
      <c r="H1035" s="411" t="str">
        <f t="shared" si="336"/>
        <v/>
      </c>
      <c r="I1035" s="411" t="str">
        <f t="shared" si="337"/>
        <v/>
      </c>
      <c r="J1035" s="411">
        <f t="shared" si="338"/>
        <v>2.8243467496084258E-2</v>
      </c>
      <c r="K1035" s="411" t="str">
        <f t="shared" si="339"/>
        <v/>
      </c>
      <c r="L1035" s="411">
        <f t="shared" si="330"/>
        <v>1</v>
      </c>
      <c r="M1035" s="409"/>
      <c r="N1035" s="409"/>
      <c r="O1035" s="409">
        <v>1</v>
      </c>
      <c r="P1035" s="409"/>
      <c r="Q1035" s="382"/>
      <c r="R1035" s="385" t="str">
        <f t="shared" si="335"/>
        <v>T</v>
      </c>
      <c r="S1035" s="389"/>
      <c r="T1035" s="389"/>
      <c r="U1035" s="389"/>
      <c r="V1035" s="389"/>
      <c r="W1035" s="389"/>
      <c r="X1035" s="389"/>
      <c r="Y1035" s="389"/>
      <c r="Z1035" s="389"/>
      <c r="AA1035" s="389"/>
      <c r="AB1035" s="389"/>
      <c r="AC1035" s="389"/>
      <c r="AD1035" s="389"/>
      <c r="AE1035" s="389"/>
      <c r="AF1035" s="389"/>
      <c r="AG1035" s="383"/>
      <c r="AH1035" s="383"/>
      <c r="AI1035" s="383"/>
      <c r="AJ1035" s="383"/>
      <c r="AK1035" s="383"/>
    </row>
    <row r="1036" spans="1:37" outlineLevel="1" collapsed="1">
      <c r="A1036" s="382"/>
      <c r="B1036" s="396" t="s">
        <v>490</v>
      </c>
      <c r="C1036" s="396" t="s">
        <v>136</v>
      </c>
      <c r="D1036" s="403" t="s">
        <v>13</v>
      </c>
      <c r="E1036" s="395"/>
      <c r="F1036" s="442" t="s">
        <v>487</v>
      </c>
      <c r="G1036" s="428">
        <f>G1037+G1054+G1063+G1081+G1100</f>
        <v>7.7033587834057364</v>
      </c>
      <c r="H1036" s="422">
        <f>H1037+H1054+H1063+H1081+H1100</f>
        <v>3.4256928234375006</v>
      </c>
      <c r="I1036" s="422">
        <f>I1037+I1054+I1063+I1081+I1100</f>
        <v>1.9176736747707002</v>
      </c>
      <c r="J1036" s="422">
        <f>J1037+J1054+J1063+J1081+J1100</f>
        <v>0.94477648869450004</v>
      </c>
      <c r="K1036" s="539">
        <f>K1037+K1054+K1063+K1081+K1100</f>
        <v>1.4152157965030363</v>
      </c>
      <c r="L1036" s="428">
        <f t="shared" si="330"/>
        <v>77</v>
      </c>
      <c r="M1036" s="423">
        <f>M1037+M1054+M1063+M1081+M1100</f>
        <v>21</v>
      </c>
      <c r="N1036" s="423">
        <f>N1037+N1054+N1063+N1081+N1100</f>
        <v>13</v>
      </c>
      <c r="O1036" s="423">
        <f>O1037+O1054+O1063+O1081+O1100</f>
        <v>14</v>
      </c>
      <c r="P1036" s="461">
        <f>P1037+P1054+P1063+P1081+P1100</f>
        <v>29</v>
      </c>
      <c r="Q1036" s="382"/>
      <c r="R1036" s="385" t="str">
        <f t="shared" si="335"/>
        <v>T</v>
      </c>
      <c r="S1036" s="389" t="s">
        <v>491</v>
      </c>
      <c r="T1036" s="389"/>
      <c r="U1036" s="389"/>
      <c r="V1036" s="389"/>
      <c r="W1036" s="389"/>
      <c r="X1036" s="389"/>
      <c r="Y1036" s="389"/>
      <c r="Z1036" s="389"/>
      <c r="AA1036" s="389"/>
      <c r="AB1036" s="389"/>
      <c r="AC1036" s="389"/>
      <c r="AD1036" s="389"/>
      <c r="AE1036" s="389"/>
      <c r="AF1036" s="389"/>
    </row>
    <row r="1037" spans="1:37" s="413" customFormat="1" hidden="1" outlineLevel="2" collapsed="1">
      <c r="A1037" s="382"/>
      <c r="B1037" s="382" t="s">
        <v>490</v>
      </c>
      <c r="C1037" s="397" t="s">
        <v>136</v>
      </c>
      <c r="D1037" s="382" t="s">
        <v>202</v>
      </c>
      <c r="E1037" s="382"/>
      <c r="F1037" s="440" t="s">
        <v>489</v>
      </c>
      <c r="G1037" s="411">
        <f>SUM(G1038:G1053)</f>
        <v>5.0142424562999999</v>
      </c>
      <c r="H1037" s="411">
        <f>SUM(H1038:H1053)</f>
        <v>2.4260957513100001</v>
      </c>
      <c r="I1037" s="411">
        <f>SUM(I1038:I1053)</f>
        <v>1.3766737792500003</v>
      </c>
      <c r="J1037" s="411">
        <f>SUM(J1038:J1053)</f>
        <v>0.49560256052999996</v>
      </c>
      <c r="K1037" s="411">
        <f>SUM(K1038:K1053)</f>
        <v>0.71587036521000003</v>
      </c>
      <c r="L1037" s="411">
        <f t="shared" si="330"/>
        <v>16</v>
      </c>
      <c r="M1037" s="409">
        <f>SUM(M1038:M1053)</f>
        <v>6</v>
      </c>
      <c r="N1037" s="409">
        <f>SUM(N1038:N1053)</f>
        <v>3</v>
      </c>
      <c r="O1037" s="409">
        <f>SUM(O1038:O1053)</f>
        <v>3</v>
      </c>
      <c r="P1037" s="409">
        <f>SUM(P1038:P1053)</f>
        <v>4</v>
      </c>
      <c r="Q1037" s="382"/>
      <c r="R1037" s="385" t="str">
        <f t="shared" si="335"/>
        <v>T</v>
      </c>
      <c r="S1037" s="389"/>
      <c r="T1037" s="389"/>
      <c r="U1037" s="389"/>
      <c r="V1037" s="389"/>
      <c r="W1037" s="389"/>
      <c r="X1037" s="389"/>
      <c r="Y1037" s="389"/>
      <c r="Z1037" s="389"/>
      <c r="AA1037" s="389"/>
      <c r="AB1037" s="389"/>
      <c r="AC1037" s="389"/>
      <c r="AD1037" s="389"/>
      <c r="AE1037" s="389"/>
      <c r="AF1037" s="389"/>
      <c r="AG1037" s="383"/>
      <c r="AH1037" s="383"/>
      <c r="AI1037" s="383"/>
      <c r="AJ1037" s="383"/>
      <c r="AK1037" s="383"/>
    </row>
    <row r="1038" spans="1:37" s="516" customFormat="1" hidden="1" outlineLevel="3">
      <c r="A1038" s="382"/>
      <c r="B1038" s="382" t="s">
        <v>490</v>
      </c>
      <c r="C1038" s="397" t="s">
        <v>136</v>
      </c>
      <c r="D1038" s="382" t="s">
        <v>202</v>
      </c>
      <c r="E1038" s="382" t="s">
        <v>29</v>
      </c>
      <c r="F1038" s="440" t="s">
        <v>492</v>
      </c>
      <c r="G1038" s="411">
        <v>0.55066951170000011</v>
      </c>
      <c r="H1038" s="411">
        <f t="shared" ref="H1038:H1048" si="340">IF(M1038=1,$G1038,"")</f>
        <v>0.55066951170000011</v>
      </c>
      <c r="I1038" s="411" t="str">
        <f t="shared" ref="I1038:I1048" si="341">IF(N1038=1,$G1038,"")</f>
        <v/>
      </c>
      <c r="J1038" s="411" t="str">
        <f t="shared" ref="J1038:J1048" si="342">IF(O1038=1,$G1038,"")</f>
        <v/>
      </c>
      <c r="K1038" s="411" t="str">
        <f t="shared" ref="K1038:K1048" si="343">IF(P1038=1,$G1038,"")</f>
        <v/>
      </c>
      <c r="L1038" s="411">
        <f>SUM(M1038:P1038)</f>
        <v>1</v>
      </c>
      <c r="M1038" s="409">
        <v>1</v>
      </c>
      <c r="N1038" s="409"/>
      <c r="O1038" s="409"/>
      <c r="P1038" s="409"/>
      <c r="Q1038" s="382"/>
      <c r="R1038" s="385" t="str">
        <f>IF(SUM(M1038:P1038)=L1038,"T","F")</f>
        <v>T</v>
      </c>
      <c r="S1038" s="389"/>
      <c r="T1038" s="389"/>
      <c r="U1038" s="389"/>
      <c r="V1038" s="389"/>
      <c r="W1038" s="389"/>
      <c r="X1038" s="389"/>
      <c r="Y1038" s="389"/>
      <c r="Z1038" s="389"/>
      <c r="AA1038" s="389"/>
      <c r="AB1038" s="389"/>
      <c r="AC1038" s="389"/>
      <c r="AD1038" s="389"/>
      <c r="AE1038" s="389"/>
      <c r="AF1038" s="389"/>
      <c r="AG1038" s="383"/>
      <c r="AH1038" s="383"/>
      <c r="AI1038" s="383"/>
      <c r="AJ1038" s="383"/>
      <c r="AK1038" s="383"/>
    </row>
    <row r="1039" spans="1:37" s="516" customFormat="1" hidden="1" outlineLevel="3">
      <c r="A1039" s="382"/>
      <c r="B1039" s="382" t="s">
        <v>490</v>
      </c>
      <c r="C1039" s="397" t="s">
        <v>136</v>
      </c>
      <c r="D1039" s="382" t="s">
        <v>202</v>
      </c>
      <c r="E1039" s="382" t="s">
        <v>29</v>
      </c>
      <c r="F1039" s="440" t="s">
        <v>493</v>
      </c>
      <c r="G1039" s="411">
        <v>0.55066951170000011</v>
      </c>
      <c r="H1039" s="411">
        <f t="shared" si="340"/>
        <v>0.55066951170000011</v>
      </c>
      <c r="I1039" s="411" t="str">
        <f t="shared" si="341"/>
        <v/>
      </c>
      <c r="J1039" s="411" t="str">
        <f t="shared" si="342"/>
        <v/>
      </c>
      <c r="K1039" s="411" t="str">
        <f t="shared" si="343"/>
        <v/>
      </c>
      <c r="L1039" s="411">
        <f>SUM(M1039:P1039)</f>
        <v>1</v>
      </c>
      <c r="M1039" s="409">
        <v>1</v>
      </c>
      <c r="N1039" s="409"/>
      <c r="O1039" s="409"/>
      <c r="P1039" s="409"/>
      <c r="Q1039" s="382"/>
      <c r="R1039" s="385" t="str">
        <f>IF(SUM(M1039:P1039)=L1039,"T","F")</f>
        <v>T</v>
      </c>
      <c r="S1039" s="389"/>
      <c r="T1039" s="389"/>
      <c r="U1039" s="389"/>
      <c r="V1039" s="389"/>
      <c r="W1039" s="389"/>
      <c r="X1039" s="389"/>
      <c r="Y1039" s="389"/>
      <c r="Z1039" s="389"/>
      <c r="AA1039" s="389"/>
      <c r="AB1039" s="389"/>
      <c r="AC1039" s="389"/>
      <c r="AD1039" s="389"/>
      <c r="AE1039" s="389"/>
      <c r="AF1039" s="389"/>
      <c r="AG1039" s="383"/>
      <c r="AH1039" s="383"/>
      <c r="AI1039" s="383"/>
      <c r="AJ1039" s="383"/>
      <c r="AK1039" s="383"/>
    </row>
    <row r="1040" spans="1:37" hidden="1" outlineLevel="3">
      <c r="A1040" s="382"/>
      <c r="B1040" s="382" t="s">
        <v>490</v>
      </c>
      <c r="C1040" s="397" t="s">
        <v>136</v>
      </c>
      <c r="D1040" s="382" t="s">
        <v>202</v>
      </c>
      <c r="E1040" s="382" t="s">
        <v>29</v>
      </c>
      <c r="F1040" s="440" t="s">
        <v>34</v>
      </c>
      <c r="G1040" s="411">
        <v>0.55066951170000011</v>
      </c>
      <c r="H1040" s="411">
        <f t="shared" si="340"/>
        <v>0.55066951170000011</v>
      </c>
      <c r="I1040" s="411" t="str">
        <f t="shared" si="341"/>
        <v/>
      </c>
      <c r="J1040" s="411" t="str">
        <f t="shared" si="342"/>
        <v/>
      </c>
      <c r="K1040" s="411" t="str">
        <f t="shared" si="343"/>
        <v/>
      </c>
      <c r="L1040" s="411">
        <f t="shared" ref="L1040:L1047" si="344">SUM(M1040:P1040)</f>
        <v>1</v>
      </c>
      <c r="M1040" s="409">
        <v>1</v>
      </c>
      <c r="N1040" s="409"/>
      <c r="O1040" s="409"/>
      <c r="P1040" s="409"/>
      <c r="Q1040" s="382"/>
      <c r="R1040" s="385" t="str">
        <f t="shared" si="335"/>
        <v>T</v>
      </c>
      <c r="S1040" s="389"/>
      <c r="T1040" s="389"/>
      <c r="U1040" s="389"/>
      <c r="V1040" s="389"/>
      <c r="W1040" s="389"/>
      <c r="X1040" s="389"/>
      <c r="Y1040" s="389"/>
      <c r="Z1040" s="389"/>
      <c r="AA1040" s="389"/>
      <c r="AB1040" s="389"/>
      <c r="AC1040" s="389"/>
      <c r="AD1040" s="389"/>
      <c r="AE1040" s="389"/>
      <c r="AF1040" s="389"/>
    </row>
    <row r="1041" spans="1:37" hidden="1" outlineLevel="3">
      <c r="A1041" s="382"/>
      <c r="B1041" s="382" t="s">
        <v>490</v>
      </c>
      <c r="C1041" s="397" t="s">
        <v>136</v>
      </c>
      <c r="D1041" s="382" t="s">
        <v>202</v>
      </c>
      <c r="E1041" s="382" t="s">
        <v>29</v>
      </c>
      <c r="F1041" s="440" t="s">
        <v>471</v>
      </c>
      <c r="G1041" s="411">
        <v>0.30444318135000004</v>
      </c>
      <c r="H1041" s="411">
        <f t="shared" si="340"/>
        <v>0.30444318135000004</v>
      </c>
      <c r="I1041" s="411" t="str">
        <f t="shared" si="341"/>
        <v/>
      </c>
      <c r="J1041" s="411" t="str">
        <f t="shared" si="342"/>
        <v/>
      </c>
      <c r="K1041" s="411" t="str">
        <f t="shared" si="343"/>
        <v/>
      </c>
      <c r="L1041" s="411">
        <f t="shared" si="344"/>
        <v>1</v>
      </c>
      <c r="M1041" s="409">
        <v>1</v>
      </c>
      <c r="N1041" s="409"/>
      <c r="O1041" s="409"/>
      <c r="P1041" s="409"/>
      <c r="Q1041" s="382"/>
      <c r="R1041" s="385" t="str">
        <f t="shared" si="335"/>
        <v>T</v>
      </c>
      <c r="S1041" s="389"/>
      <c r="T1041" s="389"/>
      <c r="U1041" s="389"/>
      <c r="V1041" s="389"/>
      <c r="W1041" s="389"/>
      <c r="X1041" s="389"/>
      <c r="Y1041" s="389"/>
      <c r="Z1041" s="389"/>
      <c r="AA1041" s="389"/>
      <c r="AB1041" s="389"/>
      <c r="AC1041" s="389"/>
      <c r="AD1041" s="389"/>
      <c r="AE1041" s="389"/>
      <c r="AF1041" s="389"/>
    </row>
    <row r="1042" spans="1:37" hidden="1" outlineLevel="3">
      <c r="A1042" s="382"/>
      <c r="B1042" s="382" t="s">
        <v>490</v>
      </c>
      <c r="C1042" s="397" t="s">
        <v>136</v>
      </c>
      <c r="D1042" s="382" t="s">
        <v>202</v>
      </c>
      <c r="E1042" s="382" t="s">
        <v>29</v>
      </c>
      <c r="F1042" s="440" t="s">
        <v>335</v>
      </c>
      <c r="G1042" s="411">
        <v>0.30444318135000004</v>
      </c>
      <c r="H1042" s="411">
        <f t="shared" si="340"/>
        <v>0.30444318135000004</v>
      </c>
      <c r="I1042" s="411" t="str">
        <f t="shared" si="341"/>
        <v/>
      </c>
      <c r="J1042" s="411" t="str">
        <f t="shared" si="342"/>
        <v/>
      </c>
      <c r="K1042" s="411" t="str">
        <f t="shared" si="343"/>
        <v/>
      </c>
      <c r="L1042" s="411">
        <f t="shared" si="344"/>
        <v>1</v>
      </c>
      <c r="M1042" s="409">
        <v>1</v>
      </c>
      <c r="N1042" s="409"/>
      <c r="O1042" s="409"/>
      <c r="P1042" s="409"/>
      <c r="Q1042" s="382"/>
      <c r="R1042" s="385" t="str">
        <f t="shared" si="335"/>
        <v>T</v>
      </c>
      <c r="S1042" s="389"/>
      <c r="T1042" s="389"/>
      <c r="U1042" s="389"/>
      <c r="V1042" s="389"/>
      <c r="W1042" s="389"/>
      <c r="X1042" s="389"/>
      <c r="Y1042" s="389"/>
      <c r="Z1042" s="389"/>
      <c r="AA1042" s="389"/>
      <c r="AB1042" s="389"/>
      <c r="AC1042" s="389"/>
      <c r="AD1042" s="389"/>
      <c r="AE1042" s="389"/>
      <c r="AF1042" s="389"/>
    </row>
    <row r="1043" spans="1:37" hidden="1" outlineLevel="3">
      <c r="A1043" s="382"/>
      <c r="B1043" s="382" t="s">
        <v>490</v>
      </c>
      <c r="C1043" s="397" t="s">
        <v>136</v>
      </c>
      <c r="D1043" s="382" t="s">
        <v>202</v>
      </c>
      <c r="E1043" s="382" t="s">
        <v>29</v>
      </c>
      <c r="F1043" s="440" t="s">
        <v>457</v>
      </c>
      <c r="G1043" s="411">
        <v>0.55066951170000011</v>
      </c>
      <c r="H1043" s="411" t="str">
        <f t="shared" si="340"/>
        <v/>
      </c>
      <c r="I1043" s="411">
        <f t="shared" si="341"/>
        <v>0.55066951170000011</v>
      </c>
      <c r="J1043" s="411" t="str">
        <f t="shared" si="342"/>
        <v/>
      </c>
      <c r="K1043" s="411" t="str">
        <f t="shared" si="343"/>
        <v/>
      </c>
      <c r="L1043" s="411">
        <f t="shared" si="344"/>
        <v>1</v>
      </c>
      <c r="M1043" s="409"/>
      <c r="N1043" s="409">
        <v>1</v>
      </c>
      <c r="O1043" s="409"/>
      <c r="P1043" s="409"/>
      <c r="Q1043" s="382"/>
      <c r="R1043" s="385" t="str">
        <f t="shared" si="335"/>
        <v>T</v>
      </c>
      <c r="S1043" s="389"/>
      <c r="T1043" s="389"/>
      <c r="U1043" s="389"/>
      <c r="V1043" s="389"/>
      <c r="W1043" s="389"/>
      <c r="X1043" s="389"/>
      <c r="Y1043" s="389"/>
      <c r="Z1043" s="389"/>
      <c r="AA1043" s="389"/>
      <c r="AB1043" s="389"/>
      <c r="AC1043" s="389"/>
      <c r="AD1043" s="389"/>
      <c r="AE1043" s="389"/>
      <c r="AF1043" s="389"/>
    </row>
    <row r="1044" spans="1:37" hidden="1" outlineLevel="3">
      <c r="A1044" s="382"/>
      <c r="B1044" s="382" t="s">
        <v>490</v>
      </c>
      <c r="C1044" s="397" t="s">
        <v>136</v>
      </c>
      <c r="D1044" s="382" t="s">
        <v>202</v>
      </c>
      <c r="E1044" s="382" t="s">
        <v>29</v>
      </c>
      <c r="F1044" s="440" t="s">
        <v>458</v>
      </c>
      <c r="G1044" s="411">
        <v>0.27533475585000006</v>
      </c>
      <c r="H1044" s="411" t="str">
        <f t="shared" si="340"/>
        <v/>
      </c>
      <c r="I1044" s="411">
        <f t="shared" si="341"/>
        <v>0.27533475585000006</v>
      </c>
      <c r="J1044" s="411" t="str">
        <f t="shared" si="342"/>
        <v/>
      </c>
      <c r="K1044" s="411" t="str">
        <f t="shared" si="343"/>
        <v/>
      </c>
      <c r="L1044" s="411">
        <f t="shared" si="344"/>
        <v>1</v>
      </c>
      <c r="M1044" s="409"/>
      <c r="N1044" s="409">
        <v>1</v>
      </c>
      <c r="O1044" s="409"/>
      <c r="P1044" s="409"/>
      <c r="Q1044" s="382"/>
      <c r="R1044" s="385" t="str">
        <f t="shared" si="335"/>
        <v>T</v>
      </c>
      <c r="S1044" s="389"/>
      <c r="T1044" s="389"/>
      <c r="U1044" s="389"/>
      <c r="V1044" s="389"/>
      <c r="W1044" s="389"/>
      <c r="X1044" s="389"/>
      <c r="Y1044" s="389"/>
      <c r="Z1044" s="389"/>
      <c r="AA1044" s="389"/>
      <c r="AB1044" s="389"/>
      <c r="AC1044" s="389"/>
      <c r="AD1044" s="389"/>
      <c r="AE1044" s="389"/>
      <c r="AF1044" s="389"/>
    </row>
    <row r="1045" spans="1:37" hidden="1" outlineLevel="3">
      <c r="A1045" s="382"/>
      <c r="B1045" s="382" t="s">
        <v>490</v>
      </c>
      <c r="C1045" s="397" t="s">
        <v>136</v>
      </c>
      <c r="D1045" s="382" t="s">
        <v>202</v>
      </c>
      <c r="E1045" s="382" t="s">
        <v>29</v>
      </c>
      <c r="F1045" s="440" t="s">
        <v>459</v>
      </c>
      <c r="G1045" s="411">
        <v>0.55066951170000011</v>
      </c>
      <c r="H1045" s="411" t="str">
        <f t="shared" si="340"/>
        <v/>
      </c>
      <c r="I1045" s="411">
        <f t="shared" si="341"/>
        <v>0.55066951170000011</v>
      </c>
      <c r="J1045" s="411" t="str">
        <f t="shared" si="342"/>
        <v/>
      </c>
      <c r="K1045" s="411" t="str">
        <f t="shared" si="343"/>
        <v/>
      </c>
      <c r="L1045" s="411">
        <f t="shared" si="344"/>
        <v>1</v>
      </c>
      <c r="M1045" s="409"/>
      <c r="N1045" s="409">
        <v>1</v>
      </c>
      <c r="O1045" s="409"/>
      <c r="P1045" s="409"/>
      <c r="Q1045" s="382"/>
      <c r="R1045" s="385" t="str">
        <f>IF(SUM(M1045:P1045)=L1045,"T","F")</f>
        <v>T</v>
      </c>
      <c r="S1045" s="389"/>
      <c r="T1045" s="389"/>
      <c r="U1045" s="389"/>
      <c r="V1045" s="389"/>
      <c r="W1045" s="389"/>
      <c r="X1045" s="389"/>
      <c r="Y1045" s="389"/>
      <c r="Z1045" s="389"/>
      <c r="AA1045" s="389"/>
      <c r="AB1045" s="389"/>
      <c r="AC1045" s="389"/>
      <c r="AD1045" s="389"/>
      <c r="AE1045" s="389"/>
      <c r="AF1045" s="389"/>
    </row>
    <row r="1046" spans="1:37" hidden="1" outlineLevel="3">
      <c r="A1046" s="382"/>
      <c r="B1046" s="382" t="s">
        <v>490</v>
      </c>
      <c r="C1046" s="397" t="s">
        <v>136</v>
      </c>
      <c r="D1046" s="382" t="s">
        <v>202</v>
      </c>
      <c r="E1046" s="382" t="s">
        <v>29</v>
      </c>
      <c r="F1046" s="440" t="s">
        <v>494</v>
      </c>
      <c r="G1046" s="411">
        <v>0.16520085351</v>
      </c>
      <c r="H1046" s="411">
        <f t="shared" si="340"/>
        <v>0.16520085351</v>
      </c>
      <c r="I1046" s="411" t="str">
        <f t="shared" si="341"/>
        <v/>
      </c>
      <c r="J1046" s="411" t="str">
        <f t="shared" si="342"/>
        <v/>
      </c>
      <c r="K1046" s="411" t="str">
        <f t="shared" si="343"/>
        <v/>
      </c>
      <c r="L1046" s="411">
        <f>SUM(M1046:P1046)</f>
        <v>1</v>
      </c>
      <c r="M1046" s="409">
        <v>1</v>
      </c>
      <c r="N1046" s="409"/>
      <c r="O1046" s="409"/>
      <c r="P1046" s="409"/>
      <c r="Q1046" s="382"/>
      <c r="R1046" s="385" t="str">
        <f>IF(SUM(M1046:P1046)=L1046,"T","F")</f>
        <v>T</v>
      </c>
      <c r="S1046" s="389"/>
      <c r="T1046" s="389"/>
      <c r="U1046" s="389"/>
      <c r="V1046" s="389"/>
      <c r="W1046" s="389"/>
      <c r="X1046" s="389"/>
      <c r="Y1046" s="389"/>
      <c r="Z1046" s="389"/>
      <c r="AA1046" s="389"/>
      <c r="AB1046" s="389"/>
      <c r="AC1046" s="389"/>
      <c r="AD1046" s="389"/>
      <c r="AE1046" s="389"/>
      <c r="AF1046" s="389"/>
    </row>
    <row r="1047" spans="1:37" hidden="1" outlineLevel="3">
      <c r="A1047" s="382"/>
      <c r="B1047" s="382" t="s">
        <v>490</v>
      </c>
      <c r="C1047" s="397" t="s">
        <v>136</v>
      </c>
      <c r="D1047" s="382" t="s">
        <v>202</v>
      </c>
      <c r="E1047" s="382" t="s">
        <v>29</v>
      </c>
      <c r="F1047" s="440" t="s">
        <v>461</v>
      </c>
      <c r="G1047" s="411">
        <v>0.16520085351</v>
      </c>
      <c r="H1047" s="411" t="str">
        <f t="shared" si="340"/>
        <v/>
      </c>
      <c r="I1047" s="411" t="str">
        <f t="shared" si="341"/>
        <v/>
      </c>
      <c r="J1047" s="411">
        <f t="shared" si="342"/>
        <v>0.16520085351</v>
      </c>
      <c r="K1047" s="411" t="str">
        <f t="shared" si="343"/>
        <v/>
      </c>
      <c r="L1047" s="411">
        <f t="shared" si="344"/>
        <v>1</v>
      </c>
      <c r="M1047" s="409"/>
      <c r="N1047" s="409"/>
      <c r="O1047" s="409">
        <v>1</v>
      </c>
      <c r="P1047" s="409"/>
      <c r="Q1047" s="382"/>
      <c r="R1047" s="385" t="str">
        <f>IF(SUM(M1047:P1047)=L1047,"T","F")</f>
        <v>T</v>
      </c>
      <c r="S1047" s="389"/>
      <c r="T1047" s="389"/>
      <c r="U1047" s="389"/>
      <c r="V1047" s="389"/>
      <c r="W1047" s="389"/>
      <c r="X1047" s="389"/>
      <c r="Y1047" s="389"/>
      <c r="Z1047" s="389"/>
      <c r="AA1047" s="389"/>
      <c r="AB1047" s="389"/>
      <c r="AC1047" s="389"/>
      <c r="AD1047" s="389"/>
      <c r="AE1047" s="389"/>
      <c r="AF1047" s="389"/>
    </row>
    <row r="1048" spans="1:37" hidden="1" outlineLevel="3">
      <c r="A1048" s="382"/>
      <c r="B1048" s="382" t="s">
        <v>490</v>
      </c>
      <c r="C1048" s="397" t="s">
        <v>136</v>
      </c>
      <c r="D1048" s="382" t="s">
        <v>202</v>
      </c>
      <c r="E1048" s="382" t="s">
        <v>29</v>
      </c>
      <c r="F1048" s="440" t="s">
        <v>462</v>
      </c>
      <c r="G1048" s="411">
        <v>0.16520085351</v>
      </c>
      <c r="H1048" s="411" t="str">
        <f t="shared" si="340"/>
        <v/>
      </c>
      <c r="I1048" s="411" t="str">
        <f t="shared" si="341"/>
        <v/>
      </c>
      <c r="J1048" s="411">
        <f t="shared" si="342"/>
        <v>0.16520085351</v>
      </c>
      <c r="K1048" s="411" t="str">
        <f t="shared" si="343"/>
        <v/>
      </c>
      <c r="L1048" s="411">
        <f>SUM(N1048:P1048)</f>
        <v>1</v>
      </c>
      <c r="N1048" s="409"/>
      <c r="O1048" s="409">
        <v>1</v>
      </c>
      <c r="P1048" s="409"/>
      <c r="Q1048" s="382"/>
      <c r="R1048" s="385" t="str">
        <f>IF(SUM(N1048:P1048)=L1048,"T","F")</f>
        <v>T</v>
      </c>
      <c r="S1048" s="389"/>
      <c r="T1048" s="389"/>
      <c r="U1048" s="389"/>
      <c r="V1048" s="389"/>
      <c r="W1048" s="389"/>
      <c r="X1048" s="389"/>
      <c r="Y1048" s="389"/>
      <c r="Z1048" s="389"/>
      <c r="AA1048" s="389"/>
      <c r="AB1048" s="389"/>
      <c r="AC1048" s="389"/>
      <c r="AD1048" s="389"/>
      <c r="AE1048" s="389"/>
      <c r="AF1048" s="389"/>
    </row>
    <row r="1049" spans="1:37" s="516" customFormat="1" hidden="1" outlineLevel="3">
      <c r="A1049" s="382"/>
      <c r="B1049" s="382" t="s">
        <v>490</v>
      </c>
      <c r="C1049" s="397" t="s">
        <v>136</v>
      </c>
      <c r="D1049" s="382" t="s">
        <v>202</v>
      </c>
      <c r="E1049" s="382" t="s">
        <v>29</v>
      </c>
      <c r="F1049" s="440" t="s">
        <v>463</v>
      </c>
      <c r="G1049" s="411">
        <v>0.16520085351</v>
      </c>
      <c r="H1049" s="411" t="str">
        <f t="shared" ref="H1049:K1053" si="345">IF(M1049=1,$G1049,"")</f>
        <v/>
      </c>
      <c r="I1049" s="411" t="str">
        <f t="shared" si="345"/>
        <v/>
      </c>
      <c r="J1049" s="411">
        <f t="shared" si="345"/>
        <v>0.16520085351</v>
      </c>
      <c r="K1049" s="411" t="str">
        <f t="shared" si="345"/>
        <v/>
      </c>
      <c r="L1049" s="411">
        <f>SUM(M1049:P1049)</f>
        <v>1</v>
      </c>
      <c r="M1049" s="409"/>
      <c r="N1049" s="409"/>
      <c r="O1049" s="409">
        <v>1</v>
      </c>
      <c r="P1049" s="409"/>
      <c r="Q1049" s="382"/>
      <c r="R1049" s="385" t="str">
        <f>IF(SUM(M1049:P1049)=L1049,"T","F")</f>
        <v>T</v>
      </c>
      <c r="S1049" s="389"/>
      <c r="T1049" s="389"/>
      <c r="U1049" s="389"/>
      <c r="V1049" s="389"/>
      <c r="W1049" s="389"/>
      <c r="X1049" s="389"/>
      <c r="Y1049" s="389"/>
      <c r="Z1049" s="389"/>
      <c r="AA1049" s="389"/>
      <c r="AB1049" s="389"/>
      <c r="AC1049" s="389"/>
      <c r="AD1049" s="389"/>
      <c r="AE1049" s="389"/>
      <c r="AF1049" s="389"/>
      <c r="AG1049" s="383"/>
      <c r="AH1049" s="383"/>
      <c r="AI1049" s="383"/>
      <c r="AJ1049" s="383"/>
      <c r="AK1049" s="383"/>
    </row>
    <row r="1050" spans="1:37" s="516" customFormat="1" hidden="1" outlineLevel="3">
      <c r="A1050" s="382"/>
      <c r="B1050" s="382" t="s">
        <v>490</v>
      </c>
      <c r="C1050" s="397" t="s">
        <v>136</v>
      </c>
      <c r="D1050" s="382" t="s">
        <v>202</v>
      </c>
      <c r="E1050" s="382" t="s">
        <v>29</v>
      </c>
      <c r="F1050" s="440" t="s">
        <v>464</v>
      </c>
      <c r="G1050" s="411">
        <v>0.16520085351</v>
      </c>
      <c r="H1050" s="411" t="str">
        <f t="shared" si="345"/>
        <v/>
      </c>
      <c r="I1050" s="411" t="str">
        <f t="shared" si="345"/>
        <v/>
      </c>
      <c r="J1050" s="411" t="str">
        <f t="shared" si="345"/>
        <v/>
      </c>
      <c r="K1050" s="411">
        <f t="shared" si="345"/>
        <v>0.16520085351</v>
      </c>
      <c r="L1050" s="411">
        <f>SUM(M1050:P1050)</f>
        <v>1</v>
      </c>
      <c r="M1050" s="409"/>
      <c r="N1050" s="409"/>
      <c r="O1050" s="409"/>
      <c r="P1050" s="409">
        <v>1</v>
      </c>
      <c r="Q1050" s="382"/>
      <c r="R1050" s="385" t="str">
        <f>IF(SUM(M1050:P1050)=L1050,"T","F")</f>
        <v>T</v>
      </c>
      <c r="S1050" s="389"/>
      <c r="T1050" s="389"/>
      <c r="U1050" s="389"/>
      <c r="V1050" s="389"/>
      <c r="W1050" s="389"/>
      <c r="X1050" s="389"/>
      <c r="Y1050" s="389"/>
      <c r="Z1050" s="389"/>
      <c r="AA1050" s="389"/>
      <c r="AB1050" s="389"/>
      <c r="AC1050" s="389"/>
      <c r="AD1050" s="389"/>
      <c r="AE1050" s="389"/>
      <c r="AF1050" s="389"/>
      <c r="AG1050" s="383"/>
      <c r="AH1050" s="383"/>
      <c r="AI1050" s="383"/>
      <c r="AJ1050" s="383"/>
      <c r="AK1050" s="383"/>
    </row>
    <row r="1051" spans="1:37" s="516" customFormat="1" hidden="1" outlineLevel="3">
      <c r="A1051" s="382"/>
      <c r="B1051" s="382" t="s">
        <v>490</v>
      </c>
      <c r="C1051" s="397" t="s">
        <v>136</v>
      </c>
      <c r="D1051" s="382" t="s">
        <v>202</v>
      </c>
      <c r="E1051" s="382" t="s">
        <v>29</v>
      </c>
      <c r="F1051" s="440" t="s">
        <v>465</v>
      </c>
      <c r="G1051" s="411">
        <v>0.16520085351</v>
      </c>
      <c r="H1051" s="411" t="str">
        <f t="shared" si="345"/>
        <v/>
      </c>
      <c r="I1051" s="411" t="str">
        <f t="shared" si="345"/>
        <v/>
      </c>
      <c r="J1051" s="411" t="str">
        <f t="shared" si="345"/>
        <v/>
      </c>
      <c r="K1051" s="411">
        <f t="shared" si="345"/>
        <v>0.16520085351</v>
      </c>
      <c r="L1051" s="411">
        <f>SUM(M1051:P1051)</f>
        <v>1</v>
      </c>
      <c r="M1051" s="409"/>
      <c r="N1051" s="409"/>
      <c r="O1051" s="409"/>
      <c r="P1051" s="409">
        <v>1</v>
      </c>
      <c r="Q1051" s="382"/>
      <c r="R1051" s="385" t="str">
        <f>IF(SUM(M1051:P1051)=L1051,"T","F")</f>
        <v>T</v>
      </c>
      <c r="S1051" s="389"/>
      <c r="T1051" s="389"/>
      <c r="U1051" s="389"/>
      <c r="V1051" s="389"/>
      <c r="W1051" s="389"/>
      <c r="X1051" s="389"/>
      <c r="Y1051" s="389"/>
      <c r="Z1051" s="389"/>
      <c r="AA1051" s="389"/>
      <c r="AB1051" s="389"/>
      <c r="AC1051" s="389"/>
      <c r="AD1051" s="389"/>
      <c r="AE1051" s="389"/>
      <c r="AF1051" s="389"/>
      <c r="AG1051" s="383"/>
      <c r="AH1051" s="383"/>
      <c r="AI1051" s="383"/>
      <c r="AJ1051" s="383"/>
      <c r="AK1051" s="383"/>
    </row>
    <row r="1052" spans="1:37" s="516" customFormat="1" hidden="1" outlineLevel="3">
      <c r="A1052" s="382"/>
      <c r="B1052" s="382" t="s">
        <v>490</v>
      </c>
      <c r="C1052" s="397" t="s">
        <v>136</v>
      </c>
      <c r="D1052" s="382" t="s">
        <v>202</v>
      </c>
      <c r="E1052" s="382" t="s">
        <v>29</v>
      </c>
      <c r="F1052" s="440" t="s">
        <v>466</v>
      </c>
      <c r="G1052" s="411">
        <v>0.16520085351</v>
      </c>
      <c r="H1052" s="411" t="str">
        <f t="shared" si="345"/>
        <v/>
      </c>
      <c r="I1052" s="411" t="str">
        <f t="shared" si="345"/>
        <v/>
      </c>
      <c r="J1052" s="411" t="str">
        <f t="shared" si="345"/>
        <v/>
      </c>
      <c r="K1052" s="411">
        <f t="shared" si="345"/>
        <v>0.16520085351</v>
      </c>
      <c r="L1052" s="411">
        <f>SUM(M1052:P1052)</f>
        <v>1</v>
      </c>
      <c r="M1052" s="409"/>
      <c r="N1052" s="409"/>
      <c r="O1052" s="409"/>
      <c r="P1052" s="409">
        <v>1</v>
      </c>
      <c r="Q1052" s="382"/>
      <c r="R1052" s="385" t="str">
        <f>IF(SUM(M1052:P1052)=L1052,"T","F")</f>
        <v>T</v>
      </c>
      <c r="S1052" s="389"/>
      <c r="T1052" s="389"/>
      <c r="U1052" s="389"/>
      <c r="V1052" s="389"/>
      <c r="W1052" s="389"/>
      <c r="X1052" s="389"/>
      <c r="Y1052" s="389"/>
      <c r="Z1052" s="389"/>
      <c r="AA1052" s="389"/>
      <c r="AB1052" s="389"/>
      <c r="AC1052" s="389"/>
      <c r="AD1052" s="389"/>
      <c r="AE1052" s="389"/>
      <c r="AF1052" s="389"/>
      <c r="AG1052" s="383"/>
      <c r="AH1052" s="383"/>
      <c r="AI1052" s="383"/>
      <c r="AJ1052" s="383"/>
      <c r="AK1052" s="383"/>
    </row>
    <row r="1053" spans="1:37" s="516" customFormat="1" hidden="1" outlineLevel="3">
      <c r="A1053" s="382"/>
      <c r="B1053" s="382" t="s">
        <v>490</v>
      </c>
      <c r="C1053" s="397" t="s">
        <v>136</v>
      </c>
      <c r="D1053" s="382" t="s">
        <v>202</v>
      </c>
      <c r="E1053" s="382" t="s">
        <v>29</v>
      </c>
      <c r="F1053" s="440" t="s">
        <v>467</v>
      </c>
      <c r="G1053" s="411">
        <v>0.22026780468000001</v>
      </c>
      <c r="H1053" s="411" t="str">
        <f t="shared" si="345"/>
        <v/>
      </c>
      <c r="I1053" s="411" t="str">
        <f t="shared" si="345"/>
        <v/>
      </c>
      <c r="J1053" s="411" t="str">
        <f t="shared" si="345"/>
        <v/>
      </c>
      <c r="K1053" s="411">
        <f t="shared" si="345"/>
        <v>0.22026780468000001</v>
      </c>
      <c r="L1053" s="411">
        <f>SUM(M1053:P1053)</f>
        <v>1</v>
      </c>
      <c r="M1053" s="409"/>
      <c r="N1053" s="409"/>
      <c r="O1053" s="409"/>
      <c r="P1053" s="409">
        <v>1</v>
      </c>
      <c r="Q1053" s="382"/>
      <c r="R1053" s="385" t="str">
        <f>IF(SUM(M1053:P1053)=L1053,"T","F")</f>
        <v>T</v>
      </c>
      <c r="S1053" s="389"/>
      <c r="T1053" s="389"/>
      <c r="U1053" s="389"/>
      <c r="V1053" s="389"/>
      <c r="W1053" s="389"/>
      <c r="X1053" s="389"/>
      <c r="Y1053" s="389"/>
      <c r="Z1053" s="389"/>
      <c r="AA1053" s="389"/>
      <c r="AB1053" s="389"/>
      <c r="AC1053" s="389"/>
      <c r="AD1053" s="389"/>
      <c r="AE1053" s="389"/>
      <c r="AF1053" s="389"/>
      <c r="AG1053" s="383"/>
      <c r="AH1053" s="383"/>
      <c r="AI1053" s="383"/>
      <c r="AJ1053" s="383"/>
      <c r="AK1053" s="383"/>
    </row>
    <row r="1054" spans="1:37" s="413" customFormat="1" hidden="1" outlineLevel="2" collapsed="1">
      <c r="A1054" s="382"/>
      <c r="B1054" s="382" t="s">
        <v>490</v>
      </c>
      <c r="C1054" s="397" t="s">
        <v>136</v>
      </c>
      <c r="D1054" s="382" t="s">
        <v>18</v>
      </c>
      <c r="E1054" s="382"/>
      <c r="F1054" s="440" t="s">
        <v>489</v>
      </c>
      <c r="G1054" s="411">
        <f>SUM(G1055:G1062)</f>
        <v>0.46573480799999989</v>
      </c>
      <c r="H1054" s="411">
        <f>SUM(H1055:H1062)</f>
        <v>5.8216850999999993E-2</v>
      </c>
      <c r="I1054" s="411">
        <f>SUM(I1055:I1062)</f>
        <v>0.11643370199999999</v>
      </c>
      <c r="J1054" s="411">
        <f>SUM(J1055:J1062)</f>
        <v>8.7325276499999979E-2</v>
      </c>
      <c r="K1054" s="411">
        <f>SUM(K1055:K1062)</f>
        <v>0.20375897849999999</v>
      </c>
      <c r="L1054" s="411">
        <f t="shared" ref="L1054" si="346">SUM(M1054:P1054)</f>
        <v>8</v>
      </c>
      <c r="M1054" s="409">
        <f>SUM(M1055:M1062)</f>
        <v>1</v>
      </c>
      <c r="N1054" s="409">
        <f>SUM(N1055:N1062)</f>
        <v>2</v>
      </c>
      <c r="O1054" s="409">
        <f>SUM(O1055:O1062)</f>
        <v>1</v>
      </c>
      <c r="P1054" s="409">
        <f>SUM(P1055:P1062)</f>
        <v>4</v>
      </c>
      <c r="Q1054" s="382"/>
      <c r="R1054" s="385" t="str">
        <f t="shared" si="335"/>
        <v>T</v>
      </c>
      <c r="S1054" s="389"/>
      <c r="T1054" s="389"/>
      <c r="U1054" s="389"/>
      <c r="V1054" s="389"/>
      <c r="W1054" s="389"/>
      <c r="X1054" s="389"/>
      <c r="Y1054" s="389"/>
      <c r="Z1054" s="389"/>
      <c r="AA1054" s="389"/>
      <c r="AB1054" s="389"/>
      <c r="AC1054" s="389"/>
      <c r="AD1054" s="389"/>
      <c r="AE1054" s="389"/>
      <c r="AF1054" s="389"/>
      <c r="AG1054" s="383"/>
      <c r="AH1054" s="383"/>
      <c r="AI1054" s="383"/>
      <c r="AJ1054" s="383"/>
      <c r="AK1054" s="383"/>
    </row>
    <row r="1055" spans="1:37" hidden="1" outlineLevel="3">
      <c r="A1055" s="382"/>
      <c r="B1055" s="382" t="s">
        <v>490</v>
      </c>
      <c r="C1055" s="397" t="s">
        <v>136</v>
      </c>
      <c r="D1055" s="382" t="s">
        <v>18</v>
      </c>
      <c r="E1055" s="382" t="s">
        <v>204</v>
      </c>
      <c r="F1055" s="440" t="s">
        <v>32</v>
      </c>
      <c r="G1055" s="411">
        <v>5.8216850999999993E-2</v>
      </c>
      <c r="H1055" s="411">
        <f t="shared" ref="H1055:K1062" si="347">IF(M1055=1,$G1055,"")</f>
        <v>5.8216850999999993E-2</v>
      </c>
      <c r="I1055" s="411" t="str">
        <f t="shared" si="347"/>
        <v/>
      </c>
      <c r="J1055" s="411" t="str">
        <f t="shared" si="347"/>
        <v/>
      </c>
      <c r="K1055" s="411" t="str">
        <f t="shared" si="347"/>
        <v/>
      </c>
      <c r="L1055" s="411">
        <f t="shared" si="330"/>
        <v>1</v>
      </c>
      <c r="M1055" s="409">
        <v>1</v>
      </c>
      <c r="N1055" s="409"/>
      <c r="O1055" s="409"/>
      <c r="P1055" s="409"/>
      <c r="Q1055" s="382"/>
      <c r="R1055" s="385" t="str">
        <f t="shared" si="335"/>
        <v>T</v>
      </c>
      <c r="S1055" s="389"/>
      <c r="T1055" s="389"/>
      <c r="U1055" s="389"/>
      <c r="V1055" s="389"/>
      <c r="W1055" s="389"/>
      <c r="X1055" s="389"/>
      <c r="Y1055" s="389"/>
      <c r="Z1055" s="389"/>
      <c r="AA1055" s="389"/>
      <c r="AB1055" s="389"/>
      <c r="AC1055" s="389"/>
      <c r="AD1055" s="389"/>
      <c r="AE1055" s="389"/>
      <c r="AF1055" s="389"/>
    </row>
    <row r="1056" spans="1:37" hidden="1" outlineLevel="3">
      <c r="A1056" s="382"/>
      <c r="B1056" s="382" t="s">
        <v>490</v>
      </c>
      <c r="C1056" s="397" t="s">
        <v>136</v>
      </c>
      <c r="D1056" s="382" t="s">
        <v>18</v>
      </c>
      <c r="E1056" s="382" t="s">
        <v>204</v>
      </c>
      <c r="F1056" s="440" t="s">
        <v>33</v>
      </c>
      <c r="G1056" s="411">
        <v>5.8216850999999993E-2</v>
      </c>
      <c r="H1056" s="411" t="str">
        <f t="shared" si="347"/>
        <v/>
      </c>
      <c r="I1056" s="411">
        <f t="shared" si="347"/>
        <v>5.8216850999999993E-2</v>
      </c>
      <c r="J1056" s="411" t="str">
        <f t="shared" si="347"/>
        <v/>
      </c>
      <c r="K1056" s="411" t="str">
        <f t="shared" si="347"/>
        <v/>
      </c>
      <c r="L1056" s="411">
        <f t="shared" si="330"/>
        <v>1</v>
      </c>
      <c r="M1056" s="409"/>
      <c r="N1056" s="409">
        <v>1</v>
      </c>
      <c r="O1056" s="409"/>
      <c r="P1056" s="409"/>
      <c r="Q1056" s="382"/>
      <c r="R1056" s="385" t="str">
        <f t="shared" si="335"/>
        <v>T</v>
      </c>
      <c r="S1056" s="389"/>
      <c r="T1056" s="389"/>
      <c r="U1056" s="389"/>
      <c r="V1056" s="389"/>
      <c r="W1056" s="389"/>
      <c r="X1056" s="389"/>
      <c r="Y1056" s="389"/>
      <c r="Z1056" s="389"/>
      <c r="AA1056" s="389"/>
      <c r="AB1056" s="389"/>
      <c r="AC1056" s="389"/>
      <c r="AD1056" s="389"/>
      <c r="AE1056" s="389"/>
      <c r="AF1056" s="389"/>
    </row>
    <row r="1057" spans="1:37" hidden="1" outlineLevel="3">
      <c r="A1057" s="382"/>
      <c r="B1057" s="382" t="s">
        <v>490</v>
      </c>
      <c r="C1057" s="397" t="s">
        <v>136</v>
      </c>
      <c r="D1057" s="382" t="s">
        <v>18</v>
      </c>
      <c r="E1057" s="382" t="s">
        <v>204</v>
      </c>
      <c r="F1057" s="440" t="s">
        <v>34</v>
      </c>
      <c r="G1057" s="411">
        <v>5.8216850999999993E-2</v>
      </c>
      <c r="H1057" s="411" t="str">
        <f t="shared" si="347"/>
        <v/>
      </c>
      <c r="I1057" s="411">
        <f t="shared" si="347"/>
        <v>5.8216850999999993E-2</v>
      </c>
      <c r="J1057" s="411" t="str">
        <f t="shared" si="347"/>
        <v/>
      </c>
      <c r="K1057" s="411" t="str">
        <f t="shared" si="347"/>
        <v/>
      </c>
      <c r="L1057" s="411">
        <f t="shared" si="330"/>
        <v>1</v>
      </c>
      <c r="M1057" s="409"/>
      <c r="N1057" s="409">
        <v>1</v>
      </c>
      <c r="O1057" s="409"/>
      <c r="P1057" s="409"/>
      <c r="Q1057" s="382"/>
      <c r="R1057" s="385" t="str">
        <f t="shared" si="335"/>
        <v>T</v>
      </c>
      <c r="S1057" s="389"/>
      <c r="T1057" s="389"/>
      <c r="U1057" s="389"/>
      <c r="V1057" s="389"/>
      <c r="W1057" s="389"/>
      <c r="X1057" s="389"/>
      <c r="Y1057" s="389"/>
      <c r="Z1057" s="389"/>
      <c r="AA1057" s="389"/>
      <c r="AB1057" s="389"/>
      <c r="AC1057" s="389"/>
      <c r="AD1057" s="389"/>
      <c r="AE1057" s="389"/>
      <c r="AF1057" s="389"/>
    </row>
    <row r="1058" spans="1:37" hidden="1" outlineLevel="3">
      <c r="A1058" s="382"/>
      <c r="B1058" s="382" t="s">
        <v>490</v>
      </c>
      <c r="C1058" s="397" t="s">
        <v>136</v>
      </c>
      <c r="D1058" s="382" t="s">
        <v>18</v>
      </c>
      <c r="E1058" s="382" t="s">
        <v>204</v>
      </c>
      <c r="F1058" s="440" t="s">
        <v>205</v>
      </c>
      <c r="G1058" s="411">
        <v>8.7325276499999979E-2</v>
      </c>
      <c r="H1058" s="411" t="str">
        <f t="shared" si="347"/>
        <v/>
      </c>
      <c r="I1058" s="411" t="str">
        <f t="shared" si="347"/>
        <v/>
      </c>
      <c r="J1058" s="411">
        <f t="shared" si="347"/>
        <v>8.7325276499999979E-2</v>
      </c>
      <c r="K1058" s="411" t="str">
        <f t="shared" si="347"/>
        <v/>
      </c>
      <c r="L1058" s="411">
        <f t="shared" si="330"/>
        <v>1</v>
      </c>
      <c r="M1058" s="409"/>
      <c r="N1058" s="409"/>
      <c r="O1058" s="409">
        <v>1</v>
      </c>
      <c r="P1058" s="409"/>
      <c r="Q1058" s="382"/>
      <c r="R1058" s="385" t="str">
        <f t="shared" si="335"/>
        <v>T</v>
      </c>
      <c r="S1058" s="389"/>
      <c r="T1058" s="389"/>
      <c r="U1058" s="389"/>
      <c r="V1058" s="389"/>
      <c r="W1058" s="389"/>
      <c r="X1058" s="389"/>
      <c r="Y1058" s="389"/>
      <c r="Z1058" s="389"/>
      <c r="AA1058" s="389"/>
      <c r="AB1058" s="389"/>
      <c r="AC1058" s="389"/>
      <c r="AD1058" s="389"/>
      <c r="AE1058" s="389"/>
      <c r="AF1058" s="389"/>
    </row>
    <row r="1059" spans="1:37" hidden="1" outlineLevel="3">
      <c r="A1059" s="382"/>
      <c r="B1059" s="382" t="s">
        <v>490</v>
      </c>
      <c r="C1059" s="397" t="s">
        <v>136</v>
      </c>
      <c r="D1059" s="382" t="s">
        <v>18</v>
      </c>
      <c r="E1059" s="382" t="s">
        <v>204</v>
      </c>
      <c r="F1059" s="440" t="s">
        <v>116</v>
      </c>
      <c r="G1059" s="411">
        <v>0.11643370199999999</v>
      </c>
      <c r="H1059" s="411" t="str">
        <f t="shared" si="347"/>
        <v/>
      </c>
      <c r="I1059" s="411" t="str">
        <f t="shared" si="347"/>
        <v/>
      </c>
      <c r="J1059" s="411" t="str">
        <f t="shared" si="347"/>
        <v/>
      </c>
      <c r="K1059" s="411">
        <f t="shared" si="347"/>
        <v>0.11643370199999999</v>
      </c>
      <c r="L1059" s="411">
        <f t="shared" si="330"/>
        <v>1</v>
      </c>
      <c r="M1059" s="409"/>
      <c r="N1059" s="409"/>
      <c r="O1059" s="409"/>
      <c r="P1059" s="409">
        <v>1</v>
      </c>
      <c r="Q1059" s="382"/>
      <c r="R1059" s="385" t="str">
        <f t="shared" si="335"/>
        <v>T</v>
      </c>
      <c r="S1059" s="389"/>
      <c r="T1059" s="389"/>
      <c r="U1059" s="389"/>
      <c r="V1059" s="389"/>
      <c r="W1059" s="389"/>
      <c r="X1059" s="389"/>
      <c r="Y1059" s="389"/>
      <c r="Z1059" s="389"/>
      <c r="AA1059" s="389"/>
      <c r="AB1059" s="389"/>
      <c r="AC1059" s="389"/>
      <c r="AD1059" s="389"/>
      <c r="AE1059" s="389"/>
      <c r="AF1059" s="389"/>
    </row>
    <row r="1060" spans="1:37" hidden="1" outlineLevel="3">
      <c r="A1060" s="382"/>
      <c r="B1060" s="382" t="s">
        <v>490</v>
      </c>
      <c r="C1060" s="397" t="s">
        <v>136</v>
      </c>
      <c r="D1060" s="382" t="s">
        <v>18</v>
      </c>
      <c r="E1060" s="382" t="s">
        <v>204</v>
      </c>
      <c r="F1060" s="440" t="s">
        <v>495</v>
      </c>
      <c r="G1060" s="411">
        <v>2.9108425499999997E-2</v>
      </c>
      <c r="H1060" s="411" t="str">
        <f t="shared" si="347"/>
        <v/>
      </c>
      <c r="I1060" s="411" t="str">
        <f t="shared" si="347"/>
        <v/>
      </c>
      <c r="J1060" s="411" t="str">
        <f t="shared" si="347"/>
        <v/>
      </c>
      <c r="K1060" s="411">
        <f t="shared" si="347"/>
        <v>2.9108425499999997E-2</v>
      </c>
      <c r="L1060" s="411">
        <f t="shared" ref="L1060:L1119" si="348">SUM(M1060:P1060)</f>
        <v>1</v>
      </c>
      <c r="M1060" s="409"/>
      <c r="N1060" s="409"/>
      <c r="O1060" s="409"/>
      <c r="P1060" s="409">
        <v>1</v>
      </c>
      <c r="Q1060" s="382"/>
      <c r="R1060" s="385" t="str">
        <f t="shared" si="335"/>
        <v>T</v>
      </c>
      <c r="S1060" s="389"/>
      <c r="T1060" s="389"/>
      <c r="U1060" s="389"/>
      <c r="V1060" s="389"/>
      <c r="W1060" s="389"/>
      <c r="X1060" s="389"/>
      <c r="Y1060" s="389"/>
      <c r="Z1060" s="389"/>
      <c r="AA1060" s="389"/>
      <c r="AB1060" s="389"/>
      <c r="AC1060" s="389"/>
      <c r="AD1060" s="389"/>
      <c r="AE1060" s="389"/>
      <c r="AF1060" s="389"/>
    </row>
    <row r="1061" spans="1:37" hidden="1" outlineLevel="3">
      <c r="A1061" s="382"/>
      <c r="B1061" s="382" t="s">
        <v>490</v>
      </c>
      <c r="C1061" s="397" t="s">
        <v>136</v>
      </c>
      <c r="D1061" s="382" t="s">
        <v>18</v>
      </c>
      <c r="E1061" s="382" t="s">
        <v>204</v>
      </c>
      <c r="F1061" s="440" t="s">
        <v>496</v>
      </c>
      <c r="G1061" s="411">
        <v>2.9108425499999997E-2</v>
      </c>
      <c r="H1061" s="411" t="str">
        <f t="shared" si="347"/>
        <v/>
      </c>
      <c r="I1061" s="411" t="str">
        <f t="shared" si="347"/>
        <v/>
      </c>
      <c r="J1061" s="411" t="str">
        <f t="shared" si="347"/>
        <v/>
      </c>
      <c r="K1061" s="411">
        <f t="shared" si="347"/>
        <v>2.9108425499999997E-2</v>
      </c>
      <c r="L1061" s="411">
        <f t="shared" si="348"/>
        <v>1</v>
      </c>
      <c r="M1061" s="409"/>
      <c r="N1061" s="409"/>
      <c r="O1061" s="409"/>
      <c r="P1061" s="409">
        <v>1</v>
      </c>
      <c r="Q1061" s="382"/>
      <c r="R1061" s="385" t="str">
        <f t="shared" si="335"/>
        <v>T</v>
      </c>
      <c r="S1061" s="389"/>
      <c r="T1061" s="389"/>
      <c r="U1061" s="389"/>
      <c r="V1061" s="389"/>
      <c r="W1061" s="389"/>
      <c r="X1061" s="389"/>
      <c r="Y1061" s="389"/>
      <c r="Z1061" s="389"/>
      <c r="AA1061" s="389"/>
      <c r="AB1061" s="389"/>
      <c r="AC1061" s="389"/>
      <c r="AD1061" s="389"/>
      <c r="AE1061" s="389"/>
      <c r="AF1061" s="389"/>
    </row>
    <row r="1062" spans="1:37" hidden="1" outlineLevel="3">
      <c r="A1062" s="382"/>
      <c r="B1062" s="382" t="s">
        <v>490</v>
      </c>
      <c r="C1062" s="397" t="s">
        <v>136</v>
      </c>
      <c r="D1062" s="382" t="s">
        <v>18</v>
      </c>
      <c r="E1062" s="382" t="s">
        <v>204</v>
      </c>
      <c r="F1062" s="440" t="s">
        <v>98</v>
      </c>
      <c r="G1062" s="411">
        <v>2.9108425499999997E-2</v>
      </c>
      <c r="H1062" s="411" t="str">
        <f t="shared" si="347"/>
        <v/>
      </c>
      <c r="I1062" s="411" t="str">
        <f t="shared" si="347"/>
        <v/>
      </c>
      <c r="J1062" s="411" t="str">
        <f t="shared" si="347"/>
        <v/>
      </c>
      <c r="K1062" s="411">
        <f t="shared" si="347"/>
        <v>2.9108425499999997E-2</v>
      </c>
      <c r="L1062" s="411">
        <f t="shared" si="348"/>
        <v>1</v>
      </c>
      <c r="M1062" s="409"/>
      <c r="N1062" s="409"/>
      <c r="O1062" s="409"/>
      <c r="P1062" s="409">
        <v>1</v>
      </c>
      <c r="Q1062" s="382"/>
      <c r="R1062" s="385" t="str">
        <f t="shared" si="335"/>
        <v>T</v>
      </c>
      <c r="S1062" s="389"/>
      <c r="T1062" s="389"/>
      <c r="U1062" s="389"/>
      <c r="V1062" s="389"/>
      <c r="W1062" s="389"/>
      <c r="X1062" s="389"/>
      <c r="Y1062" s="389"/>
      <c r="Z1062" s="389"/>
      <c r="AA1062" s="389"/>
      <c r="AB1062" s="389"/>
      <c r="AC1062" s="389"/>
      <c r="AD1062" s="389"/>
      <c r="AE1062" s="389"/>
      <c r="AF1062" s="389"/>
    </row>
    <row r="1063" spans="1:37" s="413" customFormat="1" hidden="1" outlineLevel="2" collapsed="1">
      <c r="A1063" s="382"/>
      <c r="B1063" s="382" t="s">
        <v>490</v>
      </c>
      <c r="C1063" s="397" t="s">
        <v>136</v>
      </c>
      <c r="D1063" s="382" t="s">
        <v>26</v>
      </c>
      <c r="E1063" s="382"/>
      <c r="F1063" s="440" t="s">
        <v>489</v>
      </c>
      <c r="G1063" s="411">
        <f>SUM(G1064:G1080)</f>
        <v>1.2193279070134366</v>
      </c>
      <c r="H1063" s="411">
        <f>SUM(H1064:H1080)</f>
        <v>0.5747066038098001</v>
      </c>
      <c r="I1063" s="411">
        <f t="shared" ref="I1063:K1063" si="349">SUM(I1064:I1080)</f>
        <v>0.17511290472060004</v>
      </c>
      <c r="J1063" s="411">
        <f t="shared" si="349"/>
        <v>0.21830980816260004</v>
      </c>
      <c r="K1063" s="411">
        <f t="shared" si="349"/>
        <v>0.2511985903204364</v>
      </c>
      <c r="L1063" s="411">
        <f t="shared" si="348"/>
        <v>17</v>
      </c>
      <c r="M1063" s="409">
        <f>SUM(M1064:M1080)</f>
        <v>4</v>
      </c>
      <c r="N1063" s="409">
        <f>SUM(N1064:N1080)</f>
        <v>2</v>
      </c>
      <c r="O1063" s="409">
        <f>SUM(O1064:O1080)</f>
        <v>4</v>
      </c>
      <c r="P1063" s="409">
        <f>SUM(P1064:P1080)</f>
        <v>7</v>
      </c>
      <c r="Q1063" s="382"/>
      <c r="R1063" s="385" t="str">
        <f t="shared" si="335"/>
        <v>T</v>
      </c>
      <c r="S1063" s="389"/>
      <c r="T1063" s="389"/>
      <c r="U1063" s="389"/>
      <c r="V1063" s="389"/>
      <c r="W1063" s="389"/>
      <c r="X1063" s="389"/>
      <c r="Y1063" s="389"/>
      <c r="Z1063" s="389"/>
      <c r="AA1063" s="389"/>
      <c r="AB1063" s="389"/>
      <c r="AC1063" s="389"/>
      <c r="AD1063" s="389"/>
      <c r="AE1063" s="389"/>
      <c r="AF1063" s="389"/>
      <c r="AG1063" s="383"/>
      <c r="AH1063" s="383"/>
      <c r="AI1063" s="383"/>
      <c r="AJ1063" s="383"/>
      <c r="AK1063" s="383"/>
    </row>
    <row r="1064" spans="1:37" hidden="1" outlineLevel="3">
      <c r="A1064" s="382"/>
      <c r="B1064" s="382" t="s">
        <v>490</v>
      </c>
      <c r="C1064" s="397" t="s">
        <v>136</v>
      </c>
      <c r="D1064" s="382" t="s">
        <v>26</v>
      </c>
      <c r="E1064" s="382" t="s">
        <v>27</v>
      </c>
      <c r="F1064" s="440" t="s">
        <v>32</v>
      </c>
      <c r="G1064" s="411">
        <v>0.12908390889240001</v>
      </c>
      <c r="H1064" s="411">
        <f t="shared" ref="H1064:H1076" si="350">IF(M1064=1,$G1064,"")</f>
        <v>0.12908390889240001</v>
      </c>
      <c r="I1064" s="411" t="str">
        <f t="shared" ref="I1064:I1076" si="351">IF(N1064=1,$G1064,"")</f>
        <v/>
      </c>
      <c r="J1064" s="411" t="str">
        <f t="shared" ref="J1064:J1077" si="352">IF(O1064=1,$G1064,"")</f>
        <v/>
      </c>
      <c r="K1064" s="411" t="str">
        <f t="shared" ref="K1064:K1076" si="353">IF(P1064=1,$G1064,"")</f>
        <v/>
      </c>
      <c r="L1064" s="411">
        <f t="shared" si="348"/>
        <v>1</v>
      </c>
      <c r="M1064" s="409">
        <v>1</v>
      </c>
      <c r="N1064" s="409"/>
      <c r="O1064" s="409"/>
      <c r="P1064" s="409"/>
      <c r="Q1064" s="382"/>
      <c r="R1064" s="385" t="str">
        <f t="shared" si="335"/>
        <v>T</v>
      </c>
      <c r="S1064" s="389"/>
      <c r="T1064" s="389"/>
      <c r="U1064" s="389"/>
      <c r="V1064" s="389"/>
      <c r="W1064" s="389"/>
      <c r="X1064" s="389"/>
      <c r="Y1064" s="389"/>
      <c r="Z1064" s="389"/>
      <c r="AA1064" s="389"/>
      <c r="AB1064" s="389"/>
      <c r="AC1064" s="389"/>
      <c r="AD1064" s="389"/>
      <c r="AE1064" s="389"/>
      <c r="AF1064" s="389"/>
    </row>
    <row r="1065" spans="1:37" hidden="1" outlineLevel="3">
      <c r="A1065" s="382"/>
      <c r="B1065" s="382" t="s">
        <v>490</v>
      </c>
      <c r="C1065" s="397" t="s">
        <v>136</v>
      </c>
      <c r="D1065" s="382" t="s">
        <v>26</v>
      </c>
      <c r="E1065" s="382" t="s">
        <v>27</v>
      </c>
      <c r="F1065" s="440" t="s">
        <v>34</v>
      </c>
      <c r="G1065" s="411">
        <v>0.25816781778480002</v>
      </c>
      <c r="H1065" s="411">
        <f t="shared" si="350"/>
        <v>0.25816781778480002</v>
      </c>
      <c r="I1065" s="411" t="str">
        <f t="shared" si="351"/>
        <v/>
      </c>
      <c r="J1065" s="411" t="str">
        <f t="shared" si="352"/>
        <v/>
      </c>
      <c r="K1065" s="411" t="str">
        <f t="shared" si="353"/>
        <v/>
      </c>
      <c r="L1065" s="411">
        <f t="shared" si="348"/>
        <v>1</v>
      </c>
      <c r="M1065" s="409">
        <v>1</v>
      </c>
      <c r="N1065" s="409"/>
      <c r="O1065" s="409"/>
      <c r="P1065" s="409"/>
      <c r="Q1065" s="382"/>
      <c r="R1065" s="385" t="str">
        <f t="shared" si="335"/>
        <v>T</v>
      </c>
      <c r="S1065" s="389"/>
      <c r="T1065" s="389"/>
      <c r="U1065" s="389"/>
      <c r="V1065" s="389"/>
      <c r="W1065" s="389"/>
      <c r="X1065" s="389"/>
      <c r="Y1065" s="389"/>
      <c r="Z1065" s="389"/>
      <c r="AA1065" s="389"/>
      <c r="AB1065" s="389"/>
      <c r="AC1065" s="389"/>
      <c r="AD1065" s="389"/>
      <c r="AE1065" s="389"/>
      <c r="AF1065" s="389"/>
    </row>
    <row r="1066" spans="1:37" hidden="1" outlineLevel="3">
      <c r="A1066" s="382"/>
      <c r="B1066" s="382" t="s">
        <v>490</v>
      </c>
      <c r="C1066" s="397" t="s">
        <v>136</v>
      </c>
      <c r="D1066" s="382" t="s">
        <v>26</v>
      </c>
      <c r="E1066" s="382" t="s">
        <v>27</v>
      </c>
      <c r="F1066" s="440" t="s">
        <v>471</v>
      </c>
      <c r="G1066" s="411">
        <v>0.12908390889240001</v>
      </c>
      <c r="H1066" s="411">
        <f t="shared" si="350"/>
        <v>0.12908390889240001</v>
      </c>
      <c r="I1066" s="411" t="str">
        <f t="shared" si="351"/>
        <v/>
      </c>
      <c r="J1066" s="411" t="str">
        <f t="shared" si="352"/>
        <v/>
      </c>
      <c r="K1066" s="411" t="str">
        <f t="shared" si="353"/>
        <v/>
      </c>
      <c r="L1066" s="411">
        <f t="shared" si="348"/>
        <v>1</v>
      </c>
      <c r="M1066" s="409">
        <v>1</v>
      </c>
      <c r="N1066" s="409"/>
      <c r="O1066" s="409"/>
      <c r="P1066" s="409"/>
      <c r="Q1066" s="382"/>
      <c r="R1066" s="385" t="str">
        <f t="shared" si="335"/>
        <v>T</v>
      </c>
      <c r="S1066" s="389"/>
      <c r="T1066" s="389"/>
      <c r="U1066" s="389"/>
      <c r="V1066" s="389"/>
      <c r="W1066" s="389"/>
      <c r="X1066" s="389"/>
      <c r="Y1066" s="389"/>
      <c r="Z1066" s="389"/>
      <c r="AA1066" s="389"/>
      <c r="AB1066" s="389"/>
      <c r="AC1066" s="389"/>
      <c r="AD1066" s="389"/>
      <c r="AE1066" s="389"/>
      <c r="AF1066" s="389"/>
    </row>
    <row r="1067" spans="1:37" hidden="1" outlineLevel="3">
      <c r="A1067" s="382"/>
      <c r="B1067" s="382" t="s">
        <v>490</v>
      </c>
      <c r="C1067" s="397" t="s">
        <v>136</v>
      </c>
      <c r="D1067" s="382" t="s">
        <v>26</v>
      </c>
      <c r="E1067" s="382" t="s">
        <v>27</v>
      </c>
      <c r="F1067" s="440" t="s">
        <v>457</v>
      </c>
      <c r="G1067" s="411">
        <v>5.8370968240200008E-2</v>
      </c>
      <c r="H1067" s="411" t="str">
        <f t="shared" si="350"/>
        <v/>
      </c>
      <c r="I1067" s="411">
        <f t="shared" si="351"/>
        <v>5.8370968240200008E-2</v>
      </c>
      <c r="J1067" s="411" t="str">
        <f t="shared" si="352"/>
        <v/>
      </c>
      <c r="K1067" s="411" t="str">
        <f t="shared" si="353"/>
        <v/>
      </c>
      <c r="L1067" s="411">
        <f t="shared" si="348"/>
        <v>1</v>
      </c>
      <c r="M1067" s="409"/>
      <c r="N1067" s="409">
        <v>1</v>
      </c>
      <c r="O1067" s="409"/>
      <c r="P1067" s="409"/>
      <c r="Q1067" s="382"/>
      <c r="R1067" s="385" t="str">
        <f t="shared" si="335"/>
        <v>T</v>
      </c>
      <c r="S1067" s="389"/>
      <c r="T1067" s="389"/>
      <c r="U1067" s="389"/>
      <c r="V1067" s="389"/>
      <c r="W1067" s="389"/>
      <c r="X1067" s="389"/>
      <c r="Y1067" s="389"/>
      <c r="Z1067" s="389"/>
      <c r="AA1067" s="389"/>
      <c r="AB1067" s="389"/>
      <c r="AC1067" s="389"/>
      <c r="AD1067" s="389"/>
      <c r="AE1067" s="389"/>
      <c r="AF1067" s="389"/>
    </row>
    <row r="1068" spans="1:37" hidden="1" outlineLevel="3">
      <c r="A1068" s="382"/>
      <c r="B1068" s="382" t="s">
        <v>490</v>
      </c>
      <c r="C1068" s="397" t="s">
        <v>136</v>
      </c>
      <c r="D1068" s="382" t="s">
        <v>26</v>
      </c>
      <c r="E1068" s="382" t="s">
        <v>27</v>
      </c>
      <c r="F1068" s="440" t="s">
        <v>458</v>
      </c>
      <c r="G1068" s="411">
        <v>0.11674193648040002</v>
      </c>
      <c r="H1068" s="411" t="str">
        <f t="shared" si="350"/>
        <v/>
      </c>
      <c r="I1068" s="411">
        <f t="shared" si="351"/>
        <v>0.11674193648040002</v>
      </c>
      <c r="J1068" s="411" t="str">
        <f t="shared" si="352"/>
        <v/>
      </c>
      <c r="K1068" s="411" t="str">
        <f t="shared" si="353"/>
        <v/>
      </c>
      <c r="L1068" s="411">
        <f t="shared" si="348"/>
        <v>1</v>
      </c>
      <c r="M1068" s="409"/>
      <c r="N1068" s="409">
        <v>1</v>
      </c>
      <c r="O1068" s="409"/>
      <c r="P1068" s="409"/>
      <c r="Q1068" s="382"/>
      <c r="R1068" s="385" t="str">
        <f t="shared" si="335"/>
        <v>T</v>
      </c>
      <c r="S1068" s="389"/>
      <c r="T1068" s="389"/>
      <c r="U1068" s="389"/>
      <c r="V1068" s="389"/>
      <c r="W1068" s="389"/>
      <c r="X1068" s="389"/>
      <c r="Y1068" s="389"/>
      <c r="Z1068" s="389"/>
      <c r="AA1068" s="389"/>
      <c r="AB1068" s="389"/>
      <c r="AC1068" s="389"/>
      <c r="AD1068" s="389"/>
      <c r="AE1068" s="389"/>
      <c r="AF1068" s="389"/>
    </row>
    <row r="1069" spans="1:37" hidden="1" outlineLevel="3">
      <c r="A1069" s="382"/>
      <c r="B1069" s="382" t="s">
        <v>490</v>
      </c>
      <c r="C1069" s="397" t="s">
        <v>136</v>
      </c>
      <c r="D1069" s="382" t="s">
        <v>26</v>
      </c>
      <c r="E1069" s="382" t="s">
        <v>27</v>
      </c>
      <c r="F1069" s="440" t="s">
        <v>494</v>
      </c>
      <c r="G1069" s="411">
        <v>5.8370968240200008E-2</v>
      </c>
      <c r="H1069" s="411">
        <f t="shared" si="350"/>
        <v>5.8370968240200008E-2</v>
      </c>
      <c r="I1069" s="411" t="str">
        <f t="shared" si="351"/>
        <v/>
      </c>
      <c r="J1069" s="411" t="str">
        <f t="shared" si="352"/>
        <v/>
      </c>
      <c r="K1069" s="411" t="str">
        <f t="shared" si="353"/>
        <v/>
      </c>
      <c r="L1069" s="411">
        <f>SUM(M1069:P1069)</f>
        <v>1</v>
      </c>
      <c r="M1069" s="409">
        <v>1</v>
      </c>
      <c r="N1069" s="409"/>
      <c r="O1069" s="409"/>
      <c r="P1069" s="409"/>
      <c r="Q1069" s="382"/>
      <c r="R1069" s="385" t="str">
        <f>IF(SUM(M1069:P1069)=L1069,"T","F")</f>
        <v>T</v>
      </c>
      <c r="S1069" s="389"/>
      <c r="T1069" s="389"/>
      <c r="U1069" s="389"/>
      <c r="V1069" s="389"/>
      <c r="W1069" s="389"/>
      <c r="X1069" s="389"/>
      <c r="Y1069" s="389"/>
      <c r="Z1069" s="389"/>
      <c r="AA1069" s="389"/>
      <c r="AB1069" s="389"/>
      <c r="AC1069" s="389"/>
      <c r="AD1069" s="389"/>
      <c r="AE1069" s="389"/>
      <c r="AF1069" s="389"/>
    </row>
    <row r="1070" spans="1:37" hidden="1" outlineLevel="3">
      <c r="A1070" s="382"/>
      <c r="B1070" s="382" t="s">
        <v>490</v>
      </c>
      <c r="C1070" s="397" t="s">
        <v>136</v>
      </c>
      <c r="D1070" s="382" t="s">
        <v>26</v>
      </c>
      <c r="E1070" s="382" t="s">
        <v>27</v>
      </c>
      <c r="F1070" s="440" t="s">
        <v>461</v>
      </c>
      <c r="G1070" s="411">
        <v>5.8370968240200008E-2</v>
      </c>
      <c r="H1070" s="411" t="str">
        <f t="shared" si="350"/>
        <v/>
      </c>
      <c r="I1070" s="411" t="str">
        <f t="shared" si="351"/>
        <v/>
      </c>
      <c r="J1070" s="411">
        <f t="shared" si="352"/>
        <v>5.8370968240200008E-2</v>
      </c>
      <c r="K1070" s="411" t="str">
        <f t="shared" si="353"/>
        <v/>
      </c>
      <c r="L1070" s="411">
        <f t="shared" si="348"/>
        <v>1</v>
      </c>
      <c r="M1070" s="409"/>
      <c r="N1070" s="409"/>
      <c r="O1070" s="409">
        <v>1</v>
      </c>
      <c r="P1070" s="409"/>
      <c r="Q1070" s="382"/>
      <c r="R1070" s="385" t="str">
        <f t="shared" si="335"/>
        <v>T</v>
      </c>
      <c r="S1070" s="389"/>
      <c r="T1070" s="389"/>
      <c r="U1070" s="389"/>
      <c r="V1070" s="389"/>
      <c r="W1070" s="389"/>
      <c r="X1070" s="389"/>
      <c r="Y1070" s="389"/>
      <c r="Z1070" s="389"/>
      <c r="AA1070" s="389"/>
      <c r="AB1070" s="389"/>
      <c r="AC1070" s="389"/>
      <c r="AD1070" s="389"/>
      <c r="AE1070" s="389"/>
      <c r="AF1070" s="389"/>
    </row>
    <row r="1071" spans="1:37" hidden="1" outlineLevel="3">
      <c r="A1071" s="382"/>
      <c r="B1071" s="382" t="s">
        <v>490</v>
      </c>
      <c r="C1071" s="397" t="s">
        <v>136</v>
      </c>
      <c r="D1071" s="382" t="s">
        <v>26</v>
      </c>
      <c r="E1071" s="382" t="s">
        <v>27</v>
      </c>
      <c r="F1071" s="440" t="s">
        <v>462</v>
      </c>
      <c r="G1071" s="411">
        <v>5.8370968240200008E-2</v>
      </c>
      <c r="H1071" s="411" t="str">
        <f t="shared" si="350"/>
        <v/>
      </c>
      <c r="I1071" s="411" t="str">
        <f t="shared" si="351"/>
        <v/>
      </c>
      <c r="J1071" s="411">
        <f t="shared" si="352"/>
        <v>5.8370968240200008E-2</v>
      </c>
      <c r="K1071" s="411" t="str">
        <f t="shared" si="353"/>
        <v/>
      </c>
      <c r="L1071" s="411">
        <f t="shared" si="348"/>
        <v>1</v>
      </c>
      <c r="M1071" s="409"/>
      <c r="N1071" s="409"/>
      <c r="O1071" s="409">
        <v>1</v>
      </c>
      <c r="P1071" s="409"/>
      <c r="Q1071" s="382"/>
      <c r="R1071" s="385" t="str">
        <f t="shared" si="335"/>
        <v>T</v>
      </c>
      <c r="S1071" s="389"/>
      <c r="T1071" s="389"/>
      <c r="U1071" s="389"/>
      <c r="V1071" s="389"/>
      <c r="W1071" s="389"/>
      <c r="X1071" s="389"/>
      <c r="Y1071" s="389"/>
      <c r="Z1071" s="389"/>
      <c r="AA1071" s="389"/>
      <c r="AB1071" s="389"/>
      <c r="AC1071" s="389"/>
      <c r="AD1071" s="389"/>
      <c r="AE1071" s="389"/>
      <c r="AF1071" s="389"/>
    </row>
    <row r="1072" spans="1:37" hidden="1" outlineLevel="3">
      <c r="A1072" s="382"/>
      <c r="B1072" s="382" t="s">
        <v>490</v>
      </c>
      <c r="C1072" s="397" t="s">
        <v>136</v>
      </c>
      <c r="D1072" s="382" t="s">
        <v>26</v>
      </c>
      <c r="E1072" s="382" t="s">
        <v>27</v>
      </c>
      <c r="F1072" s="440" t="s">
        <v>463</v>
      </c>
      <c r="G1072" s="411">
        <v>5.8370968240200008E-2</v>
      </c>
      <c r="H1072" s="411" t="str">
        <f t="shared" si="350"/>
        <v/>
      </c>
      <c r="I1072" s="411" t="str">
        <f t="shared" si="351"/>
        <v/>
      </c>
      <c r="J1072" s="411">
        <f t="shared" si="352"/>
        <v>5.8370968240200008E-2</v>
      </c>
      <c r="K1072" s="411" t="str">
        <f t="shared" si="353"/>
        <v/>
      </c>
      <c r="L1072" s="411">
        <f t="shared" si="348"/>
        <v>1</v>
      </c>
      <c r="M1072" s="409"/>
      <c r="N1072" s="409"/>
      <c r="O1072" s="409">
        <v>1</v>
      </c>
      <c r="P1072" s="409"/>
      <c r="Q1072" s="382"/>
      <c r="R1072" s="385" t="str">
        <f t="shared" si="335"/>
        <v>T</v>
      </c>
      <c r="S1072" s="389"/>
      <c r="T1072" s="389"/>
      <c r="U1072" s="389"/>
      <c r="V1072" s="389"/>
      <c r="W1072" s="389"/>
      <c r="X1072" s="389"/>
      <c r="Y1072" s="389"/>
      <c r="Z1072" s="389"/>
      <c r="AA1072" s="389"/>
      <c r="AB1072" s="389"/>
      <c r="AC1072" s="389"/>
      <c r="AD1072" s="389"/>
      <c r="AE1072" s="389"/>
      <c r="AF1072" s="389"/>
    </row>
    <row r="1073" spans="1:37" hidden="1" outlineLevel="3">
      <c r="A1073" s="382"/>
      <c r="B1073" s="382" t="s">
        <v>490</v>
      </c>
      <c r="C1073" s="397" t="s">
        <v>136</v>
      </c>
      <c r="D1073" s="382" t="s">
        <v>26</v>
      </c>
      <c r="E1073" s="382" t="s">
        <v>27</v>
      </c>
      <c r="F1073" s="440" t="s">
        <v>464</v>
      </c>
      <c r="G1073" s="411">
        <v>5.8370968240200008E-2</v>
      </c>
      <c r="H1073" s="411" t="str">
        <f t="shared" si="350"/>
        <v/>
      </c>
      <c r="I1073" s="411" t="str">
        <f t="shared" si="351"/>
        <v/>
      </c>
      <c r="J1073" s="411" t="str">
        <f t="shared" si="352"/>
        <v/>
      </c>
      <c r="K1073" s="411">
        <f t="shared" si="353"/>
        <v>5.8370968240200008E-2</v>
      </c>
      <c r="L1073" s="411">
        <f t="shared" si="348"/>
        <v>1</v>
      </c>
      <c r="M1073" s="409"/>
      <c r="N1073" s="409"/>
      <c r="O1073" s="409"/>
      <c r="P1073" s="409">
        <v>1</v>
      </c>
      <c r="Q1073" s="382"/>
      <c r="R1073" s="385" t="str">
        <f t="shared" si="335"/>
        <v>T</v>
      </c>
      <c r="S1073" s="389"/>
      <c r="T1073" s="389"/>
      <c r="U1073" s="389"/>
      <c r="V1073" s="389"/>
      <c r="W1073" s="389"/>
      <c r="X1073" s="389"/>
      <c r="Y1073" s="389"/>
      <c r="Z1073" s="389"/>
      <c r="AA1073" s="389"/>
      <c r="AB1073" s="389"/>
      <c r="AC1073" s="389"/>
      <c r="AD1073" s="389"/>
      <c r="AE1073" s="389"/>
      <c r="AF1073" s="389"/>
    </row>
    <row r="1074" spans="1:37" hidden="1" outlineLevel="3">
      <c r="A1074" s="382"/>
      <c r="B1074" s="382" t="s">
        <v>490</v>
      </c>
      <c r="C1074" s="397" t="s">
        <v>136</v>
      </c>
      <c r="D1074" s="382" t="s">
        <v>26</v>
      </c>
      <c r="E1074" s="382" t="s">
        <v>27</v>
      </c>
      <c r="F1074" s="440" t="s">
        <v>465</v>
      </c>
      <c r="G1074" s="411">
        <v>5.8370968240200008E-2</v>
      </c>
      <c r="H1074" s="411" t="str">
        <f t="shared" si="350"/>
        <v/>
      </c>
      <c r="I1074" s="411" t="str">
        <f t="shared" si="351"/>
        <v/>
      </c>
      <c r="J1074" s="411" t="str">
        <f t="shared" si="352"/>
        <v/>
      </c>
      <c r="K1074" s="411">
        <f t="shared" si="353"/>
        <v>5.8370968240200008E-2</v>
      </c>
      <c r="L1074" s="411">
        <f t="shared" si="348"/>
        <v>1</v>
      </c>
      <c r="M1074" s="409"/>
      <c r="N1074" s="409"/>
      <c r="O1074" s="409"/>
      <c r="P1074" s="409">
        <v>1</v>
      </c>
      <c r="Q1074" s="382"/>
      <c r="R1074" s="385" t="str">
        <f t="shared" si="335"/>
        <v>T</v>
      </c>
      <c r="S1074" s="389"/>
      <c r="T1074" s="389"/>
      <c r="U1074" s="389"/>
      <c r="V1074" s="389"/>
      <c r="W1074" s="389"/>
      <c r="X1074" s="389"/>
      <c r="Y1074" s="389"/>
      <c r="Z1074" s="389"/>
      <c r="AA1074" s="389"/>
      <c r="AB1074" s="389"/>
      <c r="AC1074" s="389"/>
      <c r="AD1074" s="389"/>
      <c r="AE1074" s="389"/>
      <c r="AF1074" s="389"/>
    </row>
    <row r="1075" spans="1:37" hidden="1" outlineLevel="3">
      <c r="A1075" s="382"/>
      <c r="B1075" s="382" t="s">
        <v>490</v>
      </c>
      <c r="C1075" s="397" t="s">
        <v>136</v>
      </c>
      <c r="D1075" s="382" t="s">
        <v>26</v>
      </c>
      <c r="E1075" s="382" t="s">
        <v>27</v>
      </c>
      <c r="F1075" s="440" t="s">
        <v>466</v>
      </c>
      <c r="G1075" s="411">
        <v>5.8370968240200008E-2</v>
      </c>
      <c r="H1075" s="411" t="str">
        <f t="shared" si="350"/>
        <v/>
      </c>
      <c r="I1075" s="411" t="str">
        <f t="shared" si="351"/>
        <v/>
      </c>
      <c r="J1075" s="411" t="str">
        <f t="shared" si="352"/>
        <v/>
      </c>
      <c r="K1075" s="411">
        <f t="shared" si="353"/>
        <v>5.8370968240200008E-2</v>
      </c>
      <c r="L1075" s="411">
        <f t="shared" si="348"/>
        <v>1</v>
      </c>
      <c r="M1075" s="409"/>
      <c r="N1075" s="409"/>
      <c r="O1075" s="409"/>
      <c r="P1075" s="409">
        <v>1</v>
      </c>
      <c r="Q1075" s="382"/>
      <c r="R1075" s="385" t="str">
        <f t="shared" si="335"/>
        <v>T</v>
      </c>
      <c r="S1075" s="389"/>
      <c r="T1075" s="389"/>
      <c r="U1075" s="389"/>
      <c r="V1075" s="389"/>
      <c r="W1075" s="389"/>
      <c r="X1075" s="389"/>
      <c r="Y1075" s="389"/>
      <c r="Z1075" s="389"/>
      <c r="AA1075" s="389"/>
      <c r="AB1075" s="389"/>
      <c r="AC1075" s="389"/>
      <c r="AD1075" s="389"/>
      <c r="AE1075" s="389"/>
      <c r="AF1075" s="389"/>
    </row>
    <row r="1076" spans="1:37" hidden="1" outlineLevel="3">
      <c r="A1076" s="382"/>
      <c r="B1076" s="382" t="s">
        <v>490</v>
      </c>
      <c r="C1076" s="397" t="s">
        <v>136</v>
      </c>
      <c r="D1076" s="382" t="s">
        <v>26</v>
      </c>
      <c r="E1076" s="382" t="s">
        <v>27</v>
      </c>
      <c r="F1076" s="440" t="s">
        <v>467</v>
      </c>
      <c r="G1076" s="411">
        <v>5.8370968240200008E-2</v>
      </c>
      <c r="H1076" s="411" t="str">
        <f t="shared" si="350"/>
        <v/>
      </c>
      <c r="I1076" s="411" t="str">
        <f t="shared" si="351"/>
        <v/>
      </c>
      <c r="J1076" s="411" t="str">
        <f t="shared" si="352"/>
        <v/>
      </c>
      <c r="K1076" s="411">
        <f t="shared" si="353"/>
        <v>5.8370968240200008E-2</v>
      </c>
      <c r="L1076" s="411">
        <f t="shared" si="348"/>
        <v>1</v>
      </c>
      <c r="M1076" s="409"/>
      <c r="N1076" s="409"/>
      <c r="O1076" s="409"/>
      <c r="P1076" s="409">
        <v>1</v>
      </c>
      <c r="Q1076" s="382"/>
      <c r="R1076" s="385" t="str">
        <f t="shared" si="335"/>
        <v>T</v>
      </c>
      <c r="S1076" s="389"/>
      <c r="T1076" s="389"/>
      <c r="U1076" s="389"/>
      <c r="V1076" s="389"/>
      <c r="W1076" s="389"/>
      <c r="X1076" s="389"/>
      <c r="Y1076" s="389"/>
      <c r="Z1076" s="389"/>
      <c r="AA1076" s="389"/>
      <c r="AB1076" s="389"/>
      <c r="AC1076" s="389"/>
      <c r="AD1076" s="389"/>
      <c r="AE1076" s="389"/>
      <c r="AF1076" s="389"/>
    </row>
    <row r="1077" spans="1:37" hidden="1" outlineLevel="3">
      <c r="A1077" s="382"/>
      <c r="B1077" s="382" t="s">
        <v>490</v>
      </c>
      <c r="C1077" s="397" t="s">
        <v>136</v>
      </c>
      <c r="D1077" s="382" t="s">
        <v>26</v>
      </c>
      <c r="E1077" s="382" t="s">
        <v>27</v>
      </c>
      <c r="F1077" s="440" t="s">
        <v>205</v>
      </c>
      <c r="G1077" s="411">
        <v>4.3196903441999987E-2</v>
      </c>
      <c r="H1077" s="411" t="str">
        <f t="shared" ref="H1077:I1080" si="354">IF(M1077=1,$G1077,"")</f>
        <v/>
      </c>
      <c r="I1077" s="411" t="str">
        <f t="shared" si="354"/>
        <v/>
      </c>
      <c r="J1077" s="411">
        <f t="shared" si="352"/>
        <v>4.3196903441999987E-2</v>
      </c>
      <c r="K1077" s="411" t="str">
        <f>IF(P1077=1,$G1077,"")</f>
        <v/>
      </c>
      <c r="L1077" s="411">
        <f t="shared" si="348"/>
        <v>1</v>
      </c>
      <c r="M1077" s="409"/>
      <c r="N1077" s="409"/>
      <c r="O1077" s="409">
        <v>1</v>
      </c>
      <c r="P1077" s="409"/>
      <c r="Q1077" s="382"/>
      <c r="R1077" s="385" t="str">
        <f t="shared" si="335"/>
        <v>T</v>
      </c>
      <c r="S1077" s="389"/>
      <c r="T1077" s="389"/>
      <c r="U1077" s="389"/>
      <c r="V1077" s="389"/>
      <c r="W1077" s="389"/>
      <c r="X1077" s="389"/>
      <c r="Y1077" s="389"/>
      <c r="Z1077" s="389"/>
      <c r="AA1077" s="389"/>
      <c r="AB1077" s="389"/>
      <c r="AC1077" s="389"/>
      <c r="AD1077" s="389"/>
      <c r="AE1077" s="389"/>
      <c r="AF1077" s="389"/>
    </row>
    <row r="1078" spans="1:37" hidden="1" outlineLevel="3">
      <c r="A1078" s="382"/>
      <c r="B1078" s="382" t="s">
        <v>490</v>
      </c>
      <c r="C1078" s="397" t="s">
        <v>136</v>
      </c>
      <c r="D1078" s="382" t="s">
        <v>26</v>
      </c>
      <c r="E1078" s="382" t="s">
        <v>27</v>
      </c>
      <c r="F1078" s="440" t="s">
        <v>495</v>
      </c>
      <c r="G1078" s="411">
        <v>6.170986205999999E-3</v>
      </c>
      <c r="H1078" s="411" t="str">
        <f t="shared" si="354"/>
        <v/>
      </c>
      <c r="I1078" s="411" t="str">
        <f t="shared" si="354"/>
        <v/>
      </c>
      <c r="J1078" s="411" t="str">
        <f>IF(O1078=1,$G1078,"")</f>
        <v/>
      </c>
      <c r="K1078" s="411">
        <f>IF(P1078=1,$G1078,"")</f>
        <v>6.170986205999999E-3</v>
      </c>
      <c r="L1078" s="411">
        <f t="shared" si="348"/>
        <v>1</v>
      </c>
      <c r="M1078" s="409"/>
      <c r="N1078" s="409"/>
      <c r="O1078" s="409"/>
      <c r="P1078" s="409">
        <v>1</v>
      </c>
      <c r="Q1078" s="382"/>
      <c r="R1078" s="385" t="str">
        <f t="shared" si="335"/>
        <v>T</v>
      </c>
      <c r="S1078" s="389"/>
      <c r="T1078" s="389"/>
      <c r="U1078" s="389"/>
      <c r="V1078" s="389"/>
      <c r="W1078" s="389"/>
      <c r="X1078" s="389"/>
      <c r="Y1078" s="389"/>
      <c r="Z1078" s="389"/>
      <c r="AA1078" s="389"/>
      <c r="AB1078" s="389"/>
      <c r="AC1078" s="389"/>
      <c r="AD1078" s="389"/>
      <c r="AE1078" s="389"/>
      <c r="AF1078" s="389"/>
    </row>
    <row r="1079" spans="1:37" hidden="1" outlineLevel="3">
      <c r="A1079" s="382"/>
      <c r="B1079" s="382" t="s">
        <v>490</v>
      </c>
      <c r="C1079" s="397" t="s">
        <v>136</v>
      </c>
      <c r="D1079" s="382" t="s">
        <v>26</v>
      </c>
      <c r="E1079" s="382" t="s">
        <v>27</v>
      </c>
      <c r="F1079" s="440" t="s">
        <v>496</v>
      </c>
      <c r="G1079" s="411">
        <v>6.170986205999999E-3</v>
      </c>
      <c r="H1079" s="411" t="str">
        <f t="shared" si="354"/>
        <v/>
      </c>
      <c r="I1079" s="411" t="str">
        <f t="shared" si="354"/>
        <v/>
      </c>
      <c r="J1079" s="411" t="str">
        <f>IF(O1079=1,$G1079,"")</f>
        <v/>
      </c>
      <c r="K1079" s="411">
        <f>IF(P1079=1,$G1079,"")</f>
        <v>6.170986205999999E-3</v>
      </c>
      <c r="L1079" s="411">
        <f t="shared" si="348"/>
        <v>1</v>
      </c>
      <c r="M1079" s="409"/>
      <c r="N1079" s="409"/>
      <c r="O1079" s="409"/>
      <c r="P1079" s="409">
        <v>1</v>
      </c>
      <c r="Q1079" s="382"/>
      <c r="R1079" s="385" t="str">
        <f t="shared" si="335"/>
        <v>T</v>
      </c>
      <c r="S1079" s="389"/>
      <c r="T1079" s="389"/>
      <c r="U1079" s="389"/>
      <c r="V1079" s="389"/>
      <c r="W1079" s="389"/>
      <c r="X1079" s="389"/>
      <c r="Y1079" s="389"/>
      <c r="Z1079" s="389"/>
      <c r="AA1079" s="389"/>
      <c r="AB1079" s="389"/>
      <c r="AC1079" s="389"/>
      <c r="AD1079" s="389"/>
      <c r="AE1079" s="389"/>
      <c r="AF1079" s="389"/>
    </row>
    <row r="1080" spans="1:37" hidden="1" outlineLevel="3">
      <c r="A1080" s="382"/>
      <c r="B1080" s="382" t="s">
        <v>490</v>
      </c>
      <c r="C1080" s="397" t="s">
        <v>136</v>
      </c>
      <c r="D1080" s="382" t="s">
        <v>26</v>
      </c>
      <c r="E1080" s="382" t="s">
        <v>27</v>
      </c>
      <c r="F1080" s="440" t="s">
        <v>98</v>
      </c>
      <c r="G1080" s="411">
        <v>5.372744947636364E-3</v>
      </c>
      <c r="H1080" s="411" t="str">
        <f t="shared" si="354"/>
        <v/>
      </c>
      <c r="I1080" s="411" t="str">
        <f t="shared" si="354"/>
        <v/>
      </c>
      <c r="J1080" s="411" t="str">
        <f>IF(O1080=1,$G1080,"")</f>
        <v/>
      </c>
      <c r="K1080" s="411">
        <f>IF(P1080=1,$G1080,"")</f>
        <v>5.372744947636364E-3</v>
      </c>
      <c r="L1080" s="411">
        <f t="shared" si="348"/>
        <v>1</v>
      </c>
      <c r="M1080" s="409"/>
      <c r="N1080" s="409"/>
      <c r="O1080" s="409"/>
      <c r="P1080" s="409">
        <v>1</v>
      </c>
      <c r="Q1080" s="382"/>
      <c r="R1080" s="385" t="str">
        <f t="shared" si="335"/>
        <v>T</v>
      </c>
      <c r="S1080" s="389"/>
      <c r="T1080" s="389"/>
      <c r="U1080" s="389"/>
      <c r="V1080" s="389"/>
      <c r="W1080" s="389"/>
      <c r="X1080" s="389"/>
      <c r="Y1080" s="389"/>
      <c r="Z1080" s="389"/>
      <c r="AA1080" s="389"/>
      <c r="AB1080" s="389"/>
      <c r="AC1080" s="389"/>
      <c r="AD1080" s="389"/>
      <c r="AE1080" s="389"/>
      <c r="AF1080" s="389"/>
    </row>
    <row r="1081" spans="1:37" s="413" customFormat="1" hidden="1" outlineLevel="2" collapsed="1">
      <c r="A1081" s="382"/>
      <c r="B1081" s="382" t="s">
        <v>490</v>
      </c>
      <c r="C1081" s="397" t="s">
        <v>136</v>
      </c>
      <c r="D1081" s="382" t="s">
        <v>28</v>
      </c>
      <c r="E1081" s="382"/>
      <c r="F1081" s="440" t="s">
        <v>489</v>
      </c>
      <c r="G1081" s="411">
        <f>SUM(G1082:G1099)</f>
        <v>0.68256161258670001</v>
      </c>
      <c r="H1081" s="411">
        <f>SUM(H1082:H1099)</f>
        <v>0.2480352735861</v>
      </c>
      <c r="I1081" s="411">
        <f>SUM(I1082:I1099)</f>
        <v>0.19493700714180001</v>
      </c>
      <c r="J1081" s="411">
        <f>SUM(J1082:J1099)</f>
        <v>8.9022561843599995E-2</v>
      </c>
      <c r="K1081" s="411">
        <f>SUM(K1082:K1099)</f>
        <v>0.15056677001520002</v>
      </c>
      <c r="L1081" s="411">
        <f t="shared" si="348"/>
        <v>18</v>
      </c>
      <c r="M1081" s="409">
        <f>SUM(M1082:M1099)</f>
        <v>5</v>
      </c>
      <c r="N1081" s="409">
        <f>SUM(N1082:N1099)</f>
        <v>3</v>
      </c>
      <c r="O1081" s="409">
        <f>SUM(O1082:O1099)</f>
        <v>3</v>
      </c>
      <c r="P1081" s="409">
        <f>SUM(P1082:P1099)</f>
        <v>7</v>
      </c>
      <c r="Q1081" s="382"/>
      <c r="R1081" s="385" t="str">
        <f t="shared" si="335"/>
        <v>T</v>
      </c>
      <c r="S1081" s="389"/>
      <c r="T1081" s="389"/>
      <c r="U1081" s="389"/>
      <c r="V1081" s="389"/>
      <c r="W1081" s="389"/>
      <c r="X1081" s="389"/>
      <c r="Y1081" s="389"/>
      <c r="Z1081" s="389"/>
      <c r="AA1081" s="389"/>
      <c r="AB1081" s="389"/>
      <c r="AC1081" s="389"/>
      <c r="AD1081" s="389"/>
      <c r="AE1081" s="389"/>
      <c r="AF1081" s="389"/>
      <c r="AG1081" s="383"/>
      <c r="AH1081" s="383"/>
      <c r="AI1081" s="383"/>
      <c r="AJ1081" s="383"/>
      <c r="AK1081" s="383"/>
    </row>
    <row r="1082" spans="1:37" s="413" customFormat="1" hidden="1" outlineLevel="3">
      <c r="A1082" s="382"/>
      <c r="B1082" s="382" t="s">
        <v>490</v>
      </c>
      <c r="C1082" s="397" t="s">
        <v>136</v>
      </c>
      <c r="D1082" s="382" t="s">
        <v>28</v>
      </c>
      <c r="E1082" s="382" t="s">
        <v>29</v>
      </c>
      <c r="F1082" s="440" t="s">
        <v>32</v>
      </c>
      <c r="G1082" s="411">
        <v>3.5924295399299998E-2</v>
      </c>
      <c r="H1082" s="411">
        <f t="shared" ref="H1082:H1099" si="355">IF(M1082=1,$G1082,"")</f>
        <v>3.5924295399299998E-2</v>
      </c>
      <c r="I1082" s="411" t="str">
        <f t="shared" ref="I1082:I1099" si="356">IF(N1082=1,$G1082,"")</f>
        <v/>
      </c>
      <c r="J1082" s="411" t="str">
        <f t="shared" ref="J1082:J1099" si="357">IF(O1082=1,$G1082,"")</f>
        <v/>
      </c>
      <c r="K1082" s="411" t="str">
        <f t="shared" ref="K1082:K1099" si="358">IF(P1082=1,$G1082,"")</f>
        <v/>
      </c>
      <c r="L1082" s="411">
        <f t="shared" si="348"/>
        <v>1</v>
      </c>
      <c r="M1082" s="409">
        <v>1</v>
      </c>
      <c r="N1082" s="409"/>
      <c r="O1082" s="409"/>
      <c r="P1082" s="409"/>
      <c r="Q1082" s="382"/>
      <c r="R1082" s="385" t="str">
        <f t="shared" ref="R1082:R1140" si="359">IF(SUM(M1082:P1082)=L1082,"T","F")</f>
        <v>T</v>
      </c>
      <c r="S1082" s="389"/>
      <c r="T1082" s="389"/>
      <c r="U1082" s="389"/>
      <c r="V1082" s="389"/>
      <c r="W1082" s="389"/>
      <c r="X1082" s="389"/>
      <c r="Y1082" s="389"/>
      <c r="Z1082" s="389"/>
      <c r="AA1082" s="389"/>
      <c r="AB1082" s="389"/>
      <c r="AC1082" s="389"/>
      <c r="AD1082" s="389"/>
      <c r="AE1082" s="389"/>
      <c r="AF1082" s="389"/>
      <c r="AG1082" s="383"/>
      <c r="AH1082" s="383"/>
      <c r="AI1082" s="383"/>
      <c r="AJ1082" s="383"/>
      <c r="AK1082" s="383"/>
    </row>
    <row r="1083" spans="1:37" s="413" customFormat="1" hidden="1" outlineLevel="3">
      <c r="A1083" s="382" t="s">
        <v>497</v>
      </c>
      <c r="B1083" s="382" t="s">
        <v>490</v>
      </c>
      <c r="C1083" s="397" t="s">
        <v>136</v>
      </c>
      <c r="D1083" s="382" t="s">
        <v>28</v>
      </c>
      <c r="E1083" s="382" t="s">
        <v>29</v>
      </c>
      <c r="F1083" s="440" t="s">
        <v>493</v>
      </c>
      <c r="G1083" s="411">
        <v>7.1848590798599996E-2</v>
      </c>
      <c r="H1083" s="411">
        <f t="shared" si="355"/>
        <v>7.1848590798599996E-2</v>
      </c>
      <c r="I1083" s="411" t="str">
        <f t="shared" si="356"/>
        <v/>
      </c>
      <c r="J1083" s="411" t="str">
        <f t="shared" si="357"/>
        <v/>
      </c>
      <c r="K1083" s="411" t="str">
        <f t="shared" si="358"/>
        <v/>
      </c>
      <c r="L1083" s="411">
        <f>SUM(M1083:P1083)</f>
        <v>1</v>
      </c>
      <c r="M1083" s="409">
        <v>1</v>
      </c>
      <c r="N1083" s="409"/>
      <c r="O1083" s="409"/>
      <c r="P1083" s="409"/>
      <c r="Q1083" s="382"/>
      <c r="R1083" s="385" t="str">
        <f>IF(SUM(M1083:P1083)=L1083,"T","F")</f>
        <v>T</v>
      </c>
      <c r="S1083" s="389"/>
      <c r="T1083" s="389"/>
      <c r="U1083" s="389"/>
      <c r="V1083" s="389"/>
      <c r="W1083" s="389"/>
      <c r="X1083" s="389"/>
      <c r="Y1083" s="389"/>
      <c r="Z1083" s="389"/>
      <c r="AA1083" s="389"/>
      <c r="AB1083" s="389"/>
      <c r="AC1083" s="389"/>
      <c r="AD1083" s="389"/>
      <c r="AE1083" s="389"/>
      <c r="AF1083" s="389"/>
      <c r="AG1083" s="383"/>
      <c r="AH1083" s="383"/>
      <c r="AI1083" s="383"/>
      <c r="AJ1083" s="383"/>
      <c r="AK1083" s="383"/>
    </row>
    <row r="1084" spans="1:37" s="413" customFormat="1" hidden="1" outlineLevel="3">
      <c r="A1084" s="382"/>
      <c r="B1084" s="382" t="s">
        <v>490</v>
      </c>
      <c r="C1084" s="397" t="s">
        <v>136</v>
      </c>
      <c r="D1084" s="382" t="s">
        <v>28</v>
      </c>
      <c r="E1084" s="382" t="s">
        <v>29</v>
      </c>
      <c r="F1084" s="440" t="s">
        <v>34</v>
      </c>
      <c r="G1084" s="411">
        <v>7.1848590798599996E-2</v>
      </c>
      <c r="H1084" s="411">
        <f t="shared" si="355"/>
        <v>7.1848590798599996E-2</v>
      </c>
      <c r="I1084" s="411" t="str">
        <f t="shared" si="356"/>
        <v/>
      </c>
      <c r="J1084" s="411" t="str">
        <f t="shared" si="357"/>
        <v/>
      </c>
      <c r="K1084" s="411" t="str">
        <f t="shared" si="358"/>
        <v/>
      </c>
      <c r="L1084" s="411">
        <f t="shared" si="348"/>
        <v>1</v>
      </c>
      <c r="M1084" s="409">
        <v>1</v>
      </c>
      <c r="N1084" s="409"/>
      <c r="O1084" s="409"/>
      <c r="P1084" s="409"/>
      <c r="Q1084" s="382"/>
      <c r="R1084" s="385" t="str">
        <f t="shared" si="359"/>
        <v>T</v>
      </c>
      <c r="S1084" s="389"/>
      <c r="T1084" s="389"/>
      <c r="U1084" s="389"/>
      <c r="V1084" s="389"/>
      <c r="W1084" s="389"/>
      <c r="X1084" s="389"/>
      <c r="Y1084" s="389"/>
      <c r="Z1084" s="389"/>
      <c r="AA1084" s="389"/>
      <c r="AB1084" s="389"/>
      <c r="AC1084" s="389"/>
      <c r="AD1084" s="389"/>
      <c r="AE1084" s="389"/>
      <c r="AF1084" s="389"/>
      <c r="AG1084" s="383"/>
      <c r="AH1084" s="383"/>
      <c r="AI1084" s="383"/>
      <c r="AJ1084" s="383"/>
      <c r="AK1084" s="383"/>
    </row>
    <row r="1085" spans="1:37" s="413" customFormat="1" hidden="1" outlineLevel="3">
      <c r="A1085" s="382"/>
      <c r="B1085" s="382" t="s">
        <v>490</v>
      </c>
      <c r="C1085" s="397" t="s">
        <v>136</v>
      </c>
      <c r="D1085" s="382" t="s">
        <v>28</v>
      </c>
      <c r="E1085" s="382" t="s">
        <v>29</v>
      </c>
      <c r="F1085" s="440" t="s">
        <v>471</v>
      </c>
      <c r="G1085" s="411">
        <v>3.5924295399299998E-2</v>
      </c>
      <c r="H1085" s="411">
        <f t="shared" si="355"/>
        <v>3.5924295399299998E-2</v>
      </c>
      <c r="I1085" s="411" t="str">
        <f t="shared" si="356"/>
        <v/>
      </c>
      <c r="J1085" s="411" t="str">
        <f t="shared" si="357"/>
        <v/>
      </c>
      <c r="K1085" s="411" t="str">
        <f t="shared" si="358"/>
        <v/>
      </c>
      <c r="L1085" s="411">
        <f t="shared" si="348"/>
        <v>1</v>
      </c>
      <c r="M1085" s="409">
        <v>1</v>
      </c>
      <c r="N1085" s="409"/>
      <c r="O1085" s="409"/>
      <c r="P1085" s="409"/>
      <c r="Q1085" s="382"/>
      <c r="R1085" s="385" t="str">
        <f t="shared" si="359"/>
        <v>T</v>
      </c>
      <c r="S1085" s="389"/>
      <c r="T1085" s="389"/>
      <c r="U1085" s="389"/>
      <c r="V1085" s="389"/>
      <c r="W1085" s="389"/>
      <c r="X1085" s="389"/>
      <c r="Y1085" s="389"/>
      <c r="Z1085" s="389"/>
      <c r="AA1085" s="389"/>
      <c r="AB1085" s="389"/>
      <c r="AC1085" s="389"/>
      <c r="AD1085" s="389"/>
      <c r="AE1085" s="389"/>
      <c r="AF1085" s="389"/>
      <c r="AG1085" s="383"/>
      <c r="AH1085" s="383"/>
      <c r="AI1085" s="383"/>
      <c r="AJ1085" s="383"/>
      <c r="AK1085" s="383"/>
    </row>
    <row r="1086" spans="1:37" s="413" customFormat="1" hidden="1" outlineLevel="3">
      <c r="A1086" s="382"/>
      <c r="B1086" s="382" t="s">
        <v>490</v>
      </c>
      <c r="C1086" s="397" t="s">
        <v>136</v>
      </c>
      <c r="D1086" s="382" t="s">
        <v>28</v>
      </c>
      <c r="E1086" s="382" t="s">
        <v>29</v>
      </c>
      <c r="F1086" s="440" t="s">
        <v>458</v>
      </c>
      <c r="G1086" s="411">
        <v>9.7468503570900006E-2</v>
      </c>
      <c r="H1086" s="411" t="str">
        <f t="shared" si="355"/>
        <v/>
      </c>
      <c r="I1086" s="411">
        <f t="shared" si="356"/>
        <v>9.7468503570900006E-2</v>
      </c>
      <c r="J1086" s="411" t="str">
        <f t="shared" si="357"/>
        <v/>
      </c>
      <c r="K1086" s="411" t="str">
        <f t="shared" si="358"/>
        <v/>
      </c>
      <c r="L1086" s="411">
        <f t="shared" si="348"/>
        <v>1</v>
      </c>
      <c r="M1086" s="409"/>
      <c r="N1086" s="409">
        <v>1</v>
      </c>
      <c r="O1086" s="409"/>
      <c r="P1086" s="409"/>
      <c r="Q1086" s="382"/>
      <c r="R1086" s="385" t="str">
        <f t="shared" si="359"/>
        <v>T</v>
      </c>
      <c r="S1086" s="389"/>
      <c r="T1086" s="389"/>
      <c r="U1086" s="389"/>
      <c r="V1086" s="389"/>
      <c r="W1086" s="389"/>
      <c r="X1086" s="389"/>
      <c r="Y1086" s="389"/>
      <c r="Z1086" s="389"/>
      <c r="AA1086" s="389"/>
      <c r="AB1086" s="389"/>
      <c r="AC1086" s="389"/>
      <c r="AD1086" s="389"/>
      <c r="AE1086" s="389"/>
      <c r="AF1086" s="389"/>
      <c r="AG1086" s="383"/>
      <c r="AH1086" s="383"/>
      <c r="AI1086" s="383"/>
      <c r="AJ1086" s="383"/>
      <c r="AK1086" s="383"/>
    </row>
    <row r="1087" spans="1:37" s="413" customFormat="1" hidden="1" outlineLevel="3">
      <c r="A1087" s="382"/>
      <c r="B1087" s="382" t="s">
        <v>490</v>
      </c>
      <c r="C1087" s="397" t="s">
        <v>136</v>
      </c>
      <c r="D1087" s="382" t="s">
        <v>28</v>
      </c>
      <c r="E1087" s="382" t="s">
        <v>29</v>
      </c>
      <c r="F1087" s="440" t="s">
        <v>459</v>
      </c>
      <c r="G1087" s="411">
        <v>3.2489501190300002E-2</v>
      </c>
      <c r="H1087" s="411" t="str">
        <f t="shared" si="355"/>
        <v/>
      </c>
      <c r="I1087" s="411">
        <f t="shared" si="356"/>
        <v>3.2489501190300002E-2</v>
      </c>
      <c r="J1087" s="411" t="str">
        <f t="shared" si="357"/>
        <v/>
      </c>
      <c r="K1087" s="411" t="str">
        <f t="shared" si="358"/>
        <v/>
      </c>
      <c r="L1087" s="411">
        <f t="shared" si="348"/>
        <v>1</v>
      </c>
      <c r="M1087" s="409"/>
      <c r="N1087" s="409">
        <v>1</v>
      </c>
      <c r="O1087" s="409"/>
      <c r="P1087" s="409"/>
      <c r="Q1087" s="382"/>
      <c r="R1087" s="385" t="str">
        <f t="shared" si="359"/>
        <v>T</v>
      </c>
      <c r="S1087" s="389"/>
      <c r="T1087" s="389"/>
      <c r="U1087" s="389"/>
      <c r="V1087" s="389"/>
      <c r="W1087" s="389"/>
      <c r="X1087" s="389"/>
      <c r="Y1087" s="389"/>
      <c r="Z1087" s="389"/>
      <c r="AA1087" s="389"/>
      <c r="AB1087" s="389"/>
      <c r="AC1087" s="389"/>
      <c r="AD1087" s="389"/>
      <c r="AE1087" s="389"/>
      <c r="AF1087" s="389"/>
      <c r="AG1087" s="383"/>
      <c r="AH1087" s="383"/>
      <c r="AI1087" s="383"/>
      <c r="AJ1087" s="383"/>
      <c r="AK1087" s="383"/>
    </row>
    <row r="1088" spans="1:37" s="413" customFormat="1" hidden="1" outlineLevel="3">
      <c r="A1088" s="382"/>
      <c r="B1088" s="382" t="s">
        <v>490</v>
      </c>
      <c r="C1088" s="397" t="s">
        <v>136</v>
      </c>
      <c r="D1088" s="382" t="s">
        <v>28</v>
      </c>
      <c r="E1088" s="382" t="s">
        <v>29</v>
      </c>
      <c r="F1088" s="440" t="s">
        <v>473</v>
      </c>
      <c r="G1088" s="411">
        <v>6.4979002380600004E-2</v>
      </c>
      <c r="H1088" s="411" t="str">
        <f t="shared" si="355"/>
        <v/>
      </c>
      <c r="I1088" s="411">
        <f t="shared" si="356"/>
        <v>6.4979002380600004E-2</v>
      </c>
      <c r="J1088" s="411" t="str">
        <f t="shared" si="357"/>
        <v/>
      </c>
      <c r="K1088" s="411" t="str">
        <f t="shared" si="358"/>
        <v/>
      </c>
      <c r="L1088" s="411">
        <f t="shared" si="348"/>
        <v>1</v>
      </c>
      <c r="M1088" s="409"/>
      <c r="N1088" s="409">
        <v>1</v>
      </c>
      <c r="O1088" s="409"/>
      <c r="P1088" s="409"/>
      <c r="Q1088" s="382"/>
      <c r="R1088" s="385" t="str">
        <f t="shared" si="359"/>
        <v>T</v>
      </c>
      <c r="S1088" s="389"/>
      <c r="T1088" s="389"/>
      <c r="U1088" s="389"/>
      <c r="V1088" s="389"/>
      <c r="W1088" s="389"/>
      <c r="X1088" s="389"/>
      <c r="Y1088" s="389"/>
      <c r="Z1088" s="389"/>
      <c r="AA1088" s="389"/>
      <c r="AB1088" s="389"/>
      <c r="AC1088" s="389"/>
      <c r="AD1088" s="389"/>
      <c r="AE1088" s="389"/>
      <c r="AF1088" s="389"/>
      <c r="AG1088" s="383"/>
      <c r="AH1088" s="383"/>
      <c r="AI1088" s="383"/>
      <c r="AJ1088" s="383"/>
      <c r="AK1088" s="383"/>
    </row>
    <row r="1089" spans="1:37" s="413" customFormat="1" hidden="1" outlineLevel="3">
      <c r="A1089" s="382"/>
      <c r="B1089" s="382" t="s">
        <v>490</v>
      </c>
      <c r="C1089" s="397" t="s">
        <v>136</v>
      </c>
      <c r="D1089" s="382" t="s">
        <v>28</v>
      </c>
      <c r="E1089" s="382" t="s">
        <v>29</v>
      </c>
      <c r="F1089" s="440" t="s">
        <v>460</v>
      </c>
      <c r="G1089" s="411">
        <v>3.2489501190300002E-2</v>
      </c>
      <c r="H1089" s="411">
        <f t="shared" si="355"/>
        <v>3.2489501190300002E-2</v>
      </c>
      <c r="I1089" s="411" t="str">
        <f t="shared" si="356"/>
        <v/>
      </c>
      <c r="J1089" s="411" t="str">
        <f t="shared" si="357"/>
        <v/>
      </c>
      <c r="K1089" s="411" t="str">
        <f t="shared" si="358"/>
        <v/>
      </c>
      <c r="L1089" s="411">
        <f t="shared" si="348"/>
        <v>1</v>
      </c>
      <c r="M1089" s="409">
        <v>1</v>
      </c>
      <c r="N1089" s="409"/>
      <c r="O1089" s="409"/>
      <c r="P1089" s="409"/>
      <c r="Q1089" s="382"/>
      <c r="R1089" s="385" t="str">
        <f t="shared" si="359"/>
        <v>T</v>
      </c>
      <c r="S1089" s="389"/>
      <c r="T1089" s="389"/>
      <c r="U1089" s="389"/>
      <c r="V1089" s="389"/>
      <c r="W1089" s="389"/>
      <c r="X1089" s="389"/>
      <c r="Y1089" s="389"/>
      <c r="Z1089" s="389"/>
      <c r="AA1089" s="389"/>
      <c r="AB1089" s="389"/>
      <c r="AC1089" s="389"/>
      <c r="AD1089" s="389"/>
      <c r="AE1089" s="389"/>
      <c r="AF1089" s="389"/>
      <c r="AG1089" s="383"/>
      <c r="AH1089" s="383"/>
      <c r="AI1089" s="383"/>
      <c r="AJ1089" s="383"/>
      <c r="AK1089" s="383"/>
    </row>
    <row r="1090" spans="1:37" s="413" customFormat="1" hidden="1" outlineLevel="3">
      <c r="A1090" s="382"/>
      <c r="B1090" s="382" t="s">
        <v>490</v>
      </c>
      <c r="C1090" s="397" t="s">
        <v>136</v>
      </c>
      <c r="D1090" s="382" t="s">
        <v>28</v>
      </c>
      <c r="E1090" s="382" t="s">
        <v>29</v>
      </c>
      <c r="F1090" s="440" t="s">
        <v>462</v>
      </c>
      <c r="G1090" s="411">
        <v>3.2489501190300002E-2</v>
      </c>
      <c r="H1090" s="411" t="str">
        <f t="shared" si="355"/>
        <v/>
      </c>
      <c r="I1090" s="411" t="str">
        <f t="shared" si="356"/>
        <v/>
      </c>
      <c r="J1090" s="411">
        <f t="shared" si="357"/>
        <v>3.2489501190300002E-2</v>
      </c>
      <c r="K1090" s="411" t="str">
        <f t="shared" si="358"/>
        <v/>
      </c>
      <c r="L1090" s="411">
        <f t="shared" si="348"/>
        <v>1</v>
      </c>
      <c r="M1090" s="409"/>
      <c r="N1090" s="409"/>
      <c r="O1090" s="409">
        <v>1</v>
      </c>
      <c r="P1090" s="409"/>
      <c r="Q1090" s="382"/>
      <c r="R1090" s="385" t="str">
        <f t="shared" si="359"/>
        <v>T</v>
      </c>
      <c r="S1090" s="389"/>
      <c r="T1090" s="389"/>
      <c r="U1090" s="389"/>
      <c r="V1090" s="389"/>
      <c r="W1090" s="389"/>
      <c r="X1090" s="389"/>
      <c r="Y1090" s="389"/>
      <c r="Z1090" s="389"/>
      <c r="AA1090" s="389"/>
      <c r="AB1090" s="389"/>
      <c r="AC1090" s="389"/>
      <c r="AD1090" s="389"/>
      <c r="AE1090" s="389"/>
      <c r="AF1090" s="389"/>
      <c r="AG1090" s="383"/>
      <c r="AH1090" s="383"/>
      <c r="AI1090" s="383"/>
      <c r="AJ1090" s="383"/>
      <c r="AK1090" s="383"/>
    </row>
    <row r="1091" spans="1:37" s="413" customFormat="1" hidden="1" outlineLevel="3">
      <c r="A1091" s="382"/>
      <c r="B1091" s="382" t="s">
        <v>490</v>
      </c>
      <c r="C1091" s="397" t="s">
        <v>136</v>
      </c>
      <c r="D1091" s="382" t="s">
        <v>28</v>
      </c>
      <c r="E1091" s="382" t="s">
        <v>29</v>
      </c>
      <c r="F1091" s="440" t="s">
        <v>463</v>
      </c>
      <c r="G1091" s="411">
        <v>3.2489501190300002E-2</v>
      </c>
      <c r="H1091" s="411" t="str">
        <f t="shared" si="355"/>
        <v/>
      </c>
      <c r="I1091" s="411" t="str">
        <f t="shared" si="356"/>
        <v/>
      </c>
      <c r="J1091" s="411">
        <f t="shared" si="357"/>
        <v>3.2489501190300002E-2</v>
      </c>
      <c r="K1091" s="411" t="str">
        <f t="shared" si="358"/>
        <v/>
      </c>
      <c r="L1091" s="411">
        <f t="shared" si="348"/>
        <v>1</v>
      </c>
      <c r="M1091" s="409"/>
      <c r="N1091" s="409"/>
      <c r="O1091" s="409">
        <v>1</v>
      </c>
      <c r="P1091" s="409"/>
      <c r="Q1091" s="382"/>
      <c r="R1091" s="385" t="str">
        <f t="shared" si="359"/>
        <v>T</v>
      </c>
      <c r="S1091" s="389"/>
      <c r="T1091" s="389"/>
      <c r="U1091" s="389"/>
      <c r="V1091" s="389"/>
      <c r="W1091" s="389"/>
      <c r="X1091" s="389"/>
      <c r="Y1091" s="389"/>
      <c r="Z1091" s="389"/>
      <c r="AA1091" s="389"/>
      <c r="AB1091" s="389"/>
      <c r="AC1091" s="389"/>
      <c r="AD1091" s="389"/>
      <c r="AE1091" s="389"/>
      <c r="AF1091" s="389"/>
      <c r="AG1091" s="383"/>
      <c r="AH1091" s="383"/>
      <c r="AI1091" s="383"/>
      <c r="AJ1091" s="383"/>
      <c r="AK1091" s="383"/>
    </row>
    <row r="1092" spans="1:37" s="413" customFormat="1" hidden="1" outlineLevel="3">
      <c r="A1092" s="382"/>
      <c r="B1092" s="382" t="s">
        <v>490</v>
      </c>
      <c r="C1092" s="397" t="s">
        <v>136</v>
      </c>
      <c r="D1092" s="382" t="s">
        <v>28</v>
      </c>
      <c r="E1092" s="382" t="s">
        <v>29</v>
      </c>
      <c r="F1092" s="440" t="s">
        <v>464</v>
      </c>
      <c r="G1092" s="411">
        <v>3.2489501190300002E-2</v>
      </c>
      <c r="H1092" s="411" t="str">
        <f t="shared" si="355"/>
        <v/>
      </c>
      <c r="I1092" s="411" t="str">
        <f t="shared" si="356"/>
        <v/>
      </c>
      <c r="J1092" s="411" t="str">
        <f t="shared" si="357"/>
        <v/>
      </c>
      <c r="K1092" s="411">
        <f t="shared" si="358"/>
        <v>3.2489501190300002E-2</v>
      </c>
      <c r="L1092" s="411">
        <f t="shared" si="348"/>
        <v>1</v>
      </c>
      <c r="M1092" s="409"/>
      <c r="N1092" s="409"/>
      <c r="O1092" s="409"/>
      <c r="P1092" s="409">
        <v>1</v>
      </c>
      <c r="Q1092" s="382"/>
      <c r="R1092" s="385" t="str">
        <f t="shared" si="359"/>
        <v>T</v>
      </c>
      <c r="S1092" s="389"/>
      <c r="T1092" s="389"/>
      <c r="U1092" s="389"/>
      <c r="V1092" s="389"/>
      <c r="W1092" s="389"/>
      <c r="X1092" s="389"/>
      <c r="Y1092" s="389"/>
      <c r="Z1092" s="389"/>
      <c r="AA1092" s="389"/>
      <c r="AB1092" s="389"/>
      <c r="AC1092" s="389"/>
      <c r="AD1092" s="389"/>
      <c r="AE1092" s="389"/>
      <c r="AF1092" s="389"/>
      <c r="AG1092" s="383"/>
      <c r="AH1092" s="383"/>
      <c r="AI1092" s="383"/>
      <c r="AJ1092" s="383"/>
      <c r="AK1092" s="383"/>
    </row>
    <row r="1093" spans="1:37" s="413" customFormat="1" hidden="1" outlineLevel="3">
      <c r="A1093" s="382"/>
      <c r="B1093" s="382" t="s">
        <v>490</v>
      </c>
      <c r="C1093" s="397" t="s">
        <v>136</v>
      </c>
      <c r="D1093" s="382" t="s">
        <v>28</v>
      </c>
      <c r="E1093" s="382" t="s">
        <v>29</v>
      </c>
      <c r="F1093" s="440" t="s">
        <v>465</v>
      </c>
      <c r="G1093" s="411">
        <v>3.2489501190300002E-2</v>
      </c>
      <c r="H1093" s="411" t="str">
        <f t="shared" si="355"/>
        <v/>
      </c>
      <c r="I1093" s="411" t="str">
        <f t="shared" si="356"/>
        <v/>
      </c>
      <c r="J1093" s="411" t="str">
        <f t="shared" si="357"/>
        <v/>
      </c>
      <c r="K1093" s="411">
        <f t="shared" si="358"/>
        <v>3.2489501190300002E-2</v>
      </c>
      <c r="L1093" s="411">
        <f t="shared" si="348"/>
        <v>1</v>
      </c>
      <c r="M1093" s="409"/>
      <c r="N1093" s="409"/>
      <c r="O1093" s="409"/>
      <c r="P1093" s="409">
        <v>1</v>
      </c>
      <c r="Q1093" s="382"/>
      <c r="R1093" s="385" t="str">
        <f t="shared" si="359"/>
        <v>T</v>
      </c>
      <c r="S1093" s="389"/>
      <c r="T1093" s="389"/>
      <c r="U1093" s="389"/>
      <c r="V1093" s="389"/>
      <c r="W1093" s="389"/>
      <c r="X1093" s="389"/>
      <c r="Y1093" s="389"/>
      <c r="Z1093" s="389"/>
      <c r="AA1093" s="389"/>
      <c r="AB1093" s="389"/>
      <c r="AC1093" s="389"/>
      <c r="AD1093" s="389"/>
      <c r="AE1093" s="389"/>
      <c r="AF1093" s="389"/>
      <c r="AG1093" s="383"/>
      <c r="AH1093" s="383"/>
      <c r="AI1093" s="383"/>
      <c r="AJ1093" s="383"/>
      <c r="AK1093" s="383"/>
    </row>
    <row r="1094" spans="1:37" s="413" customFormat="1" hidden="1" outlineLevel="3">
      <c r="A1094" s="382"/>
      <c r="B1094" s="382" t="s">
        <v>490</v>
      </c>
      <c r="C1094" s="397" t="s">
        <v>136</v>
      </c>
      <c r="D1094" s="382" t="s">
        <v>28</v>
      </c>
      <c r="E1094" s="382" t="s">
        <v>29</v>
      </c>
      <c r="F1094" s="440" t="s">
        <v>466</v>
      </c>
      <c r="G1094" s="411">
        <v>3.2489501190300002E-2</v>
      </c>
      <c r="H1094" s="411" t="str">
        <f t="shared" si="355"/>
        <v/>
      </c>
      <c r="I1094" s="411" t="str">
        <f t="shared" si="356"/>
        <v/>
      </c>
      <c r="J1094" s="411" t="str">
        <f t="shared" si="357"/>
        <v/>
      </c>
      <c r="K1094" s="411">
        <f t="shared" si="358"/>
        <v>3.2489501190300002E-2</v>
      </c>
      <c r="L1094" s="411">
        <f t="shared" si="348"/>
        <v>1</v>
      </c>
      <c r="M1094" s="409"/>
      <c r="N1094" s="409"/>
      <c r="O1094" s="409"/>
      <c r="P1094" s="409">
        <v>1</v>
      </c>
      <c r="Q1094" s="382"/>
      <c r="R1094" s="385" t="str">
        <f t="shared" si="359"/>
        <v>T</v>
      </c>
      <c r="S1094" s="389"/>
      <c r="T1094" s="389"/>
      <c r="U1094" s="389"/>
      <c r="V1094" s="389"/>
      <c r="W1094" s="389"/>
      <c r="X1094" s="389"/>
      <c r="Y1094" s="389"/>
      <c r="Z1094" s="389"/>
      <c r="AA1094" s="389"/>
      <c r="AB1094" s="389"/>
      <c r="AC1094" s="389"/>
      <c r="AD1094" s="389"/>
      <c r="AE1094" s="389"/>
      <c r="AF1094" s="389"/>
      <c r="AG1094" s="383"/>
      <c r="AH1094" s="383"/>
      <c r="AI1094" s="383"/>
      <c r="AJ1094" s="383"/>
      <c r="AK1094" s="383"/>
    </row>
    <row r="1095" spans="1:37" s="413" customFormat="1" hidden="1" outlineLevel="3">
      <c r="A1095" s="382"/>
      <c r="B1095" s="382" t="s">
        <v>490</v>
      </c>
      <c r="C1095" s="397" t="s">
        <v>136</v>
      </c>
      <c r="D1095" s="382" t="s">
        <v>28</v>
      </c>
      <c r="E1095" s="382" t="s">
        <v>29</v>
      </c>
      <c r="F1095" s="440" t="s">
        <v>467</v>
      </c>
      <c r="G1095" s="411">
        <v>3.2489501190300002E-2</v>
      </c>
      <c r="H1095" s="411" t="str">
        <f t="shared" si="355"/>
        <v/>
      </c>
      <c r="I1095" s="411" t="str">
        <f t="shared" si="356"/>
        <v/>
      </c>
      <c r="J1095" s="411" t="str">
        <f t="shared" si="357"/>
        <v/>
      </c>
      <c r="K1095" s="411">
        <f t="shared" si="358"/>
        <v>3.2489501190300002E-2</v>
      </c>
      <c r="L1095" s="411">
        <f t="shared" si="348"/>
        <v>1</v>
      </c>
      <c r="M1095" s="409"/>
      <c r="N1095" s="409"/>
      <c r="O1095" s="409"/>
      <c r="P1095" s="409">
        <v>1</v>
      </c>
      <c r="Q1095" s="382"/>
      <c r="R1095" s="385" t="str">
        <f t="shared" si="359"/>
        <v>T</v>
      </c>
      <c r="S1095" s="389"/>
      <c r="T1095" s="389"/>
      <c r="U1095" s="389"/>
      <c r="V1095" s="389"/>
      <c r="W1095" s="389"/>
      <c r="X1095" s="389"/>
      <c r="Y1095" s="389"/>
      <c r="Z1095" s="389"/>
      <c r="AA1095" s="389"/>
      <c r="AB1095" s="389"/>
      <c r="AC1095" s="389"/>
      <c r="AD1095" s="389"/>
      <c r="AE1095" s="389"/>
      <c r="AF1095" s="389"/>
      <c r="AG1095" s="383"/>
      <c r="AH1095" s="383"/>
      <c r="AI1095" s="383"/>
      <c r="AJ1095" s="383"/>
      <c r="AK1095" s="383"/>
    </row>
    <row r="1096" spans="1:37" s="413" customFormat="1" hidden="1" outlineLevel="3">
      <c r="A1096" s="382"/>
      <c r="B1096" s="382" t="s">
        <v>490</v>
      </c>
      <c r="C1096" s="397" t="s">
        <v>136</v>
      </c>
      <c r="D1096" s="382" t="s">
        <v>28</v>
      </c>
      <c r="E1096" s="382" t="s">
        <v>29</v>
      </c>
      <c r="F1096" s="440" t="s">
        <v>205</v>
      </c>
      <c r="G1096" s="411">
        <v>2.4043559462999995E-2</v>
      </c>
      <c r="H1096" s="411" t="str">
        <f t="shared" si="355"/>
        <v/>
      </c>
      <c r="I1096" s="411" t="str">
        <f t="shared" si="356"/>
        <v/>
      </c>
      <c r="J1096" s="411">
        <f t="shared" si="357"/>
        <v>2.4043559462999995E-2</v>
      </c>
      <c r="K1096" s="411" t="str">
        <f t="shared" si="358"/>
        <v/>
      </c>
      <c r="L1096" s="411">
        <f t="shared" si="348"/>
        <v>1</v>
      </c>
      <c r="M1096" s="409"/>
      <c r="N1096" s="409"/>
      <c r="O1096" s="409">
        <v>1</v>
      </c>
      <c r="P1096" s="409"/>
      <c r="Q1096" s="382"/>
      <c r="R1096" s="385" t="str">
        <f t="shared" si="359"/>
        <v>T</v>
      </c>
      <c r="S1096" s="389"/>
      <c r="T1096" s="389"/>
      <c r="U1096" s="389"/>
      <c r="V1096" s="389"/>
      <c r="W1096" s="389"/>
      <c r="X1096" s="389"/>
      <c r="Y1096" s="389"/>
      <c r="Z1096" s="389"/>
      <c r="AA1096" s="389"/>
      <c r="AB1096" s="389"/>
      <c r="AC1096" s="389"/>
      <c r="AD1096" s="389"/>
      <c r="AE1096" s="389"/>
      <c r="AF1096" s="389"/>
      <c r="AG1096" s="383"/>
      <c r="AH1096" s="383"/>
      <c r="AI1096" s="383"/>
      <c r="AJ1096" s="383"/>
      <c r="AK1096" s="383"/>
    </row>
    <row r="1097" spans="1:37" s="413" customFormat="1" hidden="1" outlineLevel="3">
      <c r="A1097" s="382"/>
      <c r="B1097" s="382" t="s">
        <v>490</v>
      </c>
      <c r="C1097" s="397" t="s">
        <v>136</v>
      </c>
      <c r="D1097" s="382" t="s">
        <v>28</v>
      </c>
      <c r="E1097" s="382" t="s">
        <v>29</v>
      </c>
      <c r="F1097" s="440" t="s">
        <v>116</v>
      </c>
      <c r="G1097" s="411">
        <v>1.0304382626999998E-2</v>
      </c>
      <c r="H1097" s="411" t="str">
        <f t="shared" si="355"/>
        <v/>
      </c>
      <c r="I1097" s="411" t="str">
        <f t="shared" si="356"/>
        <v/>
      </c>
      <c r="J1097" s="411" t="str">
        <f t="shared" si="357"/>
        <v/>
      </c>
      <c r="K1097" s="411">
        <f t="shared" si="358"/>
        <v>1.0304382626999998E-2</v>
      </c>
      <c r="L1097" s="411">
        <f t="shared" si="348"/>
        <v>1</v>
      </c>
      <c r="M1097" s="409"/>
      <c r="N1097" s="409"/>
      <c r="O1097" s="409"/>
      <c r="P1097" s="409">
        <v>1</v>
      </c>
      <c r="Q1097" s="382"/>
      <c r="R1097" s="385" t="str">
        <f t="shared" si="359"/>
        <v>T</v>
      </c>
      <c r="S1097" s="389"/>
      <c r="T1097" s="389"/>
      <c r="U1097" s="389"/>
      <c r="V1097" s="389"/>
      <c r="W1097" s="389"/>
      <c r="X1097" s="389"/>
      <c r="Y1097" s="389"/>
      <c r="Z1097" s="389"/>
      <c r="AA1097" s="389"/>
      <c r="AB1097" s="389"/>
      <c r="AC1097" s="389"/>
      <c r="AD1097" s="389"/>
      <c r="AE1097" s="389"/>
      <c r="AF1097" s="389"/>
      <c r="AG1097" s="383"/>
      <c r="AH1097" s="383"/>
      <c r="AI1097" s="383"/>
      <c r="AJ1097" s="383"/>
      <c r="AK1097" s="383"/>
    </row>
    <row r="1098" spans="1:37" s="413" customFormat="1" hidden="1" outlineLevel="3">
      <c r="A1098" s="382"/>
      <c r="B1098" s="382" t="s">
        <v>490</v>
      </c>
      <c r="C1098" s="397" t="s">
        <v>136</v>
      </c>
      <c r="D1098" s="382" t="s">
        <v>28</v>
      </c>
      <c r="E1098" s="382" t="s">
        <v>29</v>
      </c>
      <c r="F1098" s="440" t="s">
        <v>495</v>
      </c>
      <c r="G1098" s="411">
        <v>6.8695884179999986E-3</v>
      </c>
      <c r="H1098" s="411" t="str">
        <f t="shared" si="355"/>
        <v/>
      </c>
      <c r="I1098" s="411" t="str">
        <f t="shared" si="356"/>
        <v/>
      </c>
      <c r="J1098" s="411" t="str">
        <f t="shared" si="357"/>
        <v/>
      </c>
      <c r="K1098" s="411">
        <f t="shared" si="358"/>
        <v>6.8695884179999986E-3</v>
      </c>
      <c r="L1098" s="411">
        <f t="shared" si="348"/>
        <v>1</v>
      </c>
      <c r="M1098" s="409"/>
      <c r="N1098" s="409"/>
      <c r="O1098" s="409"/>
      <c r="P1098" s="409">
        <v>1</v>
      </c>
      <c r="Q1098" s="382"/>
      <c r="R1098" s="385" t="str">
        <f t="shared" si="359"/>
        <v>T</v>
      </c>
      <c r="S1098" s="389"/>
      <c r="T1098" s="389"/>
      <c r="U1098" s="389"/>
      <c r="V1098" s="389"/>
      <c r="W1098" s="389"/>
      <c r="X1098" s="389"/>
      <c r="Y1098" s="389"/>
      <c r="Z1098" s="389"/>
      <c r="AA1098" s="389"/>
      <c r="AB1098" s="389"/>
      <c r="AC1098" s="389"/>
      <c r="AD1098" s="389"/>
      <c r="AE1098" s="389"/>
      <c r="AF1098" s="389"/>
      <c r="AG1098" s="383"/>
      <c r="AH1098" s="383"/>
      <c r="AI1098" s="383"/>
      <c r="AJ1098" s="383"/>
      <c r="AK1098" s="383"/>
    </row>
    <row r="1099" spans="1:37" s="413" customFormat="1" hidden="1" outlineLevel="3">
      <c r="A1099" s="382"/>
      <c r="B1099" s="382" t="s">
        <v>490</v>
      </c>
      <c r="C1099" s="397" t="s">
        <v>136</v>
      </c>
      <c r="D1099" s="382" t="s">
        <v>28</v>
      </c>
      <c r="E1099" s="382" t="s">
        <v>29</v>
      </c>
      <c r="F1099" s="440" t="s">
        <v>98</v>
      </c>
      <c r="G1099" s="411">
        <v>3.4347942089999993E-3</v>
      </c>
      <c r="H1099" s="411" t="str">
        <f t="shared" si="355"/>
        <v/>
      </c>
      <c r="I1099" s="411" t="str">
        <f t="shared" si="356"/>
        <v/>
      </c>
      <c r="J1099" s="411" t="str">
        <f t="shared" si="357"/>
        <v/>
      </c>
      <c r="K1099" s="411">
        <f t="shared" si="358"/>
        <v>3.4347942089999993E-3</v>
      </c>
      <c r="L1099" s="411">
        <f t="shared" si="348"/>
        <v>1</v>
      </c>
      <c r="M1099" s="409"/>
      <c r="N1099" s="409"/>
      <c r="O1099" s="409"/>
      <c r="P1099" s="409">
        <v>1</v>
      </c>
      <c r="Q1099" s="382"/>
      <c r="R1099" s="385" t="str">
        <f t="shared" si="359"/>
        <v>T</v>
      </c>
      <c r="S1099" s="389"/>
      <c r="T1099" s="389"/>
      <c r="U1099" s="389"/>
      <c r="V1099" s="389"/>
      <c r="W1099" s="389"/>
      <c r="X1099" s="389"/>
      <c r="Y1099" s="389"/>
      <c r="Z1099" s="389"/>
      <c r="AA1099" s="389"/>
      <c r="AB1099" s="389"/>
      <c r="AC1099" s="389"/>
      <c r="AD1099" s="389"/>
      <c r="AE1099" s="389"/>
      <c r="AF1099" s="389"/>
      <c r="AG1099" s="383"/>
      <c r="AH1099" s="383"/>
      <c r="AI1099" s="383"/>
      <c r="AJ1099" s="383"/>
      <c r="AK1099" s="383"/>
    </row>
    <row r="1100" spans="1:37" s="413" customFormat="1" hidden="1" outlineLevel="2" collapsed="1">
      <c r="A1100" s="382"/>
      <c r="B1100" s="382" t="s">
        <v>490</v>
      </c>
      <c r="C1100" s="397" t="s">
        <v>136</v>
      </c>
      <c r="D1100" s="382" t="s">
        <v>64</v>
      </c>
      <c r="E1100" s="382"/>
      <c r="F1100" s="440" t="s">
        <v>489</v>
      </c>
      <c r="G1100" s="411">
        <f>SUM(G1101:G1118)</f>
        <v>0.32149199950560009</v>
      </c>
      <c r="H1100" s="411">
        <f>SUM(H1101:H1118)</f>
        <v>0.11863834373160001</v>
      </c>
      <c r="I1100" s="411">
        <f>SUM(I1101:I1118)</f>
        <v>5.4516281658300011E-2</v>
      </c>
      <c r="J1100" s="411">
        <f>SUM(J1101:J1118)</f>
        <v>5.4516281658300011E-2</v>
      </c>
      <c r="K1100" s="411">
        <f>SUM(K1101:K1118)</f>
        <v>9.3821092457400002E-2</v>
      </c>
      <c r="L1100" s="411">
        <f t="shared" si="348"/>
        <v>18</v>
      </c>
      <c r="M1100" s="409">
        <f>SUM(M1101:M1118)</f>
        <v>5</v>
      </c>
      <c r="N1100" s="409">
        <f>SUM(N1101:N1118)</f>
        <v>3</v>
      </c>
      <c r="O1100" s="409">
        <f>SUM(O1101:O1118)</f>
        <v>3</v>
      </c>
      <c r="P1100" s="409">
        <f>SUM(P1101:P1118)</f>
        <v>7</v>
      </c>
      <c r="Q1100" s="382"/>
      <c r="R1100" s="385" t="str">
        <f t="shared" si="359"/>
        <v>T</v>
      </c>
      <c r="S1100" s="389"/>
      <c r="T1100" s="389"/>
      <c r="U1100" s="389"/>
      <c r="V1100" s="389"/>
      <c r="W1100" s="389"/>
      <c r="X1100" s="389"/>
      <c r="Y1100" s="389"/>
      <c r="Z1100" s="389"/>
      <c r="AA1100" s="389"/>
      <c r="AB1100" s="389"/>
      <c r="AC1100" s="389"/>
      <c r="AD1100" s="389"/>
      <c r="AE1100" s="389"/>
      <c r="AF1100" s="389"/>
      <c r="AG1100" s="383"/>
      <c r="AH1100" s="383"/>
      <c r="AI1100" s="383"/>
      <c r="AJ1100" s="383"/>
      <c r="AK1100" s="383"/>
    </row>
    <row r="1101" spans="1:37" s="413" customFormat="1" hidden="1" outlineLevel="4">
      <c r="A1101" s="382"/>
      <c r="B1101" s="382" t="s">
        <v>490</v>
      </c>
      <c r="C1101" s="397" t="s">
        <v>136</v>
      </c>
      <c r="D1101" s="382" t="s">
        <v>64</v>
      </c>
      <c r="E1101" s="382" t="s">
        <v>29</v>
      </c>
      <c r="F1101" s="440" t="s">
        <v>32</v>
      </c>
      <c r="G1101" s="411">
        <v>4.0186499938200004E-2</v>
      </c>
      <c r="H1101" s="411">
        <f t="shared" ref="H1101:H1118" si="360">IF(M1101=1,$G1101,"")</f>
        <v>4.0186499938200004E-2</v>
      </c>
      <c r="I1101" s="411" t="str">
        <f t="shared" ref="I1101:I1118" si="361">IF(N1101=1,$G1101,"")</f>
        <v/>
      </c>
      <c r="J1101" s="411" t="str">
        <f t="shared" ref="J1101:J1118" si="362">IF(O1101=1,$G1101,"")</f>
        <v/>
      </c>
      <c r="K1101" s="411" t="str">
        <f t="shared" ref="K1101:K1118" si="363">IF(P1101=1,$G1101,"")</f>
        <v/>
      </c>
      <c r="L1101" s="411">
        <f t="shared" si="348"/>
        <v>1</v>
      </c>
      <c r="M1101" s="409">
        <v>1</v>
      </c>
      <c r="N1101" s="409"/>
      <c r="O1101" s="409"/>
      <c r="P1101" s="409"/>
      <c r="Q1101" s="382"/>
      <c r="R1101" s="385" t="str">
        <f t="shared" si="359"/>
        <v>T</v>
      </c>
      <c r="S1101" s="389"/>
      <c r="T1101" s="389"/>
      <c r="U1101" s="389"/>
      <c r="V1101" s="389"/>
      <c r="W1101" s="389"/>
      <c r="X1101" s="389"/>
      <c r="Y1101" s="389"/>
      <c r="Z1101" s="389"/>
      <c r="AA1101" s="389"/>
      <c r="AB1101" s="389"/>
      <c r="AC1101" s="389"/>
      <c r="AD1101" s="389"/>
      <c r="AE1101" s="389"/>
      <c r="AF1101" s="389"/>
      <c r="AG1101" s="383"/>
      <c r="AH1101" s="383"/>
      <c r="AI1101" s="383"/>
      <c r="AJ1101" s="383"/>
      <c r="AK1101" s="383"/>
    </row>
    <row r="1102" spans="1:37" s="413" customFormat="1" hidden="1" outlineLevel="4">
      <c r="A1102" s="382"/>
      <c r="B1102" s="382" t="s">
        <v>490</v>
      </c>
      <c r="C1102" s="397" t="s">
        <v>136</v>
      </c>
      <c r="D1102" s="382" t="s">
        <v>64</v>
      </c>
      <c r="E1102" s="382" t="s">
        <v>29</v>
      </c>
      <c r="F1102" s="440" t="s">
        <v>34</v>
      </c>
      <c r="G1102" s="411">
        <v>2.0093249969100002E-2</v>
      </c>
      <c r="H1102" s="411">
        <f t="shared" si="360"/>
        <v>2.0093249969100002E-2</v>
      </c>
      <c r="I1102" s="411" t="str">
        <f t="shared" si="361"/>
        <v/>
      </c>
      <c r="J1102" s="411" t="str">
        <f t="shared" si="362"/>
        <v/>
      </c>
      <c r="K1102" s="411" t="str">
        <f t="shared" si="363"/>
        <v/>
      </c>
      <c r="L1102" s="411">
        <f t="shared" si="348"/>
        <v>1</v>
      </c>
      <c r="M1102" s="409">
        <v>1</v>
      </c>
      <c r="N1102" s="409"/>
      <c r="O1102" s="409"/>
      <c r="P1102" s="409"/>
      <c r="Q1102" s="382"/>
      <c r="R1102" s="385" t="str">
        <f t="shared" si="359"/>
        <v>T</v>
      </c>
      <c r="S1102" s="389"/>
      <c r="T1102" s="389"/>
      <c r="U1102" s="389"/>
      <c r="V1102" s="389"/>
      <c r="W1102" s="389"/>
      <c r="X1102" s="389"/>
      <c r="Y1102" s="389"/>
      <c r="Z1102" s="389"/>
      <c r="AA1102" s="389"/>
      <c r="AB1102" s="389"/>
      <c r="AC1102" s="389"/>
      <c r="AD1102" s="389"/>
      <c r="AE1102" s="389"/>
      <c r="AF1102" s="389"/>
      <c r="AG1102" s="383"/>
      <c r="AH1102" s="383"/>
      <c r="AI1102" s="383"/>
      <c r="AJ1102" s="383"/>
      <c r="AK1102" s="383"/>
    </row>
    <row r="1103" spans="1:37" s="413" customFormat="1" hidden="1" outlineLevel="4">
      <c r="A1103" s="382"/>
      <c r="B1103" s="382" t="s">
        <v>490</v>
      </c>
      <c r="C1103" s="397" t="s">
        <v>136</v>
      </c>
      <c r="D1103" s="382" t="s">
        <v>64</v>
      </c>
      <c r="E1103" s="382" t="s">
        <v>29</v>
      </c>
      <c r="F1103" s="440" t="s">
        <v>471</v>
      </c>
      <c r="G1103" s="411">
        <v>2.0093249969100002E-2</v>
      </c>
      <c r="H1103" s="411">
        <f t="shared" si="360"/>
        <v>2.0093249969100002E-2</v>
      </c>
      <c r="I1103" s="411" t="str">
        <f t="shared" si="361"/>
        <v/>
      </c>
      <c r="J1103" s="411" t="str">
        <f t="shared" si="362"/>
        <v/>
      </c>
      <c r="K1103" s="411" t="str">
        <f t="shared" si="363"/>
        <v/>
      </c>
      <c r="L1103" s="411">
        <f t="shared" si="348"/>
        <v>1</v>
      </c>
      <c r="M1103" s="409">
        <v>1</v>
      </c>
      <c r="N1103" s="409"/>
      <c r="O1103" s="409"/>
      <c r="P1103" s="409"/>
      <c r="Q1103" s="382"/>
      <c r="R1103" s="385" t="str">
        <f t="shared" si="359"/>
        <v>T</v>
      </c>
      <c r="S1103" s="389"/>
      <c r="T1103" s="389"/>
      <c r="U1103" s="389"/>
      <c r="V1103" s="389"/>
      <c r="W1103" s="389"/>
      <c r="X1103" s="389"/>
      <c r="Y1103" s="389"/>
      <c r="Z1103" s="389"/>
      <c r="AA1103" s="389"/>
      <c r="AB1103" s="389"/>
      <c r="AC1103" s="389"/>
      <c r="AD1103" s="389"/>
      <c r="AE1103" s="389"/>
      <c r="AF1103" s="389"/>
      <c r="AG1103" s="383"/>
      <c r="AH1103" s="383"/>
      <c r="AI1103" s="383"/>
      <c r="AJ1103" s="383"/>
      <c r="AK1103" s="383"/>
    </row>
    <row r="1104" spans="1:37" s="413" customFormat="1" hidden="1" outlineLevel="4">
      <c r="A1104" s="382"/>
      <c r="B1104" s="382" t="s">
        <v>490</v>
      </c>
      <c r="C1104" s="397" t="s">
        <v>136</v>
      </c>
      <c r="D1104" s="382" t="s">
        <v>64</v>
      </c>
      <c r="E1104" s="382" t="s">
        <v>29</v>
      </c>
      <c r="F1104" s="440" t="s">
        <v>335</v>
      </c>
      <c r="G1104" s="411">
        <v>2.0093249969100002E-2</v>
      </c>
      <c r="H1104" s="411">
        <f t="shared" si="360"/>
        <v>2.0093249969100002E-2</v>
      </c>
      <c r="I1104" s="411" t="str">
        <f t="shared" si="361"/>
        <v/>
      </c>
      <c r="J1104" s="411" t="str">
        <f t="shared" si="362"/>
        <v/>
      </c>
      <c r="K1104" s="411" t="str">
        <f t="shared" si="363"/>
        <v/>
      </c>
      <c r="L1104" s="411">
        <f t="shared" si="348"/>
        <v>1</v>
      </c>
      <c r="M1104" s="409">
        <v>1</v>
      </c>
      <c r="N1104" s="409"/>
      <c r="O1104" s="409"/>
      <c r="P1104" s="409"/>
      <c r="Q1104" s="382"/>
      <c r="R1104" s="385" t="str">
        <f t="shared" si="359"/>
        <v>T</v>
      </c>
      <c r="S1104" s="389"/>
      <c r="T1104" s="389"/>
      <c r="U1104" s="389"/>
      <c r="V1104" s="389"/>
      <c r="W1104" s="389"/>
      <c r="X1104" s="389"/>
      <c r="Y1104" s="389"/>
      <c r="Z1104" s="389"/>
      <c r="AA1104" s="389"/>
      <c r="AB1104" s="389"/>
      <c r="AC1104" s="389"/>
      <c r="AD1104" s="389"/>
      <c r="AE1104" s="389"/>
      <c r="AF1104" s="389"/>
      <c r="AG1104" s="383"/>
      <c r="AH1104" s="383"/>
      <c r="AI1104" s="383"/>
      <c r="AJ1104" s="383"/>
      <c r="AK1104" s="383"/>
    </row>
    <row r="1105" spans="1:37" s="413" customFormat="1" hidden="1" outlineLevel="4">
      <c r="A1105" s="382"/>
      <c r="B1105" s="382" t="s">
        <v>490</v>
      </c>
      <c r="C1105" s="397" t="s">
        <v>136</v>
      </c>
      <c r="D1105" s="382" t="s">
        <v>64</v>
      </c>
      <c r="E1105" s="382" t="s">
        <v>29</v>
      </c>
      <c r="F1105" s="440" t="s">
        <v>458</v>
      </c>
      <c r="G1105" s="411">
        <v>1.8172093886100003E-2</v>
      </c>
      <c r="H1105" s="411" t="str">
        <f t="shared" si="360"/>
        <v/>
      </c>
      <c r="I1105" s="411">
        <f t="shared" si="361"/>
        <v>1.8172093886100003E-2</v>
      </c>
      <c r="J1105" s="411" t="str">
        <f t="shared" si="362"/>
        <v/>
      </c>
      <c r="K1105" s="411" t="str">
        <f t="shared" si="363"/>
        <v/>
      </c>
      <c r="L1105" s="411">
        <f t="shared" si="348"/>
        <v>1</v>
      </c>
      <c r="M1105" s="409"/>
      <c r="N1105" s="409">
        <v>1</v>
      </c>
      <c r="O1105" s="409"/>
      <c r="P1105" s="409"/>
      <c r="Q1105" s="382"/>
      <c r="R1105" s="385" t="str">
        <f t="shared" si="359"/>
        <v>T</v>
      </c>
      <c r="S1105" s="389"/>
      <c r="T1105" s="389"/>
      <c r="U1105" s="389"/>
      <c r="V1105" s="389"/>
      <c r="W1105" s="389"/>
      <c r="X1105" s="389"/>
      <c r="Y1105" s="389"/>
      <c r="Z1105" s="389"/>
      <c r="AA1105" s="389"/>
      <c r="AB1105" s="389"/>
      <c r="AC1105" s="389"/>
      <c r="AD1105" s="389"/>
      <c r="AE1105" s="389"/>
      <c r="AF1105" s="389"/>
      <c r="AG1105" s="383"/>
      <c r="AH1105" s="383"/>
      <c r="AI1105" s="383"/>
      <c r="AJ1105" s="383"/>
      <c r="AK1105" s="383"/>
    </row>
    <row r="1106" spans="1:37" s="413" customFormat="1" hidden="1" outlineLevel="4">
      <c r="A1106" s="382"/>
      <c r="B1106" s="382" t="s">
        <v>490</v>
      </c>
      <c r="C1106" s="397" t="s">
        <v>136</v>
      </c>
      <c r="D1106" s="382" t="s">
        <v>64</v>
      </c>
      <c r="E1106" s="382" t="s">
        <v>29</v>
      </c>
      <c r="F1106" s="440" t="s">
        <v>459</v>
      </c>
      <c r="G1106" s="411">
        <v>1.8172093886100003E-2</v>
      </c>
      <c r="H1106" s="411" t="str">
        <f t="shared" si="360"/>
        <v/>
      </c>
      <c r="I1106" s="411">
        <f t="shared" si="361"/>
        <v>1.8172093886100003E-2</v>
      </c>
      <c r="J1106" s="411" t="str">
        <f t="shared" si="362"/>
        <v/>
      </c>
      <c r="K1106" s="411" t="str">
        <f t="shared" si="363"/>
        <v/>
      </c>
      <c r="L1106" s="411">
        <f t="shared" si="348"/>
        <v>1</v>
      </c>
      <c r="M1106" s="409"/>
      <c r="N1106" s="409">
        <v>1</v>
      </c>
      <c r="O1106" s="409"/>
      <c r="P1106" s="409"/>
      <c r="Q1106" s="382"/>
      <c r="R1106" s="385" t="str">
        <f t="shared" si="359"/>
        <v>T</v>
      </c>
      <c r="S1106" s="389"/>
      <c r="T1106" s="389"/>
      <c r="U1106" s="389"/>
      <c r="V1106" s="389"/>
      <c r="W1106" s="389"/>
      <c r="X1106" s="389"/>
      <c r="Y1106" s="389"/>
      <c r="Z1106" s="389"/>
      <c r="AA1106" s="389"/>
      <c r="AB1106" s="389"/>
      <c r="AC1106" s="389"/>
      <c r="AD1106" s="389"/>
      <c r="AE1106" s="389"/>
      <c r="AF1106" s="389"/>
      <c r="AG1106" s="383"/>
      <c r="AH1106" s="383"/>
      <c r="AI1106" s="383"/>
      <c r="AJ1106" s="383"/>
      <c r="AK1106" s="383"/>
    </row>
    <row r="1107" spans="1:37" s="413" customFormat="1" hidden="1" outlineLevel="4">
      <c r="A1107" s="382"/>
      <c r="B1107" s="382" t="s">
        <v>490</v>
      </c>
      <c r="C1107" s="397" t="s">
        <v>136</v>
      </c>
      <c r="D1107" s="382" t="s">
        <v>64</v>
      </c>
      <c r="E1107" s="382" t="s">
        <v>29</v>
      </c>
      <c r="F1107" s="440" t="s">
        <v>473</v>
      </c>
      <c r="G1107" s="411">
        <v>1.8172093886100003E-2</v>
      </c>
      <c r="H1107" s="411" t="str">
        <f t="shared" si="360"/>
        <v/>
      </c>
      <c r="I1107" s="411">
        <f t="shared" si="361"/>
        <v>1.8172093886100003E-2</v>
      </c>
      <c r="J1107" s="411" t="str">
        <f t="shared" si="362"/>
        <v/>
      </c>
      <c r="K1107" s="411" t="str">
        <f t="shared" si="363"/>
        <v/>
      </c>
      <c r="L1107" s="411">
        <f t="shared" si="348"/>
        <v>1</v>
      </c>
      <c r="M1107" s="409"/>
      <c r="N1107" s="409">
        <v>1</v>
      </c>
      <c r="O1107" s="409"/>
      <c r="P1107" s="409"/>
      <c r="Q1107" s="382"/>
      <c r="R1107" s="385" t="str">
        <f t="shared" si="359"/>
        <v>T</v>
      </c>
      <c r="S1107" s="389"/>
      <c r="T1107" s="389"/>
      <c r="U1107" s="389"/>
      <c r="V1107" s="389"/>
      <c r="W1107" s="389"/>
      <c r="X1107" s="389"/>
      <c r="Y1107" s="389"/>
      <c r="Z1107" s="389"/>
      <c r="AA1107" s="389"/>
      <c r="AB1107" s="389"/>
      <c r="AC1107" s="389"/>
      <c r="AD1107" s="389"/>
      <c r="AE1107" s="389"/>
      <c r="AF1107" s="389"/>
      <c r="AG1107" s="383"/>
      <c r="AH1107" s="383"/>
      <c r="AI1107" s="383"/>
      <c r="AJ1107" s="383"/>
      <c r="AK1107" s="383"/>
    </row>
    <row r="1108" spans="1:37" s="413" customFormat="1" hidden="1" outlineLevel="4">
      <c r="A1108" s="382"/>
      <c r="B1108" s="382" t="s">
        <v>490</v>
      </c>
      <c r="C1108" s="397" t="s">
        <v>136</v>
      </c>
      <c r="D1108" s="382" t="s">
        <v>64</v>
      </c>
      <c r="E1108" s="382" t="s">
        <v>29</v>
      </c>
      <c r="F1108" s="440" t="s">
        <v>460</v>
      </c>
      <c r="G1108" s="411">
        <v>1.8172093886100003E-2</v>
      </c>
      <c r="H1108" s="411">
        <f t="shared" si="360"/>
        <v>1.8172093886100003E-2</v>
      </c>
      <c r="I1108" s="411" t="str">
        <f t="shared" si="361"/>
        <v/>
      </c>
      <c r="J1108" s="411" t="str">
        <f t="shared" si="362"/>
        <v/>
      </c>
      <c r="K1108" s="411" t="str">
        <f t="shared" si="363"/>
        <v/>
      </c>
      <c r="L1108" s="411">
        <f t="shared" si="348"/>
        <v>1</v>
      </c>
      <c r="M1108" s="409">
        <v>1</v>
      </c>
      <c r="N1108" s="409"/>
      <c r="O1108" s="409"/>
      <c r="P1108" s="409"/>
      <c r="Q1108" s="382"/>
      <c r="R1108" s="385" t="str">
        <f t="shared" si="359"/>
        <v>T</v>
      </c>
      <c r="S1108" s="389"/>
      <c r="T1108" s="389"/>
      <c r="U1108" s="389"/>
      <c r="V1108" s="389"/>
      <c r="W1108" s="389"/>
      <c r="X1108" s="389"/>
      <c r="Y1108" s="389"/>
      <c r="Z1108" s="389"/>
      <c r="AA1108" s="389"/>
      <c r="AB1108" s="389"/>
      <c r="AC1108" s="389"/>
      <c r="AD1108" s="389"/>
      <c r="AE1108" s="389"/>
      <c r="AF1108" s="389"/>
      <c r="AG1108" s="383"/>
      <c r="AH1108" s="383"/>
      <c r="AI1108" s="383"/>
      <c r="AJ1108" s="383"/>
      <c r="AK1108" s="383"/>
    </row>
    <row r="1109" spans="1:37" s="413" customFormat="1" hidden="1" outlineLevel="4">
      <c r="A1109" s="382"/>
      <c r="B1109" s="382" t="s">
        <v>490</v>
      </c>
      <c r="C1109" s="397" t="s">
        <v>136</v>
      </c>
      <c r="D1109" s="382" t="s">
        <v>64</v>
      </c>
      <c r="E1109" s="382" t="s">
        <v>29</v>
      </c>
      <c r="F1109" s="440" t="s">
        <v>461</v>
      </c>
      <c r="G1109" s="411">
        <v>1.8172093886100003E-2</v>
      </c>
      <c r="H1109" s="411" t="str">
        <f t="shared" si="360"/>
        <v/>
      </c>
      <c r="I1109" s="411" t="str">
        <f t="shared" si="361"/>
        <v/>
      </c>
      <c r="J1109" s="411">
        <f t="shared" si="362"/>
        <v>1.8172093886100003E-2</v>
      </c>
      <c r="K1109" s="411" t="str">
        <f t="shared" si="363"/>
        <v/>
      </c>
      <c r="L1109" s="411">
        <f t="shared" si="348"/>
        <v>1</v>
      </c>
      <c r="M1109" s="409"/>
      <c r="N1109" s="409"/>
      <c r="O1109" s="409">
        <v>1</v>
      </c>
      <c r="P1109" s="409"/>
      <c r="Q1109" s="382"/>
      <c r="R1109" s="385" t="str">
        <f t="shared" si="359"/>
        <v>T</v>
      </c>
      <c r="S1109" s="389"/>
      <c r="T1109" s="389"/>
      <c r="U1109" s="389"/>
      <c r="V1109" s="389"/>
      <c r="W1109" s="389"/>
      <c r="X1109" s="389"/>
      <c r="Y1109" s="389"/>
      <c r="Z1109" s="389"/>
      <c r="AA1109" s="389"/>
      <c r="AB1109" s="389"/>
      <c r="AC1109" s="389"/>
      <c r="AD1109" s="389"/>
      <c r="AE1109" s="389"/>
      <c r="AF1109" s="389"/>
      <c r="AG1109" s="383"/>
      <c r="AH1109" s="383"/>
      <c r="AI1109" s="383"/>
      <c r="AJ1109" s="383"/>
      <c r="AK1109" s="383"/>
    </row>
    <row r="1110" spans="1:37" s="413" customFormat="1" hidden="1" outlineLevel="4">
      <c r="A1110" s="382"/>
      <c r="B1110" s="382" t="s">
        <v>490</v>
      </c>
      <c r="C1110" s="397" t="s">
        <v>136</v>
      </c>
      <c r="D1110" s="382" t="s">
        <v>64</v>
      </c>
      <c r="E1110" s="382" t="s">
        <v>29</v>
      </c>
      <c r="F1110" s="440" t="s">
        <v>462</v>
      </c>
      <c r="G1110" s="411">
        <v>1.8172093886100003E-2</v>
      </c>
      <c r="H1110" s="411" t="str">
        <f t="shared" si="360"/>
        <v/>
      </c>
      <c r="I1110" s="411" t="str">
        <f t="shared" si="361"/>
        <v/>
      </c>
      <c r="J1110" s="411">
        <f t="shared" si="362"/>
        <v>1.8172093886100003E-2</v>
      </c>
      <c r="K1110" s="411" t="str">
        <f t="shared" si="363"/>
        <v/>
      </c>
      <c r="L1110" s="411">
        <f t="shared" si="348"/>
        <v>1</v>
      </c>
      <c r="M1110" s="409"/>
      <c r="N1110" s="409"/>
      <c r="O1110" s="409">
        <v>1</v>
      </c>
      <c r="P1110" s="409"/>
      <c r="Q1110" s="382"/>
      <c r="R1110" s="385" t="str">
        <f t="shared" si="359"/>
        <v>T</v>
      </c>
      <c r="S1110" s="389"/>
      <c r="T1110" s="389"/>
      <c r="U1110" s="389"/>
      <c r="V1110" s="389"/>
      <c r="W1110" s="389"/>
      <c r="X1110" s="389"/>
      <c r="Y1110" s="389"/>
      <c r="Z1110" s="389"/>
      <c r="AA1110" s="389"/>
      <c r="AB1110" s="389"/>
      <c r="AC1110" s="389"/>
      <c r="AD1110" s="389"/>
      <c r="AE1110" s="389"/>
      <c r="AF1110" s="389"/>
      <c r="AG1110" s="383"/>
      <c r="AH1110" s="383"/>
      <c r="AI1110" s="383"/>
      <c r="AJ1110" s="383"/>
      <c r="AK1110" s="383"/>
    </row>
    <row r="1111" spans="1:37" s="413" customFormat="1" hidden="1" outlineLevel="4">
      <c r="A1111" s="382">
        <v>1</v>
      </c>
      <c r="B1111" s="382" t="s">
        <v>490</v>
      </c>
      <c r="C1111" s="397" t="s">
        <v>136</v>
      </c>
      <c r="D1111" s="382" t="s">
        <v>64</v>
      </c>
      <c r="E1111" s="382" t="s">
        <v>29</v>
      </c>
      <c r="F1111" s="440" t="s">
        <v>463</v>
      </c>
      <c r="G1111" s="411">
        <v>1.8172093886100003E-2</v>
      </c>
      <c r="H1111" s="411" t="str">
        <f t="shared" si="360"/>
        <v/>
      </c>
      <c r="I1111" s="411" t="str">
        <f t="shared" si="361"/>
        <v/>
      </c>
      <c r="J1111" s="411">
        <f t="shared" si="362"/>
        <v>1.8172093886100003E-2</v>
      </c>
      <c r="K1111" s="411" t="str">
        <f t="shared" si="363"/>
        <v/>
      </c>
      <c r="L1111" s="411">
        <f t="shared" si="348"/>
        <v>1</v>
      </c>
      <c r="M1111" s="409"/>
      <c r="N1111" s="409"/>
      <c r="O1111" s="409">
        <v>1</v>
      </c>
      <c r="P1111" s="409"/>
      <c r="Q1111" s="382"/>
      <c r="R1111" s="385" t="str">
        <f t="shared" si="359"/>
        <v>T</v>
      </c>
      <c r="S1111" s="389"/>
      <c r="T1111" s="389"/>
      <c r="U1111" s="389"/>
      <c r="V1111" s="389"/>
      <c r="W1111" s="389"/>
      <c r="X1111" s="389"/>
      <c r="Y1111" s="389"/>
      <c r="Z1111" s="389"/>
      <c r="AA1111" s="389"/>
      <c r="AB1111" s="389"/>
      <c r="AC1111" s="389"/>
      <c r="AD1111" s="389"/>
      <c r="AE1111" s="389"/>
      <c r="AF1111" s="389"/>
      <c r="AG1111" s="383"/>
      <c r="AH1111" s="383"/>
      <c r="AI1111" s="383"/>
      <c r="AJ1111" s="383"/>
      <c r="AK1111" s="383"/>
    </row>
    <row r="1112" spans="1:37" s="413" customFormat="1" hidden="1" outlineLevel="4">
      <c r="A1112" s="382"/>
      <c r="B1112" s="382" t="s">
        <v>490</v>
      </c>
      <c r="C1112" s="397" t="s">
        <v>136</v>
      </c>
      <c r="D1112" s="382" t="s">
        <v>64</v>
      </c>
      <c r="E1112" s="382" t="s">
        <v>29</v>
      </c>
      <c r="F1112" s="440" t="s">
        <v>464</v>
      </c>
      <c r="G1112" s="411">
        <v>1.8172093886100003E-2</v>
      </c>
      <c r="H1112" s="411" t="str">
        <f t="shared" si="360"/>
        <v/>
      </c>
      <c r="I1112" s="411" t="str">
        <f t="shared" si="361"/>
        <v/>
      </c>
      <c r="J1112" s="411" t="str">
        <f t="shared" si="362"/>
        <v/>
      </c>
      <c r="K1112" s="411">
        <f t="shared" si="363"/>
        <v>1.8172093886100003E-2</v>
      </c>
      <c r="L1112" s="411">
        <f t="shared" si="348"/>
        <v>1</v>
      </c>
      <c r="M1112" s="409"/>
      <c r="N1112" s="409"/>
      <c r="O1112" s="409"/>
      <c r="P1112" s="409">
        <v>1</v>
      </c>
      <c r="Q1112" s="382"/>
      <c r="R1112" s="385" t="str">
        <f t="shared" si="359"/>
        <v>T</v>
      </c>
      <c r="S1112" s="389"/>
      <c r="T1112" s="389"/>
      <c r="U1112" s="389"/>
      <c r="V1112" s="389"/>
      <c r="W1112" s="389"/>
      <c r="X1112" s="389"/>
      <c r="Y1112" s="389"/>
      <c r="Z1112" s="389"/>
      <c r="AA1112" s="389"/>
      <c r="AB1112" s="389"/>
      <c r="AC1112" s="389"/>
      <c r="AD1112" s="389"/>
      <c r="AE1112" s="389"/>
      <c r="AF1112" s="389"/>
      <c r="AG1112" s="383"/>
      <c r="AH1112" s="383"/>
      <c r="AI1112" s="383"/>
      <c r="AJ1112" s="383"/>
      <c r="AK1112" s="383"/>
    </row>
    <row r="1113" spans="1:37" s="413" customFormat="1" hidden="1" outlineLevel="4">
      <c r="A1113" s="382"/>
      <c r="B1113" s="382" t="s">
        <v>490</v>
      </c>
      <c r="C1113" s="397" t="s">
        <v>136</v>
      </c>
      <c r="D1113" s="382" t="s">
        <v>64</v>
      </c>
      <c r="E1113" s="382" t="s">
        <v>29</v>
      </c>
      <c r="F1113" s="440" t="s">
        <v>465</v>
      </c>
      <c r="G1113" s="411">
        <v>1.8172093886100003E-2</v>
      </c>
      <c r="H1113" s="411" t="str">
        <f t="shared" si="360"/>
        <v/>
      </c>
      <c r="I1113" s="411" t="str">
        <f t="shared" si="361"/>
        <v/>
      </c>
      <c r="J1113" s="411" t="str">
        <f t="shared" si="362"/>
        <v/>
      </c>
      <c r="K1113" s="411">
        <f t="shared" si="363"/>
        <v>1.8172093886100003E-2</v>
      </c>
      <c r="L1113" s="411">
        <f t="shared" si="348"/>
        <v>1</v>
      </c>
      <c r="M1113" s="409"/>
      <c r="N1113" s="409"/>
      <c r="O1113" s="409"/>
      <c r="P1113" s="409">
        <v>1</v>
      </c>
      <c r="Q1113" s="382"/>
      <c r="R1113" s="385" t="str">
        <f t="shared" si="359"/>
        <v>T</v>
      </c>
      <c r="S1113" s="389"/>
      <c r="T1113" s="389"/>
      <c r="U1113" s="389"/>
      <c r="V1113" s="389"/>
      <c r="W1113" s="389"/>
      <c r="X1113" s="389"/>
      <c r="Y1113" s="389"/>
      <c r="Z1113" s="389"/>
      <c r="AA1113" s="389"/>
      <c r="AB1113" s="389"/>
      <c r="AC1113" s="389"/>
      <c r="AD1113" s="389"/>
      <c r="AE1113" s="389"/>
      <c r="AF1113" s="389"/>
      <c r="AG1113" s="383"/>
      <c r="AH1113" s="383"/>
      <c r="AI1113" s="383"/>
      <c r="AJ1113" s="383"/>
      <c r="AK1113" s="383"/>
    </row>
    <row r="1114" spans="1:37" s="413" customFormat="1" hidden="1" outlineLevel="4">
      <c r="A1114" s="382"/>
      <c r="B1114" s="382" t="s">
        <v>490</v>
      </c>
      <c r="C1114" s="397" t="s">
        <v>136</v>
      </c>
      <c r="D1114" s="382" t="s">
        <v>64</v>
      </c>
      <c r="E1114" s="382" t="s">
        <v>29</v>
      </c>
      <c r="F1114" s="440" t="s">
        <v>466</v>
      </c>
      <c r="G1114" s="411">
        <v>1.8172093886100003E-2</v>
      </c>
      <c r="H1114" s="411" t="str">
        <f t="shared" si="360"/>
        <v/>
      </c>
      <c r="I1114" s="411" t="str">
        <f t="shared" si="361"/>
        <v/>
      </c>
      <c r="J1114" s="411" t="str">
        <f t="shared" si="362"/>
        <v/>
      </c>
      <c r="K1114" s="411">
        <f t="shared" si="363"/>
        <v>1.8172093886100003E-2</v>
      </c>
      <c r="L1114" s="411">
        <f t="shared" si="348"/>
        <v>1</v>
      </c>
      <c r="M1114" s="409"/>
      <c r="N1114" s="409"/>
      <c r="O1114" s="409"/>
      <c r="P1114" s="409">
        <v>1</v>
      </c>
      <c r="Q1114" s="382"/>
      <c r="R1114" s="385" t="str">
        <f t="shared" si="359"/>
        <v>T</v>
      </c>
      <c r="S1114" s="389"/>
      <c r="T1114" s="389"/>
      <c r="U1114" s="389"/>
      <c r="V1114" s="389"/>
      <c r="W1114" s="389"/>
      <c r="X1114" s="389"/>
      <c r="Y1114" s="389"/>
      <c r="Z1114" s="389"/>
      <c r="AA1114" s="389"/>
      <c r="AB1114" s="389"/>
      <c r="AC1114" s="389"/>
      <c r="AD1114" s="389"/>
      <c r="AE1114" s="389"/>
      <c r="AF1114" s="389"/>
      <c r="AG1114" s="383"/>
      <c r="AH1114" s="383"/>
      <c r="AI1114" s="383"/>
      <c r="AJ1114" s="383"/>
      <c r="AK1114" s="383"/>
    </row>
    <row r="1115" spans="1:37" s="413" customFormat="1" hidden="1" outlineLevel="4">
      <c r="A1115" s="382"/>
      <c r="B1115" s="382" t="s">
        <v>490</v>
      </c>
      <c r="C1115" s="397" t="s">
        <v>136</v>
      </c>
      <c r="D1115" s="382" t="s">
        <v>64</v>
      </c>
      <c r="E1115" s="382" t="s">
        <v>29</v>
      </c>
      <c r="F1115" s="440" t="s">
        <v>467</v>
      </c>
      <c r="G1115" s="411">
        <v>1.8172093886100003E-2</v>
      </c>
      <c r="H1115" s="411" t="str">
        <f t="shared" si="360"/>
        <v/>
      </c>
      <c r="I1115" s="411" t="str">
        <f t="shared" si="361"/>
        <v/>
      </c>
      <c r="J1115" s="411" t="str">
        <f t="shared" si="362"/>
        <v/>
      </c>
      <c r="K1115" s="411">
        <f t="shared" si="363"/>
        <v>1.8172093886100003E-2</v>
      </c>
      <c r="L1115" s="411">
        <f t="shared" si="348"/>
        <v>1</v>
      </c>
      <c r="M1115" s="409"/>
      <c r="N1115" s="409"/>
      <c r="O1115" s="409"/>
      <c r="P1115" s="409">
        <v>1</v>
      </c>
      <c r="Q1115" s="382"/>
      <c r="R1115" s="385" t="str">
        <f t="shared" si="359"/>
        <v>T</v>
      </c>
      <c r="S1115" s="389"/>
      <c r="T1115" s="389"/>
      <c r="U1115" s="389"/>
      <c r="V1115" s="389"/>
      <c r="W1115" s="389"/>
      <c r="X1115" s="389"/>
      <c r="Y1115" s="389"/>
      <c r="Z1115" s="389"/>
      <c r="AA1115" s="389"/>
      <c r="AB1115" s="389"/>
      <c r="AC1115" s="389"/>
      <c r="AD1115" s="389"/>
      <c r="AE1115" s="389"/>
      <c r="AF1115" s="389"/>
      <c r="AG1115" s="383"/>
      <c r="AH1115" s="383"/>
      <c r="AI1115" s="383"/>
      <c r="AJ1115" s="383"/>
      <c r="AK1115" s="383"/>
    </row>
    <row r="1116" spans="1:37" s="413" customFormat="1" hidden="1" outlineLevel="4">
      <c r="A1116" s="382"/>
      <c r="B1116" s="382" t="s">
        <v>490</v>
      </c>
      <c r="C1116" s="397" t="s">
        <v>136</v>
      </c>
      <c r="D1116" s="382" t="s">
        <v>64</v>
      </c>
      <c r="E1116" s="382" t="s">
        <v>29</v>
      </c>
      <c r="F1116" s="440" t="s">
        <v>116</v>
      </c>
      <c r="G1116" s="411">
        <v>3.842312165999999E-3</v>
      </c>
      <c r="H1116" s="411" t="str">
        <f t="shared" si="360"/>
        <v/>
      </c>
      <c r="I1116" s="411" t="str">
        <f t="shared" si="361"/>
        <v/>
      </c>
      <c r="J1116" s="411" t="str">
        <f t="shared" si="362"/>
        <v/>
      </c>
      <c r="K1116" s="411">
        <f t="shared" si="363"/>
        <v>3.842312165999999E-3</v>
      </c>
      <c r="L1116" s="411">
        <f t="shared" si="348"/>
        <v>1</v>
      </c>
      <c r="M1116" s="409"/>
      <c r="N1116" s="409"/>
      <c r="O1116" s="409"/>
      <c r="P1116" s="409">
        <v>1</v>
      </c>
      <c r="Q1116" s="382"/>
      <c r="R1116" s="385" t="str">
        <f t="shared" si="359"/>
        <v>T</v>
      </c>
      <c r="S1116" s="389"/>
      <c r="T1116" s="389"/>
      <c r="U1116" s="389"/>
      <c r="V1116" s="389"/>
      <c r="W1116" s="389"/>
      <c r="X1116" s="389"/>
      <c r="Y1116" s="389"/>
      <c r="Z1116" s="389"/>
      <c r="AA1116" s="389"/>
      <c r="AB1116" s="389"/>
      <c r="AC1116" s="389"/>
      <c r="AD1116" s="389"/>
      <c r="AE1116" s="389"/>
      <c r="AF1116" s="389"/>
      <c r="AG1116" s="383"/>
      <c r="AH1116" s="383"/>
      <c r="AI1116" s="383"/>
      <c r="AJ1116" s="383"/>
      <c r="AK1116" s="383"/>
    </row>
    <row r="1117" spans="1:37" s="413" customFormat="1" hidden="1" outlineLevel="4">
      <c r="A1117" s="382"/>
      <c r="B1117" s="382" t="s">
        <v>490</v>
      </c>
      <c r="C1117" s="397" t="s">
        <v>136</v>
      </c>
      <c r="D1117" s="382" t="s">
        <v>64</v>
      </c>
      <c r="E1117" s="382" t="s">
        <v>29</v>
      </c>
      <c r="F1117" s="440" t="s">
        <v>495</v>
      </c>
      <c r="G1117" s="411">
        <v>7.6846243319999979E-3</v>
      </c>
      <c r="H1117" s="411" t="str">
        <f t="shared" si="360"/>
        <v/>
      </c>
      <c r="I1117" s="411" t="str">
        <f t="shared" si="361"/>
        <v/>
      </c>
      <c r="J1117" s="411" t="str">
        <f t="shared" si="362"/>
        <v/>
      </c>
      <c r="K1117" s="411">
        <f t="shared" si="363"/>
        <v>7.6846243319999979E-3</v>
      </c>
      <c r="L1117" s="411">
        <f t="shared" si="348"/>
        <v>1</v>
      </c>
      <c r="M1117" s="409"/>
      <c r="N1117" s="409"/>
      <c r="O1117" s="409"/>
      <c r="P1117" s="409">
        <v>1</v>
      </c>
      <c r="Q1117" s="382"/>
      <c r="R1117" s="385" t="str">
        <f t="shared" si="359"/>
        <v>T</v>
      </c>
      <c r="S1117" s="389"/>
      <c r="T1117" s="389"/>
      <c r="U1117" s="389"/>
      <c r="V1117" s="389"/>
      <c r="W1117" s="389"/>
      <c r="X1117" s="389"/>
      <c r="Y1117" s="389"/>
      <c r="Z1117" s="389"/>
      <c r="AA1117" s="389"/>
      <c r="AB1117" s="389"/>
      <c r="AC1117" s="389"/>
      <c r="AD1117" s="389"/>
      <c r="AE1117" s="389"/>
      <c r="AF1117" s="389"/>
      <c r="AG1117" s="383"/>
      <c r="AH1117" s="383"/>
      <c r="AI1117" s="383"/>
      <c r="AJ1117" s="383"/>
      <c r="AK1117" s="383"/>
    </row>
    <row r="1118" spans="1:37" s="413" customFormat="1" hidden="1" outlineLevel="4">
      <c r="A1118" s="382"/>
      <c r="B1118" s="382" t="s">
        <v>490</v>
      </c>
      <c r="C1118" s="397" t="s">
        <v>136</v>
      </c>
      <c r="D1118" s="382" t="s">
        <v>64</v>
      </c>
      <c r="E1118" s="382" t="s">
        <v>29</v>
      </c>
      <c r="F1118" s="440" t="s">
        <v>496</v>
      </c>
      <c r="G1118" s="411">
        <v>9.6057804149999974E-3</v>
      </c>
      <c r="H1118" s="411" t="str">
        <f t="shared" si="360"/>
        <v/>
      </c>
      <c r="I1118" s="411" t="str">
        <f t="shared" si="361"/>
        <v/>
      </c>
      <c r="J1118" s="411" t="str">
        <f t="shared" si="362"/>
        <v/>
      </c>
      <c r="K1118" s="411">
        <f t="shared" si="363"/>
        <v>9.6057804149999974E-3</v>
      </c>
      <c r="L1118" s="411">
        <f t="shared" si="348"/>
        <v>1</v>
      </c>
      <c r="M1118" s="409"/>
      <c r="N1118" s="409"/>
      <c r="O1118" s="409"/>
      <c r="P1118" s="409">
        <v>1</v>
      </c>
      <c r="Q1118" s="382"/>
      <c r="R1118" s="385" t="str">
        <f t="shared" si="359"/>
        <v>T</v>
      </c>
      <c r="S1118" s="389"/>
      <c r="T1118" s="389"/>
      <c r="U1118" s="389"/>
      <c r="V1118" s="389"/>
      <c r="W1118" s="389"/>
      <c r="X1118" s="389"/>
      <c r="Y1118" s="389"/>
      <c r="Z1118" s="389"/>
      <c r="AA1118" s="389"/>
      <c r="AB1118" s="389"/>
      <c r="AC1118" s="389"/>
      <c r="AD1118" s="389"/>
      <c r="AE1118" s="389"/>
      <c r="AF1118" s="389"/>
      <c r="AG1118" s="383"/>
      <c r="AH1118" s="383"/>
      <c r="AI1118" s="383"/>
      <c r="AJ1118" s="383"/>
      <c r="AK1118" s="383"/>
    </row>
    <row r="1119" spans="1:37" outlineLevel="1" collapsed="1">
      <c r="A1119" s="382"/>
      <c r="B1119" s="390" t="s">
        <v>498</v>
      </c>
      <c r="C1119" s="390" t="s">
        <v>498</v>
      </c>
      <c r="D1119" s="390" t="s">
        <v>499</v>
      </c>
      <c r="E1119" s="395"/>
      <c r="F1119" s="442" t="s">
        <v>500</v>
      </c>
      <c r="G1119" s="418">
        <f>G1120+G1127+G1131+G1135+G1140</f>
        <v>16.479540000000004</v>
      </c>
      <c r="H1119" s="538">
        <f>H1120+H1127+H1131+H1135+H1140</f>
        <v>0</v>
      </c>
      <c r="I1119" s="538">
        <f>I1120+I1127+I1131+I1135+I1140</f>
        <v>0</v>
      </c>
      <c r="J1119" s="549">
        <f>J1120+J1127+J1131+J1135+J1140</f>
        <v>7.5792600000000006</v>
      </c>
      <c r="K1119" s="549">
        <f>K1120+K1127+K1131+K1135+K1140</f>
        <v>8.9002800000000022</v>
      </c>
      <c r="L1119" s="418">
        <f t="shared" si="348"/>
        <v>21</v>
      </c>
      <c r="M1119" s="461">
        <f>M1120+M1127+M1131+M1135+M1140</f>
        <v>0</v>
      </c>
      <c r="N1119" s="461">
        <f>N1120+N1127+N1131+N1135+N1140</f>
        <v>0</v>
      </c>
      <c r="O1119" s="408">
        <f>O1120+O1127+O1131+O1135+O1140</f>
        <v>10</v>
      </c>
      <c r="P1119" s="408">
        <f>P1120+P1127+P1131+P1135+P1140</f>
        <v>11</v>
      </c>
      <c r="Q1119" s="382"/>
      <c r="R1119" s="385" t="str">
        <f t="shared" si="359"/>
        <v>T</v>
      </c>
      <c r="S1119" s="389" t="s">
        <v>501</v>
      </c>
      <c r="T1119" s="389"/>
      <c r="U1119" s="389"/>
      <c r="V1119" s="389"/>
      <c r="W1119" s="389"/>
      <c r="X1119" s="389"/>
      <c r="Y1119" s="389"/>
      <c r="Z1119" s="389"/>
      <c r="AA1119" s="389"/>
      <c r="AB1119" s="389"/>
      <c r="AC1119" s="389"/>
      <c r="AD1119" s="389"/>
      <c r="AE1119" s="389"/>
      <c r="AF1119" s="389"/>
    </row>
    <row r="1120" spans="1:37" hidden="1" outlineLevel="2" collapsed="1">
      <c r="A1120" s="382"/>
      <c r="B1120" s="386" t="s">
        <v>498</v>
      </c>
      <c r="C1120" s="386" t="s">
        <v>136</v>
      </c>
      <c r="D1120" s="382" t="s">
        <v>202</v>
      </c>
      <c r="E1120" s="382"/>
      <c r="F1120" s="440" t="s">
        <v>477</v>
      </c>
      <c r="G1120" s="411">
        <f>SUM(G1121:G1126)</f>
        <v>10.500000000000002</v>
      </c>
      <c r="H1120" s="409">
        <f>SUM(H1121:H1126)</f>
        <v>0</v>
      </c>
      <c r="I1120" s="409">
        <f>SUM(I1121:I1126)</f>
        <v>0</v>
      </c>
      <c r="J1120" s="411">
        <f>SUM(J1121:J1126)</f>
        <v>5.1550000000000002</v>
      </c>
      <c r="K1120" s="411">
        <f>SUM(K1121:K1126)</f>
        <v>5.3449999999999998</v>
      </c>
      <c r="L1120" s="411">
        <f t="shared" ref="L1120:L1497" si="364">SUM(M1120:P1120)</f>
        <v>6</v>
      </c>
      <c r="M1120" s="409">
        <f>SUM(M1121:M1126)</f>
        <v>0</v>
      </c>
      <c r="N1120" s="409">
        <f>SUM(N1121:N1126)</f>
        <v>0</v>
      </c>
      <c r="O1120" s="409">
        <f>SUM(O1121:O1126)</f>
        <v>3</v>
      </c>
      <c r="P1120" s="409">
        <f>SUM(P1121:P1126)</f>
        <v>3</v>
      </c>
      <c r="Q1120" s="382"/>
      <c r="R1120" s="385" t="str">
        <f t="shared" si="359"/>
        <v>T</v>
      </c>
      <c r="S1120" s="389"/>
      <c r="T1120" s="389"/>
      <c r="U1120" s="389"/>
      <c r="V1120" s="389"/>
      <c r="W1120" s="389"/>
      <c r="X1120" s="389"/>
      <c r="Y1120" s="389"/>
      <c r="Z1120" s="389"/>
      <c r="AA1120" s="389"/>
      <c r="AB1120" s="389"/>
      <c r="AC1120" s="389"/>
      <c r="AD1120" s="389"/>
      <c r="AE1120" s="389"/>
      <c r="AF1120" s="389"/>
    </row>
    <row r="1121" spans="1:37" hidden="1" outlineLevel="3">
      <c r="A1121" s="382"/>
      <c r="B1121" s="386" t="s">
        <v>498</v>
      </c>
      <c r="C1121" s="386" t="s">
        <v>136</v>
      </c>
      <c r="D1121" s="382" t="s">
        <v>202</v>
      </c>
      <c r="E1121" s="382" t="s">
        <v>29</v>
      </c>
      <c r="F1121" s="440" t="s">
        <v>334</v>
      </c>
      <c r="G1121" s="411">
        <v>1.845</v>
      </c>
      <c r="H1121" s="411" t="str">
        <f t="shared" ref="H1121:K1126" si="365">IF(M1121=1,$G1121,"")</f>
        <v/>
      </c>
      <c r="I1121" s="411" t="str">
        <f t="shared" si="365"/>
        <v/>
      </c>
      <c r="J1121" s="411">
        <f t="shared" si="365"/>
        <v>1.845</v>
      </c>
      <c r="K1121" s="411" t="str">
        <f t="shared" si="365"/>
        <v/>
      </c>
      <c r="L1121" s="411">
        <f t="shared" si="364"/>
        <v>1</v>
      </c>
      <c r="M1121" s="409"/>
      <c r="N1121" s="409"/>
      <c r="O1121" s="409">
        <v>1</v>
      </c>
      <c r="P1121" s="409"/>
      <c r="Q1121" s="382"/>
      <c r="R1121" s="385" t="str">
        <f t="shared" si="359"/>
        <v>T</v>
      </c>
      <c r="S1121" s="389"/>
      <c r="T1121" s="389"/>
      <c r="U1121" s="389"/>
      <c r="V1121" s="389"/>
      <c r="W1121" s="389"/>
      <c r="X1121" s="389"/>
      <c r="Y1121" s="389"/>
      <c r="Z1121" s="389"/>
      <c r="AA1121" s="389"/>
      <c r="AB1121" s="389"/>
      <c r="AC1121" s="389"/>
      <c r="AD1121" s="389"/>
      <c r="AE1121" s="389"/>
      <c r="AF1121" s="389"/>
    </row>
    <row r="1122" spans="1:37" hidden="1" outlineLevel="3">
      <c r="A1122" s="382"/>
      <c r="B1122" s="386" t="s">
        <v>498</v>
      </c>
      <c r="C1122" s="386" t="s">
        <v>136</v>
      </c>
      <c r="D1122" s="382" t="s">
        <v>202</v>
      </c>
      <c r="E1122" s="382" t="s">
        <v>29</v>
      </c>
      <c r="F1122" s="440" t="s">
        <v>32</v>
      </c>
      <c r="G1122" s="411">
        <v>1.6550000000000002</v>
      </c>
      <c r="H1122" s="411" t="str">
        <f t="shared" si="365"/>
        <v/>
      </c>
      <c r="I1122" s="411" t="str">
        <f t="shared" si="365"/>
        <v/>
      </c>
      <c r="J1122" s="411">
        <f t="shared" si="365"/>
        <v>1.6550000000000002</v>
      </c>
      <c r="K1122" s="411" t="str">
        <f t="shared" si="365"/>
        <v/>
      </c>
      <c r="L1122" s="411">
        <f t="shared" si="364"/>
        <v>1</v>
      </c>
      <c r="M1122" s="409"/>
      <c r="N1122" s="409"/>
      <c r="O1122" s="409">
        <v>1</v>
      </c>
      <c r="P1122" s="409"/>
      <c r="Q1122" s="382"/>
      <c r="R1122" s="385" t="str">
        <f t="shared" si="359"/>
        <v>T</v>
      </c>
      <c r="S1122" s="389"/>
      <c r="T1122" s="389"/>
      <c r="U1122" s="389"/>
      <c r="V1122" s="389"/>
      <c r="W1122" s="389"/>
      <c r="X1122" s="389"/>
      <c r="Y1122" s="389"/>
      <c r="Z1122" s="389"/>
      <c r="AA1122" s="389"/>
      <c r="AB1122" s="389"/>
      <c r="AC1122" s="389"/>
      <c r="AD1122" s="389"/>
      <c r="AE1122" s="389"/>
      <c r="AF1122" s="389"/>
    </row>
    <row r="1123" spans="1:37" hidden="1" outlineLevel="3">
      <c r="A1123" s="382"/>
      <c r="B1123" s="386" t="s">
        <v>498</v>
      </c>
      <c r="C1123" s="386" t="s">
        <v>136</v>
      </c>
      <c r="D1123" s="382" t="s">
        <v>202</v>
      </c>
      <c r="E1123" s="382" t="s">
        <v>29</v>
      </c>
      <c r="F1123" s="440" t="s">
        <v>33</v>
      </c>
      <c r="G1123" s="411">
        <v>1.6550000000000002</v>
      </c>
      <c r="H1123" s="411" t="str">
        <f t="shared" si="365"/>
        <v/>
      </c>
      <c r="I1123" s="411" t="str">
        <f t="shared" si="365"/>
        <v/>
      </c>
      <c r="J1123" s="411">
        <f t="shared" si="365"/>
        <v>1.6550000000000002</v>
      </c>
      <c r="K1123" s="411" t="str">
        <f t="shared" si="365"/>
        <v/>
      </c>
      <c r="L1123" s="411">
        <f t="shared" si="364"/>
        <v>1</v>
      </c>
      <c r="M1123" s="409"/>
      <c r="N1123" s="409"/>
      <c r="O1123" s="409">
        <v>1</v>
      </c>
      <c r="P1123" s="409"/>
      <c r="Q1123" s="382"/>
      <c r="R1123" s="385" t="str">
        <f t="shared" si="359"/>
        <v>T</v>
      </c>
      <c r="S1123" s="389"/>
      <c r="T1123" s="389"/>
      <c r="U1123" s="389"/>
      <c r="V1123" s="389"/>
      <c r="W1123" s="389"/>
      <c r="X1123" s="389"/>
      <c r="Y1123" s="389"/>
      <c r="Z1123" s="389"/>
      <c r="AA1123" s="389"/>
      <c r="AB1123" s="389"/>
      <c r="AC1123" s="389"/>
      <c r="AD1123" s="389"/>
      <c r="AE1123" s="389"/>
      <c r="AF1123" s="389"/>
    </row>
    <row r="1124" spans="1:37" hidden="1" outlineLevel="3">
      <c r="A1124" s="382"/>
      <c r="B1124" s="386" t="s">
        <v>498</v>
      </c>
      <c r="C1124" s="386" t="s">
        <v>136</v>
      </c>
      <c r="D1124" s="382" t="s">
        <v>202</v>
      </c>
      <c r="E1124" s="382" t="s">
        <v>29</v>
      </c>
      <c r="F1124" s="440" t="s">
        <v>471</v>
      </c>
      <c r="G1124" s="411">
        <v>1.6550000000000002</v>
      </c>
      <c r="H1124" s="411" t="str">
        <f t="shared" si="365"/>
        <v/>
      </c>
      <c r="I1124" s="411" t="str">
        <f t="shared" si="365"/>
        <v/>
      </c>
      <c r="J1124" s="411" t="str">
        <f t="shared" si="365"/>
        <v/>
      </c>
      <c r="K1124" s="411">
        <f t="shared" si="365"/>
        <v>1.6550000000000002</v>
      </c>
      <c r="L1124" s="411">
        <f t="shared" si="364"/>
        <v>1</v>
      </c>
      <c r="M1124" s="409"/>
      <c r="N1124" s="409"/>
      <c r="O1124" s="409"/>
      <c r="P1124" s="409">
        <v>1</v>
      </c>
      <c r="Q1124" s="382"/>
      <c r="R1124" s="385" t="str">
        <f t="shared" si="359"/>
        <v>T</v>
      </c>
      <c r="S1124" s="389"/>
      <c r="T1124" s="389"/>
      <c r="U1124" s="389"/>
      <c r="V1124" s="389"/>
      <c r="W1124" s="389"/>
      <c r="X1124" s="389"/>
      <c r="Y1124" s="389"/>
      <c r="Z1124" s="389"/>
      <c r="AA1124" s="389"/>
      <c r="AB1124" s="389"/>
      <c r="AC1124" s="389"/>
      <c r="AD1124" s="389"/>
      <c r="AE1124" s="389"/>
      <c r="AF1124" s="389"/>
    </row>
    <row r="1125" spans="1:37" hidden="1" outlineLevel="3">
      <c r="A1125" s="382"/>
      <c r="B1125" s="386" t="s">
        <v>498</v>
      </c>
      <c r="C1125" s="386" t="s">
        <v>136</v>
      </c>
      <c r="D1125" s="382" t="s">
        <v>202</v>
      </c>
      <c r="E1125" s="382" t="s">
        <v>29</v>
      </c>
      <c r="F1125" s="440" t="s">
        <v>478</v>
      </c>
      <c r="G1125" s="411">
        <v>1.845</v>
      </c>
      <c r="H1125" s="411" t="str">
        <f t="shared" si="365"/>
        <v/>
      </c>
      <c r="I1125" s="411" t="str">
        <f t="shared" si="365"/>
        <v/>
      </c>
      <c r="J1125" s="411" t="str">
        <f t="shared" si="365"/>
        <v/>
      </c>
      <c r="K1125" s="411">
        <f t="shared" si="365"/>
        <v>1.845</v>
      </c>
      <c r="L1125" s="411">
        <f t="shared" si="364"/>
        <v>1</v>
      </c>
      <c r="M1125" s="409"/>
      <c r="N1125" s="409"/>
      <c r="O1125" s="409"/>
      <c r="P1125" s="409">
        <v>1</v>
      </c>
      <c r="Q1125" s="382"/>
      <c r="R1125" s="385" t="str">
        <f t="shared" si="359"/>
        <v>T</v>
      </c>
      <c r="S1125" s="389"/>
      <c r="T1125" s="389"/>
      <c r="U1125" s="389"/>
      <c r="V1125" s="389"/>
      <c r="W1125" s="389"/>
      <c r="X1125" s="389"/>
      <c r="Y1125" s="389"/>
      <c r="Z1125" s="389"/>
      <c r="AA1125" s="389"/>
      <c r="AB1125" s="389"/>
      <c r="AC1125" s="389"/>
      <c r="AD1125" s="389"/>
      <c r="AE1125" s="389"/>
      <c r="AF1125" s="389"/>
    </row>
    <row r="1126" spans="1:37" hidden="1" outlineLevel="3">
      <c r="A1126" s="382"/>
      <c r="B1126" s="386" t="s">
        <v>498</v>
      </c>
      <c r="C1126" s="386" t="s">
        <v>136</v>
      </c>
      <c r="D1126" s="382" t="s">
        <v>202</v>
      </c>
      <c r="E1126" s="382" t="s">
        <v>29</v>
      </c>
      <c r="F1126" s="440" t="s">
        <v>479</v>
      </c>
      <c r="G1126" s="411">
        <v>1.845</v>
      </c>
      <c r="H1126" s="411" t="str">
        <f t="shared" si="365"/>
        <v/>
      </c>
      <c r="I1126" s="411" t="str">
        <f t="shared" si="365"/>
        <v/>
      </c>
      <c r="J1126" s="411" t="str">
        <f t="shared" si="365"/>
        <v/>
      </c>
      <c r="K1126" s="411">
        <f t="shared" si="365"/>
        <v>1.845</v>
      </c>
      <c r="L1126" s="411">
        <f t="shared" si="364"/>
        <v>1</v>
      </c>
      <c r="M1126" s="409"/>
      <c r="N1126" s="409"/>
      <c r="O1126" s="409"/>
      <c r="P1126" s="409">
        <v>1</v>
      </c>
      <c r="Q1126" s="382"/>
      <c r="R1126" s="385" t="str">
        <f t="shared" si="359"/>
        <v>T</v>
      </c>
      <c r="S1126" s="389"/>
      <c r="T1126" s="389"/>
      <c r="U1126" s="389"/>
      <c r="V1126" s="389"/>
      <c r="W1126" s="389"/>
      <c r="X1126" s="389"/>
      <c r="Y1126" s="389"/>
      <c r="Z1126" s="389"/>
      <c r="AA1126" s="389"/>
      <c r="AB1126" s="389"/>
      <c r="AC1126" s="389"/>
      <c r="AD1126" s="389"/>
      <c r="AE1126" s="389"/>
      <c r="AF1126" s="389"/>
    </row>
    <row r="1127" spans="1:37" s="413" customFormat="1" hidden="1" outlineLevel="2" collapsed="1">
      <c r="A1127" s="382"/>
      <c r="B1127" s="386" t="s">
        <v>498</v>
      </c>
      <c r="C1127" s="386" t="s">
        <v>136</v>
      </c>
      <c r="D1127" s="382" t="s">
        <v>18</v>
      </c>
      <c r="E1127" s="382"/>
      <c r="F1127" s="440" t="s">
        <v>468</v>
      </c>
      <c r="G1127" s="411">
        <f>SUM(G1128:G1130)</f>
        <v>0.57000000000000006</v>
      </c>
      <c r="H1127" s="409">
        <f>SUM(H1128:H1130)</f>
        <v>0</v>
      </c>
      <c r="I1127" s="409">
        <f>SUM(I1128:I1130)</f>
        <v>0</v>
      </c>
      <c r="J1127" s="411">
        <f>SUM(J1128:J1130)</f>
        <v>0.38</v>
      </c>
      <c r="K1127" s="411">
        <f>SUM(K1128:K1130)</f>
        <v>0.19</v>
      </c>
      <c r="L1127" s="411">
        <f t="shared" si="364"/>
        <v>3</v>
      </c>
      <c r="M1127" s="409">
        <f>SUM(M1128:M1130)</f>
        <v>0</v>
      </c>
      <c r="N1127" s="409">
        <f>SUM(N1128:N1130)</f>
        <v>0</v>
      </c>
      <c r="O1127" s="409">
        <f>SUM(O1128:O1130)</f>
        <v>2</v>
      </c>
      <c r="P1127" s="409">
        <f>SUM(P1128:P1130)</f>
        <v>1</v>
      </c>
      <c r="Q1127" s="382"/>
      <c r="R1127" s="385" t="str">
        <f t="shared" si="359"/>
        <v>T</v>
      </c>
      <c r="S1127" s="389"/>
      <c r="T1127" s="389"/>
      <c r="U1127" s="389"/>
      <c r="V1127" s="389"/>
      <c r="W1127" s="389"/>
      <c r="X1127" s="389"/>
      <c r="Y1127" s="389"/>
      <c r="Z1127" s="389"/>
      <c r="AA1127" s="389"/>
      <c r="AB1127" s="389"/>
      <c r="AC1127" s="389"/>
      <c r="AD1127" s="389"/>
      <c r="AE1127" s="389"/>
      <c r="AF1127" s="389"/>
      <c r="AG1127" s="383"/>
      <c r="AH1127" s="383"/>
      <c r="AI1127" s="383"/>
      <c r="AJ1127" s="383"/>
      <c r="AK1127" s="383"/>
    </row>
    <row r="1128" spans="1:37" hidden="1" outlineLevel="3">
      <c r="A1128" s="382"/>
      <c r="B1128" s="386" t="s">
        <v>498</v>
      </c>
      <c r="C1128" s="386" t="s">
        <v>136</v>
      </c>
      <c r="D1128" s="382" t="s">
        <v>18</v>
      </c>
      <c r="E1128" s="382" t="s">
        <v>204</v>
      </c>
      <c r="F1128" s="440" t="s">
        <v>32</v>
      </c>
      <c r="G1128" s="411">
        <f>0.19</f>
        <v>0.19</v>
      </c>
      <c r="H1128" s="411" t="str">
        <f t="shared" ref="H1128:K1130" si="366">IF(M1128=1,$G1128,"")</f>
        <v/>
      </c>
      <c r="I1128" s="411" t="str">
        <f t="shared" si="366"/>
        <v/>
      </c>
      <c r="J1128" s="411">
        <f t="shared" si="366"/>
        <v>0.19</v>
      </c>
      <c r="K1128" s="411" t="str">
        <f t="shared" si="366"/>
        <v/>
      </c>
      <c r="L1128" s="411">
        <f t="shared" si="364"/>
        <v>1</v>
      </c>
      <c r="M1128" s="409"/>
      <c r="N1128" s="409"/>
      <c r="O1128" s="409">
        <v>1</v>
      </c>
      <c r="P1128" s="409"/>
      <c r="Q1128" s="382"/>
      <c r="R1128" s="385" t="str">
        <f t="shared" si="359"/>
        <v>T</v>
      </c>
      <c r="S1128" s="389"/>
      <c r="T1128" s="389"/>
      <c r="U1128" s="389"/>
      <c r="V1128" s="389"/>
      <c r="W1128" s="389"/>
      <c r="X1128" s="389"/>
      <c r="Y1128" s="389"/>
      <c r="Z1128" s="389"/>
      <c r="AA1128" s="389"/>
      <c r="AB1128" s="389"/>
      <c r="AC1128" s="389"/>
      <c r="AD1128" s="389"/>
      <c r="AE1128" s="389"/>
      <c r="AF1128" s="389"/>
    </row>
    <row r="1129" spans="1:37" hidden="1" outlineLevel="3">
      <c r="A1129" s="382"/>
      <c r="B1129" s="386" t="s">
        <v>498</v>
      </c>
      <c r="C1129" s="386" t="s">
        <v>136</v>
      </c>
      <c r="D1129" s="382" t="s">
        <v>18</v>
      </c>
      <c r="E1129" s="382" t="s">
        <v>204</v>
      </c>
      <c r="F1129" s="440" t="s">
        <v>33</v>
      </c>
      <c r="G1129" s="411">
        <f>0.19</f>
        <v>0.19</v>
      </c>
      <c r="H1129" s="411" t="str">
        <f t="shared" si="366"/>
        <v/>
      </c>
      <c r="I1129" s="411" t="str">
        <f t="shared" si="366"/>
        <v/>
      </c>
      <c r="J1129" s="411">
        <f t="shared" si="366"/>
        <v>0.19</v>
      </c>
      <c r="K1129" s="411" t="str">
        <f t="shared" si="366"/>
        <v/>
      </c>
      <c r="L1129" s="411">
        <f t="shared" si="364"/>
        <v>1</v>
      </c>
      <c r="M1129" s="409"/>
      <c r="N1129" s="409"/>
      <c r="O1129" s="409">
        <v>1</v>
      </c>
      <c r="P1129" s="409"/>
      <c r="Q1129" s="382"/>
      <c r="R1129" s="385" t="str">
        <f t="shared" si="359"/>
        <v>T</v>
      </c>
      <c r="S1129" s="389"/>
      <c r="T1129" s="389"/>
      <c r="U1129" s="389"/>
      <c r="V1129" s="389"/>
      <c r="W1129" s="389"/>
      <c r="X1129" s="389"/>
      <c r="Y1129" s="389"/>
      <c r="Z1129" s="389"/>
      <c r="AA1129" s="389"/>
      <c r="AB1129" s="389"/>
      <c r="AC1129" s="389"/>
      <c r="AD1129" s="389"/>
      <c r="AE1129" s="389"/>
      <c r="AF1129" s="389"/>
    </row>
    <row r="1130" spans="1:37" hidden="1" outlineLevel="3">
      <c r="A1130" s="382"/>
      <c r="B1130" s="386" t="s">
        <v>498</v>
      </c>
      <c r="C1130" s="386" t="s">
        <v>136</v>
      </c>
      <c r="D1130" s="382" t="s">
        <v>18</v>
      </c>
      <c r="E1130" s="382" t="s">
        <v>204</v>
      </c>
      <c r="F1130" s="440" t="s">
        <v>34</v>
      </c>
      <c r="G1130" s="411">
        <f>0.19</f>
        <v>0.19</v>
      </c>
      <c r="H1130" s="411" t="str">
        <f t="shared" si="366"/>
        <v/>
      </c>
      <c r="I1130" s="411" t="str">
        <f t="shared" si="366"/>
        <v/>
      </c>
      <c r="J1130" s="411" t="str">
        <f t="shared" si="366"/>
        <v/>
      </c>
      <c r="K1130" s="411">
        <f t="shared" si="366"/>
        <v>0.19</v>
      </c>
      <c r="L1130" s="411">
        <f t="shared" si="364"/>
        <v>1</v>
      </c>
      <c r="M1130" s="409"/>
      <c r="N1130" s="409"/>
      <c r="O1130" s="409"/>
      <c r="P1130" s="409">
        <v>1</v>
      </c>
      <c r="Q1130" s="382"/>
      <c r="R1130" s="385" t="str">
        <f t="shared" si="359"/>
        <v>T</v>
      </c>
      <c r="S1130" s="389"/>
      <c r="T1130" s="389"/>
      <c r="U1130" s="389"/>
      <c r="V1130" s="389"/>
      <c r="W1130" s="389"/>
      <c r="X1130" s="389"/>
      <c r="Y1130" s="389"/>
      <c r="Z1130" s="389"/>
      <c r="AA1130" s="389"/>
      <c r="AB1130" s="389"/>
      <c r="AC1130" s="389"/>
      <c r="AD1130" s="389"/>
      <c r="AE1130" s="389"/>
      <c r="AF1130" s="389"/>
    </row>
    <row r="1131" spans="1:37" s="413" customFormat="1" hidden="1" outlineLevel="2" collapsed="1">
      <c r="A1131" s="382"/>
      <c r="B1131" s="386" t="s">
        <v>498</v>
      </c>
      <c r="C1131" s="386" t="s">
        <v>136</v>
      </c>
      <c r="D1131" s="382" t="s">
        <v>26</v>
      </c>
      <c r="E1131" s="382"/>
      <c r="F1131" s="440" t="s">
        <v>502</v>
      </c>
      <c r="G1131" s="411">
        <f>SUM(G1132:G1134)</f>
        <v>3.1291200000000003</v>
      </c>
      <c r="H1131" s="409">
        <f>SUM(H1132:H1134)</f>
        <v>0</v>
      </c>
      <c r="I1131" s="409">
        <f>SUM(I1132:I1134)</f>
        <v>0</v>
      </c>
      <c r="J1131" s="411">
        <f>SUM(J1132:J1134)</f>
        <v>0.78228000000000009</v>
      </c>
      <c r="K1131" s="411">
        <f>SUM(K1132:K1134)</f>
        <v>2.3468400000000003</v>
      </c>
      <c r="L1131" s="411">
        <f t="shared" si="364"/>
        <v>3</v>
      </c>
      <c r="M1131" s="409">
        <f>SUM(M1132:M1134)</f>
        <v>0</v>
      </c>
      <c r="N1131" s="409">
        <f>SUM(N1132:N1134)</f>
        <v>0</v>
      </c>
      <c r="O1131" s="409">
        <f>SUM(O1132:O1134)</f>
        <v>1</v>
      </c>
      <c r="P1131" s="409">
        <f>SUM(P1132:P1134)</f>
        <v>2</v>
      </c>
      <c r="Q1131" s="382"/>
      <c r="R1131" s="385" t="str">
        <f t="shared" si="359"/>
        <v>T</v>
      </c>
      <c r="S1131" s="389"/>
      <c r="T1131" s="389"/>
      <c r="U1131" s="389"/>
      <c r="V1131" s="389"/>
      <c r="W1131" s="389"/>
      <c r="X1131" s="389"/>
      <c r="Y1131" s="389"/>
      <c r="Z1131" s="389"/>
      <c r="AA1131" s="389"/>
      <c r="AB1131" s="389"/>
      <c r="AC1131" s="389"/>
      <c r="AD1131" s="389"/>
      <c r="AE1131" s="389"/>
      <c r="AF1131" s="389"/>
      <c r="AG1131" s="383"/>
      <c r="AH1131" s="383"/>
      <c r="AI1131" s="383"/>
      <c r="AJ1131" s="383"/>
      <c r="AK1131" s="383"/>
    </row>
    <row r="1132" spans="1:37" hidden="1" outlineLevel="3">
      <c r="A1132" s="382"/>
      <c r="B1132" s="386" t="s">
        <v>498</v>
      </c>
      <c r="C1132" s="386" t="s">
        <v>136</v>
      </c>
      <c r="D1132" s="382" t="s">
        <v>26</v>
      </c>
      <c r="E1132" s="382" t="s">
        <v>27</v>
      </c>
      <c r="F1132" s="440" t="s">
        <v>32</v>
      </c>
      <c r="G1132" s="411">
        <v>0.78228000000000009</v>
      </c>
      <c r="H1132" s="411" t="str">
        <f t="shared" ref="H1132:K1134" si="367">IF(M1132=1,$G1132,"")</f>
        <v/>
      </c>
      <c r="I1132" s="411" t="str">
        <f t="shared" si="367"/>
        <v/>
      </c>
      <c r="J1132" s="411">
        <f t="shared" si="367"/>
        <v>0.78228000000000009</v>
      </c>
      <c r="K1132" s="411" t="str">
        <f t="shared" si="367"/>
        <v/>
      </c>
      <c r="L1132" s="411">
        <f t="shared" si="364"/>
        <v>1</v>
      </c>
      <c r="M1132" s="409"/>
      <c r="N1132" s="409"/>
      <c r="O1132" s="409">
        <v>1</v>
      </c>
      <c r="P1132" s="409"/>
      <c r="Q1132" s="382"/>
      <c r="R1132" s="385" t="str">
        <f t="shared" si="359"/>
        <v>T</v>
      </c>
      <c r="S1132" s="389"/>
      <c r="T1132" s="389"/>
      <c r="U1132" s="389"/>
      <c r="V1132" s="389"/>
      <c r="W1132" s="389"/>
      <c r="X1132" s="389"/>
      <c r="Y1132" s="389"/>
      <c r="Z1132" s="389"/>
      <c r="AA1132" s="389"/>
      <c r="AB1132" s="389"/>
      <c r="AC1132" s="389"/>
      <c r="AD1132" s="389"/>
      <c r="AE1132" s="389"/>
      <c r="AF1132" s="389"/>
    </row>
    <row r="1133" spans="1:37" hidden="1" outlineLevel="3">
      <c r="A1133" s="382"/>
      <c r="B1133" s="386" t="s">
        <v>498</v>
      </c>
      <c r="C1133" s="386" t="s">
        <v>136</v>
      </c>
      <c r="D1133" s="382" t="s">
        <v>26</v>
      </c>
      <c r="E1133" s="382" t="s">
        <v>27</v>
      </c>
      <c r="F1133" s="440" t="s">
        <v>34</v>
      </c>
      <c r="G1133" s="411">
        <v>1.5645600000000002</v>
      </c>
      <c r="H1133" s="411" t="str">
        <f t="shared" si="367"/>
        <v/>
      </c>
      <c r="I1133" s="411" t="str">
        <f t="shared" si="367"/>
        <v/>
      </c>
      <c r="J1133" s="411" t="str">
        <f t="shared" si="367"/>
        <v/>
      </c>
      <c r="K1133" s="411">
        <f t="shared" si="367"/>
        <v>1.5645600000000002</v>
      </c>
      <c r="L1133" s="411">
        <f t="shared" si="364"/>
        <v>1</v>
      </c>
      <c r="M1133" s="409"/>
      <c r="N1133" s="409"/>
      <c r="O1133" s="409"/>
      <c r="P1133" s="409">
        <v>1</v>
      </c>
      <c r="Q1133" s="382"/>
      <c r="R1133" s="385" t="str">
        <f t="shared" si="359"/>
        <v>T</v>
      </c>
      <c r="S1133" s="389"/>
      <c r="T1133" s="389"/>
      <c r="U1133" s="389"/>
      <c r="V1133" s="389"/>
      <c r="W1133" s="389"/>
      <c r="X1133" s="389"/>
      <c r="Y1133" s="389"/>
      <c r="Z1133" s="389"/>
      <c r="AA1133" s="389"/>
      <c r="AB1133" s="389"/>
      <c r="AC1133" s="389"/>
      <c r="AD1133" s="389"/>
      <c r="AE1133" s="389"/>
      <c r="AF1133" s="389"/>
    </row>
    <row r="1134" spans="1:37" hidden="1" outlineLevel="3">
      <c r="A1134" s="382"/>
      <c r="B1134" s="386" t="s">
        <v>498</v>
      </c>
      <c r="C1134" s="386" t="s">
        <v>136</v>
      </c>
      <c r="D1134" s="382" t="s">
        <v>26</v>
      </c>
      <c r="E1134" s="382" t="s">
        <v>27</v>
      </c>
      <c r="F1134" s="440" t="s">
        <v>471</v>
      </c>
      <c r="G1134" s="411">
        <v>0.78228000000000009</v>
      </c>
      <c r="H1134" s="411" t="str">
        <f t="shared" si="367"/>
        <v/>
      </c>
      <c r="I1134" s="411" t="str">
        <f t="shared" si="367"/>
        <v/>
      </c>
      <c r="J1134" s="411" t="str">
        <f t="shared" si="367"/>
        <v/>
      </c>
      <c r="K1134" s="411">
        <f t="shared" si="367"/>
        <v>0.78228000000000009</v>
      </c>
      <c r="L1134" s="411">
        <f t="shared" si="364"/>
        <v>1</v>
      </c>
      <c r="M1134" s="409"/>
      <c r="N1134" s="409"/>
      <c r="O1134" s="409"/>
      <c r="P1134" s="409">
        <v>1</v>
      </c>
      <c r="Q1134" s="382"/>
      <c r="R1134" s="385" t="str">
        <f t="shared" si="359"/>
        <v>T</v>
      </c>
      <c r="S1134" s="389"/>
      <c r="T1134" s="389"/>
      <c r="U1134" s="389"/>
      <c r="V1134" s="389"/>
      <c r="W1134" s="389"/>
      <c r="X1134" s="389"/>
      <c r="Y1134" s="389"/>
      <c r="Z1134" s="389"/>
      <c r="AA1134" s="389"/>
      <c r="AB1134" s="389"/>
      <c r="AC1134" s="389"/>
      <c r="AD1134" s="389"/>
      <c r="AE1134" s="389"/>
      <c r="AF1134" s="389"/>
    </row>
    <row r="1135" spans="1:37" s="413" customFormat="1" hidden="1" outlineLevel="2" collapsed="1">
      <c r="A1135" s="382"/>
      <c r="B1135" s="386" t="s">
        <v>498</v>
      </c>
      <c r="C1135" s="386" t="s">
        <v>136</v>
      </c>
      <c r="D1135" s="382" t="s">
        <v>28</v>
      </c>
      <c r="E1135" s="382"/>
      <c r="F1135" s="440" t="s">
        <v>468</v>
      </c>
      <c r="G1135" s="411">
        <f>SUM(G1136:G1139)</f>
        <v>1.30626</v>
      </c>
      <c r="H1135" s="409">
        <f>SUM(H1136:H1139)</f>
        <v>0</v>
      </c>
      <c r="I1135" s="409">
        <f>SUM(I1136:I1139)</f>
        <v>0</v>
      </c>
      <c r="J1135" s="411">
        <f>SUM(J1136:J1139)</f>
        <v>0.65312999999999999</v>
      </c>
      <c r="K1135" s="411">
        <f>SUM(K1136:K1139)</f>
        <v>0.65312999999999999</v>
      </c>
      <c r="L1135" s="411">
        <f t="shared" si="364"/>
        <v>4</v>
      </c>
      <c r="M1135" s="409">
        <f>SUM(M1136:M1139)</f>
        <v>0</v>
      </c>
      <c r="N1135" s="409">
        <f>SUM(N1136:N1139)</f>
        <v>0</v>
      </c>
      <c r="O1135" s="409">
        <f>SUM(O1136:O1139)</f>
        <v>2</v>
      </c>
      <c r="P1135" s="409">
        <f>SUM(P1136:P1139)</f>
        <v>2</v>
      </c>
      <c r="Q1135" s="382"/>
      <c r="R1135" s="385" t="str">
        <f t="shared" si="359"/>
        <v>T</v>
      </c>
      <c r="S1135" s="389"/>
      <c r="T1135" s="389"/>
      <c r="U1135" s="389"/>
      <c r="V1135" s="389"/>
      <c r="W1135" s="389"/>
      <c r="X1135" s="389"/>
      <c r="Y1135" s="389"/>
      <c r="Z1135" s="389"/>
      <c r="AA1135" s="389"/>
      <c r="AB1135" s="389"/>
      <c r="AC1135" s="389"/>
      <c r="AD1135" s="389"/>
      <c r="AE1135" s="389"/>
      <c r="AF1135" s="389"/>
      <c r="AG1135" s="383"/>
      <c r="AH1135" s="383"/>
      <c r="AI1135" s="383"/>
      <c r="AJ1135" s="383"/>
      <c r="AK1135" s="383"/>
    </row>
    <row r="1136" spans="1:37" hidden="1" outlineLevel="3">
      <c r="A1136" s="382"/>
      <c r="B1136" s="386" t="s">
        <v>498</v>
      </c>
      <c r="C1136" s="386" t="s">
        <v>136</v>
      </c>
      <c r="D1136" s="382" t="s">
        <v>28</v>
      </c>
      <c r="E1136" s="382" t="s">
        <v>29</v>
      </c>
      <c r="F1136" s="440" t="s">
        <v>32</v>
      </c>
      <c r="G1136" s="411">
        <v>0.21770999999999999</v>
      </c>
      <c r="H1136" s="411" t="str">
        <f t="shared" ref="H1136:K1139" si="368">IF(M1136=1,$G1136,"")</f>
        <v/>
      </c>
      <c r="I1136" s="411" t="str">
        <f t="shared" si="368"/>
        <v/>
      </c>
      <c r="J1136" s="411">
        <f t="shared" si="368"/>
        <v>0.21770999999999999</v>
      </c>
      <c r="K1136" s="411" t="str">
        <f t="shared" si="368"/>
        <v/>
      </c>
      <c r="L1136" s="411">
        <f t="shared" si="364"/>
        <v>1</v>
      </c>
      <c r="M1136" s="409"/>
      <c r="N1136" s="409"/>
      <c r="O1136" s="409">
        <v>1</v>
      </c>
      <c r="P1136" s="409"/>
      <c r="Q1136" s="382"/>
      <c r="R1136" s="385" t="str">
        <f t="shared" si="359"/>
        <v>T</v>
      </c>
      <c r="S1136" s="389"/>
      <c r="T1136" s="389"/>
      <c r="U1136" s="389"/>
      <c r="V1136" s="389"/>
      <c r="W1136" s="389"/>
      <c r="X1136" s="389"/>
      <c r="Y1136" s="389"/>
      <c r="Z1136" s="389"/>
      <c r="AA1136" s="389"/>
      <c r="AB1136" s="389"/>
      <c r="AC1136" s="389"/>
      <c r="AD1136" s="389"/>
      <c r="AE1136" s="389"/>
      <c r="AF1136" s="389"/>
    </row>
    <row r="1137" spans="1:37" hidden="1" outlineLevel="3">
      <c r="A1137" s="382"/>
      <c r="B1137" s="386" t="s">
        <v>498</v>
      </c>
      <c r="C1137" s="386" t="s">
        <v>136</v>
      </c>
      <c r="D1137" s="382" t="s">
        <v>28</v>
      </c>
      <c r="E1137" s="382" t="s">
        <v>29</v>
      </c>
      <c r="F1137" s="440" t="s">
        <v>33</v>
      </c>
      <c r="G1137" s="411">
        <v>0.43541999999999997</v>
      </c>
      <c r="H1137" s="411" t="str">
        <f t="shared" si="368"/>
        <v/>
      </c>
      <c r="I1137" s="411" t="str">
        <f t="shared" si="368"/>
        <v/>
      </c>
      <c r="J1137" s="411">
        <f t="shared" si="368"/>
        <v>0.43541999999999997</v>
      </c>
      <c r="K1137" s="411" t="str">
        <f t="shared" si="368"/>
        <v/>
      </c>
      <c r="L1137" s="411">
        <f t="shared" si="364"/>
        <v>1</v>
      </c>
      <c r="M1137" s="409"/>
      <c r="N1137" s="409"/>
      <c r="O1137" s="409">
        <v>1</v>
      </c>
      <c r="P1137" s="409"/>
      <c r="Q1137" s="382"/>
      <c r="R1137" s="385" t="str">
        <f t="shared" si="359"/>
        <v>T</v>
      </c>
      <c r="S1137" s="389"/>
      <c r="T1137" s="389"/>
      <c r="U1137" s="389"/>
      <c r="V1137" s="389"/>
      <c r="W1137" s="389"/>
      <c r="X1137" s="389"/>
      <c r="Y1137" s="389"/>
      <c r="Z1137" s="389"/>
      <c r="AA1137" s="389"/>
      <c r="AB1137" s="389"/>
      <c r="AC1137" s="389"/>
      <c r="AD1137" s="389"/>
      <c r="AE1137" s="389"/>
      <c r="AF1137" s="389"/>
    </row>
    <row r="1138" spans="1:37" hidden="1" outlineLevel="3">
      <c r="A1138" s="382"/>
      <c r="B1138" s="386" t="s">
        <v>498</v>
      </c>
      <c r="C1138" s="386" t="s">
        <v>136</v>
      </c>
      <c r="D1138" s="382" t="s">
        <v>28</v>
      </c>
      <c r="E1138" s="382" t="s">
        <v>29</v>
      </c>
      <c r="F1138" s="440" t="s">
        <v>34</v>
      </c>
      <c r="G1138" s="411">
        <v>0.43541999999999997</v>
      </c>
      <c r="H1138" s="411" t="str">
        <f t="shared" si="368"/>
        <v/>
      </c>
      <c r="I1138" s="411" t="str">
        <f t="shared" si="368"/>
        <v/>
      </c>
      <c r="J1138" s="411" t="str">
        <f t="shared" si="368"/>
        <v/>
      </c>
      <c r="K1138" s="411">
        <f t="shared" si="368"/>
        <v>0.43541999999999997</v>
      </c>
      <c r="L1138" s="411">
        <f t="shared" si="364"/>
        <v>1</v>
      </c>
      <c r="M1138" s="409"/>
      <c r="N1138" s="409"/>
      <c r="O1138" s="409"/>
      <c r="P1138" s="409">
        <v>1</v>
      </c>
      <c r="Q1138" s="382"/>
      <c r="R1138" s="385" t="str">
        <f t="shared" si="359"/>
        <v>T</v>
      </c>
      <c r="S1138" s="389"/>
      <c r="T1138" s="389"/>
      <c r="U1138" s="389"/>
      <c r="V1138" s="389"/>
      <c r="W1138" s="389"/>
      <c r="X1138" s="389"/>
      <c r="Y1138" s="389"/>
      <c r="Z1138" s="389"/>
      <c r="AA1138" s="389"/>
      <c r="AB1138" s="389"/>
      <c r="AC1138" s="389"/>
      <c r="AD1138" s="389"/>
      <c r="AE1138" s="389"/>
      <c r="AF1138" s="389"/>
    </row>
    <row r="1139" spans="1:37" hidden="1" outlineLevel="3">
      <c r="A1139" s="382"/>
      <c r="B1139" s="386" t="s">
        <v>498</v>
      </c>
      <c r="C1139" s="386" t="s">
        <v>136</v>
      </c>
      <c r="D1139" s="382" t="s">
        <v>28</v>
      </c>
      <c r="E1139" s="382" t="s">
        <v>29</v>
      </c>
      <c r="F1139" s="440" t="s">
        <v>471</v>
      </c>
      <c r="G1139" s="411">
        <v>0.21770999999999999</v>
      </c>
      <c r="H1139" s="411" t="str">
        <f t="shared" si="368"/>
        <v/>
      </c>
      <c r="I1139" s="411" t="str">
        <f t="shared" si="368"/>
        <v/>
      </c>
      <c r="J1139" s="411" t="str">
        <f t="shared" si="368"/>
        <v/>
      </c>
      <c r="K1139" s="411">
        <f t="shared" si="368"/>
        <v>0.21770999999999999</v>
      </c>
      <c r="L1139" s="411">
        <f t="shared" si="364"/>
        <v>1</v>
      </c>
      <c r="M1139" s="409"/>
      <c r="N1139" s="409"/>
      <c r="O1139" s="409"/>
      <c r="P1139" s="409">
        <v>1</v>
      </c>
      <c r="Q1139" s="382"/>
      <c r="R1139" s="385" t="str">
        <f t="shared" si="359"/>
        <v>T</v>
      </c>
      <c r="S1139" s="389"/>
      <c r="T1139" s="389"/>
      <c r="U1139" s="389"/>
      <c r="V1139" s="389"/>
      <c r="W1139" s="389"/>
      <c r="X1139" s="389"/>
      <c r="Y1139" s="389"/>
      <c r="Z1139" s="389"/>
      <c r="AA1139" s="389"/>
      <c r="AB1139" s="389"/>
      <c r="AC1139" s="389"/>
      <c r="AD1139" s="389"/>
      <c r="AE1139" s="389"/>
      <c r="AF1139" s="389"/>
    </row>
    <row r="1140" spans="1:37" s="413" customFormat="1" hidden="1" outlineLevel="2" collapsed="1">
      <c r="A1140" s="382"/>
      <c r="B1140" s="386" t="s">
        <v>498</v>
      </c>
      <c r="C1140" s="386" t="s">
        <v>136</v>
      </c>
      <c r="D1140" s="382" t="s">
        <v>64</v>
      </c>
      <c r="E1140" s="382"/>
      <c r="F1140" s="440" t="s">
        <v>468</v>
      </c>
      <c r="G1140" s="411">
        <f>+SUM(G1141:G1145)</f>
        <v>0.97416000000000014</v>
      </c>
      <c r="H1140" s="409">
        <f>SUM(H1141:H1145)</f>
        <v>0</v>
      </c>
      <c r="I1140" s="409">
        <f>SUM(I1141:I1145)</f>
        <v>0</v>
      </c>
      <c r="J1140" s="411">
        <f>SUM(J1141:J1145)</f>
        <v>0.60885</v>
      </c>
      <c r="K1140" s="411">
        <f>SUM(K1141:K1145)</f>
        <v>0.36531000000000002</v>
      </c>
      <c r="L1140" s="411">
        <f t="shared" si="364"/>
        <v>5</v>
      </c>
      <c r="M1140" s="409">
        <f>SUM(M1141:M1145)</f>
        <v>0</v>
      </c>
      <c r="N1140" s="409">
        <f>SUM(N1141:N1145)</f>
        <v>0</v>
      </c>
      <c r="O1140" s="409">
        <f>SUM(O1141:O1145)</f>
        <v>2</v>
      </c>
      <c r="P1140" s="409">
        <f>SUM(P1141:P1145)</f>
        <v>3</v>
      </c>
      <c r="Q1140" s="382"/>
      <c r="R1140" s="385" t="str">
        <f t="shared" si="359"/>
        <v>T</v>
      </c>
      <c r="S1140" s="389"/>
      <c r="T1140" s="389"/>
      <c r="U1140" s="389"/>
      <c r="V1140" s="389"/>
      <c r="W1140" s="389"/>
      <c r="X1140" s="389"/>
      <c r="Y1140" s="389"/>
      <c r="Z1140" s="389"/>
      <c r="AA1140" s="389"/>
      <c r="AB1140" s="389"/>
      <c r="AC1140" s="389"/>
      <c r="AD1140" s="389"/>
      <c r="AE1140" s="389"/>
      <c r="AF1140" s="389"/>
      <c r="AG1140" s="383"/>
      <c r="AH1140" s="383"/>
      <c r="AI1140" s="383"/>
      <c r="AJ1140" s="383"/>
      <c r="AK1140" s="383"/>
    </row>
    <row r="1141" spans="1:37" hidden="1" outlineLevel="3">
      <c r="A1141" s="382"/>
      <c r="B1141" s="386" t="s">
        <v>498</v>
      </c>
      <c r="C1141" s="386" t="s">
        <v>136</v>
      </c>
      <c r="D1141" s="382" t="s">
        <v>64</v>
      </c>
      <c r="E1141" s="382" t="s">
        <v>29</v>
      </c>
      <c r="F1141" s="440" t="s">
        <v>32</v>
      </c>
      <c r="G1141" s="411">
        <v>0.24354000000000001</v>
      </c>
      <c r="H1141" s="411" t="str">
        <f t="shared" ref="H1141:K1145" si="369">IF(M1141=1,$G1141,"")</f>
        <v/>
      </c>
      <c r="I1141" s="411" t="str">
        <f t="shared" si="369"/>
        <v/>
      </c>
      <c r="J1141" s="411">
        <f t="shared" si="369"/>
        <v>0.24354000000000001</v>
      </c>
      <c r="K1141" s="411" t="str">
        <f t="shared" si="369"/>
        <v/>
      </c>
      <c r="L1141" s="411">
        <f t="shared" si="364"/>
        <v>1</v>
      </c>
      <c r="M1141" s="409"/>
      <c r="N1141" s="409"/>
      <c r="O1141" s="409">
        <v>1</v>
      </c>
      <c r="P1141" s="409"/>
      <c r="Q1141" s="382"/>
      <c r="R1141" s="385" t="str">
        <f t="shared" ref="R1141:R1518" si="370">IF(SUM(M1141:P1141)=L1141,"T","F")</f>
        <v>T</v>
      </c>
      <c r="S1141" s="389"/>
      <c r="T1141" s="389"/>
      <c r="U1141" s="389"/>
      <c r="V1141" s="389"/>
      <c r="W1141" s="389"/>
      <c r="X1141" s="389"/>
      <c r="Y1141" s="389"/>
      <c r="Z1141" s="389"/>
      <c r="AA1141" s="389"/>
      <c r="AB1141" s="389"/>
      <c r="AC1141" s="389"/>
      <c r="AD1141" s="389"/>
      <c r="AE1141" s="389"/>
      <c r="AF1141" s="389"/>
    </row>
    <row r="1142" spans="1:37" hidden="1" outlineLevel="3">
      <c r="A1142" s="382"/>
      <c r="B1142" s="386" t="s">
        <v>498</v>
      </c>
      <c r="C1142" s="386" t="s">
        <v>136</v>
      </c>
      <c r="D1142" s="382" t="s">
        <v>64</v>
      </c>
      <c r="E1142" s="382" t="s">
        <v>29</v>
      </c>
      <c r="F1142" s="440" t="s">
        <v>33</v>
      </c>
      <c r="G1142" s="411">
        <v>0.36530999999999997</v>
      </c>
      <c r="H1142" s="411" t="str">
        <f t="shared" si="369"/>
        <v/>
      </c>
      <c r="I1142" s="411" t="str">
        <f t="shared" si="369"/>
        <v/>
      </c>
      <c r="J1142" s="411">
        <f t="shared" si="369"/>
        <v>0.36530999999999997</v>
      </c>
      <c r="K1142" s="411" t="str">
        <f t="shared" si="369"/>
        <v/>
      </c>
      <c r="L1142" s="411">
        <f t="shared" si="364"/>
        <v>1</v>
      </c>
      <c r="M1142" s="409"/>
      <c r="N1142" s="409"/>
      <c r="O1142" s="409">
        <v>1</v>
      </c>
      <c r="P1142" s="409"/>
      <c r="Q1142" s="382"/>
      <c r="R1142" s="385" t="str">
        <f t="shared" si="370"/>
        <v>T</v>
      </c>
      <c r="S1142" s="389"/>
      <c r="T1142" s="389"/>
      <c r="U1142" s="389"/>
      <c r="V1142" s="389"/>
      <c r="W1142" s="389"/>
      <c r="X1142" s="389"/>
      <c r="Y1142" s="389"/>
      <c r="Z1142" s="389"/>
      <c r="AA1142" s="389"/>
      <c r="AB1142" s="389"/>
      <c r="AC1142" s="389"/>
      <c r="AD1142" s="389"/>
      <c r="AE1142" s="389"/>
      <c r="AF1142" s="389"/>
    </row>
    <row r="1143" spans="1:37" hidden="1" outlineLevel="3">
      <c r="A1143" s="382"/>
      <c r="B1143" s="386" t="s">
        <v>498</v>
      </c>
      <c r="C1143" s="386" t="s">
        <v>136</v>
      </c>
      <c r="D1143" s="382" t="s">
        <v>64</v>
      </c>
      <c r="E1143" s="382" t="s">
        <v>29</v>
      </c>
      <c r="F1143" s="440" t="s">
        <v>34</v>
      </c>
      <c r="G1143" s="411">
        <v>0.12177</v>
      </c>
      <c r="H1143" s="411" t="str">
        <f t="shared" si="369"/>
        <v/>
      </c>
      <c r="I1143" s="411" t="str">
        <f t="shared" si="369"/>
        <v/>
      </c>
      <c r="J1143" s="411" t="str">
        <f t="shared" si="369"/>
        <v/>
      </c>
      <c r="K1143" s="411">
        <f t="shared" si="369"/>
        <v>0.12177</v>
      </c>
      <c r="L1143" s="411">
        <f t="shared" si="364"/>
        <v>1</v>
      </c>
      <c r="M1143" s="409"/>
      <c r="N1143" s="409"/>
      <c r="O1143" s="409"/>
      <c r="P1143" s="409">
        <v>1</v>
      </c>
      <c r="Q1143" s="382"/>
      <c r="R1143" s="385" t="str">
        <f t="shared" si="370"/>
        <v>T</v>
      </c>
      <c r="S1143" s="389"/>
      <c r="T1143" s="389"/>
      <c r="U1143" s="389"/>
      <c r="V1143" s="389"/>
      <c r="W1143" s="389"/>
      <c r="X1143" s="389"/>
      <c r="Y1143" s="389"/>
      <c r="Z1143" s="389"/>
      <c r="AA1143" s="389"/>
      <c r="AB1143" s="389"/>
      <c r="AC1143" s="389"/>
      <c r="AD1143" s="389"/>
      <c r="AE1143" s="389"/>
      <c r="AF1143" s="389"/>
    </row>
    <row r="1144" spans="1:37" hidden="1" outlineLevel="3">
      <c r="A1144" s="382"/>
      <c r="B1144" s="386" t="s">
        <v>498</v>
      </c>
      <c r="C1144" s="386" t="s">
        <v>136</v>
      </c>
      <c r="D1144" s="382" t="s">
        <v>64</v>
      </c>
      <c r="E1144" s="382" t="s">
        <v>29</v>
      </c>
      <c r="F1144" s="440" t="s">
        <v>471</v>
      </c>
      <c r="G1144" s="411">
        <v>0.12177</v>
      </c>
      <c r="H1144" s="411" t="str">
        <f t="shared" si="369"/>
        <v/>
      </c>
      <c r="I1144" s="411" t="str">
        <f t="shared" si="369"/>
        <v/>
      </c>
      <c r="J1144" s="411" t="str">
        <f t="shared" si="369"/>
        <v/>
      </c>
      <c r="K1144" s="411">
        <f t="shared" si="369"/>
        <v>0.12177</v>
      </c>
      <c r="L1144" s="411">
        <f t="shared" si="364"/>
        <v>1</v>
      </c>
      <c r="M1144" s="409"/>
      <c r="N1144" s="409"/>
      <c r="O1144" s="409"/>
      <c r="P1144" s="409">
        <v>1</v>
      </c>
      <c r="Q1144" s="382"/>
      <c r="R1144" s="385" t="str">
        <f t="shared" si="370"/>
        <v>T</v>
      </c>
      <c r="S1144" s="389"/>
      <c r="T1144" s="389"/>
      <c r="U1144" s="389"/>
      <c r="V1144" s="389"/>
      <c r="W1144" s="389"/>
      <c r="X1144" s="389"/>
      <c r="Y1144" s="389"/>
      <c r="Z1144" s="389"/>
      <c r="AA1144" s="389"/>
      <c r="AB1144" s="389"/>
      <c r="AC1144" s="389"/>
      <c r="AD1144" s="389"/>
      <c r="AE1144" s="389"/>
      <c r="AF1144" s="389"/>
    </row>
    <row r="1145" spans="1:37" hidden="1" outlineLevel="3" collapsed="1">
      <c r="A1145" s="382"/>
      <c r="B1145" s="386" t="s">
        <v>498</v>
      </c>
      <c r="C1145" s="386" t="s">
        <v>136</v>
      </c>
      <c r="D1145" s="382" t="s">
        <v>64</v>
      </c>
      <c r="E1145" s="382" t="s">
        <v>29</v>
      </c>
      <c r="F1145" s="440" t="s">
        <v>335</v>
      </c>
      <c r="G1145" s="411">
        <v>0.12177</v>
      </c>
      <c r="H1145" s="411" t="str">
        <f t="shared" si="369"/>
        <v/>
      </c>
      <c r="I1145" s="411" t="str">
        <f t="shared" si="369"/>
        <v/>
      </c>
      <c r="J1145" s="411" t="str">
        <f t="shared" si="369"/>
        <v/>
      </c>
      <c r="K1145" s="411">
        <f t="shared" si="369"/>
        <v>0.12177</v>
      </c>
      <c r="L1145" s="411">
        <f t="shared" si="364"/>
        <v>1</v>
      </c>
      <c r="M1145" s="409"/>
      <c r="N1145" s="409"/>
      <c r="O1145" s="409"/>
      <c r="P1145" s="409">
        <v>1</v>
      </c>
      <c r="Q1145" s="382"/>
      <c r="R1145" s="385" t="str">
        <f t="shared" si="370"/>
        <v>T</v>
      </c>
      <c r="S1145" s="389"/>
      <c r="T1145" s="389"/>
      <c r="U1145" s="389"/>
      <c r="V1145" s="389"/>
      <c r="W1145" s="389"/>
      <c r="X1145" s="389"/>
      <c r="Y1145" s="389"/>
      <c r="Z1145" s="389"/>
      <c r="AA1145" s="389"/>
      <c r="AB1145" s="389"/>
      <c r="AC1145" s="389"/>
      <c r="AD1145" s="389"/>
      <c r="AE1145" s="389"/>
      <c r="AF1145" s="389"/>
    </row>
    <row r="1146" spans="1:37" ht="16.350000000000001" customHeight="1" outlineLevel="1" collapsed="1">
      <c r="A1146" s="382"/>
      <c r="B1146" s="396" t="s">
        <v>503</v>
      </c>
      <c r="C1146" s="390" t="s">
        <v>503</v>
      </c>
      <c r="D1146" s="403"/>
      <c r="E1146" s="390"/>
      <c r="F1146" s="445" t="s">
        <v>504</v>
      </c>
      <c r="G1146" s="418">
        <f>G1147+G1157+G1161+G1166</f>
        <v>9.6297206000000024</v>
      </c>
      <c r="H1146" s="538">
        <f>H1147+H1157+H1161+H1166</f>
        <v>1.6141000000000003</v>
      </c>
      <c r="I1146" s="538">
        <f>I1147+I1157+I1161+I1166</f>
        <v>3.4331907000000004</v>
      </c>
      <c r="J1146" s="538">
        <f>J1147+J1157+J1161+J1166</f>
        <v>1.9336918000000003</v>
      </c>
      <c r="K1146" s="538">
        <f>K1147+K1157+K1161+K1166</f>
        <v>2.6487381000000001</v>
      </c>
      <c r="L1146" s="418">
        <f>SUM(M1146:P1146)</f>
        <v>20</v>
      </c>
      <c r="M1146" s="461">
        <f>M1147+M1157+M1161+M1166</f>
        <v>1</v>
      </c>
      <c r="N1146" s="461">
        <f>N1147+N1157+N1161+N1166</f>
        <v>9</v>
      </c>
      <c r="O1146" s="461">
        <f>O1147+O1157+O1161+O1166</f>
        <v>5</v>
      </c>
      <c r="P1146" s="461">
        <f>P1147+P1157+P1161+P1166</f>
        <v>5</v>
      </c>
      <c r="Q1146" s="382"/>
      <c r="R1146" s="385" t="str">
        <f t="shared" si="370"/>
        <v>T</v>
      </c>
      <c r="S1146" s="389" t="s">
        <v>505</v>
      </c>
      <c r="T1146" s="389"/>
      <c r="U1146" s="389"/>
      <c r="V1146" s="389"/>
      <c r="W1146" s="389"/>
      <c r="X1146" s="389"/>
      <c r="Y1146" s="389"/>
      <c r="Z1146" s="389"/>
      <c r="AA1146" s="389"/>
      <c r="AB1146" s="389"/>
      <c r="AC1146" s="389"/>
      <c r="AD1146" s="389"/>
      <c r="AE1146" s="389"/>
      <c r="AF1146" s="389"/>
    </row>
    <row r="1147" spans="1:37" hidden="1" outlineLevel="2" collapsed="1">
      <c r="A1147" s="382"/>
      <c r="B1147" s="382" t="s">
        <v>503</v>
      </c>
      <c r="C1147" s="382" t="s">
        <v>503</v>
      </c>
      <c r="D1147" s="382" t="s">
        <v>18</v>
      </c>
      <c r="E1147" s="386"/>
      <c r="F1147" s="440" t="s">
        <v>506</v>
      </c>
      <c r="G1147" s="387">
        <f>SUM(G1148:G1156)</f>
        <v>7.2634500000000024</v>
      </c>
      <c r="H1147" s="411">
        <f>SUM(H1148:H1156)</f>
        <v>1.6141000000000003</v>
      </c>
      <c r="I1147" s="411">
        <f>SUM(I1148:I1156)</f>
        <v>2.4211500000000008</v>
      </c>
      <c r="J1147" s="411">
        <f>SUM(J1148:J1156)</f>
        <v>1.6141000000000003</v>
      </c>
      <c r="K1147" s="411">
        <f>SUM(K1148:K1156)</f>
        <v>1.6141000000000003</v>
      </c>
      <c r="L1147" s="387">
        <f t="shared" ref="L1147:L1170" si="371">SUM(M1147:P1147)</f>
        <v>9</v>
      </c>
      <c r="M1147" s="409">
        <f>SUM(M1148:M1156)</f>
        <v>1</v>
      </c>
      <c r="N1147" s="409">
        <f>SUM(N1148:N1156)</f>
        <v>4</v>
      </c>
      <c r="O1147" s="409">
        <f>SUM(O1148:O1156)</f>
        <v>2</v>
      </c>
      <c r="P1147" s="409">
        <f>SUM(P1148:P1156)</f>
        <v>2</v>
      </c>
      <c r="Q1147" s="382"/>
      <c r="R1147" s="385" t="str">
        <f t="shared" ref="R1147:R1170" si="372">IF(SUM(M1147:P1147)=L1147,"T","F")</f>
        <v>T</v>
      </c>
      <c r="S1147" s="389"/>
      <c r="T1147" s="389"/>
      <c r="U1147" s="389"/>
      <c r="V1147" s="389"/>
      <c r="W1147" s="389"/>
      <c r="X1147" s="389"/>
      <c r="Y1147" s="389"/>
      <c r="Z1147" s="389"/>
      <c r="AA1147" s="389"/>
      <c r="AB1147" s="389"/>
      <c r="AC1147" s="389"/>
      <c r="AD1147" s="389"/>
      <c r="AE1147" s="389"/>
      <c r="AF1147" s="389"/>
    </row>
    <row r="1148" spans="1:37" hidden="1" outlineLevel="3">
      <c r="A1148" s="382"/>
      <c r="B1148" s="382" t="s">
        <v>503</v>
      </c>
      <c r="C1148" s="382" t="s">
        <v>503</v>
      </c>
      <c r="D1148" s="382" t="s">
        <v>18</v>
      </c>
      <c r="E1148" s="386" t="s">
        <v>204</v>
      </c>
      <c r="F1148" s="440" t="s">
        <v>334</v>
      </c>
      <c r="G1148" s="387">
        <v>1.6141000000000003</v>
      </c>
      <c r="H1148" s="411">
        <f t="shared" ref="H1148:K1153" si="373">IF(M1148=1,$G1148,"")</f>
        <v>1.6141000000000003</v>
      </c>
      <c r="I1148" s="411" t="str">
        <f t="shared" si="373"/>
        <v/>
      </c>
      <c r="J1148" s="411" t="str">
        <f t="shared" si="373"/>
        <v/>
      </c>
      <c r="K1148" s="411" t="str">
        <f t="shared" si="373"/>
        <v/>
      </c>
      <c r="L1148" s="387">
        <f t="shared" ref="L1148:L1153" si="374">SUM(M1148:P1148)</f>
        <v>1</v>
      </c>
      <c r="M1148" s="388">
        <v>1</v>
      </c>
      <c r="N1148" s="388"/>
      <c r="O1148" s="388"/>
      <c r="P1148" s="409"/>
      <c r="Q1148" s="382"/>
      <c r="R1148" s="385" t="str">
        <f t="shared" ref="R1148:R1153" si="375">IF(SUM(M1148:P1148)=L1148,"T","F")</f>
        <v>T</v>
      </c>
      <c r="S1148" s="389"/>
      <c r="T1148" s="389"/>
      <c r="U1148" s="389"/>
      <c r="V1148" s="389"/>
      <c r="W1148" s="389"/>
      <c r="X1148" s="389"/>
      <c r="Y1148" s="389"/>
      <c r="Z1148" s="389"/>
      <c r="AA1148" s="389"/>
      <c r="AB1148" s="389"/>
      <c r="AC1148" s="389"/>
      <c r="AD1148" s="389"/>
      <c r="AE1148" s="389"/>
      <c r="AF1148" s="389"/>
    </row>
    <row r="1149" spans="1:37" hidden="1" outlineLevel="3">
      <c r="A1149" s="382"/>
      <c r="B1149" s="382" t="s">
        <v>503</v>
      </c>
      <c r="C1149" s="382" t="s">
        <v>503</v>
      </c>
      <c r="D1149" s="382" t="s">
        <v>18</v>
      </c>
      <c r="E1149" s="386" t="s">
        <v>204</v>
      </c>
      <c r="F1149" s="440" t="s">
        <v>32</v>
      </c>
      <c r="G1149" s="387">
        <v>1.5182250000000004</v>
      </c>
      <c r="H1149" s="411" t="str">
        <f t="shared" si="373"/>
        <v/>
      </c>
      <c r="I1149" s="411">
        <f t="shared" si="373"/>
        <v>1.5182250000000004</v>
      </c>
      <c r="J1149" s="411" t="str">
        <f t="shared" si="373"/>
        <v/>
      </c>
      <c r="K1149" s="411" t="str">
        <f t="shared" si="373"/>
        <v/>
      </c>
      <c r="L1149" s="387">
        <f t="shared" si="374"/>
        <v>1</v>
      </c>
      <c r="M1149" s="409"/>
      <c r="N1149" s="388">
        <v>1</v>
      </c>
      <c r="O1149" s="388"/>
      <c r="P1149" s="409"/>
      <c r="Q1149" s="382"/>
      <c r="R1149" s="385" t="str">
        <f t="shared" si="375"/>
        <v>T</v>
      </c>
      <c r="S1149" s="389"/>
      <c r="T1149" s="389"/>
      <c r="U1149" s="389"/>
      <c r="V1149" s="389"/>
      <c r="W1149" s="389"/>
      <c r="X1149" s="389"/>
      <c r="Y1149" s="389"/>
      <c r="Z1149" s="389"/>
      <c r="AA1149" s="389"/>
      <c r="AB1149" s="389"/>
      <c r="AC1149" s="389"/>
      <c r="AD1149" s="389"/>
      <c r="AE1149" s="389"/>
      <c r="AF1149" s="389"/>
    </row>
    <row r="1150" spans="1:37" hidden="1" outlineLevel="3">
      <c r="A1150" s="382"/>
      <c r="B1150" s="382" t="s">
        <v>503</v>
      </c>
      <c r="C1150" s="382" t="s">
        <v>503</v>
      </c>
      <c r="D1150" s="382" t="s">
        <v>18</v>
      </c>
      <c r="E1150" s="386" t="s">
        <v>204</v>
      </c>
      <c r="F1150" s="440" t="s">
        <v>454</v>
      </c>
      <c r="G1150" s="387">
        <v>0.75911250000000019</v>
      </c>
      <c r="H1150" s="411" t="str">
        <f t="shared" ref="H1150:K1152" si="376">IF(M1150=1,$G1150,"")</f>
        <v/>
      </c>
      <c r="I1150" s="411">
        <f t="shared" si="376"/>
        <v>0.75911250000000019</v>
      </c>
      <c r="J1150" s="411" t="str">
        <f t="shared" si="376"/>
        <v/>
      </c>
      <c r="K1150" s="411" t="str">
        <f t="shared" si="376"/>
        <v/>
      </c>
      <c r="L1150" s="387">
        <f>SUM(M1150:P1150)</f>
        <v>1</v>
      </c>
      <c r="M1150" s="409"/>
      <c r="N1150" s="388">
        <v>1</v>
      </c>
      <c r="O1150" s="388"/>
      <c r="P1150" s="409"/>
      <c r="Q1150" s="382"/>
      <c r="R1150" s="385" t="str">
        <f>IF(SUM(M1150:P1150)=L1150,"T","F")</f>
        <v>T</v>
      </c>
      <c r="S1150" s="389"/>
      <c r="T1150" s="389"/>
      <c r="U1150" s="389"/>
      <c r="V1150" s="389"/>
      <c r="W1150" s="389"/>
      <c r="X1150" s="389"/>
      <c r="Y1150" s="389"/>
      <c r="Z1150" s="389"/>
      <c r="AA1150" s="389"/>
      <c r="AB1150" s="389"/>
      <c r="AC1150" s="389"/>
      <c r="AD1150" s="389"/>
      <c r="AE1150" s="389"/>
      <c r="AF1150" s="389"/>
    </row>
    <row r="1151" spans="1:37" hidden="1" outlineLevel="3">
      <c r="A1151" s="382"/>
      <c r="B1151" s="382" t="s">
        <v>503</v>
      </c>
      <c r="C1151" s="382" t="s">
        <v>503</v>
      </c>
      <c r="D1151" s="382" t="s">
        <v>18</v>
      </c>
      <c r="E1151" s="386" t="s">
        <v>204</v>
      </c>
      <c r="F1151" s="440" t="s">
        <v>455</v>
      </c>
      <c r="G1151" s="387">
        <v>1.5182250000000004</v>
      </c>
      <c r="H1151" s="411" t="str">
        <f t="shared" si="376"/>
        <v/>
      </c>
      <c r="I1151" s="411" t="str">
        <f t="shared" si="376"/>
        <v/>
      </c>
      <c r="J1151" s="411" t="str">
        <f t="shared" si="376"/>
        <v/>
      </c>
      <c r="K1151" s="411">
        <f t="shared" si="376"/>
        <v>1.5182250000000004</v>
      </c>
      <c r="L1151" s="387">
        <f>SUM(M1151:P1151)</f>
        <v>1</v>
      </c>
      <c r="M1151" s="409"/>
      <c r="N1151" s="388"/>
      <c r="P1151" s="388">
        <v>1</v>
      </c>
      <c r="Q1151" s="382"/>
      <c r="R1151" s="385" t="str">
        <f>IF(SUM(M1151:P1151)=L1151,"T","F")</f>
        <v>T</v>
      </c>
      <c r="S1151" s="389"/>
      <c r="T1151" s="389"/>
      <c r="U1151" s="389"/>
      <c r="V1151" s="389"/>
      <c r="W1151" s="389"/>
      <c r="X1151" s="389"/>
      <c r="Y1151" s="389"/>
      <c r="Z1151" s="389"/>
      <c r="AA1151" s="389"/>
      <c r="AB1151" s="389"/>
      <c r="AC1151" s="389"/>
      <c r="AD1151" s="389"/>
      <c r="AE1151" s="389"/>
      <c r="AF1151" s="389"/>
    </row>
    <row r="1152" spans="1:37" hidden="1" outlineLevel="3">
      <c r="A1152" s="382"/>
      <c r="B1152" s="382" t="s">
        <v>503</v>
      </c>
      <c r="C1152" s="382" t="s">
        <v>503</v>
      </c>
      <c r="D1152" s="382" t="s">
        <v>18</v>
      </c>
      <c r="E1152" s="386" t="s">
        <v>204</v>
      </c>
      <c r="F1152" s="440" t="s">
        <v>335</v>
      </c>
      <c r="G1152" s="387">
        <v>0.80705000000000016</v>
      </c>
      <c r="H1152" s="411" t="str">
        <f t="shared" si="376"/>
        <v/>
      </c>
      <c r="I1152" s="411" t="str">
        <f t="shared" si="376"/>
        <v/>
      </c>
      <c r="J1152" s="411">
        <f t="shared" si="376"/>
        <v>0.80705000000000016</v>
      </c>
      <c r="K1152" s="411" t="str">
        <f t="shared" si="376"/>
        <v/>
      </c>
      <c r="L1152" s="387">
        <f>SUM(M1152:P1152)</f>
        <v>1</v>
      </c>
      <c r="M1152" s="409"/>
      <c r="N1152" s="388"/>
      <c r="O1152" s="409">
        <v>1</v>
      </c>
      <c r="P1152" s="409"/>
      <c r="Q1152" s="382"/>
      <c r="R1152" s="385" t="str">
        <f>IF(SUM(M1152:P1152)=L1152,"T","F")</f>
        <v>T</v>
      </c>
      <c r="S1152" s="389"/>
      <c r="T1152" s="389"/>
      <c r="U1152" s="389"/>
      <c r="V1152" s="389"/>
      <c r="W1152" s="389"/>
      <c r="X1152" s="389"/>
      <c r="Y1152" s="389"/>
      <c r="Z1152" s="389"/>
      <c r="AA1152" s="389"/>
      <c r="AB1152" s="389"/>
      <c r="AC1152" s="389"/>
      <c r="AD1152" s="389"/>
      <c r="AE1152" s="389"/>
      <c r="AF1152" s="389"/>
    </row>
    <row r="1153" spans="1:37" hidden="1" outlineLevel="3">
      <c r="A1153" s="382"/>
      <c r="B1153" s="382" t="s">
        <v>503</v>
      </c>
      <c r="C1153" s="382" t="s">
        <v>503</v>
      </c>
      <c r="D1153" s="382" t="s">
        <v>18</v>
      </c>
      <c r="E1153" s="386" t="s">
        <v>204</v>
      </c>
      <c r="F1153" s="440" t="s">
        <v>197</v>
      </c>
      <c r="G1153" s="387">
        <v>0.80705000000000016</v>
      </c>
      <c r="H1153" s="411" t="str">
        <f t="shared" si="373"/>
        <v/>
      </c>
      <c r="I1153" s="411" t="str">
        <f t="shared" si="373"/>
        <v/>
      </c>
      <c r="J1153" s="411">
        <f t="shared" si="373"/>
        <v>0.80705000000000016</v>
      </c>
      <c r="K1153" s="411" t="str">
        <f t="shared" si="373"/>
        <v/>
      </c>
      <c r="L1153" s="387">
        <f t="shared" si="374"/>
        <v>1</v>
      </c>
      <c r="M1153" s="407"/>
      <c r="N1153" s="388"/>
      <c r="O1153" s="409">
        <v>1</v>
      </c>
      <c r="P1153" s="409"/>
      <c r="Q1153" s="382"/>
      <c r="R1153" s="385" t="str">
        <f t="shared" si="375"/>
        <v>T</v>
      </c>
      <c r="S1153" s="389"/>
      <c r="T1153" s="389"/>
      <c r="U1153" s="389"/>
      <c r="V1153" s="389"/>
      <c r="W1153" s="389"/>
      <c r="X1153" s="389"/>
      <c r="Y1153" s="389"/>
      <c r="Z1153" s="389"/>
      <c r="AA1153" s="389"/>
      <c r="AB1153" s="389"/>
      <c r="AC1153" s="389"/>
      <c r="AD1153" s="389"/>
      <c r="AE1153" s="389"/>
      <c r="AF1153" s="389"/>
    </row>
    <row r="1154" spans="1:37" hidden="1" outlineLevel="3">
      <c r="A1154" s="382"/>
      <c r="B1154" s="382" t="s">
        <v>503</v>
      </c>
      <c r="C1154" s="382" t="s">
        <v>503</v>
      </c>
      <c r="D1154" s="382" t="s">
        <v>18</v>
      </c>
      <c r="E1154" s="386" t="s">
        <v>204</v>
      </c>
      <c r="F1154" s="440" t="s">
        <v>341</v>
      </c>
      <c r="G1154" s="411">
        <v>9.5875000000000016E-2</v>
      </c>
      <c r="H1154" s="411" t="str">
        <f t="shared" ref="H1154:K1156" si="377">IF(M1154=1,$G1154,"")</f>
        <v/>
      </c>
      <c r="I1154" s="411">
        <f t="shared" si="377"/>
        <v>9.5875000000000016E-2</v>
      </c>
      <c r="J1154" s="411" t="str">
        <f t="shared" si="377"/>
        <v/>
      </c>
      <c r="K1154" s="411" t="str">
        <f t="shared" si="377"/>
        <v/>
      </c>
      <c r="L1154" s="411">
        <f t="shared" ref="L1154:L1159" si="378">SUM(M1154:P1154)</f>
        <v>1</v>
      </c>
      <c r="M1154" s="409"/>
      <c r="N1154" s="409">
        <v>1</v>
      </c>
      <c r="O1154" s="409"/>
      <c r="P1154" s="409"/>
      <c r="Q1154" s="382"/>
      <c r="R1154" s="385" t="str">
        <f t="shared" ref="R1154:R1159" si="379">IF(SUM(M1154:P1154)=L1154,"T","F")</f>
        <v>T</v>
      </c>
      <c r="S1154" s="389"/>
      <c r="T1154" s="389"/>
      <c r="U1154" s="389"/>
      <c r="V1154" s="389"/>
      <c r="W1154" s="389"/>
      <c r="X1154" s="389"/>
      <c r="Y1154" s="389"/>
      <c r="Z1154" s="389"/>
      <c r="AA1154" s="389"/>
      <c r="AB1154" s="389"/>
      <c r="AC1154" s="389"/>
      <c r="AD1154" s="389"/>
      <c r="AE1154" s="389"/>
      <c r="AF1154" s="389"/>
    </row>
    <row r="1155" spans="1:37" hidden="1" outlineLevel="3">
      <c r="A1155" s="382"/>
      <c r="B1155" s="382" t="s">
        <v>503</v>
      </c>
      <c r="C1155" s="382" t="s">
        <v>503</v>
      </c>
      <c r="D1155" s="382" t="s">
        <v>18</v>
      </c>
      <c r="E1155" s="386" t="s">
        <v>204</v>
      </c>
      <c r="F1155" s="440" t="s">
        <v>342</v>
      </c>
      <c r="G1155" s="411">
        <v>4.7937500000000008E-2</v>
      </c>
      <c r="H1155" s="411" t="str">
        <f t="shared" si="377"/>
        <v/>
      </c>
      <c r="I1155" s="411">
        <f t="shared" si="377"/>
        <v>4.7937500000000008E-2</v>
      </c>
      <c r="J1155" s="411" t="str">
        <f t="shared" si="377"/>
        <v/>
      </c>
      <c r="K1155" s="411" t="str">
        <f t="shared" si="377"/>
        <v/>
      </c>
      <c r="L1155" s="411">
        <f t="shared" si="378"/>
        <v>1</v>
      </c>
      <c r="M1155" s="409"/>
      <c r="N1155" s="409">
        <v>1</v>
      </c>
      <c r="O1155" s="409"/>
      <c r="P1155" s="409"/>
      <c r="Q1155" s="382"/>
      <c r="R1155" s="385" t="str">
        <f t="shared" si="379"/>
        <v>T</v>
      </c>
      <c r="S1155" s="389"/>
      <c r="T1155" s="389"/>
      <c r="U1155" s="389"/>
      <c r="V1155" s="389"/>
      <c r="W1155" s="389"/>
      <c r="X1155" s="389"/>
      <c r="Y1155" s="389"/>
      <c r="Z1155" s="389"/>
      <c r="AA1155" s="389"/>
      <c r="AB1155" s="389"/>
      <c r="AC1155" s="389"/>
      <c r="AD1155" s="389"/>
      <c r="AE1155" s="389"/>
      <c r="AF1155" s="389"/>
    </row>
    <row r="1156" spans="1:37" hidden="1" outlineLevel="3">
      <c r="A1156" s="382"/>
      <c r="B1156" s="382" t="s">
        <v>503</v>
      </c>
      <c r="C1156" s="382" t="s">
        <v>503</v>
      </c>
      <c r="D1156" s="382" t="s">
        <v>18</v>
      </c>
      <c r="E1156" s="386" t="s">
        <v>204</v>
      </c>
      <c r="F1156" s="440" t="s">
        <v>343</v>
      </c>
      <c r="G1156" s="411">
        <v>9.5875000000000016E-2</v>
      </c>
      <c r="H1156" s="411" t="str">
        <f t="shared" si="377"/>
        <v/>
      </c>
      <c r="I1156" s="411" t="str">
        <f t="shared" si="377"/>
        <v/>
      </c>
      <c r="J1156" s="411" t="str">
        <f t="shared" si="377"/>
        <v/>
      </c>
      <c r="K1156" s="411">
        <f t="shared" si="377"/>
        <v>9.5875000000000016E-2</v>
      </c>
      <c r="L1156" s="411">
        <f t="shared" si="378"/>
        <v>1</v>
      </c>
      <c r="M1156" s="409"/>
      <c r="N1156" s="409"/>
      <c r="P1156" s="409">
        <v>1</v>
      </c>
      <c r="Q1156" s="382"/>
      <c r="R1156" s="385" t="str">
        <f t="shared" si="379"/>
        <v>T</v>
      </c>
      <c r="S1156" s="389"/>
      <c r="T1156" s="389"/>
      <c r="U1156" s="389"/>
      <c r="V1156" s="389"/>
      <c r="W1156" s="389"/>
      <c r="X1156" s="389"/>
      <c r="Y1156" s="389"/>
      <c r="Z1156" s="389"/>
      <c r="AA1156" s="389"/>
      <c r="AB1156" s="389"/>
      <c r="AC1156" s="389"/>
      <c r="AD1156" s="389"/>
      <c r="AE1156" s="389"/>
      <c r="AF1156" s="389"/>
    </row>
    <row r="1157" spans="1:37" s="537" customFormat="1" hidden="1" outlineLevel="2" collapsed="1">
      <c r="A1157" s="382"/>
      <c r="B1157" s="382" t="s">
        <v>503</v>
      </c>
      <c r="C1157" s="382" t="s">
        <v>503</v>
      </c>
      <c r="D1157" s="382" t="s">
        <v>26</v>
      </c>
      <c r="E1157" s="382"/>
      <c r="F1157" s="440" t="s">
        <v>470</v>
      </c>
      <c r="G1157" s="411">
        <f>SUM(G1158:G1160)</f>
        <v>1.3687567999999999</v>
      </c>
      <c r="H1157" s="411">
        <f>SUM(H1158:H1160)</f>
        <v>0</v>
      </c>
      <c r="I1157" s="411">
        <f>SUM(I1158:I1160)</f>
        <v>0.51328379999999996</v>
      </c>
      <c r="J1157" s="411">
        <f>SUM(J1158:J1160)</f>
        <v>0.17109460000000001</v>
      </c>
      <c r="K1157" s="411">
        <f>SUM(K1158:K1160)</f>
        <v>0.68437840000000005</v>
      </c>
      <c r="L1157" s="411">
        <f t="shared" si="378"/>
        <v>3</v>
      </c>
      <c r="M1157" s="409">
        <f>SUM(M1158:M1160)</f>
        <v>0</v>
      </c>
      <c r="N1157" s="409">
        <f>SUM(N1158:N1160)</f>
        <v>1</v>
      </c>
      <c r="O1157" s="409">
        <f>SUM(O1158:O1160)</f>
        <v>1</v>
      </c>
      <c r="P1157" s="409">
        <f>SUM(P1158:P1160)</f>
        <v>1</v>
      </c>
      <c r="Q1157" s="382"/>
      <c r="R1157" s="385" t="str">
        <f t="shared" si="379"/>
        <v>T</v>
      </c>
      <c r="S1157" s="389"/>
      <c r="T1157" s="389"/>
      <c r="U1157" s="389"/>
      <c r="V1157" s="389"/>
      <c r="W1157" s="389"/>
      <c r="X1157" s="389"/>
      <c r="Y1157" s="389"/>
      <c r="Z1157" s="389"/>
      <c r="AA1157" s="389"/>
      <c r="AB1157" s="389"/>
      <c r="AC1157" s="389"/>
      <c r="AD1157" s="389"/>
      <c r="AE1157" s="389"/>
      <c r="AF1157" s="389"/>
      <c r="AG1157" s="383"/>
      <c r="AH1157" s="383"/>
      <c r="AI1157" s="383"/>
      <c r="AJ1157" s="383"/>
      <c r="AK1157" s="383"/>
    </row>
    <row r="1158" spans="1:37" s="537" customFormat="1" hidden="1" outlineLevel="3">
      <c r="A1158" s="382"/>
      <c r="B1158" s="382" t="s">
        <v>503</v>
      </c>
      <c r="C1158" s="382" t="s">
        <v>503</v>
      </c>
      <c r="D1158" s="382" t="s">
        <v>26</v>
      </c>
      <c r="E1158" s="382" t="s">
        <v>27</v>
      </c>
      <c r="F1158" s="440" t="s">
        <v>32</v>
      </c>
      <c r="G1158" s="411">
        <v>0.51328379999999996</v>
      </c>
      <c r="H1158" s="411" t="str">
        <f t="shared" ref="H1158:K1159" si="380">IF(M1158=1,$G1158,"")</f>
        <v/>
      </c>
      <c r="I1158" s="411">
        <f t="shared" si="380"/>
        <v>0.51328379999999996</v>
      </c>
      <c r="J1158" s="411" t="str">
        <f t="shared" si="380"/>
        <v/>
      </c>
      <c r="K1158" s="411" t="str">
        <f t="shared" si="380"/>
        <v/>
      </c>
      <c r="L1158" s="411">
        <f t="shared" si="378"/>
        <v>1</v>
      </c>
      <c r="M1158" s="409"/>
      <c r="N1158" s="409">
        <v>1</v>
      </c>
      <c r="O1158" s="409"/>
      <c r="P1158" s="409"/>
      <c r="Q1158" s="382"/>
      <c r="R1158" s="385" t="str">
        <f t="shared" si="379"/>
        <v>T</v>
      </c>
      <c r="S1158" s="389"/>
      <c r="T1158" s="389"/>
      <c r="U1158" s="389"/>
      <c r="V1158" s="389"/>
      <c r="W1158" s="389"/>
      <c r="X1158" s="389"/>
      <c r="Y1158" s="389"/>
      <c r="Z1158" s="389"/>
      <c r="AA1158" s="389"/>
      <c r="AB1158" s="389"/>
      <c r="AC1158" s="389"/>
      <c r="AD1158" s="389"/>
      <c r="AE1158" s="389"/>
      <c r="AF1158" s="389"/>
      <c r="AG1158" s="383"/>
      <c r="AH1158" s="383"/>
      <c r="AI1158" s="383"/>
      <c r="AJ1158" s="383"/>
      <c r="AK1158" s="383"/>
    </row>
    <row r="1159" spans="1:37" s="537" customFormat="1" hidden="1" outlineLevel="3">
      <c r="A1159" s="382"/>
      <c r="B1159" s="382" t="s">
        <v>503</v>
      </c>
      <c r="C1159" s="382" t="s">
        <v>503</v>
      </c>
      <c r="D1159" s="382" t="s">
        <v>26</v>
      </c>
      <c r="E1159" s="382" t="s">
        <v>27</v>
      </c>
      <c r="F1159" s="440" t="s">
        <v>34</v>
      </c>
      <c r="G1159" s="411">
        <v>0.68437840000000005</v>
      </c>
      <c r="H1159" s="411" t="str">
        <f t="shared" si="380"/>
        <v/>
      </c>
      <c r="I1159" s="411" t="str">
        <f t="shared" si="380"/>
        <v/>
      </c>
      <c r="J1159" s="411" t="str">
        <f t="shared" si="380"/>
        <v/>
      </c>
      <c r="K1159" s="411">
        <f t="shared" si="380"/>
        <v>0.68437840000000005</v>
      </c>
      <c r="L1159" s="411">
        <f t="shared" si="378"/>
        <v>1</v>
      </c>
      <c r="M1159" s="409"/>
      <c r="N1159" s="409"/>
      <c r="O1159" s="409"/>
      <c r="P1159" s="409">
        <v>1</v>
      </c>
      <c r="Q1159" s="382"/>
      <c r="R1159" s="385" t="str">
        <f t="shared" si="379"/>
        <v>T</v>
      </c>
      <c r="S1159" s="389"/>
      <c r="T1159" s="389"/>
      <c r="U1159" s="389"/>
      <c r="V1159" s="389"/>
      <c r="W1159" s="389"/>
      <c r="X1159" s="389"/>
      <c r="Y1159" s="389"/>
      <c r="Z1159" s="389"/>
      <c r="AA1159" s="389"/>
      <c r="AB1159" s="389"/>
      <c r="AC1159" s="389"/>
      <c r="AD1159" s="389"/>
      <c r="AE1159" s="389"/>
      <c r="AF1159" s="389"/>
      <c r="AG1159" s="383"/>
      <c r="AH1159" s="383"/>
      <c r="AI1159" s="383"/>
      <c r="AJ1159" s="383"/>
      <c r="AK1159" s="383"/>
    </row>
    <row r="1160" spans="1:37" hidden="1" outlineLevel="3">
      <c r="A1160" s="382"/>
      <c r="B1160" s="382" t="s">
        <v>503</v>
      </c>
      <c r="C1160" s="382" t="s">
        <v>503</v>
      </c>
      <c r="D1160" s="382" t="s">
        <v>26</v>
      </c>
      <c r="E1160" s="382" t="s">
        <v>27</v>
      </c>
      <c r="F1160" s="440" t="s">
        <v>197</v>
      </c>
      <c r="G1160" s="387">
        <v>0.17109460000000001</v>
      </c>
      <c r="H1160" s="411" t="str">
        <f t="shared" ref="H1160:K1160" si="381">IF(M1160=1,$G1160,"")</f>
        <v/>
      </c>
      <c r="I1160" s="411" t="str">
        <f t="shared" si="381"/>
        <v/>
      </c>
      <c r="J1160" s="411">
        <f t="shared" si="381"/>
        <v>0.17109460000000001</v>
      </c>
      <c r="K1160" s="411" t="str">
        <f t="shared" si="381"/>
        <v/>
      </c>
      <c r="L1160" s="387">
        <f t="shared" si="371"/>
        <v>1</v>
      </c>
      <c r="M1160" s="388"/>
      <c r="N1160" s="388"/>
      <c r="O1160" s="388">
        <v>1</v>
      </c>
      <c r="P1160" s="388"/>
      <c r="Q1160" s="382"/>
      <c r="R1160" s="385" t="str">
        <f t="shared" si="372"/>
        <v>T</v>
      </c>
      <c r="S1160" s="389"/>
      <c r="T1160" s="389"/>
      <c r="U1160" s="389"/>
      <c r="V1160" s="389"/>
      <c r="W1160" s="389"/>
      <c r="X1160" s="389"/>
      <c r="Y1160" s="389"/>
      <c r="Z1160" s="389"/>
      <c r="AA1160" s="389"/>
      <c r="AB1160" s="389"/>
      <c r="AC1160" s="389"/>
      <c r="AD1160" s="389"/>
      <c r="AE1160" s="389"/>
      <c r="AF1160" s="389"/>
    </row>
    <row r="1161" spans="1:37" hidden="1" outlineLevel="2" collapsed="1">
      <c r="A1161" s="382"/>
      <c r="B1161" s="382" t="s">
        <v>503</v>
      </c>
      <c r="C1161" s="382" t="s">
        <v>503</v>
      </c>
      <c r="D1161" s="382" t="s">
        <v>28</v>
      </c>
      <c r="E1161" s="382"/>
      <c r="F1161" s="440" t="s">
        <v>507</v>
      </c>
      <c r="G1161" s="387">
        <f>SUM(G1162:G1165)</f>
        <v>0.57139139999999999</v>
      </c>
      <c r="H1161" s="411">
        <f>SUM(H1162:H1165)</f>
        <v>0</v>
      </c>
      <c r="I1161" s="411">
        <f>SUM(I1162:I1165)</f>
        <v>0.2856957</v>
      </c>
      <c r="J1161" s="411">
        <f>SUM(J1162:J1165)</f>
        <v>9.5231899999999994E-2</v>
      </c>
      <c r="K1161" s="411">
        <f>SUM(K1162:K1165)</f>
        <v>0.19046379999999999</v>
      </c>
      <c r="L1161" s="387">
        <f t="shared" si="371"/>
        <v>4</v>
      </c>
      <c r="M1161" s="409">
        <f>SUM(M1162:M1165)</f>
        <v>0</v>
      </c>
      <c r="N1161" s="409">
        <f>SUM(N1162:N1165)</f>
        <v>2</v>
      </c>
      <c r="O1161" s="409">
        <f>SUM(O1162:O1165)</f>
        <v>1</v>
      </c>
      <c r="P1161" s="409">
        <f>SUM(P1162:P1165)</f>
        <v>1</v>
      </c>
      <c r="Q1161" s="382"/>
      <c r="R1161" s="385" t="str">
        <f t="shared" si="372"/>
        <v>T</v>
      </c>
      <c r="S1161" s="389"/>
      <c r="T1161" s="389"/>
      <c r="U1161" s="389"/>
      <c r="V1161" s="389"/>
      <c r="W1161" s="389"/>
      <c r="X1161" s="389"/>
      <c r="Y1161" s="389"/>
      <c r="Z1161" s="389"/>
      <c r="AA1161" s="389"/>
      <c r="AB1161" s="389"/>
      <c r="AC1161" s="389"/>
      <c r="AD1161" s="389"/>
      <c r="AE1161" s="389"/>
      <c r="AF1161" s="389"/>
    </row>
    <row r="1162" spans="1:37" hidden="1" outlineLevel="3">
      <c r="A1162" s="382"/>
      <c r="B1162" s="382" t="s">
        <v>503</v>
      </c>
      <c r="C1162" s="382" t="s">
        <v>503</v>
      </c>
      <c r="D1162" s="382" t="s">
        <v>28</v>
      </c>
      <c r="E1162" s="382" t="s">
        <v>29</v>
      </c>
      <c r="F1162" s="440" t="s">
        <v>32</v>
      </c>
      <c r="G1162" s="387">
        <v>0.19046379999999999</v>
      </c>
      <c r="H1162" s="411" t="str">
        <f t="shared" ref="H1162:K1165" si="382">IF(M1162=1,$G1162,"")</f>
        <v/>
      </c>
      <c r="I1162" s="411">
        <f t="shared" si="382"/>
        <v>0.19046379999999999</v>
      </c>
      <c r="J1162" s="411" t="str">
        <f t="shared" si="382"/>
        <v/>
      </c>
      <c r="K1162" s="411" t="str">
        <f t="shared" si="382"/>
        <v/>
      </c>
      <c r="L1162" s="387">
        <f t="shared" si="371"/>
        <v>1</v>
      </c>
      <c r="M1162" s="388"/>
      <c r="N1162" s="388">
        <v>1</v>
      </c>
      <c r="O1162" s="388"/>
      <c r="P1162" s="388"/>
      <c r="Q1162" s="382"/>
      <c r="R1162" s="385" t="str">
        <f t="shared" si="372"/>
        <v>T</v>
      </c>
      <c r="S1162" s="389"/>
      <c r="T1162" s="389"/>
      <c r="U1162" s="389"/>
      <c r="V1162" s="389"/>
      <c r="W1162" s="389"/>
      <c r="X1162" s="389"/>
      <c r="Y1162" s="389"/>
      <c r="Z1162" s="389"/>
      <c r="AA1162" s="389"/>
      <c r="AB1162" s="389"/>
      <c r="AC1162" s="389"/>
      <c r="AD1162" s="389"/>
      <c r="AE1162" s="389"/>
      <c r="AF1162" s="389"/>
    </row>
    <row r="1163" spans="1:37" hidden="1" outlineLevel="3">
      <c r="A1163" s="382"/>
      <c r="B1163" s="382" t="s">
        <v>503</v>
      </c>
      <c r="C1163" s="382" t="s">
        <v>503</v>
      </c>
      <c r="D1163" s="382" t="s">
        <v>28</v>
      </c>
      <c r="E1163" s="382" t="s">
        <v>29</v>
      </c>
      <c r="F1163" s="440" t="s">
        <v>33</v>
      </c>
      <c r="G1163" s="387">
        <v>9.5231899999999994E-2</v>
      </c>
      <c r="H1163" s="411" t="str">
        <f t="shared" si="382"/>
        <v/>
      </c>
      <c r="I1163" s="411">
        <f t="shared" si="382"/>
        <v>9.5231899999999994E-2</v>
      </c>
      <c r="J1163" s="411" t="str">
        <f t="shared" si="382"/>
        <v/>
      </c>
      <c r="K1163" s="411" t="str">
        <f t="shared" si="382"/>
        <v/>
      </c>
      <c r="L1163" s="387">
        <f t="shared" si="371"/>
        <v>1</v>
      </c>
      <c r="M1163" s="388"/>
      <c r="N1163" s="388">
        <v>1</v>
      </c>
      <c r="O1163" s="388"/>
      <c r="P1163" s="388"/>
      <c r="Q1163" s="382"/>
      <c r="R1163" s="385" t="str">
        <f t="shared" si="372"/>
        <v>T</v>
      </c>
      <c r="S1163" s="389"/>
      <c r="T1163" s="389"/>
      <c r="U1163" s="389"/>
      <c r="V1163" s="389"/>
      <c r="W1163" s="389"/>
      <c r="X1163" s="389"/>
      <c r="Y1163" s="389"/>
      <c r="Z1163" s="389"/>
      <c r="AA1163" s="389"/>
      <c r="AB1163" s="389"/>
      <c r="AC1163" s="389"/>
      <c r="AD1163" s="389"/>
      <c r="AE1163" s="389"/>
      <c r="AF1163" s="389"/>
    </row>
    <row r="1164" spans="1:37" hidden="1" outlineLevel="3">
      <c r="A1164" s="382"/>
      <c r="B1164" s="382" t="s">
        <v>503</v>
      </c>
      <c r="C1164" s="382" t="s">
        <v>503</v>
      </c>
      <c r="D1164" s="382" t="s">
        <v>28</v>
      </c>
      <c r="E1164" s="382" t="s">
        <v>29</v>
      </c>
      <c r="F1164" s="440" t="s">
        <v>34</v>
      </c>
      <c r="G1164" s="387">
        <v>0.19046379999999999</v>
      </c>
      <c r="H1164" s="411" t="str">
        <f t="shared" si="382"/>
        <v/>
      </c>
      <c r="I1164" s="411" t="str">
        <f t="shared" si="382"/>
        <v/>
      </c>
      <c r="J1164" s="411" t="str">
        <f t="shared" si="382"/>
        <v/>
      </c>
      <c r="K1164" s="411">
        <f t="shared" si="382"/>
        <v>0.19046379999999999</v>
      </c>
      <c r="L1164" s="387">
        <f t="shared" si="371"/>
        <v>1</v>
      </c>
      <c r="M1164" s="388"/>
      <c r="N1164" s="388"/>
      <c r="O1164" s="388"/>
      <c r="P1164" s="388">
        <v>1</v>
      </c>
      <c r="Q1164" s="382"/>
      <c r="R1164" s="385" t="str">
        <f t="shared" si="372"/>
        <v>T</v>
      </c>
      <c r="S1164" s="389"/>
      <c r="T1164" s="389"/>
      <c r="U1164" s="389"/>
      <c r="V1164" s="389"/>
      <c r="W1164" s="389"/>
      <c r="X1164" s="389"/>
      <c r="Y1164" s="389"/>
      <c r="Z1164" s="389"/>
      <c r="AA1164" s="389"/>
      <c r="AB1164" s="389"/>
      <c r="AC1164" s="389"/>
      <c r="AD1164" s="389"/>
      <c r="AE1164" s="389"/>
      <c r="AF1164" s="389"/>
    </row>
    <row r="1165" spans="1:37" hidden="1" outlineLevel="3">
      <c r="A1165" s="382"/>
      <c r="B1165" s="382" t="s">
        <v>503</v>
      </c>
      <c r="C1165" s="382" t="s">
        <v>503</v>
      </c>
      <c r="D1165" s="382" t="s">
        <v>28</v>
      </c>
      <c r="E1165" s="382" t="s">
        <v>29</v>
      </c>
      <c r="F1165" s="440" t="s">
        <v>197</v>
      </c>
      <c r="G1165" s="387">
        <v>9.5231899999999994E-2</v>
      </c>
      <c r="H1165" s="411" t="str">
        <f t="shared" si="382"/>
        <v/>
      </c>
      <c r="I1165" s="411" t="str">
        <f t="shared" si="382"/>
        <v/>
      </c>
      <c r="J1165" s="411">
        <f t="shared" si="382"/>
        <v>9.5231899999999994E-2</v>
      </c>
      <c r="K1165" s="411" t="str">
        <f t="shared" si="382"/>
        <v/>
      </c>
      <c r="L1165" s="387">
        <f t="shared" si="371"/>
        <v>1</v>
      </c>
      <c r="M1165" s="388"/>
      <c r="N1165" s="388"/>
      <c r="O1165" s="388">
        <v>1</v>
      </c>
      <c r="P1165" s="388"/>
      <c r="Q1165" s="382"/>
      <c r="R1165" s="385" t="str">
        <f t="shared" si="372"/>
        <v>T</v>
      </c>
      <c r="S1165" s="389"/>
      <c r="T1165" s="389"/>
      <c r="U1165" s="389"/>
      <c r="V1165" s="389"/>
      <c r="W1165" s="389"/>
      <c r="X1165" s="389"/>
      <c r="Y1165" s="389"/>
      <c r="Z1165" s="389"/>
      <c r="AA1165" s="389"/>
      <c r="AB1165" s="389"/>
      <c r="AC1165" s="389"/>
      <c r="AD1165" s="389"/>
      <c r="AE1165" s="389"/>
      <c r="AF1165" s="389"/>
    </row>
    <row r="1166" spans="1:37" hidden="1" outlineLevel="2" collapsed="1">
      <c r="A1166" s="382"/>
      <c r="B1166" s="382" t="s">
        <v>503</v>
      </c>
      <c r="C1166" s="382" t="s">
        <v>503</v>
      </c>
      <c r="D1166" s="382" t="s">
        <v>64</v>
      </c>
      <c r="E1166" s="382"/>
      <c r="F1166" s="440" t="s">
        <v>507</v>
      </c>
      <c r="G1166" s="387">
        <f>SUM(G1167:G1170)</f>
        <v>0.42612239999999996</v>
      </c>
      <c r="H1166" s="411">
        <f>SUM(H1167:H1170)</f>
        <v>0</v>
      </c>
      <c r="I1166" s="411">
        <f>SUM(I1167:I1170)</f>
        <v>0.21306119999999995</v>
      </c>
      <c r="J1166" s="411">
        <f>SUM(J1167:J1170)</f>
        <v>5.3265299999999995E-2</v>
      </c>
      <c r="K1166" s="411">
        <f>SUM(K1167:K1170)</f>
        <v>0.15979589999999996</v>
      </c>
      <c r="L1166" s="387">
        <f t="shared" si="371"/>
        <v>4</v>
      </c>
      <c r="M1166" s="409">
        <f>SUM(M1167:M1170)</f>
        <v>0</v>
      </c>
      <c r="N1166" s="409">
        <f>SUM(N1167:N1170)</f>
        <v>2</v>
      </c>
      <c r="O1166" s="409">
        <f>SUM(O1167:O1170)</f>
        <v>1</v>
      </c>
      <c r="P1166" s="409">
        <f>SUM(P1167:P1170)</f>
        <v>1</v>
      </c>
      <c r="Q1166" s="382"/>
      <c r="R1166" s="385" t="str">
        <f t="shared" si="372"/>
        <v>T</v>
      </c>
      <c r="S1166" s="389"/>
      <c r="T1166" s="389"/>
      <c r="U1166" s="389"/>
      <c r="V1166" s="389"/>
      <c r="W1166" s="389"/>
      <c r="X1166" s="389"/>
      <c r="Y1166" s="389"/>
      <c r="Z1166" s="389"/>
      <c r="AA1166" s="389"/>
      <c r="AB1166" s="389"/>
      <c r="AC1166" s="389"/>
      <c r="AD1166" s="389"/>
      <c r="AE1166" s="389"/>
      <c r="AF1166" s="389"/>
    </row>
    <row r="1167" spans="1:37" hidden="1" outlineLevel="3">
      <c r="A1167" s="382"/>
      <c r="B1167" s="382" t="s">
        <v>503</v>
      </c>
      <c r="C1167" s="382" t="s">
        <v>503</v>
      </c>
      <c r="D1167" s="382" t="s">
        <v>64</v>
      </c>
      <c r="E1167" s="382" t="s">
        <v>29</v>
      </c>
      <c r="F1167" s="440" t="s">
        <v>32</v>
      </c>
      <c r="G1167" s="387">
        <v>0.15979589999999996</v>
      </c>
      <c r="H1167" s="411" t="str">
        <f t="shared" ref="H1167:K1170" si="383">IF(M1167=1,$G1167,"")</f>
        <v/>
      </c>
      <c r="I1167" s="411">
        <f t="shared" si="383"/>
        <v>0.15979589999999996</v>
      </c>
      <c r="J1167" s="411" t="str">
        <f t="shared" si="383"/>
        <v/>
      </c>
      <c r="K1167" s="411" t="str">
        <f t="shared" si="383"/>
        <v/>
      </c>
      <c r="L1167" s="387">
        <f t="shared" si="371"/>
        <v>1</v>
      </c>
      <c r="M1167" s="388"/>
      <c r="N1167" s="388">
        <v>1</v>
      </c>
      <c r="O1167" s="388"/>
      <c r="P1167" s="388"/>
      <c r="Q1167" s="382"/>
      <c r="R1167" s="385" t="str">
        <f t="shared" si="372"/>
        <v>T</v>
      </c>
      <c r="S1167" s="389"/>
      <c r="T1167" s="389"/>
      <c r="U1167" s="389"/>
      <c r="V1167" s="389"/>
      <c r="W1167" s="389"/>
      <c r="X1167" s="389"/>
      <c r="Y1167" s="389"/>
      <c r="Z1167" s="389"/>
      <c r="AA1167" s="389"/>
      <c r="AB1167" s="389"/>
      <c r="AC1167" s="389"/>
      <c r="AD1167" s="389"/>
      <c r="AE1167" s="389"/>
      <c r="AF1167" s="389"/>
    </row>
    <row r="1168" spans="1:37" hidden="1" outlineLevel="3">
      <c r="A1168" s="382"/>
      <c r="B1168" s="382" t="s">
        <v>503</v>
      </c>
      <c r="C1168" s="382" t="s">
        <v>503</v>
      </c>
      <c r="D1168" s="382" t="s">
        <v>64</v>
      </c>
      <c r="E1168" s="382" t="s">
        <v>29</v>
      </c>
      <c r="F1168" s="440" t="s">
        <v>33</v>
      </c>
      <c r="G1168" s="387">
        <v>5.3265299999999995E-2</v>
      </c>
      <c r="H1168" s="411" t="str">
        <f t="shared" si="383"/>
        <v/>
      </c>
      <c r="I1168" s="411">
        <f t="shared" si="383"/>
        <v>5.3265299999999995E-2</v>
      </c>
      <c r="J1168" s="411" t="str">
        <f t="shared" si="383"/>
        <v/>
      </c>
      <c r="K1168" s="411" t="str">
        <f t="shared" si="383"/>
        <v/>
      </c>
      <c r="L1168" s="387">
        <f t="shared" si="371"/>
        <v>1</v>
      </c>
      <c r="M1168" s="388"/>
      <c r="N1168" s="388">
        <v>1</v>
      </c>
      <c r="O1168" s="388"/>
      <c r="P1168" s="388"/>
      <c r="Q1168" s="382"/>
      <c r="R1168" s="385" t="str">
        <f t="shared" si="372"/>
        <v>T</v>
      </c>
      <c r="S1168" s="389"/>
      <c r="T1168" s="389"/>
      <c r="U1168" s="389"/>
      <c r="V1168" s="389"/>
      <c r="W1168" s="389"/>
      <c r="X1168" s="389"/>
      <c r="Y1168" s="389"/>
      <c r="Z1168" s="389"/>
      <c r="AA1168" s="389"/>
      <c r="AB1168" s="389"/>
      <c r="AC1168" s="389"/>
      <c r="AD1168" s="389"/>
      <c r="AE1168" s="389"/>
      <c r="AF1168" s="389"/>
    </row>
    <row r="1169" spans="1:32" hidden="1" outlineLevel="3">
      <c r="A1169" s="382"/>
      <c r="B1169" s="382" t="s">
        <v>503</v>
      </c>
      <c r="C1169" s="382" t="s">
        <v>503</v>
      </c>
      <c r="D1169" s="382" t="s">
        <v>64</v>
      </c>
      <c r="E1169" s="382" t="s">
        <v>29</v>
      </c>
      <c r="F1169" s="440" t="s">
        <v>34</v>
      </c>
      <c r="G1169" s="387">
        <v>0.15979589999999996</v>
      </c>
      <c r="H1169" s="411" t="str">
        <f t="shared" si="383"/>
        <v/>
      </c>
      <c r="I1169" s="411" t="str">
        <f t="shared" si="383"/>
        <v/>
      </c>
      <c r="J1169" s="411" t="str">
        <f t="shared" si="383"/>
        <v/>
      </c>
      <c r="K1169" s="411">
        <f t="shared" si="383"/>
        <v>0.15979589999999996</v>
      </c>
      <c r="L1169" s="387">
        <f t="shared" si="371"/>
        <v>1</v>
      </c>
      <c r="M1169" s="388"/>
      <c r="N1169" s="388"/>
      <c r="O1169" s="388"/>
      <c r="P1169" s="388">
        <v>1</v>
      </c>
      <c r="Q1169" s="382"/>
      <c r="R1169" s="385" t="str">
        <f t="shared" si="372"/>
        <v>T</v>
      </c>
      <c r="S1169" s="389"/>
      <c r="T1169" s="389"/>
      <c r="U1169" s="389"/>
      <c r="V1169" s="389"/>
      <c r="W1169" s="389"/>
      <c r="X1169" s="389"/>
      <c r="Y1169" s="389"/>
      <c r="Z1169" s="389"/>
      <c r="AA1169" s="389"/>
      <c r="AB1169" s="389"/>
      <c r="AC1169" s="389"/>
      <c r="AD1169" s="389"/>
      <c r="AE1169" s="389"/>
      <c r="AF1169" s="389"/>
    </row>
    <row r="1170" spans="1:32" hidden="1" outlineLevel="3">
      <c r="A1170" s="382"/>
      <c r="B1170" s="382" t="s">
        <v>503</v>
      </c>
      <c r="C1170" s="382" t="s">
        <v>503</v>
      </c>
      <c r="D1170" s="382" t="s">
        <v>64</v>
      </c>
      <c r="E1170" s="382" t="s">
        <v>29</v>
      </c>
      <c r="F1170" s="440" t="s">
        <v>197</v>
      </c>
      <c r="G1170" s="411">
        <v>5.3265299999999995E-2</v>
      </c>
      <c r="H1170" s="411" t="str">
        <f t="shared" si="383"/>
        <v/>
      </c>
      <c r="I1170" s="411" t="str">
        <f t="shared" si="383"/>
        <v/>
      </c>
      <c r="J1170" s="411">
        <f t="shared" si="383"/>
        <v>5.3265299999999995E-2</v>
      </c>
      <c r="K1170" s="411" t="str">
        <f t="shared" si="383"/>
        <v/>
      </c>
      <c r="L1170" s="411">
        <f t="shared" si="371"/>
        <v>1</v>
      </c>
      <c r="M1170" s="388"/>
      <c r="N1170" s="388"/>
      <c r="O1170" s="388">
        <v>1</v>
      </c>
      <c r="P1170" s="388"/>
      <c r="Q1170" s="382"/>
      <c r="R1170" s="385" t="str">
        <f t="shared" si="372"/>
        <v>T</v>
      </c>
      <c r="S1170" s="389"/>
      <c r="T1170" s="389"/>
      <c r="U1170" s="389"/>
      <c r="V1170" s="389"/>
      <c r="W1170" s="389"/>
      <c r="X1170" s="389"/>
      <c r="Y1170" s="389"/>
      <c r="Z1170" s="389"/>
      <c r="AA1170" s="389"/>
      <c r="AB1170" s="389"/>
      <c r="AC1170" s="389"/>
      <c r="AD1170" s="389"/>
      <c r="AE1170" s="389"/>
      <c r="AF1170" s="389"/>
    </row>
    <row r="1171" spans="1:32" ht="26.45" outlineLevel="1" collapsed="1">
      <c r="A1171" s="382"/>
      <c r="B1171" s="396" t="s">
        <v>508</v>
      </c>
      <c r="C1171" s="396" t="s">
        <v>509</v>
      </c>
      <c r="D1171" s="396"/>
      <c r="E1171" s="421"/>
      <c r="F1171" s="445" t="s">
        <v>504</v>
      </c>
      <c r="G1171" s="418">
        <f>G1172+G1179+G1183+G1188</f>
        <v>35.045255000000004</v>
      </c>
      <c r="H1171" s="538">
        <f t="shared" ref="H1171:K1171" si="384">H1172+H1179+H1183+H1188</f>
        <v>0</v>
      </c>
      <c r="I1171" s="540">
        <f t="shared" si="384"/>
        <v>5.9650000000000007</v>
      </c>
      <c r="J1171" s="540">
        <f t="shared" si="384"/>
        <v>12.468120000000001</v>
      </c>
      <c r="K1171" s="540">
        <f t="shared" si="384"/>
        <v>16.612134999999999</v>
      </c>
      <c r="L1171" s="418">
        <f>SUM(M1171:P1171)</f>
        <v>17</v>
      </c>
      <c r="M1171" s="461">
        <f t="shared" ref="M1171" si="385">M1172+M1179+M1183+M1188</f>
        <v>0</v>
      </c>
      <c r="N1171" s="417">
        <f t="shared" ref="N1171" si="386">N1172+N1179+N1183+N1188</f>
        <v>1</v>
      </c>
      <c r="O1171" s="417">
        <f t="shared" ref="O1171" si="387">O1172+O1179+O1183+O1188</f>
        <v>7</v>
      </c>
      <c r="P1171" s="417">
        <f t="shared" ref="P1171" si="388">P1172+P1179+P1183+P1188</f>
        <v>9</v>
      </c>
      <c r="Q1171" s="382"/>
      <c r="R1171" s="385" t="str">
        <f t="shared" ref="R1171:R1330" si="389">IF(SUM(M1171:P1171)=L1171,"T","F")</f>
        <v>T</v>
      </c>
      <c r="S1171" s="389"/>
      <c r="T1171" s="389"/>
      <c r="U1171" s="389"/>
      <c r="V1171" s="389"/>
      <c r="W1171" s="389"/>
      <c r="X1171" s="389"/>
      <c r="Y1171" s="389"/>
      <c r="Z1171" s="389"/>
      <c r="AA1171" s="389"/>
      <c r="AB1171" s="389"/>
      <c r="AC1171" s="389"/>
      <c r="AD1171" s="389"/>
      <c r="AE1171" s="389"/>
      <c r="AF1171" s="389"/>
    </row>
    <row r="1172" spans="1:32" hidden="1" outlineLevel="2" collapsed="1">
      <c r="A1172" s="382"/>
      <c r="B1172" s="382" t="s">
        <v>510</v>
      </c>
      <c r="C1172" s="382" t="s">
        <v>510</v>
      </c>
      <c r="D1172" s="382" t="s">
        <v>18</v>
      </c>
      <c r="E1172" s="386"/>
      <c r="F1172" s="440" t="s">
        <v>506</v>
      </c>
      <c r="G1172" s="387">
        <f>SUM(G1173:G1178)</f>
        <v>26.302500000000002</v>
      </c>
      <c r="H1172" s="411">
        <f>SUM(H1173:H1178)</f>
        <v>0</v>
      </c>
      <c r="I1172" s="411">
        <f>SUM(I1173:I1178)</f>
        <v>5.9650000000000007</v>
      </c>
      <c r="J1172" s="411">
        <f>SUM(J1173:J1178)</f>
        <v>8.73</v>
      </c>
      <c r="K1172" s="411">
        <f>SUM(K1173:K1178)</f>
        <v>11.6075</v>
      </c>
      <c r="L1172" s="387">
        <f t="shared" ref="L1172:L1318" si="390">SUM(M1172:P1172)</f>
        <v>6</v>
      </c>
      <c r="M1172" s="409">
        <f>SUM(M1173:M1178)</f>
        <v>0</v>
      </c>
      <c r="N1172" s="409">
        <f>SUM(N1173:N1178)</f>
        <v>1</v>
      </c>
      <c r="O1172" s="409">
        <f>SUM(O1173:O1178)</f>
        <v>2</v>
      </c>
      <c r="P1172" s="409">
        <f>SUM(P1173:P1178)</f>
        <v>3</v>
      </c>
      <c r="Q1172" s="382"/>
      <c r="R1172" s="385" t="str">
        <f t="shared" si="389"/>
        <v>T</v>
      </c>
      <c r="S1172" s="389"/>
      <c r="T1172" s="389"/>
      <c r="U1172" s="389"/>
      <c r="V1172" s="389"/>
      <c r="W1172" s="389"/>
      <c r="X1172" s="389"/>
      <c r="Y1172" s="389"/>
      <c r="Z1172" s="389"/>
      <c r="AA1172" s="389"/>
      <c r="AB1172" s="389"/>
      <c r="AC1172" s="389"/>
      <c r="AD1172" s="389"/>
      <c r="AE1172" s="389"/>
      <c r="AF1172" s="389"/>
    </row>
    <row r="1173" spans="1:32" hidden="1" outlineLevel="3">
      <c r="A1173" s="382"/>
      <c r="B1173" s="382" t="s">
        <v>510</v>
      </c>
      <c r="C1173" s="382" t="s">
        <v>510</v>
      </c>
      <c r="D1173" s="382" t="s">
        <v>18</v>
      </c>
      <c r="E1173" s="386" t="s">
        <v>20</v>
      </c>
      <c r="F1173" s="440" t="s">
        <v>511</v>
      </c>
      <c r="G1173" s="387">
        <v>5.9650000000000007</v>
      </c>
      <c r="H1173" s="411" t="str">
        <f t="shared" ref="H1173:K1178" si="391">IF(M1173=1,$G1173,"")</f>
        <v/>
      </c>
      <c r="I1173" s="411">
        <f t="shared" si="391"/>
        <v>5.9650000000000007</v>
      </c>
      <c r="J1173" s="411" t="str">
        <f t="shared" si="391"/>
        <v/>
      </c>
      <c r="K1173" s="411" t="str">
        <f t="shared" si="391"/>
        <v/>
      </c>
      <c r="L1173" s="387">
        <f t="shared" ref="L1173:L1178" si="392">SUM(M1173:P1173)</f>
        <v>1</v>
      </c>
      <c r="M1173" s="388"/>
      <c r="N1173" s="388">
        <v>1</v>
      </c>
      <c r="O1173" s="388"/>
      <c r="P1173" s="409"/>
      <c r="Q1173" s="382"/>
      <c r="R1173" s="385" t="str">
        <f t="shared" ref="R1173:R1178" si="393">IF(SUM(M1173:P1173)=L1173,"T","F")</f>
        <v>T</v>
      </c>
      <c r="S1173" s="389"/>
      <c r="T1173" s="389"/>
      <c r="U1173" s="389"/>
      <c r="V1173" s="389"/>
      <c r="W1173" s="389"/>
      <c r="X1173" s="389"/>
      <c r="Y1173" s="389"/>
      <c r="Z1173" s="389"/>
      <c r="AA1173" s="389"/>
      <c r="AB1173" s="389"/>
      <c r="AC1173" s="389"/>
      <c r="AD1173" s="389"/>
      <c r="AE1173" s="389"/>
      <c r="AF1173" s="389"/>
    </row>
    <row r="1174" spans="1:32" hidden="1" outlineLevel="3">
      <c r="A1174" s="382"/>
      <c r="B1174" s="382" t="s">
        <v>510</v>
      </c>
      <c r="C1174" s="382" t="s">
        <v>510</v>
      </c>
      <c r="D1174" s="382" t="s">
        <v>18</v>
      </c>
      <c r="E1174" s="386" t="s">
        <v>20</v>
      </c>
      <c r="F1174" s="440" t="s">
        <v>32</v>
      </c>
      <c r="G1174" s="387">
        <v>5.75</v>
      </c>
      <c r="H1174" s="411" t="str">
        <f t="shared" si="391"/>
        <v/>
      </c>
      <c r="I1174" s="411" t="str">
        <f t="shared" si="391"/>
        <v/>
      </c>
      <c r="J1174" s="411">
        <f t="shared" si="391"/>
        <v>5.75</v>
      </c>
      <c r="K1174" s="411" t="str">
        <f t="shared" si="391"/>
        <v/>
      </c>
      <c r="L1174" s="387">
        <f t="shared" si="392"/>
        <v>1</v>
      </c>
      <c r="M1174" s="407"/>
      <c r="N1174" s="388"/>
      <c r="O1174" s="388">
        <v>1</v>
      </c>
      <c r="P1174" s="409"/>
      <c r="Q1174" s="382"/>
      <c r="R1174" s="385" t="str">
        <f t="shared" si="393"/>
        <v>T</v>
      </c>
      <c r="S1174" s="389"/>
      <c r="T1174" s="389"/>
      <c r="U1174" s="389"/>
      <c r="V1174" s="389"/>
      <c r="W1174" s="389"/>
      <c r="X1174" s="389"/>
      <c r="Y1174" s="389"/>
      <c r="Z1174" s="389"/>
      <c r="AA1174" s="389"/>
      <c r="AB1174" s="389"/>
      <c r="AC1174" s="389"/>
      <c r="AD1174" s="389"/>
      <c r="AE1174" s="389"/>
      <c r="AF1174" s="389"/>
    </row>
    <row r="1175" spans="1:32" hidden="1" outlineLevel="3">
      <c r="A1175" s="382"/>
      <c r="B1175" s="382" t="s">
        <v>510</v>
      </c>
      <c r="C1175" s="382" t="s">
        <v>510</v>
      </c>
      <c r="D1175" s="382" t="s">
        <v>18</v>
      </c>
      <c r="E1175" s="386" t="s">
        <v>20</v>
      </c>
      <c r="F1175" s="440" t="s">
        <v>454</v>
      </c>
      <c r="G1175" s="387">
        <v>2.98</v>
      </c>
      <c r="H1175" s="411" t="str">
        <f t="shared" si="391"/>
        <v/>
      </c>
      <c r="I1175" s="411" t="str">
        <f t="shared" si="391"/>
        <v/>
      </c>
      <c r="J1175" s="411">
        <f t="shared" si="391"/>
        <v>2.98</v>
      </c>
      <c r="K1175" s="411" t="str">
        <f t="shared" si="391"/>
        <v/>
      </c>
      <c r="L1175" s="387">
        <f t="shared" si="392"/>
        <v>1</v>
      </c>
      <c r="M1175" s="407"/>
      <c r="N1175" s="388"/>
      <c r="O1175" s="388">
        <v>1</v>
      </c>
      <c r="P1175" s="409"/>
      <c r="Q1175" s="382"/>
      <c r="R1175" s="385" t="str">
        <f t="shared" si="393"/>
        <v>T</v>
      </c>
      <c r="S1175" s="389"/>
      <c r="T1175" s="389"/>
      <c r="U1175" s="389"/>
      <c r="V1175" s="389"/>
      <c r="W1175" s="389"/>
      <c r="X1175" s="389"/>
      <c r="Y1175" s="389"/>
      <c r="Z1175" s="389"/>
      <c r="AA1175" s="389"/>
      <c r="AB1175" s="389"/>
      <c r="AC1175" s="389"/>
      <c r="AD1175" s="389"/>
      <c r="AE1175" s="389"/>
      <c r="AF1175" s="389"/>
    </row>
    <row r="1176" spans="1:32" hidden="1" outlineLevel="3">
      <c r="A1176" s="382"/>
      <c r="B1176" s="382" t="s">
        <v>510</v>
      </c>
      <c r="C1176" s="382" t="s">
        <v>510</v>
      </c>
      <c r="D1176" s="382" t="s">
        <v>18</v>
      </c>
      <c r="E1176" s="386" t="s">
        <v>20</v>
      </c>
      <c r="F1176" s="440" t="s">
        <v>455</v>
      </c>
      <c r="G1176" s="387">
        <v>5.75</v>
      </c>
      <c r="H1176" s="411" t="str">
        <f t="shared" si="391"/>
        <v/>
      </c>
      <c r="I1176" s="411" t="str">
        <f t="shared" si="391"/>
        <v/>
      </c>
      <c r="J1176" s="411" t="str">
        <f t="shared" si="391"/>
        <v/>
      </c>
      <c r="K1176" s="411">
        <f t="shared" si="391"/>
        <v>5.75</v>
      </c>
      <c r="L1176" s="387">
        <f t="shared" si="392"/>
        <v>1</v>
      </c>
      <c r="M1176" s="407"/>
      <c r="N1176" s="388"/>
      <c r="O1176" s="388"/>
      <c r="P1176" s="409">
        <v>1</v>
      </c>
      <c r="Q1176" s="382"/>
      <c r="R1176" s="385" t="str">
        <f t="shared" si="393"/>
        <v>T</v>
      </c>
      <c r="S1176" s="389"/>
      <c r="T1176" s="389"/>
      <c r="U1176" s="389"/>
      <c r="V1176" s="389"/>
      <c r="W1176" s="389"/>
      <c r="X1176" s="389"/>
      <c r="Y1176" s="389"/>
      <c r="Z1176" s="389"/>
      <c r="AA1176" s="389"/>
      <c r="AB1176" s="389"/>
      <c r="AC1176" s="389"/>
      <c r="AD1176" s="389"/>
      <c r="AE1176" s="389"/>
      <c r="AF1176" s="389"/>
    </row>
    <row r="1177" spans="1:32" hidden="1" outlineLevel="3">
      <c r="A1177" s="382"/>
      <c r="B1177" s="382" t="s">
        <v>510</v>
      </c>
      <c r="C1177" s="382" t="s">
        <v>510</v>
      </c>
      <c r="D1177" s="382" t="s">
        <v>18</v>
      </c>
      <c r="E1177" s="386" t="s">
        <v>20</v>
      </c>
      <c r="F1177" s="440" t="s">
        <v>335</v>
      </c>
      <c r="G1177" s="387">
        <v>2.9825000000000004</v>
      </c>
      <c r="H1177" s="411" t="str">
        <f t="shared" si="391"/>
        <v/>
      </c>
      <c r="I1177" s="411" t="str">
        <f t="shared" si="391"/>
        <v/>
      </c>
      <c r="J1177" s="411" t="str">
        <f t="shared" si="391"/>
        <v/>
      </c>
      <c r="K1177" s="411">
        <f t="shared" si="391"/>
        <v>2.9825000000000004</v>
      </c>
      <c r="L1177" s="387">
        <f t="shared" si="392"/>
        <v>1</v>
      </c>
      <c r="M1177" s="407"/>
      <c r="N1177" s="388"/>
      <c r="O1177" s="388"/>
      <c r="P1177" s="409">
        <v>1</v>
      </c>
      <c r="Q1177" s="382"/>
      <c r="R1177" s="385" t="str">
        <f t="shared" si="393"/>
        <v>T</v>
      </c>
      <c r="S1177" s="389"/>
      <c r="T1177" s="389"/>
      <c r="U1177" s="389"/>
      <c r="V1177" s="389"/>
      <c r="W1177" s="389"/>
      <c r="X1177" s="389"/>
      <c r="Y1177" s="389"/>
      <c r="Z1177" s="389"/>
      <c r="AA1177" s="389"/>
      <c r="AB1177" s="389"/>
      <c r="AC1177" s="389"/>
      <c r="AD1177" s="389"/>
      <c r="AE1177" s="389"/>
      <c r="AF1177" s="389"/>
    </row>
    <row r="1178" spans="1:32" hidden="1" outlineLevel="3">
      <c r="A1178" s="382"/>
      <c r="B1178" s="382" t="s">
        <v>510</v>
      </c>
      <c r="C1178" s="382" t="s">
        <v>510</v>
      </c>
      <c r="D1178" s="382" t="s">
        <v>18</v>
      </c>
      <c r="E1178" s="386" t="s">
        <v>20</v>
      </c>
      <c r="F1178" s="440" t="s">
        <v>197</v>
      </c>
      <c r="G1178" s="387">
        <v>2.875</v>
      </c>
      <c r="H1178" s="411" t="str">
        <f t="shared" si="391"/>
        <v/>
      </c>
      <c r="I1178" s="411" t="str">
        <f t="shared" si="391"/>
        <v/>
      </c>
      <c r="J1178" s="411" t="str">
        <f t="shared" si="391"/>
        <v/>
      </c>
      <c r="K1178" s="411">
        <f t="shared" si="391"/>
        <v>2.875</v>
      </c>
      <c r="L1178" s="387">
        <f t="shared" si="392"/>
        <v>1</v>
      </c>
      <c r="M1178" s="407"/>
      <c r="N1178" s="388"/>
      <c r="O1178" s="388"/>
      <c r="P1178" s="409">
        <v>1</v>
      </c>
      <c r="Q1178" s="382"/>
      <c r="R1178" s="385" t="str">
        <f t="shared" si="393"/>
        <v>T</v>
      </c>
      <c r="S1178" s="389"/>
      <c r="T1178" s="389"/>
      <c r="U1178" s="389"/>
      <c r="V1178" s="389"/>
      <c r="W1178" s="389"/>
      <c r="X1178" s="389"/>
      <c r="Y1178" s="389"/>
      <c r="Z1178" s="389"/>
      <c r="AA1178" s="389"/>
      <c r="AB1178" s="389"/>
      <c r="AC1178" s="389"/>
      <c r="AD1178" s="389"/>
      <c r="AE1178" s="389"/>
      <c r="AF1178" s="389"/>
    </row>
    <row r="1179" spans="1:32" hidden="1" outlineLevel="2" collapsed="1">
      <c r="A1179" s="382"/>
      <c r="B1179" s="382" t="s">
        <v>510</v>
      </c>
      <c r="C1179" s="382" t="s">
        <v>510</v>
      </c>
      <c r="D1179" s="382" t="s">
        <v>26</v>
      </c>
      <c r="E1179" s="382"/>
      <c r="F1179" s="440" t="s">
        <v>470</v>
      </c>
      <c r="G1179" s="387">
        <f>SUM(G1180:G1182)</f>
        <v>5.0583200000000001</v>
      </c>
      <c r="H1179" s="411">
        <f>SUM(H1180:H1182)</f>
        <v>0</v>
      </c>
      <c r="I1179" s="411">
        <f>SUM(I1180:I1182)</f>
        <v>0</v>
      </c>
      <c r="J1179" s="411">
        <f>SUM(J1180:J1182)</f>
        <v>1.8968699999999998</v>
      </c>
      <c r="K1179" s="411">
        <f>SUM(K1180:K1182)</f>
        <v>3.1614500000000003</v>
      </c>
      <c r="L1179" s="387">
        <f t="shared" si="390"/>
        <v>3</v>
      </c>
      <c r="M1179" s="409">
        <f>SUM(M1180:M1182)</f>
        <v>0</v>
      </c>
      <c r="N1179" s="409">
        <f>SUM(N1180:N1182)</f>
        <v>0</v>
      </c>
      <c r="O1179" s="409">
        <f>SUM(O1180:O1182)</f>
        <v>1</v>
      </c>
      <c r="P1179" s="409">
        <f>SUM(P1180:P1182)</f>
        <v>2</v>
      </c>
      <c r="Q1179" s="382"/>
      <c r="R1179" s="385" t="str">
        <f t="shared" si="389"/>
        <v>T</v>
      </c>
      <c r="S1179" s="389"/>
      <c r="T1179" s="389"/>
      <c r="U1179" s="389"/>
      <c r="V1179" s="389"/>
      <c r="W1179" s="389"/>
      <c r="X1179" s="389"/>
      <c r="Y1179" s="389"/>
      <c r="Z1179" s="389"/>
      <c r="AA1179" s="389"/>
      <c r="AB1179" s="389"/>
      <c r="AC1179" s="389"/>
      <c r="AD1179" s="389"/>
      <c r="AE1179" s="389"/>
      <c r="AF1179" s="389"/>
    </row>
    <row r="1180" spans="1:32" hidden="1" outlineLevel="3">
      <c r="A1180" s="382"/>
      <c r="B1180" s="382" t="s">
        <v>510</v>
      </c>
      <c r="C1180" s="382" t="s">
        <v>510</v>
      </c>
      <c r="D1180" s="382" t="s">
        <v>26</v>
      </c>
      <c r="E1180" s="382" t="s">
        <v>27</v>
      </c>
      <c r="F1180" s="440" t="s">
        <v>32</v>
      </c>
      <c r="G1180" s="387">
        <v>1.8968699999999998</v>
      </c>
      <c r="H1180" s="411" t="str">
        <f t="shared" ref="H1180:K1182" si="394">IF(M1180=1,$G1180,"")</f>
        <v/>
      </c>
      <c r="I1180" s="411" t="str">
        <f t="shared" si="394"/>
        <v/>
      </c>
      <c r="J1180" s="411">
        <f t="shared" si="394"/>
        <v>1.8968699999999998</v>
      </c>
      <c r="K1180" s="411" t="str">
        <f t="shared" si="394"/>
        <v/>
      </c>
      <c r="L1180" s="387">
        <f t="shared" si="390"/>
        <v>1</v>
      </c>
      <c r="M1180" s="388"/>
      <c r="N1180" s="388"/>
      <c r="O1180" s="388">
        <v>1</v>
      </c>
      <c r="P1180" s="388"/>
      <c r="Q1180" s="382"/>
      <c r="R1180" s="385" t="str">
        <f t="shared" si="389"/>
        <v>T</v>
      </c>
      <c r="S1180" s="389"/>
      <c r="T1180" s="389"/>
      <c r="U1180" s="389"/>
      <c r="V1180" s="389"/>
      <c r="W1180" s="389"/>
      <c r="X1180" s="389"/>
      <c r="Y1180" s="389"/>
      <c r="Z1180" s="389"/>
      <c r="AA1180" s="389"/>
      <c r="AB1180" s="389"/>
      <c r="AC1180" s="389"/>
      <c r="AD1180" s="389"/>
      <c r="AE1180" s="389"/>
      <c r="AF1180" s="389"/>
    </row>
    <row r="1181" spans="1:32" hidden="1" outlineLevel="3">
      <c r="A1181" s="382"/>
      <c r="B1181" s="382" t="s">
        <v>510</v>
      </c>
      <c r="C1181" s="382" t="s">
        <v>510</v>
      </c>
      <c r="D1181" s="382" t="s">
        <v>26</v>
      </c>
      <c r="E1181" s="382" t="s">
        <v>27</v>
      </c>
      <c r="F1181" s="440" t="s">
        <v>34</v>
      </c>
      <c r="G1181" s="387">
        <v>2.5291600000000001</v>
      </c>
      <c r="H1181" s="411" t="str">
        <f t="shared" si="394"/>
        <v/>
      </c>
      <c r="I1181" s="411" t="str">
        <f t="shared" si="394"/>
        <v/>
      </c>
      <c r="J1181" s="411" t="str">
        <f t="shared" si="394"/>
        <v/>
      </c>
      <c r="K1181" s="411">
        <f t="shared" si="394"/>
        <v>2.5291600000000001</v>
      </c>
      <c r="L1181" s="387">
        <f t="shared" si="390"/>
        <v>1</v>
      </c>
      <c r="M1181" s="388"/>
      <c r="N1181" s="388"/>
      <c r="O1181" s="388"/>
      <c r="P1181" s="388">
        <v>1</v>
      </c>
      <c r="Q1181" s="382"/>
      <c r="R1181" s="385" t="str">
        <f t="shared" si="389"/>
        <v>T</v>
      </c>
      <c r="S1181" s="389"/>
      <c r="T1181" s="389"/>
      <c r="U1181" s="389"/>
      <c r="V1181" s="389"/>
      <c r="W1181" s="389"/>
      <c r="X1181" s="389"/>
      <c r="Y1181" s="389"/>
      <c r="Z1181" s="389"/>
      <c r="AA1181" s="389"/>
      <c r="AB1181" s="389"/>
      <c r="AC1181" s="389"/>
      <c r="AD1181" s="389"/>
      <c r="AE1181" s="389"/>
      <c r="AF1181" s="389"/>
    </row>
    <row r="1182" spans="1:32" hidden="1" outlineLevel="3">
      <c r="A1182" s="382"/>
      <c r="B1182" s="382" t="s">
        <v>510</v>
      </c>
      <c r="C1182" s="382" t="s">
        <v>510</v>
      </c>
      <c r="D1182" s="382" t="s">
        <v>26</v>
      </c>
      <c r="E1182" s="382" t="s">
        <v>27</v>
      </c>
      <c r="F1182" s="440" t="s">
        <v>197</v>
      </c>
      <c r="G1182" s="387">
        <v>0.63229000000000002</v>
      </c>
      <c r="H1182" s="411" t="str">
        <f t="shared" si="394"/>
        <v/>
      </c>
      <c r="I1182" s="411" t="str">
        <f t="shared" si="394"/>
        <v/>
      </c>
      <c r="J1182" s="411" t="str">
        <f t="shared" si="394"/>
        <v/>
      </c>
      <c r="K1182" s="411">
        <f t="shared" si="394"/>
        <v>0.63229000000000002</v>
      </c>
      <c r="L1182" s="387">
        <f t="shared" si="390"/>
        <v>1</v>
      </c>
      <c r="M1182" s="388"/>
      <c r="N1182" s="388"/>
      <c r="O1182" s="388"/>
      <c r="P1182" s="388">
        <v>1</v>
      </c>
      <c r="Q1182" s="382"/>
      <c r="R1182" s="385" t="str">
        <f t="shared" si="389"/>
        <v>T</v>
      </c>
      <c r="S1182" s="389"/>
      <c r="T1182" s="389"/>
      <c r="U1182" s="389"/>
      <c r="V1182" s="389"/>
      <c r="W1182" s="389"/>
      <c r="X1182" s="389"/>
      <c r="Y1182" s="389"/>
      <c r="Z1182" s="389"/>
      <c r="AA1182" s="389"/>
      <c r="AB1182" s="389"/>
      <c r="AC1182" s="389"/>
      <c r="AD1182" s="389"/>
      <c r="AE1182" s="389"/>
      <c r="AF1182" s="389"/>
    </row>
    <row r="1183" spans="1:32" hidden="1" outlineLevel="2" collapsed="1">
      <c r="A1183" s="382"/>
      <c r="B1183" s="382" t="s">
        <v>510</v>
      </c>
      <c r="C1183" s="382" t="s">
        <v>510</v>
      </c>
      <c r="D1183" s="382" t="s">
        <v>28</v>
      </c>
      <c r="E1183" s="382"/>
      <c r="F1183" s="440" t="s">
        <v>507</v>
      </c>
      <c r="G1183" s="387">
        <f>SUM(G1184:G1187)</f>
        <v>2.1096749999999997</v>
      </c>
      <c r="H1183" s="409">
        <f>SUM(H1184:H1187)</f>
        <v>0</v>
      </c>
      <c r="I1183" s="409">
        <f>SUM(I1184:I1187)</f>
        <v>0</v>
      </c>
      <c r="J1183" s="409">
        <f>SUM(J1184:J1187)</f>
        <v>1.0538699999999999</v>
      </c>
      <c r="K1183" s="409">
        <f>SUM(K1184:K1187)</f>
        <v>1.0558049999999999</v>
      </c>
      <c r="L1183" s="387">
        <f t="shared" si="390"/>
        <v>4</v>
      </c>
      <c r="M1183" s="409">
        <f>SUM(M1184:M1187)</f>
        <v>0</v>
      </c>
      <c r="N1183" s="409">
        <f>SUM(N1184:N1187)</f>
        <v>0</v>
      </c>
      <c r="O1183" s="409">
        <f>SUM(O1184:O1187)</f>
        <v>2</v>
      </c>
      <c r="P1183" s="409">
        <f>SUM(P1184:P1187)</f>
        <v>2</v>
      </c>
      <c r="Q1183" s="382"/>
      <c r="R1183" s="385" t="str">
        <f t="shared" si="389"/>
        <v>T</v>
      </c>
      <c r="S1183" s="389"/>
      <c r="T1183" s="389"/>
      <c r="U1183" s="389"/>
      <c r="V1183" s="389"/>
      <c r="W1183" s="389"/>
      <c r="X1183" s="389"/>
      <c r="Y1183" s="389"/>
      <c r="Z1183" s="389"/>
      <c r="AA1183" s="389"/>
      <c r="AB1183" s="389"/>
      <c r="AC1183" s="389"/>
      <c r="AD1183" s="389"/>
      <c r="AE1183" s="389"/>
      <c r="AF1183" s="389"/>
    </row>
    <row r="1184" spans="1:32" hidden="1" outlineLevel="3">
      <c r="A1184" s="382"/>
      <c r="B1184" s="382" t="s">
        <v>510</v>
      </c>
      <c r="C1184" s="382" t="s">
        <v>510</v>
      </c>
      <c r="D1184" s="382" t="s">
        <v>28</v>
      </c>
      <c r="E1184" s="382" t="s">
        <v>29</v>
      </c>
      <c r="F1184" s="440" t="s">
        <v>32</v>
      </c>
      <c r="G1184" s="387">
        <v>0.70387</v>
      </c>
      <c r="H1184" s="411" t="str">
        <f t="shared" ref="H1184:K1187" si="395">IF(M1184=1,$G1184,"")</f>
        <v/>
      </c>
      <c r="I1184" s="411" t="str">
        <f t="shared" si="395"/>
        <v/>
      </c>
      <c r="J1184" s="411">
        <f t="shared" si="395"/>
        <v>0.70387</v>
      </c>
      <c r="K1184" s="411" t="str">
        <f t="shared" si="395"/>
        <v/>
      </c>
      <c r="L1184" s="387">
        <f t="shared" si="390"/>
        <v>1</v>
      </c>
      <c r="M1184" s="388"/>
      <c r="N1184" s="388"/>
      <c r="O1184" s="388">
        <v>1</v>
      </c>
      <c r="P1184" s="388"/>
      <c r="Q1184" s="382"/>
      <c r="R1184" s="385" t="str">
        <f t="shared" si="389"/>
        <v>T</v>
      </c>
      <c r="S1184" s="389"/>
      <c r="T1184" s="389"/>
      <c r="U1184" s="389"/>
      <c r="V1184" s="389"/>
      <c r="W1184" s="389"/>
      <c r="X1184" s="389"/>
      <c r="Y1184" s="389"/>
      <c r="Z1184" s="389"/>
      <c r="AA1184" s="389"/>
      <c r="AB1184" s="389"/>
      <c r="AC1184" s="389"/>
      <c r="AD1184" s="389"/>
      <c r="AE1184" s="389"/>
      <c r="AF1184" s="389"/>
    </row>
    <row r="1185" spans="1:32" hidden="1" outlineLevel="3">
      <c r="A1185" s="382"/>
      <c r="B1185" s="382" t="s">
        <v>510</v>
      </c>
      <c r="C1185" s="382" t="s">
        <v>510</v>
      </c>
      <c r="D1185" s="382" t="s">
        <v>28</v>
      </c>
      <c r="E1185" s="382" t="s">
        <v>29</v>
      </c>
      <c r="F1185" s="440" t="s">
        <v>33</v>
      </c>
      <c r="G1185" s="387">
        <v>0.35</v>
      </c>
      <c r="H1185" s="411" t="str">
        <f t="shared" si="395"/>
        <v/>
      </c>
      <c r="I1185" s="411" t="str">
        <f t="shared" si="395"/>
        <v/>
      </c>
      <c r="J1185" s="411">
        <f t="shared" si="395"/>
        <v>0.35</v>
      </c>
      <c r="K1185" s="411" t="str">
        <f t="shared" si="395"/>
        <v/>
      </c>
      <c r="L1185" s="387">
        <f t="shared" si="390"/>
        <v>1</v>
      </c>
      <c r="M1185" s="388"/>
      <c r="N1185" s="388"/>
      <c r="O1185" s="388">
        <v>1</v>
      </c>
      <c r="P1185" s="388"/>
      <c r="Q1185" s="382"/>
      <c r="R1185" s="385" t="str">
        <f t="shared" si="389"/>
        <v>T</v>
      </c>
      <c r="S1185" s="389"/>
      <c r="T1185" s="389"/>
      <c r="U1185" s="389"/>
      <c r="V1185" s="389"/>
      <c r="W1185" s="389"/>
      <c r="X1185" s="389"/>
      <c r="Y1185" s="389"/>
      <c r="Z1185" s="389"/>
      <c r="AA1185" s="389"/>
      <c r="AB1185" s="389"/>
      <c r="AC1185" s="389"/>
      <c r="AD1185" s="389"/>
      <c r="AE1185" s="389"/>
      <c r="AF1185" s="389"/>
    </row>
    <row r="1186" spans="1:32" hidden="1" outlineLevel="3">
      <c r="A1186" s="382"/>
      <c r="B1186" s="382" t="s">
        <v>510</v>
      </c>
      <c r="C1186" s="382" t="s">
        <v>510</v>
      </c>
      <c r="D1186" s="382" t="s">
        <v>28</v>
      </c>
      <c r="E1186" s="382" t="s">
        <v>29</v>
      </c>
      <c r="F1186" s="440" t="s">
        <v>34</v>
      </c>
      <c r="G1186" s="387">
        <v>0.70387</v>
      </c>
      <c r="H1186" s="411" t="str">
        <f t="shared" si="395"/>
        <v/>
      </c>
      <c r="I1186" s="411" t="str">
        <f t="shared" si="395"/>
        <v/>
      </c>
      <c r="J1186" s="411" t="str">
        <f t="shared" si="395"/>
        <v/>
      </c>
      <c r="K1186" s="411">
        <f t="shared" si="395"/>
        <v>0.70387</v>
      </c>
      <c r="L1186" s="387">
        <f t="shared" si="390"/>
        <v>1</v>
      </c>
      <c r="M1186" s="388"/>
      <c r="N1186" s="388"/>
      <c r="O1186" s="388"/>
      <c r="P1186" s="388">
        <v>1</v>
      </c>
      <c r="Q1186" s="382"/>
      <c r="R1186" s="385" t="str">
        <f t="shared" si="389"/>
        <v>T</v>
      </c>
      <c r="S1186" s="389"/>
      <c r="T1186" s="389"/>
      <c r="U1186" s="389"/>
      <c r="V1186" s="389"/>
      <c r="W1186" s="389"/>
      <c r="X1186" s="389"/>
      <c r="Y1186" s="389"/>
      <c r="Z1186" s="389"/>
      <c r="AA1186" s="389"/>
      <c r="AB1186" s="389"/>
      <c r="AC1186" s="389"/>
      <c r="AD1186" s="389"/>
      <c r="AE1186" s="389"/>
      <c r="AF1186" s="389"/>
    </row>
    <row r="1187" spans="1:32" hidden="1" outlineLevel="3">
      <c r="A1187" s="382"/>
      <c r="B1187" s="382" t="s">
        <v>510</v>
      </c>
      <c r="C1187" s="382" t="s">
        <v>510</v>
      </c>
      <c r="D1187" s="382" t="s">
        <v>28</v>
      </c>
      <c r="E1187" s="382" t="s">
        <v>29</v>
      </c>
      <c r="F1187" s="440" t="s">
        <v>197</v>
      </c>
      <c r="G1187" s="387">
        <v>0.351935</v>
      </c>
      <c r="H1187" s="411" t="str">
        <f t="shared" si="395"/>
        <v/>
      </c>
      <c r="I1187" s="411" t="str">
        <f t="shared" si="395"/>
        <v/>
      </c>
      <c r="J1187" s="411" t="str">
        <f t="shared" si="395"/>
        <v/>
      </c>
      <c r="K1187" s="411">
        <f t="shared" si="395"/>
        <v>0.351935</v>
      </c>
      <c r="L1187" s="387">
        <f t="shared" si="390"/>
        <v>1</v>
      </c>
      <c r="M1187" s="388"/>
      <c r="N1187" s="388"/>
      <c r="O1187" s="388"/>
      <c r="P1187" s="388">
        <v>1</v>
      </c>
      <c r="Q1187" s="382"/>
      <c r="R1187" s="385" t="str">
        <f t="shared" si="389"/>
        <v>T</v>
      </c>
      <c r="S1187" s="389"/>
      <c r="T1187" s="389"/>
      <c r="U1187" s="389"/>
      <c r="V1187" s="389"/>
      <c r="W1187" s="389"/>
      <c r="X1187" s="389"/>
      <c r="Y1187" s="389"/>
      <c r="Z1187" s="389"/>
      <c r="AA1187" s="389"/>
      <c r="AB1187" s="389"/>
      <c r="AC1187" s="389"/>
      <c r="AD1187" s="389"/>
      <c r="AE1187" s="389"/>
      <c r="AF1187" s="389"/>
    </row>
    <row r="1188" spans="1:32" hidden="1" outlineLevel="2" collapsed="1">
      <c r="A1188" s="382"/>
      <c r="B1188" s="382" t="s">
        <v>510</v>
      </c>
      <c r="C1188" s="382" t="s">
        <v>510</v>
      </c>
      <c r="D1188" s="382" t="s">
        <v>64</v>
      </c>
      <c r="E1188" s="382"/>
      <c r="F1188" s="440" t="s">
        <v>507</v>
      </c>
      <c r="G1188" s="387">
        <f>SUM(G1189:G1192)</f>
        <v>1.5747599999999999</v>
      </c>
      <c r="H1188" s="409">
        <f>SUM(H1189:H1192)</f>
        <v>0</v>
      </c>
      <c r="I1188" s="409">
        <f>SUM(I1189:I1192)</f>
        <v>0</v>
      </c>
      <c r="J1188" s="409">
        <f>SUM(J1189:J1192)</f>
        <v>0.78737999999999997</v>
      </c>
      <c r="K1188" s="409">
        <f>SUM(K1189:K1192)</f>
        <v>0.78738000000000008</v>
      </c>
      <c r="L1188" s="387">
        <f t="shared" si="390"/>
        <v>4</v>
      </c>
      <c r="M1188" s="409">
        <f>SUM(M1189:M1192)</f>
        <v>0</v>
      </c>
      <c r="N1188" s="409">
        <f>SUM(N1189:N1192)</f>
        <v>0</v>
      </c>
      <c r="O1188" s="409">
        <f>SUM(O1189:O1192)</f>
        <v>2</v>
      </c>
      <c r="P1188" s="409">
        <f>SUM(P1189:P1192)</f>
        <v>2</v>
      </c>
      <c r="Q1188" s="382"/>
      <c r="R1188" s="385" t="str">
        <f t="shared" si="389"/>
        <v>T</v>
      </c>
      <c r="S1188" s="389"/>
      <c r="T1188" s="389"/>
      <c r="U1188" s="389"/>
      <c r="V1188" s="389"/>
      <c r="W1188" s="389"/>
      <c r="X1188" s="389"/>
      <c r="Y1188" s="389"/>
      <c r="Z1188" s="389"/>
      <c r="AA1188" s="389"/>
      <c r="AB1188" s="389"/>
      <c r="AC1188" s="389"/>
      <c r="AD1188" s="389"/>
      <c r="AE1188" s="389"/>
      <c r="AF1188" s="389"/>
    </row>
    <row r="1189" spans="1:32" hidden="1" outlineLevel="3">
      <c r="A1189" s="382"/>
      <c r="B1189" s="382" t="s">
        <v>510</v>
      </c>
      <c r="C1189" s="382" t="s">
        <v>510</v>
      </c>
      <c r="D1189" s="382" t="s">
        <v>64</v>
      </c>
      <c r="E1189" s="382" t="s">
        <v>29</v>
      </c>
      <c r="F1189" s="440" t="s">
        <v>32</v>
      </c>
      <c r="G1189" s="387">
        <v>0.59053500000000003</v>
      </c>
      <c r="H1189" s="411" t="str">
        <f t="shared" ref="H1189:K1192" si="396">IF(M1189=1,$G1189,"")</f>
        <v/>
      </c>
      <c r="I1189" s="411" t="str">
        <f t="shared" si="396"/>
        <v/>
      </c>
      <c r="J1189" s="411">
        <f t="shared" si="396"/>
        <v>0.59053500000000003</v>
      </c>
      <c r="K1189" s="411" t="str">
        <f t="shared" si="396"/>
        <v/>
      </c>
      <c r="L1189" s="387">
        <f t="shared" si="390"/>
        <v>1</v>
      </c>
      <c r="M1189" s="388"/>
      <c r="N1189" s="388"/>
      <c r="O1189" s="388">
        <v>1</v>
      </c>
      <c r="P1189" s="388"/>
      <c r="Q1189" s="382"/>
      <c r="R1189" s="385" t="str">
        <f t="shared" si="389"/>
        <v>T</v>
      </c>
      <c r="S1189" s="389"/>
      <c r="T1189" s="389"/>
      <c r="U1189" s="389"/>
      <c r="V1189" s="389"/>
      <c r="W1189" s="389"/>
      <c r="X1189" s="389"/>
      <c r="Y1189" s="389"/>
      <c r="Z1189" s="389"/>
      <c r="AA1189" s="389"/>
      <c r="AB1189" s="389"/>
      <c r="AC1189" s="389"/>
      <c r="AD1189" s="389"/>
      <c r="AE1189" s="389"/>
      <c r="AF1189" s="389"/>
    </row>
    <row r="1190" spans="1:32" hidden="1" outlineLevel="3">
      <c r="A1190" s="382"/>
      <c r="B1190" s="382" t="s">
        <v>510</v>
      </c>
      <c r="C1190" s="382" t="s">
        <v>510</v>
      </c>
      <c r="D1190" s="382" t="s">
        <v>64</v>
      </c>
      <c r="E1190" s="382" t="s">
        <v>29</v>
      </c>
      <c r="F1190" s="440" t="s">
        <v>33</v>
      </c>
      <c r="G1190" s="387">
        <v>0.19684499999999999</v>
      </c>
      <c r="H1190" s="411" t="str">
        <f t="shared" si="396"/>
        <v/>
      </c>
      <c r="I1190" s="411" t="str">
        <f t="shared" si="396"/>
        <v/>
      </c>
      <c r="J1190" s="411">
        <f t="shared" si="396"/>
        <v>0.19684499999999999</v>
      </c>
      <c r="K1190" s="411" t="str">
        <f t="shared" si="396"/>
        <v/>
      </c>
      <c r="L1190" s="387">
        <f t="shared" si="390"/>
        <v>1</v>
      </c>
      <c r="M1190" s="388"/>
      <c r="N1190" s="388"/>
      <c r="O1190" s="388">
        <v>1</v>
      </c>
      <c r="P1190" s="388"/>
      <c r="Q1190" s="382"/>
      <c r="R1190" s="385" t="str">
        <f t="shared" si="389"/>
        <v>T</v>
      </c>
      <c r="S1190" s="389"/>
      <c r="T1190" s="389"/>
      <c r="U1190" s="389"/>
      <c r="V1190" s="389"/>
      <c r="W1190" s="389"/>
      <c r="X1190" s="389"/>
      <c r="Y1190" s="389"/>
      <c r="Z1190" s="389"/>
      <c r="AA1190" s="389"/>
      <c r="AB1190" s="389"/>
      <c r="AC1190" s="389"/>
      <c r="AD1190" s="389"/>
      <c r="AE1190" s="389"/>
      <c r="AF1190" s="389"/>
    </row>
    <row r="1191" spans="1:32" hidden="1" outlineLevel="3">
      <c r="A1191" s="382"/>
      <c r="B1191" s="382" t="s">
        <v>510</v>
      </c>
      <c r="C1191" s="382" t="s">
        <v>510</v>
      </c>
      <c r="D1191" s="382" t="s">
        <v>64</v>
      </c>
      <c r="E1191" s="382" t="s">
        <v>29</v>
      </c>
      <c r="F1191" s="440" t="s">
        <v>34</v>
      </c>
      <c r="G1191" s="387">
        <v>0.59053500000000003</v>
      </c>
      <c r="H1191" s="411" t="str">
        <f t="shared" si="396"/>
        <v/>
      </c>
      <c r="I1191" s="411" t="str">
        <f t="shared" si="396"/>
        <v/>
      </c>
      <c r="J1191" s="411" t="str">
        <f t="shared" si="396"/>
        <v/>
      </c>
      <c r="K1191" s="411">
        <f t="shared" si="396"/>
        <v>0.59053500000000003</v>
      </c>
      <c r="L1191" s="387">
        <f t="shared" si="390"/>
        <v>1</v>
      </c>
      <c r="M1191" s="388"/>
      <c r="N1191" s="388"/>
      <c r="O1191" s="388"/>
      <c r="P1191" s="388">
        <v>1</v>
      </c>
      <c r="Q1191" s="382"/>
      <c r="R1191" s="385" t="str">
        <f t="shared" si="389"/>
        <v>T</v>
      </c>
      <c r="S1191" s="389"/>
      <c r="T1191" s="389"/>
      <c r="U1191" s="389"/>
      <c r="V1191" s="389"/>
      <c r="W1191" s="389"/>
      <c r="X1191" s="389"/>
      <c r="Y1191" s="389"/>
      <c r="Z1191" s="389"/>
      <c r="AA1191" s="389"/>
      <c r="AB1191" s="389"/>
      <c r="AC1191" s="389"/>
      <c r="AD1191" s="389"/>
      <c r="AE1191" s="389"/>
      <c r="AF1191" s="389"/>
    </row>
    <row r="1192" spans="1:32" hidden="1" outlineLevel="3">
      <c r="A1192" s="382"/>
      <c r="B1192" s="382" t="s">
        <v>510</v>
      </c>
      <c r="C1192" s="382" t="s">
        <v>510</v>
      </c>
      <c r="D1192" s="382" t="s">
        <v>64</v>
      </c>
      <c r="E1192" s="382" t="s">
        <v>29</v>
      </c>
      <c r="F1192" s="440" t="s">
        <v>197</v>
      </c>
      <c r="G1192" s="387">
        <v>0.19684500000000002</v>
      </c>
      <c r="H1192" s="411" t="str">
        <f t="shared" si="396"/>
        <v/>
      </c>
      <c r="I1192" s="411" t="str">
        <f t="shared" si="396"/>
        <v/>
      </c>
      <c r="J1192" s="411" t="str">
        <f t="shared" si="396"/>
        <v/>
      </c>
      <c r="K1192" s="411">
        <f t="shared" si="396"/>
        <v>0.19684500000000002</v>
      </c>
      <c r="L1192" s="387">
        <f t="shared" si="390"/>
        <v>1</v>
      </c>
      <c r="M1192" s="388"/>
      <c r="N1192" s="388"/>
      <c r="O1192" s="388"/>
      <c r="P1192" s="388">
        <v>1</v>
      </c>
      <c r="Q1192" s="382"/>
      <c r="R1192" s="385" t="str">
        <f t="shared" si="389"/>
        <v>T</v>
      </c>
      <c r="S1192" s="389"/>
      <c r="T1192" s="389"/>
      <c r="U1192" s="389"/>
      <c r="V1192" s="389"/>
      <c r="W1192" s="389"/>
      <c r="X1192" s="389"/>
      <c r="Y1192" s="389"/>
      <c r="Z1192" s="389"/>
      <c r="AA1192" s="389"/>
      <c r="AB1192" s="389"/>
      <c r="AC1192" s="389"/>
      <c r="AD1192" s="389"/>
      <c r="AE1192" s="389"/>
      <c r="AF1192" s="389"/>
    </row>
    <row r="1193" spans="1:32" outlineLevel="1" collapsed="1">
      <c r="A1193" s="382"/>
      <c r="B1193" s="390" t="s">
        <v>512</v>
      </c>
      <c r="C1193" s="390" t="s">
        <v>512</v>
      </c>
      <c r="D1193" s="390"/>
      <c r="E1193" s="390"/>
      <c r="F1193" s="442" t="s">
        <v>277</v>
      </c>
      <c r="G1193" s="424">
        <f>SUM(G1194:G1213)</f>
        <v>0</v>
      </c>
      <c r="H1193" s="424">
        <f>SUM(H1194,H1199,H1205,H1213)</f>
        <v>0</v>
      </c>
      <c r="I1193" s="424">
        <f>SUM(I1194,I1199,I1205,I1213)</f>
        <v>0</v>
      </c>
      <c r="J1193" s="424">
        <f>SUM(J1194,J1199,J1205,J1213)</f>
        <v>0</v>
      </c>
      <c r="K1193" s="424">
        <f>SUM(K1194,K1199,K1205,K1213)</f>
        <v>0</v>
      </c>
      <c r="L1193" s="424">
        <f t="shared" ref="L1193:L1199" si="397">SUM(M1193:P1193)</f>
        <v>21</v>
      </c>
      <c r="M1193" s="408">
        <f>SUM(M1194,M1199,M1205,M1213)</f>
        <v>8</v>
      </c>
      <c r="N1193" s="408">
        <f>SUM(N1194,N1199,N1205,N1213)</f>
        <v>0</v>
      </c>
      <c r="O1193" s="408">
        <f>SUM(O1194,O1199,O1205,O1213)</f>
        <v>9</v>
      </c>
      <c r="P1193" s="408">
        <f>SUM(P1194,P1199,P1205,P1213)</f>
        <v>4</v>
      </c>
      <c r="Q1193" s="382"/>
      <c r="R1193" s="385" t="str">
        <f>IF(SUM(M1193:P1193)=L1193,"T","F")</f>
        <v>T</v>
      </c>
      <c r="S1193" s="389"/>
      <c r="T1193" s="389"/>
      <c r="U1193" s="389"/>
      <c r="V1193" s="389"/>
      <c r="W1193" s="389"/>
      <c r="X1193" s="389"/>
      <c r="Y1193" s="389"/>
      <c r="Z1193" s="389"/>
      <c r="AA1193" s="389"/>
      <c r="AB1193" s="389"/>
      <c r="AC1193" s="389"/>
      <c r="AD1193" s="389"/>
      <c r="AE1193" s="389"/>
      <c r="AF1193" s="389"/>
    </row>
    <row r="1194" spans="1:32" hidden="1" outlineLevel="2" collapsed="1">
      <c r="A1194" s="382"/>
      <c r="B1194" s="386" t="s">
        <v>512</v>
      </c>
      <c r="C1194" s="386" t="s">
        <v>512</v>
      </c>
      <c r="D1194" s="382" t="s">
        <v>202</v>
      </c>
      <c r="E1194" s="386"/>
      <c r="F1194" s="440" t="s">
        <v>513</v>
      </c>
      <c r="G1194" s="387"/>
      <c r="H1194" s="388">
        <f>SUM(H1195:H1198)</f>
        <v>0</v>
      </c>
      <c r="I1194" s="388">
        <f>SUM(I1195:I1198)</f>
        <v>0</v>
      </c>
      <c r="J1194" s="388">
        <f>SUM(J1195:J1198)</f>
        <v>0</v>
      </c>
      <c r="K1194" s="388">
        <f>SUM(K1195:K1198)</f>
        <v>0</v>
      </c>
      <c r="L1194" s="387">
        <f t="shared" si="397"/>
        <v>4</v>
      </c>
      <c r="M1194" s="388">
        <f>SUM(M1195:M1198)</f>
        <v>3</v>
      </c>
      <c r="N1194" s="388">
        <f>SUM(N1195:N1198)</f>
        <v>0</v>
      </c>
      <c r="O1194" s="388">
        <f>SUM(O1195:O1198)</f>
        <v>1</v>
      </c>
      <c r="P1194" s="388">
        <f>SUM(P1195:P1198)</f>
        <v>0</v>
      </c>
      <c r="Q1194" s="382"/>
      <c r="R1194" s="385" t="str">
        <f>IF(SUM(M1194:P1194)=L1194,"T","F")</f>
        <v>T</v>
      </c>
      <c r="S1194" s="389"/>
      <c r="T1194" s="389"/>
      <c r="U1194" s="389"/>
      <c r="V1194" s="389"/>
      <c r="W1194" s="389"/>
      <c r="X1194" s="389"/>
      <c r="Y1194" s="389"/>
      <c r="Z1194" s="389"/>
      <c r="AA1194" s="389"/>
      <c r="AB1194" s="389"/>
      <c r="AC1194" s="389"/>
      <c r="AD1194" s="389"/>
      <c r="AE1194" s="389"/>
      <c r="AF1194" s="389"/>
    </row>
    <row r="1195" spans="1:32" hidden="1" outlineLevel="3">
      <c r="A1195" s="382"/>
      <c r="B1195" s="386" t="s">
        <v>512</v>
      </c>
      <c r="C1195" s="386" t="s">
        <v>512</v>
      </c>
      <c r="D1195" s="382" t="s">
        <v>202</v>
      </c>
      <c r="E1195" s="386" t="s">
        <v>29</v>
      </c>
      <c r="F1195" s="440" t="s">
        <v>334</v>
      </c>
      <c r="G1195" s="387"/>
      <c r="H1195" s="411">
        <f t="shared" ref="H1195:K1198" si="398">IF(M1195=1,$G1195,"")</f>
        <v>0</v>
      </c>
      <c r="I1195" s="411" t="str">
        <f t="shared" si="398"/>
        <v/>
      </c>
      <c r="J1195" s="411" t="str">
        <f t="shared" si="398"/>
        <v/>
      </c>
      <c r="K1195" s="411" t="str">
        <f t="shared" si="398"/>
        <v/>
      </c>
      <c r="L1195" s="387">
        <f t="shared" si="397"/>
        <v>1</v>
      </c>
      <c r="M1195" s="388">
        <v>1</v>
      </c>
      <c r="N1195" s="388"/>
      <c r="O1195" s="388"/>
      <c r="P1195" s="388"/>
      <c r="Q1195" s="382"/>
      <c r="R1195" s="385"/>
      <c r="S1195" s="389"/>
      <c r="T1195" s="389"/>
      <c r="U1195" s="389"/>
      <c r="V1195" s="389"/>
      <c r="W1195" s="389"/>
      <c r="X1195" s="389"/>
      <c r="Y1195" s="389"/>
      <c r="Z1195" s="389"/>
      <c r="AA1195" s="389"/>
      <c r="AB1195" s="389"/>
      <c r="AC1195" s="389"/>
      <c r="AD1195" s="389"/>
      <c r="AE1195" s="389"/>
      <c r="AF1195" s="389"/>
    </row>
    <row r="1196" spans="1:32" hidden="1" outlineLevel="3">
      <c r="A1196" s="382"/>
      <c r="B1196" s="386" t="s">
        <v>512</v>
      </c>
      <c r="C1196" s="386" t="s">
        <v>512</v>
      </c>
      <c r="D1196" s="382" t="s">
        <v>202</v>
      </c>
      <c r="E1196" s="386" t="s">
        <v>29</v>
      </c>
      <c r="F1196" s="440" t="s">
        <v>279</v>
      </c>
      <c r="G1196" s="387"/>
      <c r="H1196" s="411">
        <f t="shared" si="398"/>
        <v>0</v>
      </c>
      <c r="I1196" s="411" t="str">
        <f t="shared" si="398"/>
        <v/>
      </c>
      <c r="J1196" s="411" t="str">
        <f t="shared" si="398"/>
        <v/>
      </c>
      <c r="K1196" s="411" t="str">
        <f t="shared" si="398"/>
        <v/>
      </c>
      <c r="L1196" s="387">
        <f t="shared" si="397"/>
        <v>1</v>
      </c>
      <c r="M1196" s="388">
        <v>1</v>
      </c>
      <c r="N1196" s="388"/>
      <c r="O1196" s="388"/>
      <c r="P1196" s="388"/>
      <c r="Q1196" s="382"/>
      <c r="R1196" s="385"/>
      <c r="S1196" s="389"/>
      <c r="T1196" s="389"/>
      <c r="U1196" s="389"/>
      <c r="V1196" s="389"/>
      <c r="W1196" s="389"/>
      <c r="X1196" s="389"/>
      <c r="Y1196" s="389"/>
      <c r="Z1196" s="389"/>
      <c r="AA1196" s="389"/>
      <c r="AB1196" s="389"/>
      <c r="AC1196" s="389"/>
      <c r="AD1196" s="389"/>
      <c r="AE1196" s="389"/>
      <c r="AF1196" s="389"/>
    </row>
    <row r="1197" spans="1:32" hidden="1" outlineLevel="3">
      <c r="A1197" s="382"/>
      <c r="B1197" s="386" t="s">
        <v>512</v>
      </c>
      <c r="C1197" s="386" t="s">
        <v>512</v>
      </c>
      <c r="D1197" s="382" t="s">
        <v>202</v>
      </c>
      <c r="E1197" s="386" t="s">
        <v>29</v>
      </c>
      <c r="F1197" s="440" t="s">
        <v>33</v>
      </c>
      <c r="G1197" s="387"/>
      <c r="H1197" s="411">
        <f t="shared" si="398"/>
        <v>0</v>
      </c>
      <c r="I1197" s="411" t="str">
        <f t="shared" si="398"/>
        <v/>
      </c>
      <c r="J1197" s="411" t="str">
        <f t="shared" si="398"/>
        <v/>
      </c>
      <c r="K1197" s="411" t="str">
        <f t="shared" si="398"/>
        <v/>
      </c>
      <c r="L1197" s="387">
        <f t="shared" si="397"/>
        <v>1</v>
      </c>
      <c r="M1197" s="388">
        <v>1</v>
      </c>
      <c r="N1197" s="388"/>
      <c r="O1197" s="388"/>
      <c r="P1197" s="388"/>
      <c r="Q1197" s="382"/>
      <c r="R1197" s="385"/>
      <c r="S1197" s="389"/>
      <c r="T1197" s="389"/>
      <c r="U1197" s="389"/>
      <c r="V1197" s="389"/>
      <c r="W1197" s="389"/>
      <c r="X1197" s="389"/>
      <c r="Y1197" s="389"/>
      <c r="Z1197" s="389"/>
      <c r="AA1197" s="389"/>
      <c r="AB1197" s="389"/>
      <c r="AC1197" s="389"/>
      <c r="AD1197" s="389"/>
      <c r="AE1197" s="389"/>
      <c r="AF1197" s="389"/>
    </row>
    <row r="1198" spans="1:32" hidden="1" outlineLevel="3">
      <c r="A1198" s="382"/>
      <c r="B1198" s="386" t="s">
        <v>512</v>
      </c>
      <c r="C1198" s="386" t="s">
        <v>512</v>
      </c>
      <c r="D1198" s="382" t="s">
        <v>202</v>
      </c>
      <c r="E1198" s="386" t="s">
        <v>29</v>
      </c>
      <c r="F1198" s="440" t="s">
        <v>280</v>
      </c>
      <c r="G1198" s="387"/>
      <c r="H1198" s="411" t="str">
        <f t="shared" si="398"/>
        <v/>
      </c>
      <c r="I1198" s="411" t="str">
        <f t="shared" si="398"/>
        <v/>
      </c>
      <c r="J1198" s="411">
        <f t="shared" si="398"/>
        <v>0</v>
      </c>
      <c r="K1198" s="411" t="str">
        <f t="shared" si="398"/>
        <v/>
      </c>
      <c r="L1198" s="387">
        <f t="shared" si="397"/>
        <v>1</v>
      </c>
      <c r="M1198" s="388"/>
      <c r="N1198" s="388"/>
      <c r="O1198" s="388">
        <v>1</v>
      </c>
      <c r="P1198" s="388"/>
      <c r="Q1198" s="382"/>
      <c r="R1198" s="385"/>
      <c r="S1198" s="389"/>
      <c r="T1198" s="389"/>
      <c r="U1198" s="389"/>
      <c r="V1198" s="389"/>
      <c r="W1198" s="389"/>
      <c r="X1198" s="389"/>
      <c r="Y1198" s="389"/>
      <c r="Z1198" s="389"/>
      <c r="AA1198" s="389"/>
      <c r="AB1198" s="389"/>
      <c r="AC1198" s="389"/>
      <c r="AD1198" s="389"/>
      <c r="AE1198" s="389"/>
      <c r="AF1198" s="389"/>
    </row>
    <row r="1199" spans="1:32" hidden="1" outlineLevel="2" collapsed="1">
      <c r="A1199" s="382"/>
      <c r="B1199" s="386" t="s">
        <v>512</v>
      </c>
      <c r="C1199" s="386" t="s">
        <v>512</v>
      </c>
      <c r="D1199" s="382" t="s">
        <v>26</v>
      </c>
      <c r="E1199" s="382"/>
      <c r="F1199" s="440" t="s">
        <v>513</v>
      </c>
      <c r="G1199" s="387"/>
      <c r="H1199" s="388">
        <f>SUM(H1200:H1204)</f>
        <v>0</v>
      </c>
      <c r="I1199" s="388">
        <f t="shared" ref="I1199:K1199" si="399">SUM(I1200:I1204)</f>
        <v>0</v>
      </c>
      <c r="J1199" s="388">
        <f t="shared" si="399"/>
        <v>0</v>
      </c>
      <c r="K1199" s="388">
        <f t="shared" si="399"/>
        <v>0</v>
      </c>
      <c r="L1199" s="387">
        <f t="shared" si="397"/>
        <v>5</v>
      </c>
      <c r="M1199" s="388">
        <f>SUM(M1200:M1204)</f>
        <v>1</v>
      </c>
      <c r="N1199" s="388">
        <f t="shared" ref="N1199:P1199" si="400">SUM(N1200:N1204)</f>
        <v>0</v>
      </c>
      <c r="O1199" s="388">
        <f t="shared" si="400"/>
        <v>3</v>
      </c>
      <c r="P1199" s="388">
        <f t="shared" si="400"/>
        <v>1</v>
      </c>
      <c r="Q1199" s="382"/>
      <c r="R1199" s="385" t="str">
        <f>IF(SUM(M1199:P1199)=L1199,"T","F")</f>
        <v>T</v>
      </c>
      <c r="S1199" s="389"/>
      <c r="T1199" s="389"/>
      <c r="U1199" s="389"/>
      <c r="V1199" s="389"/>
      <c r="W1199" s="389"/>
      <c r="X1199" s="389"/>
      <c r="Y1199" s="389"/>
      <c r="Z1199" s="389"/>
      <c r="AA1199" s="389"/>
      <c r="AB1199" s="389"/>
      <c r="AC1199" s="389"/>
      <c r="AD1199" s="389"/>
      <c r="AE1199" s="389"/>
      <c r="AF1199" s="389"/>
    </row>
    <row r="1200" spans="1:32" hidden="1" outlineLevel="3">
      <c r="A1200" s="382"/>
      <c r="B1200" s="386" t="s">
        <v>512</v>
      </c>
      <c r="C1200" s="386" t="s">
        <v>512</v>
      </c>
      <c r="D1200" s="382" t="s">
        <v>26</v>
      </c>
      <c r="E1200" s="382" t="s">
        <v>27</v>
      </c>
      <c r="F1200" s="440" t="s">
        <v>279</v>
      </c>
      <c r="G1200" s="387"/>
      <c r="H1200" s="411">
        <f t="shared" ref="H1200:K1204" si="401">IF(M1200=1,$G1200,"")</f>
        <v>0</v>
      </c>
      <c r="I1200" s="411" t="str">
        <f t="shared" si="401"/>
        <v/>
      </c>
      <c r="J1200" s="411" t="str">
        <f t="shared" si="401"/>
        <v/>
      </c>
      <c r="K1200" s="411" t="str">
        <f t="shared" si="401"/>
        <v/>
      </c>
      <c r="L1200" s="387">
        <f t="shared" ref="L1200:L1204" si="402">SUM(M1200:P1200)</f>
        <v>1</v>
      </c>
      <c r="M1200" s="388">
        <v>1</v>
      </c>
      <c r="N1200" s="388"/>
      <c r="O1200" s="388"/>
      <c r="P1200" s="388"/>
      <c r="Q1200" s="382"/>
      <c r="R1200" s="385"/>
      <c r="S1200" s="389"/>
      <c r="T1200" s="389"/>
      <c r="U1200" s="389"/>
      <c r="V1200" s="389"/>
      <c r="W1200" s="389"/>
      <c r="X1200" s="389"/>
      <c r="Y1200" s="389"/>
      <c r="Z1200" s="389"/>
      <c r="AA1200" s="389"/>
      <c r="AB1200" s="389"/>
      <c r="AC1200" s="389"/>
      <c r="AD1200" s="389"/>
      <c r="AE1200" s="389"/>
      <c r="AF1200" s="389"/>
    </row>
    <row r="1201" spans="1:32" hidden="1" outlineLevel="3">
      <c r="A1201" s="382"/>
      <c r="B1201" s="386" t="s">
        <v>512</v>
      </c>
      <c r="C1201" s="386" t="s">
        <v>512</v>
      </c>
      <c r="D1201" s="382" t="s">
        <v>26</v>
      </c>
      <c r="E1201" s="382" t="s">
        <v>27</v>
      </c>
      <c r="F1201" s="440" t="s">
        <v>280</v>
      </c>
      <c r="G1201" s="387"/>
      <c r="H1201" s="411" t="str">
        <f t="shared" si="401"/>
        <v/>
      </c>
      <c r="I1201" s="411" t="str">
        <f t="shared" si="401"/>
        <v/>
      </c>
      <c r="J1201" s="411">
        <f t="shared" si="401"/>
        <v>0</v>
      </c>
      <c r="K1201" s="411" t="str">
        <f t="shared" si="401"/>
        <v/>
      </c>
      <c r="L1201" s="387">
        <f t="shared" si="402"/>
        <v>1</v>
      </c>
      <c r="M1201" s="388"/>
      <c r="N1201" s="388"/>
      <c r="O1201" s="388">
        <v>1</v>
      </c>
      <c r="P1201" s="388"/>
      <c r="Q1201" s="382"/>
      <c r="R1201" s="385"/>
      <c r="S1201" s="389"/>
      <c r="T1201" s="389"/>
      <c r="U1201" s="389"/>
      <c r="V1201" s="389"/>
      <c r="W1201" s="389"/>
      <c r="X1201" s="389"/>
      <c r="Y1201" s="389"/>
      <c r="Z1201" s="389"/>
      <c r="AA1201" s="389"/>
      <c r="AB1201" s="389"/>
      <c r="AC1201" s="389"/>
      <c r="AD1201" s="389"/>
      <c r="AE1201" s="389"/>
      <c r="AF1201" s="389"/>
    </row>
    <row r="1202" spans="1:32" hidden="1" outlineLevel="3">
      <c r="A1202" s="382"/>
      <c r="B1202" s="386" t="s">
        <v>512</v>
      </c>
      <c r="C1202" s="386" t="s">
        <v>512</v>
      </c>
      <c r="D1202" s="382" t="s">
        <v>26</v>
      </c>
      <c r="E1202" s="382" t="s">
        <v>27</v>
      </c>
      <c r="F1202" s="440" t="s">
        <v>281</v>
      </c>
      <c r="G1202" s="387"/>
      <c r="H1202" s="411" t="str">
        <f t="shared" si="401"/>
        <v/>
      </c>
      <c r="I1202" s="411" t="str">
        <f t="shared" si="401"/>
        <v/>
      </c>
      <c r="J1202" s="411">
        <f t="shared" si="401"/>
        <v>0</v>
      </c>
      <c r="K1202" s="411" t="str">
        <f t="shared" si="401"/>
        <v/>
      </c>
      <c r="L1202" s="387">
        <f t="shared" si="402"/>
        <v>1</v>
      </c>
      <c r="M1202" s="388"/>
      <c r="N1202" s="388"/>
      <c r="O1202" s="388">
        <v>1</v>
      </c>
      <c r="P1202" s="388"/>
      <c r="Q1202" s="382"/>
      <c r="R1202" s="385"/>
      <c r="S1202" s="389"/>
      <c r="T1202" s="389"/>
      <c r="U1202" s="389"/>
      <c r="V1202" s="389"/>
      <c r="W1202" s="389"/>
      <c r="X1202" s="389"/>
      <c r="Y1202" s="389"/>
      <c r="Z1202" s="389"/>
      <c r="AA1202" s="389"/>
      <c r="AB1202" s="389"/>
      <c r="AC1202" s="389"/>
      <c r="AD1202" s="389"/>
      <c r="AE1202" s="389"/>
      <c r="AF1202" s="389"/>
    </row>
    <row r="1203" spans="1:32" hidden="1" outlineLevel="3">
      <c r="A1203" s="382"/>
      <c r="B1203" s="386" t="s">
        <v>512</v>
      </c>
      <c r="C1203" s="386" t="s">
        <v>512</v>
      </c>
      <c r="D1203" s="382" t="s">
        <v>26</v>
      </c>
      <c r="E1203" s="382" t="s">
        <v>27</v>
      </c>
      <c r="F1203" s="440" t="s">
        <v>514</v>
      </c>
      <c r="G1203" s="387"/>
      <c r="H1203" s="411" t="str">
        <f t="shared" si="401"/>
        <v/>
      </c>
      <c r="I1203" s="411" t="str">
        <f t="shared" si="401"/>
        <v/>
      </c>
      <c r="J1203" s="411" t="str">
        <f t="shared" si="401"/>
        <v/>
      </c>
      <c r="K1203" s="411">
        <f t="shared" si="401"/>
        <v>0</v>
      </c>
      <c r="L1203" s="387">
        <f t="shared" si="402"/>
        <v>1</v>
      </c>
      <c r="M1203" s="388"/>
      <c r="N1203" s="388"/>
      <c r="O1203" s="388"/>
      <c r="P1203" s="388">
        <v>1</v>
      </c>
      <c r="Q1203" s="382"/>
      <c r="R1203" s="385"/>
      <c r="S1203" s="389"/>
      <c r="T1203" s="389"/>
      <c r="U1203" s="389"/>
      <c r="V1203" s="389"/>
      <c r="W1203" s="389"/>
      <c r="X1203" s="389"/>
      <c r="Y1203" s="389"/>
      <c r="Z1203" s="389"/>
      <c r="AA1203" s="389"/>
      <c r="AB1203" s="389"/>
      <c r="AC1203" s="389"/>
      <c r="AD1203" s="389"/>
      <c r="AE1203" s="389"/>
      <c r="AF1203" s="389"/>
    </row>
    <row r="1204" spans="1:32" hidden="1" outlineLevel="3">
      <c r="A1204" s="382"/>
      <c r="B1204" s="386" t="s">
        <v>512</v>
      </c>
      <c r="C1204" s="386" t="s">
        <v>512</v>
      </c>
      <c r="D1204" s="382" t="s">
        <v>26</v>
      </c>
      <c r="E1204" s="382" t="s">
        <v>27</v>
      </c>
      <c r="F1204" s="440" t="s">
        <v>515</v>
      </c>
      <c r="G1204" s="387"/>
      <c r="H1204" s="411" t="str">
        <f t="shared" si="401"/>
        <v/>
      </c>
      <c r="I1204" s="411" t="str">
        <f t="shared" si="401"/>
        <v/>
      </c>
      <c r="J1204" s="411">
        <f t="shared" si="401"/>
        <v>0</v>
      </c>
      <c r="K1204" s="411" t="str">
        <f t="shared" si="401"/>
        <v/>
      </c>
      <c r="L1204" s="387">
        <f t="shared" si="402"/>
        <v>1</v>
      </c>
      <c r="M1204" s="388"/>
      <c r="N1204" s="388"/>
      <c r="O1204" s="388">
        <v>1</v>
      </c>
      <c r="P1204" s="388"/>
      <c r="Q1204" s="382"/>
      <c r="R1204" s="385"/>
      <c r="S1204" s="389"/>
      <c r="T1204" s="389"/>
      <c r="U1204" s="389"/>
      <c r="V1204" s="389"/>
      <c r="W1204" s="389"/>
      <c r="X1204" s="389"/>
      <c r="Y1204" s="389"/>
      <c r="Z1204" s="389"/>
      <c r="AA1204" s="389"/>
      <c r="AB1204" s="389"/>
      <c r="AC1204" s="389"/>
      <c r="AD1204" s="389"/>
      <c r="AE1204" s="389"/>
      <c r="AF1204" s="389"/>
    </row>
    <row r="1205" spans="1:32" hidden="1" outlineLevel="2" collapsed="1">
      <c r="A1205" s="382"/>
      <c r="B1205" s="386" t="s">
        <v>512</v>
      </c>
      <c r="C1205" s="386" t="s">
        <v>512</v>
      </c>
      <c r="D1205" s="382" t="s">
        <v>28</v>
      </c>
      <c r="E1205" s="382"/>
      <c r="F1205" s="440" t="s">
        <v>513</v>
      </c>
      <c r="G1205" s="387"/>
      <c r="H1205" s="388">
        <f>SUM(H1206:H1212)</f>
        <v>0</v>
      </c>
      <c r="I1205" s="388">
        <f t="shared" ref="I1205:K1205" si="403">SUM(I1206:I1212)</f>
        <v>0</v>
      </c>
      <c r="J1205" s="388">
        <f t="shared" si="403"/>
        <v>0</v>
      </c>
      <c r="K1205" s="388">
        <f t="shared" si="403"/>
        <v>0</v>
      </c>
      <c r="L1205" s="387">
        <f>SUM(M1205:P1205)</f>
        <v>7</v>
      </c>
      <c r="M1205" s="388">
        <f>SUM(M1206:M1212)</f>
        <v>2</v>
      </c>
      <c r="N1205" s="388">
        <f t="shared" ref="N1205:P1205" si="404">SUM(N1206:N1212)</f>
        <v>0</v>
      </c>
      <c r="O1205" s="388">
        <f t="shared" si="404"/>
        <v>3</v>
      </c>
      <c r="P1205" s="388">
        <f t="shared" si="404"/>
        <v>2</v>
      </c>
      <c r="Q1205" s="382"/>
      <c r="R1205" s="385" t="str">
        <f>IF(SUM(M1205:P1205)=L1205,"T","F")</f>
        <v>T</v>
      </c>
      <c r="S1205" s="389"/>
      <c r="T1205" s="389"/>
      <c r="U1205" s="389"/>
      <c r="V1205" s="389"/>
      <c r="W1205" s="389"/>
      <c r="X1205" s="389"/>
      <c r="Y1205" s="389"/>
      <c r="Z1205" s="389"/>
      <c r="AA1205" s="389"/>
      <c r="AB1205" s="389"/>
      <c r="AC1205" s="389"/>
      <c r="AD1205" s="389"/>
      <c r="AE1205" s="389"/>
      <c r="AF1205" s="389"/>
    </row>
    <row r="1206" spans="1:32" hidden="1" outlineLevel="3">
      <c r="A1206" s="382"/>
      <c r="B1206" s="386" t="s">
        <v>512</v>
      </c>
      <c r="C1206" s="386" t="s">
        <v>512</v>
      </c>
      <c r="D1206" s="382" t="s">
        <v>28</v>
      </c>
      <c r="E1206" s="382" t="s">
        <v>29</v>
      </c>
      <c r="F1206" s="440" t="s">
        <v>279</v>
      </c>
      <c r="G1206" s="387"/>
      <c r="H1206" s="411">
        <f t="shared" ref="H1206:K1212" si="405">IF(M1206=1,$G1206,"")</f>
        <v>0</v>
      </c>
      <c r="I1206" s="411" t="str">
        <f t="shared" si="405"/>
        <v/>
      </c>
      <c r="J1206" s="411" t="str">
        <f t="shared" si="405"/>
        <v/>
      </c>
      <c r="K1206" s="411" t="str">
        <f t="shared" si="405"/>
        <v/>
      </c>
      <c r="L1206" s="387">
        <f t="shared" ref="L1206:L1212" si="406">SUM(M1206:P1206)</f>
        <v>1</v>
      </c>
      <c r="M1206" s="388">
        <v>1</v>
      </c>
      <c r="N1206" s="388"/>
      <c r="O1206" s="388"/>
      <c r="P1206" s="388"/>
      <c r="Q1206" s="382"/>
      <c r="R1206" s="385"/>
      <c r="S1206" s="389"/>
      <c r="T1206" s="389"/>
      <c r="U1206" s="389"/>
      <c r="V1206" s="389"/>
      <c r="W1206" s="389"/>
      <c r="X1206" s="389"/>
      <c r="Y1206" s="389"/>
      <c r="Z1206" s="389"/>
      <c r="AA1206" s="389"/>
      <c r="AB1206" s="389"/>
      <c r="AC1206" s="389"/>
      <c r="AD1206" s="389"/>
      <c r="AE1206" s="389"/>
      <c r="AF1206" s="389"/>
    </row>
    <row r="1207" spans="1:32" hidden="1" outlineLevel="3">
      <c r="A1207" s="382"/>
      <c r="B1207" s="386" t="s">
        <v>512</v>
      </c>
      <c r="C1207" s="386" t="s">
        <v>512</v>
      </c>
      <c r="D1207" s="382" t="s">
        <v>28</v>
      </c>
      <c r="E1207" s="382" t="s">
        <v>29</v>
      </c>
      <c r="F1207" s="440" t="s">
        <v>33</v>
      </c>
      <c r="G1207" s="387"/>
      <c r="H1207" s="411">
        <f t="shared" si="405"/>
        <v>0</v>
      </c>
      <c r="I1207" s="411" t="str">
        <f t="shared" si="405"/>
        <v/>
      </c>
      <c r="J1207" s="411" t="str">
        <f t="shared" si="405"/>
        <v/>
      </c>
      <c r="K1207" s="411" t="str">
        <f t="shared" si="405"/>
        <v/>
      </c>
      <c r="L1207" s="387">
        <f t="shared" si="406"/>
        <v>1</v>
      </c>
      <c r="M1207" s="388">
        <v>1</v>
      </c>
      <c r="N1207" s="388"/>
      <c r="O1207" s="388"/>
      <c r="P1207" s="388"/>
      <c r="Q1207" s="382"/>
      <c r="R1207" s="385"/>
      <c r="S1207" s="389"/>
      <c r="T1207" s="389"/>
      <c r="U1207" s="389"/>
      <c r="V1207" s="389"/>
      <c r="W1207" s="389"/>
      <c r="X1207" s="389"/>
      <c r="Y1207" s="389"/>
      <c r="Z1207" s="389"/>
      <c r="AA1207" s="389"/>
      <c r="AB1207" s="389"/>
      <c r="AC1207" s="389"/>
      <c r="AD1207" s="389"/>
      <c r="AE1207" s="389"/>
      <c r="AF1207" s="389"/>
    </row>
    <row r="1208" spans="1:32" hidden="1" outlineLevel="3">
      <c r="A1208" s="382"/>
      <c r="B1208" s="386" t="s">
        <v>512</v>
      </c>
      <c r="C1208" s="386" t="s">
        <v>512</v>
      </c>
      <c r="D1208" s="382" t="s">
        <v>28</v>
      </c>
      <c r="E1208" s="382" t="s">
        <v>29</v>
      </c>
      <c r="F1208" s="440" t="s">
        <v>280</v>
      </c>
      <c r="G1208" s="387"/>
      <c r="H1208" s="411" t="str">
        <f t="shared" si="405"/>
        <v/>
      </c>
      <c r="I1208" s="411" t="str">
        <f t="shared" si="405"/>
        <v/>
      </c>
      <c r="J1208" s="411">
        <f t="shared" si="405"/>
        <v>0</v>
      </c>
      <c r="K1208" s="411" t="str">
        <f t="shared" si="405"/>
        <v/>
      </c>
      <c r="L1208" s="387">
        <f t="shared" si="406"/>
        <v>1</v>
      </c>
      <c r="M1208" s="388"/>
      <c r="N1208" s="388"/>
      <c r="O1208" s="388">
        <v>1</v>
      </c>
      <c r="P1208" s="388"/>
      <c r="Q1208" s="382"/>
      <c r="R1208" s="385"/>
      <c r="S1208" s="389"/>
      <c r="T1208" s="389"/>
      <c r="U1208" s="389"/>
      <c r="V1208" s="389"/>
      <c r="W1208" s="389"/>
      <c r="X1208" s="389"/>
      <c r="Y1208" s="389"/>
      <c r="Z1208" s="389"/>
      <c r="AA1208" s="389"/>
      <c r="AB1208" s="389"/>
      <c r="AC1208" s="389"/>
      <c r="AD1208" s="389"/>
      <c r="AE1208" s="389"/>
      <c r="AF1208" s="389"/>
    </row>
    <row r="1209" spans="1:32" hidden="1" outlineLevel="3">
      <c r="A1209" s="382"/>
      <c r="B1209" s="386" t="s">
        <v>512</v>
      </c>
      <c r="C1209" s="386" t="s">
        <v>512</v>
      </c>
      <c r="D1209" s="382" t="s">
        <v>28</v>
      </c>
      <c r="E1209" s="382" t="s">
        <v>29</v>
      </c>
      <c r="F1209" s="440" t="s">
        <v>281</v>
      </c>
      <c r="G1209" s="387"/>
      <c r="H1209" s="411" t="str">
        <f t="shared" si="405"/>
        <v/>
      </c>
      <c r="I1209" s="411" t="str">
        <f t="shared" si="405"/>
        <v/>
      </c>
      <c r="J1209" s="411">
        <f t="shared" si="405"/>
        <v>0</v>
      </c>
      <c r="K1209" s="411" t="str">
        <f t="shared" si="405"/>
        <v/>
      </c>
      <c r="L1209" s="387">
        <f t="shared" si="406"/>
        <v>1</v>
      </c>
      <c r="M1209" s="388"/>
      <c r="N1209" s="388"/>
      <c r="O1209" s="388">
        <v>1</v>
      </c>
      <c r="P1209" s="388"/>
      <c r="Q1209" s="382"/>
      <c r="R1209" s="385"/>
      <c r="S1209" s="389"/>
      <c r="T1209" s="389"/>
      <c r="U1209" s="389"/>
      <c r="V1209" s="389"/>
      <c r="W1209" s="389"/>
      <c r="X1209" s="389"/>
      <c r="Y1209" s="389"/>
      <c r="Z1209" s="389"/>
      <c r="AA1209" s="389"/>
      <c r="AB1209" s="389"/>
      <c r="AC1209" s="389"/>
      <c r="AD1209" s="389"/>
      <c r="AE1209" s="389"/>
      <c r="AF1209" s="389"/>
    </row>
    <row r="1210" spans="1:32" hidden="1" outlineLevel="3">
      <c r="A1210" s="382"/>
      <c r="B1210" s="386" t="s">
        <v>512</v>
      </c>
      <c r="C1210" s="386" t="s">
        <v>512</v>
      </c>
      <c r="D1210" s="382" t="s">
        <v>28</v>
      </c>
      <c r="E1210" s="382" t="s">
        <v>29</v>
      </c>
      <c r="F1210" s="440" t="s">
        <v>514</v>
      </c>
      <c r="G1210" s="387"/>
      <c r="H1210" s="411" t="str">
        <f t="shared" si="405"/>
        <v/>
      </c>
      <c r="I1210" s="411" t="str">
        <f t="shared" si="405"/>
        <v/>
      </c>
      <c r="J1210" s="411" t="str">
        <f t="shared" si="405"/>
        <v/>
      </c>
      <c r="K1210" s="411">
        <f t="shared" si="405"/>
        <v>0</v>
      </c>
      <c r="L1210" s="387">
        <f t="shared" si="406"/>
        <v>1</v>
      </c>
      <c r="M1210" s="388"/>
      <c r="N1210" s="388"/>
      <c r="O1210" s="388"/>
      <c r="P1210" s="388">
        <v>1</v>
      </c>
      <c r="Q1210" s="382"/>
      <c r="R1210" s="385"/>
      <c r="S1210" s="389"/>
      <c r="T1210" s="389"/>
      <c r="U1210" s="389"/>
      <c r="V1210" s="389"/>
      <c r="W1210" s="389"/>
      <c r="X1210" s="389"/>
      <c r="Y1210" s="389"/>
      <c r="Z1210" s="389"/>
      <c r="AA1210" s="389"/>
      <c r="AB1210" s="389"/>
      <c r="AC1210" s="389"/>
      <c r="AD1210" s="389"/>
      <c r="AE1210" s="389"/>
      <c r="AF1210" s="389"/>
    </row>
    <row r="1211" spans="1:32" hidden="1" outlineLevel="3">
      <c r="A1211" s="382"/>
      <c r="B1211" s="386" t="s">
        <v>512</v>
      </c>
      <c r="C1211" s="386" t="s">
        <v>512</v>
      </c>
      <c r="D1211" s="382" t="s">
        <v>28</v>
      </c>
      <c r="E1211" s="382" t="s">
        <v>29</v>
      </c>
      <c r="F1211" s="440" t="s">
        <v>515</v>
      </c>
      <c r="G1211" s="387"/>
      <c r="H1211" s="411" t="str">
        <f t="shared" si="405"/>
        <v/>
      </c>
      <c r="I1211" s="411" t="str">
        <f t="shared" si="405"/>
        <v/>
      </c>
      <c r="J1211" s="411">
        <f t="shared" si="405"/>
        <v>0</v>
      </c>
      <c r="K1211" s="411" t="str">
        <f t="shared" si="405"/>
        <v/>
      </c>
      <c r="L1211" s="387">
        <f t="shared" si="406"/>
        <v>1</v>
      </c>
      <c r="M1211" s="388"/>
      <c r="N1211" s="388"/>
      <c r="O1211" s="388">
        <v>1</v>
      </c>
      <c r="P1211" s="388"/>
      <c r="Q1211" s="382"/>
      <c r="R1211" s="385"/>
      <c r="S1211" s="389"/>
      <c r="T1211" s="389"/>
      <c r="U1211" s="389"/>
      <c r="V1211" s="389"/>
      <c r="W1211" s="389"/>
      <c r="X1211" s="389"/>
      <c r="Y1211" s="389"/>
      <c r="Z1211" s="389"/>
      <c r="AA1211" s="389"/>
      <c r="AB1211" s="389"/>
      <c r="AC1211" s="389"/>
      <c r="AD1211" s="389"/>
      <c r="AE1211" s="389"/>
      <c r="AF1211" s="389"/>
    </row>
    <row r="1212" spans="1:32" hidden="1" outlineLevel="3">
      <c r="A1212" s="382"/>
      <c r="B1212" s="386" t="s">
        <v>512</v>
      </c>
      <c r="C1212" s="386" t="s">
        <v>512</v>
      </c>
      <c r="D1212" s="382" t="s">
        <v>28</v>
      </c>
      <c r="E1212" s="382" t="s">
        <v>29</v>
      </c>
      <c r="F1212" s="440" t="s">
        <v>284</v>
      </c>
      <c r="G1212" s="387"/>
      <c r="H1212" s="411" t="str">
        <f t="shared" si="405"/>
        <v/>
      </c>
      <c r="I1212" s="411" t="str">
        <f t="shared" si="405"/>
        <v/>
      </c>
      <c r="J1212" s="411" t="str">
        <f t="shared" si="405"/>
        <v/>
      </c>
      <c r="K1212" s="411">
        <f t="shared" si="405"/>
        <v>0</v>
      </c>
      <c r="L1212" s="387">
        <f t="shared" si="406"/>
        <v>1</v>
      </c>
      <c r="M1212" s="388"/>
      <c r="N1212" s="388"/>
      <c r="O1212" s="388"/>
      <c r="P1212" s="388">
        <v>1</v>
      </c>
      <c r="Q1212" s="382"/>
      <c r="R1212" s="385"/>
      <c r="S1212" s="389"/>
      <c r="T1212" s="389"/>
      <c r="U1212" s="389"/>
      <c r="V1212" s="389"/>
      <c r="W1212" s="389"/>
      <c r="X1212" s="389"/>
      <c r="Y1212" s="389"/>
      <c r="Z1212" s="389"/>
      <c r="AA1212" s="389"/>
      <c r="AB1212" s="389"/>
      <c r="AC1212" s="389"/>
      <c r="AD1212" s="389"/>
      <c r="AE1212" s="389"/>
      <c r="AF1212" s="389"/>
    </row>
    <row r="1213" spans="1:32" hidden="1" outlineLevel="2" collapsed="1">
      <c r="A1213" s="382"/>
      <c r="B1213" s="386" t="s">
        <v>512</v>
      </c>
      <c r="C1213" s="386" t="s">
        <v>512</v>
      </c>
      <c r="D1213" s="382" t="s">
        <v>64</v>
      </c>
      <c r="E1213" s="382"/>
      <c r="F1213" s="440" t="s">
        <v>513</v>
      </c>
      <c r="G1213" s="387"/>
      <c r="H1213" s="388">
        <f>SUM(H1214:H1218)</f>
        <v>0</v>
      </c>
      <c r="I1213" s="388">
        <f t="shared" ref="I1213:K1213" si="407">SUM(I1214:I1218)</f>
        <v>0</v>
      </c>
      <c r="J1213" s="388">
        <f t="shared" si="407"/>
        <v>0</v>
      </c>
      <c r="K1213" s="388">
        <f t="shared" si="407"/>
        <v>0</v>
      </c>
      <c r="L1213" s="387">
        <f t="shared" ref="L1213:L1223" si="408">SUM(M1213:P1213)</f>
        <v>5</v>
      </c>
      <c r="M1213" s="388">
        <f>SUM(M1214:M1218)</f>
        <v>2</v>
      </c>
      <c r="N1213" s="388">
        <f t="shared" ref="N1213:P1213" si="409">SUM(N1214:N1218)</f>
        <v>0</v>
      </c>
      <c r="O1213" s="388">
        <f t="shared" si="409"/>
        <v>2</v>
      </c>
      <c r="P1213" s="388">
        <f t="shared" si="409"/>
        <v>1</v>
      </c>
      <c r="Q1213" s="382"/>
      <c r="R1213" s="385" t="str">
        <f>IF(SUM(M1213:P1213)=L1213,"T","F")</f>
        <v>T</v>
      </c>
      <c r="S1213" s="389"/>
      <c r="T1213" s="389"/>
      <c r="U1213" s="389"/>
      <c r="V1213" s="389"/>
      <c r="W1213" s="389"/>
      <c r="X1213" s="389"/>
      <c r="Y1213" s="389"/>
      <c r="Z1213" s="389"/>
      <c r="AA1213" s="389"/>
      <c r="AB1213" s="389"/>
      <c r="AC1213" s="389"/>
      <c r="AD1213" s="389"/>
      <c r="AE1213" s="389"/>
      <c r="AF1213" s="389"/>
    </row>
    <row r="1214" spans="1:32" hidden="1" outlineLevel="3">
      <c r="A1214" s="382"/>
      <c r="B1214" s="386" t="s">
        <v>512</v>
      </c>
      <c r="C1214" s="386" t="s">
        <v>512</v>
      </c>
      <c r="D1214" s="382" t="s">
        <v>64</v>
      </c>
      <c r="E1214" s="382" t="s">
        <v>29</v>
      </c>
      <c r="F1214" s="440" t="s">
        <v>279</v>
      </c>
      <c r="G1214" s="387"/>
      <c r="H1214" s="411">
        <f t="shared" ref="H1214:K1218" si="410">IF(M1214=1,$G1214,"")</f>
        <v>0</v>
      </c>
      <c r="I1214" s="411" t="str">
        <f t="shared" si="410"/>
        <v/>
      </c>
      <c r="J1214" s="411" t="str">
        <f t="shared" si="410"/>
        <v/>
      </c>
      <c r="K1214" s="411" t="str">
        <f t="shared" si="410"/>
        <v/>
      </c>
      <c r="L1214" s="387">
        <f t="shared" si="408"/>
        <v>1</v>
      </c>
      <c r="M1214" s="388">
        <v>1</v>
      </c>
      <c r="N1214" s="388"/>
      <c r="O1214" s="388"/>
      <c r="P1214" s="388"/>
      <c r="Q1214" s="382"/>
      <c r="R1214" s="385"/>
      <c r="S1214" s="389"/>
      <c r="T1214" s="389"/>
      <c r="U1214" s="389"/>
      <c r="V1214" s="389"/>
      <c r="W1214" s="389"/>
      <c r="X1214" s="389"/>
      <c r="Y1214" s="389"/>
      <c r="Z1214" s="389"/>
      <c r="AA1214" s="389"/>
      <c r="AB1214" s="389"/>
      <c r="AC1214" s="389"/>
      <c r="AD1214" s="389"/>
      <c r="AE1214" s="389"/>
      <c r="AF1214" s="389"/>
    </row>
    <row r="1215" spans="1:32" hidden="1" outlineLevel="3">
      <c r="A1215" s="382"/>
      <c r="B1215" s="386" t="s">
        <v>512</v>
      </c>
      <c r="C1215" s="386" t="s">
        <v>512</v>
      </c>
      <c r="D1215" s="382" t="s">
        <v>64</v>
      </c>
      <c r="E1215" s="382" t="s">
        <v>29</v>
      </c>
      <c r="F1215" s="440" t="s">
        <v>33</v>
      </c>
      <c r="G1215" s="387"/>
      <c r="H1215" s="411">
        <f t="shared" si="410"/>
        <v>0</v>
      </c>
      <c r="I1215" s="411" t="str">
        <f t="shared" si="410"/>
        <v/>
      </c>
      <c r="J1215" s="411" t="str">
        <f t="shared" si="410"/>
        <v/>
      </c>
      <c r="K1215" s="411" t="str">
        <f t="shared" si="410"/>
        <v/>
      </c>
      <c r="L1215" s="387">
        <f t="shared" si="408"/>
        <v>1</v>
      </c>
      <c r="M1215" s="388">
        <v>1</v>
      </c>
      <c r="N1215" s="388"/>
      <c r="O1215" s="388"/>
      <c r="P1215" s="388"/>
      <c r="Q1215" s="382"/>
      <c r="R1215" s="385"/>
      <c r="S1215" s="389"/>
      <c r="T1215" s="389"/>
      <c r="U1215" s="389"/>
      <c r="V1215" s="389"/>
      <c r="W1215" s="389"/>
      <c r="X1215" s="389"/>
      <c r="Y1215" s="389"/>
      <c r="Z1215" s="389"/>
      <c r="AA1215" s="389"/>
      <c r="AB1215" s="389"/>
      <c r="AC1215" s="389"/>
      <c r="AD1215" s="389"/>
      <c r="AE1215" s="389"/>
      <c r="AF1215" s="389"/>
    </row>
    <row r="1216" spans="1:32" hidden="1" outlineLevel="3">
      <c r="A1216" s="382"/>
      <c r="B1216" s="386" t="s">
        <v>512</v>
      </c>
      <c r="C1216" s="386" t="s">
        <v>512</v>
      </c>
      <c r="D1216" s="382" t="s">
        <v>64</v>
      </c>
      <c r="E1216" s="382" t="s">
        <v>29</v>
      </c>
      <c r="F1216" s="440" t="s">
        <v>280</v>
      </c>
      <c r="G1216" s="387"/>
      <c r="H1216" s="411" t="str">
        <f t="shared" si="410"/>
        <v/>
      </c>
      <c r="I1216" s="411" t="str">
        <f t="shared" si="410"/>
        <v/>
      </c>
      <c r="J1216" s="411">
        <f t="shared" si="410"/>
        <v>0</v>
      </c>
      <c r="K1216" s="411" t="str">
        <f t="shared" si="410"/>
        <v/>
      </c>
      <c r="L1216" s="387">
        <f t="shared" si="408"/>
        <v>1</v>
      </c>
      <c r="M1216" s="388"/>
      <c r="N1216" s="388"/>
      <c r="O1216" s="388">
        <v>1</v>
      </c>
      <c r="P1216" s="388"/>
      <c r="Q1216" s="382"/>
      <c r="R1216" s="385"/>
      <c r="S1216" s="389"/>
      <c r="T1216" s="389"/>
      <c r="U1216" s="389"/>
      <c r="V1216" s="389"/>
      <c r="W1216" s="389"/>
      <c r="X1216" s="389"/>
      <c r="Y1216" s="389"/>
      <c r="Z1216" s="389"/>
      <c r="AA1216" s="389"/>
      <c r="AB1216" s="389"/>
      <c r="AC1216" s="389"/>
      <c r="AD1216" s="389"/>
      <c r="AE1216" s="389"/>
      <c r="AF1216" s="389"/>
    </row>
    <row r="1217" spans="1:32" hidden="1" outlineLevel="3">
      <c r="A1217" s="382"/>
      <c r="B1217" s="386" t="s">
        <v>512</v>
      </c>
      <c r="C1217" s="386" t="s">
        <v>512</v>
      </c>
      <c r="D1217" s="382" t="s">
        <v>64</v>
      </c>
      <c r="E1217" s="382" t="s">
        <v>29</v>
      </c>
      <c r="F1217" s="440" t="s">
        <v>514</v>
      </c>
      <c r="G1217" s="387"/>
      <c r="H1217" s="411" t="str">
        <f t="shared" si="410"/>
        <v/>
      </c>
      <c r="I1217" s="411" t="str">
        <f t="shared" si="410"/>
        <v/>
      </c>
      <c r="J1217" s="411" t="str">
        <f t="shared" si="410"/>
        <v/>
      </c>
      <c r="K1217" s="411">
        <f t="shared" si="410"/>
        <v>0</v>
      </c>
      <c r="L1217" s="387">
        <f t="shared" si="408"/>
        <v>1</v>
      </c>
      <c r="M1217" s="388"/>
      <c r="N1217" s="388"/>
      <c r="O1217" s="388"/>
      <c r="P1217" s="388">
        <v>1</v>
      </c>
      <c r="Q1217" s="382"/>
      <c r="R1217" s="385"/>
      <c r="S1217" s="389"/>
      <c r="T1217" s="389"/>
      <c r="U1217" s="389"/>
      <c r="V1217" s="389"/>
      <c r="W1217" s="389"/>
      <c r="X1217" s="389"/>
      <c r="Y1217" s="389"/>
      <c r="Z1217" s="389"/>
      <c r="AA1217" s="389"/>
      <c r="AB1217" s="389"/>
      <c r="AC1217" s="389"/>
      <c r="AD1217" s="389"/>
      <c r="AE1217" s="389"/>
      <c r="AF1217" s="389"/>
    </row>
    <row r="1218" spans="1:32" hidden="1" outlineLevel="3">
      <c r="A1218" s="382"/>
      <c r="B1218" s="386" t="s">
        <v>512</v>
      </c>
      <c r="C1218" s="386" t="s">
        <v>512</v>
      </c>
      <c r="D1218" s="382" t="s">
        <v>64</v>
      </c>
      <c r="E1218" s="382" t="s">
        <v>29</v>
      </c>
      <c r="F1218" s="440" t="s">
        <v>515</v>
      </c>
      <c r="G1218" s="387"/>
      <c r="H1218" s="411" t="str">
        <f t="shared" si="410"/>
        <v/>
      </c>
      <c r="I1218" s="411" t="str">
        <f t="shared" si="410"/>
        <v/>
      </c>
      <c r="J1218" s="411">
        <f t="shared" si="410"/>
        <v>0</v>
      </c>
      <c r="K1218" s="411" t="str">
        <f t="shared" si="410"/>
        <v/>
      </c>
      <c r="L1218" s="387">
        <f t="shared" si="408"/>
        <v>1</v>
      </c>
      <c r="M1218" s="388"/>
      <c r="N1218" s="388"/>
      <c r="O1218" s="388">
        <v>1</v>
      </c>
      <c r="P1218" s="388"/>
      <c r="Q1218" s="382"/>
      <c r="R1218" s="385"/>
      <c r="S1218" s="389"/>
      <c r="T1218" s="389"/>
      <c r="U1218" s="389"/>
      <c r="V1218" s="389"/>
      <c r="W1218" s="389"/>
      <c r="X1218" s="389"/>
      <c r="Y1218" s="389"/>
      <c r="Z1218" s="389"/>
      <c r="AA1218" s="389"/>
      <c r="AB1218" s="389"/>
      <c r="AC1218" s="389"/>
      <c r="AD1218" s="389"/>
      <c r="AE1218" s="389"/>
      <c r="AF1218" s="389"/>
    </row>
    <row r="1219" spans="1:32" outlineLevel="1" collapsed="1">
      <c r="A1219" s="382"/>
      <c r="B1219" s="390" t="s">
        <v>516</v>
      </c>
      <c r="C1219" s="395" t="s">
        <v>517</v>
      </c>
      <c r="D1219" s="395"/>
      <c r="E1219" s="390"/>
      <c r="F1219" s="442" t="s">
        <v>277</v>
      </c>
      <c r="G1219" s="418">
        <f>SUM(G1220,G1227,G1232,G1238)</f>
        <v>4.41</v>
      </c>
      <c r="H1219" s="418">
        <f>SUM(H1220,H1227,H1232,H1238)</f>
        <v>1.95</v>
      </c>
      <c r="I1219" s="418">
        <f>SUM(I1220,I1227,I1232,I1238)</f>
        <v>0.75000000000000011</v>
      </c>
      <c r="J1219" s="418">
        <f>SUM(J1220,J1227,J1232,J1238)</f>
        <v>1.08</v>
      </c>
      <c r="K1219" s="418">
        <f>SUM(K1220,K1227,K1232,K1238)</f>
        <v>0.63</v>
      </c>
      <c r="L1219" s="418">
        <f t="shared" si="408"/>
        <v>18</v>
      </c>
      <c r="M1219" s="408">
        <f>SUM(M1220,M1227,M1232,M1238)</f>
        <v>7</v>
      </c>
      <c r="N1219" s="408">
        <f>SUM(N1220,N1227,N1232,N1238)</f>
        <v>4</v>
      </c>
      <c r="O1219" s="408">
        <f>SUM(O1220,O1227,O1232,O1238)</f>
        <v>4</v>
      </c>
      <c r="P1219" s="408">
        <f>SUM(P1220,P1227,P1232,P1238)</f>
        <v>3</v>
      </c>
      <c r="Q1219" s="382"/>
      <c r="R1219" s="385" t="str">
        <f>IF(SUM(M1219:P1219)=L1219,"T","F")</f>
        <v>T</v>
      </c>
      <c r="S1219" s="389"/>
      <c r="T1219" s="389"/>
      <c r="U1219" s="389"/>
      <c r="V1219" s="389"/>
      <c r="W1219" s="389"/>
      <c r="X1219" s="389"/>
      <c r="Y1219" s="389"/>
      <c r="Z1219" s="389"/>
      <c r="AA1219" s="389"/>
      <c r="AB1219" s="389"/>
      <c r="AC1219" s="389"/>
      <c r="AD1219" s="389"/>
      <c r="AE1219" s="389"/>
      <c r="AF1219" s="389"/>
    </row>
    <row r="1220" spans="1:32" hidden="1" outlineLevel="2" collapsed="1">
      <c r="A1220" s="382"/>
      <c r="B1220" s="382" t="s">
        <v>516</v>
      </c>
      <c r="C1220" s="382" t="s">
        <v>517</v>
      </c>
      <c r="D1220" s="382" t="s">
        <v>18</v>
      </c>
      <c r="E1220" s="386"/>
      <c r="F1220" s="440" t="s">
        <v>277</v>
      </c>
      <c r="G1220" s="411">
        <f>SUM(G1221:G1226)</f>
        <v>3.28</v>
      </c>
      <c r="H1220" s="388">
        <f>SUM(H1221:H1226)</f>
        <v>1.6099999999999999</v>
      </c>
      <c r="I1220" s="388">
        <f>SUM(I1221:I1226)</f>
        <v>0.46</v>
      </c>
      <c r="J1220" s="388">
        <f>SUM(J1221:J1226)</f>
        <v>0.81</v>
      </c>
      <c r="K1220" s="388">
        <f>SUM(K1221:K1226)</f>
        <v>0.4</v>
      </c>
      <c r="L1220" s="411">
        <f t="shared" si="408"/>
        <v>6</v>
      </c>
      <c r="M1220" s="388">
        <f>SUM(M1221:M1226)</f>
        <v>3</v>
      </c>
      <c r="N1220" s="388">
        <f>SUM(N1221:N1226)</f>
        <v>1</v>
      </c>
      <c r="O1220" s="388">
        <f>SUM(O1221:O1226)</f>
        <v>1</v>
      </c>
      <c r="P1220" s="388">
        <f>SUM(P1221:P1226)</f>
        <v>1</v>
      </c>
      <c r="Q1220" s="382"/>
      <c r="R1220" s="385" t="str">
        <f>IF(SUM(M1220:P1220)=L1220,"T","F")</f>
        <v>T</v>
      </c>
      <c r="S1220" s="389"/>
      <c r="T1220" s="389"/>
      <c r="U1220" s="389"/>
      <c r="V1220" s="389"/>
      <c r="W1220" s="389"/>
      <c r="X1220" s="389"/>
      <c r="Y1220" s="389"/>
      <c r="Z1220" s="389"/>
      <c r="AA1220" s="389"/>
      <c r="AB1220" s="389"/>
      <c r="AC1220" s="389"/>
      <c r="AD1220" s="389"/>
      <c r="AE1220" s="389"/>
      <c r="AF1220" s="389"/>
    </row>
    <row r="1221" spans="1:32" hidden="1" outlineLevel="3">
      <c r="A1221" s="382"/>
      <c r="B1221" s="382" t="s">
        <v>516</v>
      </c>
      <c r="C1221" s="382" t="s">
        <v>517</v>
      </c>
      <c r="D1221" s="382" t="s">
        <v>18</v>
      </c>
      <c r="E1221" s="386" t="s">
        <v>72</v>
      </c>
      <c r="F1221" s="440" t="s">
        <v>278</v>
      </c>
      <c r="G1221" s="387">
        <v>0.46</v>
      </c>
      <c r="H1221" s="411">
        <f t="shared" ref="H1221:H1230" si="411">IF(M1221=1,$G1221,"")</f>
        <v>0.46</v>
      </c>
      <c r="I1221" s="411" t="str">
        <f t="shared" ref="I1221:I1230" si="412">IF(N1221=1,$G1221,"")</f>
        <v/>
      </c>
      <c r="J1221" s="411" t="str">
        <f t="shared" ref="J1221:J1230" si="413">IF(O1221=1,$G1221,"")</f>
        <v/>
      </c>
      <c r="K1221" s="411" t="str">
        <f t="shared" ref="K1221:K1230" si="414">IF(P1221=1,$G1221,"")</f>
        <v/>
      </c>
      <c r="L1221" s="387">
        <f t="shared" si="408"/>
        <v>1</v>
      </c>
      <c r="M1221" s="388">
        <v>1</v>
      </c>
      <c r="N1221" s="388"/>
      <c r="O1221" s="388"/>
      <c r="P1221" s="388"/>
      <c r="Q1221" s="382"/>
      <c r="R1221" s="385" t="str">
        <f>IF(SUM(M1221:P1221)=L1221,"T","F")</f>
        <v>T</v>
      </c>
      <c r="S1221" s="389"/>
      <c r="T1221" s="389"/>
      <c r="U1221" s="389"/>
      <c r="V1221" s="389"/>
      <c r="W1221" s="389"/>
      <c r="X1221" s="389"/>
      <c r="Y1221" s="389"/>
      <c r="Z1221" s="389"/>
      <c r="AA1221" s="389"/>
      <c r="AB1221" s="389"/>
      <c r="AC1221" s="389"/>
      <c r="AD1221" s="389"/>
      <c r="AE1221" s="389"/>
      <c r="AF1221" s="389"/>
    </row>
    <row r="1222" spans="1:32" hidden="1" outlineLevel="3">
      <c r="A1222" s="382"/>
      <c r="B1222" s="382" t="s">
        <v>516</v>
      </c>
      <c r="C1222" s="382" t="s">
        <v>517</v>
      </c>
      <c r="D1222" s="382" t="s">
        <v>18</v>
      </c>
      <c r="E1222" s="386" t="s">
        <v>72</v>
      </c>
      <c r="F1222" s="440" t="s">
        <v>279</v>
      </c>
      <c r="G1222" s="411">
        <v>0.69</v>
      </c>
      <c r="H1222" s="411">
        <f t="shared" si="411"/>
        <v>0.69</v>
      </c>
      <c r="I1222" s="411" t="str">
        <f t="shared" si="412"/>
        <v/>
      </c>
      <c r="J1222" s="411" t="str">
        <f t="shared" si="413"/>
        <v/>
      </c>
      <c r="K1222" s="411" t="str">
        <f t="shared" si="414"/>
        <v/>
      </c>
      <c r="L1222" s="411">
        <f t="shared" si="408"/>
        <v>1</v>
      </c>
      <c r="M1222" s="409">
        <v>1</v>
      </c>
      <c r="N1222" s="409"/>
      <c r="O1222" s="409"/>
      <c r="P1222" s="409"/>
      <c r="Q1222" s="382"/>
      <c r="R1222" s="385" t="str">
        <f>IF(SUM(M1222:P1222)=L1222,"T","F")</f>
        <v>T</v>
      </c>
      <c r="S1222" s="389"/>
      <c r="T1222" s="389"/>
      <c r="U1222" s="389"/>
      <c r="V1222" s="389"/>
      <c r="W1222" s="389"/>
      <c r="X1222" s="389"/>
      <c r="Y1222" s="389"/>
      <c r="Z1222" s="389"/>
      <c r="AA1222" s="389"/>
      <c r="AB1222" s="389"/>
      <c r="AC1222" s="389"/>
      <c r="AD1222" s="389"/>
      <c r="AE1222" s="389"/>
      <c r="AF1222" s="389"/>
    </row>
    <row r="1223" spans="1:32" hidden="1" outlineLevel="3">
      <c r="A1223" s="382"/>
      <c r="B1223" s="382" t="s">
        <v>516</v>
      </c>
      <c r="C1223" s="382" t="s">
        <v>517</v>
      </c>
      <c r="D1223" s="382" t="s">
        <v>18</v>
      </c>
      <c r="E1223" s="386" t="s">
        <v>72</v>
      </c>
      <c r="F1223" s="440" t="s">
        <v>33</v>
      </c>
      <c r="G1223" s="411">
        <v>0.46</v>
      </c>
      <c r="H1223" s="411">
        <f t="shared" si="411"/>
        <v>0.46</v>
      </c>
      <c r="I1223" s="411" t="str">
        <f t="shared" si="412"/>
        <v/>
      </c>
      <c r="J1223" s="411" t="str">
        <f t="shared" si="413"/>
        <v/>
      </c>
      <c r="K1223" s="411" t="str">
        <f t="shared" si="414"/>
        <v/>
      </c>
      <c r="L1223" s="411">
        <f t="shared" si="408"/>
        <v>1</v>
      </c>
      <c r="M1223" s="409">
        <v>1</v>
      </c>
      <c r="N1223" s="409"/>
      <c r="O1223" s="409"/>
      <c r="P1223" s="409"/>
      <c r="Q1223" s="382"/>
      <c r="R1223" s="385" t="str">
        <f>IF(SUM(M1223:P1223)=L1223,"T","F")</f>
        <v>T</v>
      </c>
      <c r="S1223" s="389"/>
      <c r="T1223" s="389"/>
      <c r="U1223" s="389"/>
      <c r="V1223" s="389"/>
      <c r="W1223" s="389"/>
      <c r="X1223" s="389"/>
      <c r="Y1223" s="389"/>
      <c r="Z1223" s="389"/>
      <c r="AA1223" s="389"/>
      <c r="AB1223" s="389"/>
      <c r="AC1223" s="389"/>
      <c r="AD1223" s="389"/>
      <c r="AE1223" s="389"/>
      <c r="AF1223" s="389"/>
    </row>
    <row r="1224" spans="1:32" hidden="1" outlineLevel="3">
      <c r="A1224" s="382"/>
      <c r="B1224" s="382" t="s">
        <v>516</v>
      </c>
      <c r="C1224" s="382" t="s">
        <v>517</v>
      </c>
      <c r="D1224" s="382" t="s">
        <v>18</v>
      </c>
      <c r="E1224" s="386" t="s">
        <v>72</v>
      </c>
      <c r="F1224" s="440" t="s">
        <v>280</v>
      </c>
      <c r="G1224" s="387">
        <v>0.46</v>
      </c>
      <c r="H1224" s="411" t="str">
        <f t="shared" si="411"/>
        <v/>
      </c>
      <c r="I1224" s="411">
        <f t="shared" si="412"/>
        <v>0.46</v>
      </c>
      <c r="J1224" s="411" t="str">
        <f t="shared" si="413"/>
        <v/>
      </c>
      <c r="K1224" s="411" t="str">
        <f t="shared" si="414"/>
        <v/>
      </c>
      <c r="L1224" s="387">
        <f>SUM(N1224:P1224)</f>
        <v>1</v>
      </c>
      <c r="N1224" s="388">
        <v>1</v>
      </c>
      <c r="O1224" s="388"/>
      <c r="P1224" s="388"/>
      <c r="Q1224" s="382"/>
      <c r="R1224" s="385" t="str">
        <f>IF(SUM(N1224:P1224)=L1224,"T","F")</f>
        <v>T</v>
      </c>
      <c r="S1224" s="389"/>
      <c r="T1224" s="389"/>
      <c r="U1224" s="389"/>
      <c r="V1224" s="389"/>
      <c r="W1224" s="389"/>
      <c r="X1224" s="389"/>
      <c r="Y1224" s="389"/>
      <c r="Z1224" s="389"/>
      <c r="AA1224" s="389"/>
      <c r="AB1224" s="389"/>
      <c r="AC1224" s="389"/>
      <c r="AD1224" s="389"/>
      <c r="AE1224" s="389"/>
      <c r="AF1224" s="389"/>
    </row>
    <row r="1225" spans="1:32" hidden="1" outlineLevel="3">
      <c r="A1225" s="382"/>
      <c r="B1225" s="382" t="s">
        <v>516</v>
      </c>
      <c r="C1225" s="382" t="s">
        <v>517</v>
      </c>
      <c r="D1225" s="382" t="s">
        <v>18</v>
      </c>
      <c r="E1225" s="386" t="s">
        <v>72</v>
      </c>
      <c r="F1225" s="440" t="s">
        <v>518</v>
      </c>
      <c r="G1225" s="411">
        <v>0.81</v>
      </c>
      <c r="H1225" s="411" t="str">
        <f t="shared" si="411"/>
        <v/>
      </c>
      <c r="I1225" s="411" t="str">
        <f t="shared" si="412"/>
        <v/>
      </c>
      <c r="J1225" s="411">
        <f t="shared" si="413"/>
        <v>0.81</v>
      </c>
      <c r="K1225" s="411" t="str">
        <f t="shared" si="414"/>
        <v/>
      </c>
      <c r="L1225" s="411">
        <f>SUM(M1225:P1225)</f>
        <v>1</v>
      </c>
      <c r="M1225" s="409"/>
      <c r="N1225" s="409"/>
      <c r="O1225" s="409">
        <v>1</v>
      </c>
      <c r="P1225" s="409"/>
      <c r="Q1225" s="382"/>
      <c r="R1225" s="385" t="str">
        <f>IF(SUM(M1225:P1225)=L1225,"T","F")</f>
        <v>T</v>
      </c>
      <c r="S1225" s="389"/>
      <c r="T1225" s="389"/>
      <c r="U1225" s="389"/>
      <c r="V1225" s="389"/>
      <c r="W1225" s="389"/>
      <c r="X1225" s="389"/>
      <c r="Y1225" s="389"/>
      <c r="Z1225" s="389"/>
      <c r="AA1225" s="389"/>
      <c r="AB1225" s="389"/>
      <c r="AC1225" s="389"/>
      <c r="AD1225" s="389"/>
      <c r="AE1225" s="389"/>
      <c r="AF1225" s="389"/>
    </row>
    <row r="1226" spans="1:32" hidden="1" outlineLevel="3">
      <c r="A1226" s="382"/>
      <c r="B1226" s="382" t="s">
        <v>516</v>
      </c>
      <c r="C1226" s="382" t="s">
        <v>517</v>
      </c>
      <c r="D1226" s="382" t="s">
        <v>18</v>
      </c>
      <c r="E1226" s="386" t="s">
        <v>72</v>
      </c>
      <c r="F1226" s="440" t="s">
        <v>519</v>
      </c>
      <c r="G1226" s="411">
        <v>0.4</v>
      </c>
      <c r="H1226" s="411" t="str">
        <f>IF(M1226=1,$G1226,"")</f>
        <v/>
      </c>
      <c r="I1226" s="411" t="str">
        <f>IF(N1226=1,$G1226,"")</f>
        <v/>
      </c>
      <c r="J1226" s="411" t="str">
        <f>IF(O1226=1,$G1226,"")</f>
        <v/>
      </c>
      <c r="K1226" s="411">
        <f>IF(P1226=1,$G1226,"")</f>
        <v>0.4</v>
      </c>
      <c r="L1226" s="411">
        <f>SUM(M1226:P1226)</f>
        <v>1</v>
      </c>
      <c r="M1226" s="409"/>
      <c r="N1226" s="409"/>
      <c r="O1226" s="409"/>
      <c r="P1226" s="409">
        <v>1</v>
      </c>
      <c r="Q1226" s="382"/>
      <c r="R1226" s="385"/>
      <c r="S1226" s="389"/>
      <c r="T1226" s="389"/>
      <c r="U1226" s="389"/>
      <c r="V1226" s="389"/>
      <c r="W1226" s="389"/>
      <c r="X1226" s="389"/>
      <c r="Y1226" s="389"/>
      <c r="Z1226" s="389"/>
      <c r="AA1226" s="389"/>
      <c r="AB1226" s="389"/>
      <c r="AC1226" s="389"/>
      <c r="AD1226" s="389"/>
      <c r="AE1226" s="389"/>
      <c r="AF1226" s="389"/>
    </row>
    <row r="1227" spans="1:32" hidden="1" outlineLevel="2" collapsed="1">
      <c r="A1227" s="382"/>
      <c r="B1227" s="382" t="s">
        <v>516</v>
      </c>
      <c r="C1227" s="382" t="s">
        <v>517</v>
      </c>
      <c r="D1227" s="382" t="s">
        <v>26</v>
      </c>
      <c r="E1227" s="382"/>
      <c r="F1227" s="440" t="s">
        <v>277</v>
      </c>
      <c r="G1227" s="411">
        <f>SUM(G1228:G1231)</f>
        <v>0.68</v>
      </c>
      <c r="H1227" s="411">
        <f t="shared" ref="H1227:K1227" si="415">SUM(H1228:H1231)</f>
        <v>0.19</v>
      </c>
      <c r="I1227" s="411">
        <f t="shared" si="415"/>
        <v>0.19</v>
      </c>
      <c r="J1227" s="411">
        <f t="shared" si="415"/>
        <v>0.17</v>
      </c>
      <c r="K1227" s="411">
        <f t="shared" si="415"/>
        <v>0.13</v>
      </c>
      <c r="L1227" s="411">
        <f>SUM(M1227:P1227)</f>
        <v>4</v>
      </c>
      <c r="M1227" s="388">
        <f>SUM(M1228:M1231)</f>
        <v>1</v>
      </c>
      <c r="N1227" s="388">
        <f>SUM(N1228:N1231)</f>
        <v>1</v>
      </c>
      <c r="O1227" s="388">
        <f>SUM(O1228:O1231)</f>
        <v>1</v>
      </c>
      <c r="P1227" s="388">
        <f>SUM(P1228:P1231)</f>
        <v>1</v>
      </c>
      <c r="Q1227" s="382"/>
      <c r="R1227" s="385" t="str">
        <f>IF(SUM(M1227:P1227)=L1227,"T","F")</f>
        <v>T</v>
      </c>
      <c r="S1227" s="389"/>
      <c r="T1227" s="389"/>
      <c r="U1227" s="389"/>
      <c r="V1227" s="389"/>
      <c r="W1227" s="389"/>
      <c r="X1227" s="389"/>
      <c r="Y1227" s="389"/>
      <c r="Z1227" s="389"/>
      <c r="AA1227" s="389"/>
      <c r="AB1227" s="389"/>
      <c r="AC1227" s="389"/>
      <c r="AD1227" s="389"/>
      <c r="AE1227" s="389"/>
      <c r="AF1227" s="389"/>
    </row>
    <row r="1228" spans="1:32" hidden="1" outlineLevel="3">
      <c r="A1228" s="382"/>
      <c r="B1228" s="382" t="s">
        <v>516</v>
      </c>
      <c r="C1228" s="382" t="s">
        <v>517</v>
      </c>
      <c r="D1228" s="382" t="s">
        <v>26</v>
      </c>
      <c r="E1228" s="382" t="s">
        <v>27</v>
      </c>
      <c r="F1228" s="440" t="s">
        <v>279</v>
      </c>
      <c r="G1228" s="387">
        <v>0.19</v>
      </c>
      <c r="H1228" s="411">
        <f t="shared" si="411"/>
        <v>0.19</v>
      </c>
      <c r="I1228" s="411" t="str">
        <f t="shared" si="412"/>
        <v/>
      </c>
      <c r="J1228" s="411" t="str">
        <f t="shared" si="413"/>
        <v/>
      </c>
      <c r="K1228" s="411" t="str">
        <f t="shared" si="414"/>
        <v/>
      </c>
      <c r="L1228" s="387">
        <f>SUM(M1228:P1228)</f>
        <v>1</v>
      </c>
      <c r="M1228" s="388">
        <v>1</v>
      </c>
      <c r="N1228" s="388"/>
      <c r="O1228" s="388"/>
      <c r="P1228" s="388"/>
      <c r="Q1228" s="382"/>
      <c r="R1228" s="385" t="str">
        <f>IF(SUM(M1228:P1228)=L1228,"T","F")</f>
        <v>T</v>
      </c>
      <c r="S1228" s="389"/>
      <c r="T1228" s="389"/>
      <c r="U1228" s="389"/>
      <c r="V1228" s="389"/>
      <c r="W1228" s="389"/>
      <c r="X1228" s="389"/>
      <c r="Y1228" s="389"/>
      <c r="Z1228" s="389"/>
      <c r="AA1228" s="389"/>
      <c r="AB1228" s="389"/>
      <c r="AC1228" s="389"/>
      <c r="AD1228" s="389"/>
      <c r="AE1228" s="389"/>
      <c r="AF1228" s="389"/>
    </row>
    <row r="1229" spans="1:32" hidden="1" outlineLevel="3">
      <c r="A1229" s="382"/>
      <c r="B1229" s="382" t="s">
        <v>516</v>
      </c>
      <c r="C1229" s="382" t="s">
        <v>517</v>
      </c>
      <c r="D1229" s="382" t="s">
        <v>26</v>
      </c>
      <c r="E1229" s="382" t="s">
        <v>27</v>
      </c>
      <c r="F1229" s="440" t="s">
        <v>280</v>
      </c>
      <c r="G1229" s="387">
        <v>0.19</v>
      </c>
      <c r="H1229" s="411" t="str">
        <f t="shared" si="411"/>
        <v/>
      </c>
      <c r="I1229" s="411">
        <f t="shared" si="412"/>
        <v>0.19</v>
      </c>
      <c r="J1229" s="411" t="str">
        <f t="shared" si="413"/>
        <v/>
      </c>
      <c r="K1229" s="411" t="str">
        <f t="shared" si="414"/>
        <v/>
      </c>
      <c r="L1229" s="387">
        <f>SUM(N1229:P1229)</f>
        <v>1</v>
      </c>
      <c r="N1229" s="388">
        <v>1</v>
      </c>
      <c r="O1229" s="388"/>
      <c r="P1229" s="388"/>
      <c r="Q1229" s="382"/>
      <c r="R1229" s="385" t="str">
        <f>IF(SUM(N1229:P1229)=L1229,"T","F")</f>
        <v>T</v>
      </c>
      <c r="S1229" s="389"/>
      <c r="T1229" s="389"/>
      <c r="U1229" s="389"/>
      <c r="V1229" s="389"/>
      <c r="W1229" s="389"/>
      <c r="X1229" s="389"/>
      <c r="Y1229" s="389"/>
      <c r="Z1229" s="389"/>
      <c r="AA1229" s="389"/>
      <c r="AB1229" s="389"/>
      <c r="AC1229" s="389"/>
      <c r="AD1229" s="389"/>
      <c r="AE1229" s="389"/>
      <c r="AF1229" s="389"/>
    </row>
    <row r="1230" spans="1:32" hidden="1" outlineLevel="3">
      <c r="A1230" s="382"/>
      <c r="B1230" s="382" t="s">
        <v>516</v>
      </c>
      <c r="C1230" s="382" t="s">
        <v>517</v>
      </c>
      <c r="D1230" s="382" t="s">
        <v>26</v>
      </c>
      <c r="E1230" s="382" t="s">
        <v>27</v>
      </c>
      <c r="F1230" s="440" t="s">
        <v>518</v>
      </c>
      <c r="G1230" s="411">
        <v>0.17</v>
      </c>
      <c r="H1230" s="411" t="str">
        <f t="shared" si="411"/>
        <v/>
      </c>
      <c r="I1230" s="411" t="str">
        <f t="shared" si="412"/>
        <v/>
      </c>
      <c r="J1230" s="411">
        <f t="shared" si="413"/>
        <v>0.17</v>
      </c>
      <c r="K1230" s="411" t="str">
        <f t="shared" si="414"/>
        <v/>
      </c>
      <c r="L1230" s="411">
        <f>SUM(M1230:P1230)</f>
        <v>1</v>
      </c>
      <c r="M1230" s="388"/>
      <c r="N1230" s="388"/>
      <c r="O1230" s="388">
        <v>1</v>
      </c>
      <c r="P1230" s="388"/>
      <c r="Q1230" s="382"/>
      <c r="R1230" s="385" t="str">
        <f>IF(SUM(M1230:P1230)=L1230,"T","F")</f>
        <v>T</v>
      </c>
      <c r="S1230" s="389"/>
      <c r="T1230" s="389"/>
      <c r="U1230" s="389"/>
      <c r="V1230" s="389"/>
      <c r="W1230" s="389"/>
      <c r="X1230" s="389"/>
      <c r="Y1230" s="389"/>
      <c r="Z1230" s="389"/>
      <c r="AA1230" s="389"/>
      <c r="AB1230" s="389"/>
      <c r="AC1230" s="389"/>
      <c r="AD1230" s="389"/>
      <c r="AE1230" s="389"/>
      <c r="AF1230" s="389"/>
    </row>
    <row r="1231" spans="1:32" hidden="1" outlineLevel="3">
      <c r="A1231" s="382"/>
      <c r="B1231" s="382" t="s">
        <v>516</v>
      </c>
      <c r="C1231" s="382" t="s">
        <v>517</v>
      </c>
      <c r="D1231" s="382" t="s">
        <v>26</v>
      </c>
      <c r="E1231" s="382" t="s">
        <v>27</v>
      </c>
      <c r="F1231" s="440" t="s">
        <v>519</v>
      </c>
      <c r="G1231" s="411">
        <v>0.13</v>
      </c>
      <c r="H1231" s="411" t="str">
        <f>IF(M1231=1,$G1231,"")</f>
        <v/>
      </c>
      <c r="I1231" s="411" t="str">
        <f>IF(N1231=1,$G1231,"")</f>
        <v/>
      </c>
      <c r="J1231" s="411" t="str">
        <f>IF(O1231=1,$G1231,"")</f>
        <v/>
      </c>
      <c r="K1231" s="411">
        <f>IF(P1231=1,$G1231,"")</f>
        <v>0.13</v>
      </c>
      <c r="L1231" s="411">
        <f>SUM(M1231:P1231)</f>
        <v>1</v>
      </c>
      <c r="M1231" s="388"/>
      <c r="N1231" s="388"/>
      <c r="O1231" s="388"/>
      <c r="P1231" s="388">
        <v>1</v>
      </c>
      <c r="Q1231" s="382"/>
      <c r="R1231" s="385"/>
      <c r="S1231" s="389"/>
      <c r="T1231" s="389"/>
      <c r="U1231" s="389"/>
      <c r="V1231" s="389"/>
      <c r="W1231" s="389"/>
      <c r="X1231" s="389"/>
      <c r="Y1231" s="389"/>
      <c r="Z1231" s="389"/>
      <c r="AA1231" s="389"/>
      <c r="AB1231" s="389"/>
      <c r="AC1231" s="389"/>
      <c r="AD1231" s="389"/>
      <c r="AE1231" s="389"/>
      <c r="AF1231" s="389"/>
    </row>
    <row r="1232" spans="1:32" hidden="1" outlineLevel="2" collapsed="1">
      <c r="A1232" s="382"/>
      <c r="B1232" s="382" t="s">
        <v>516</v>
      </c>
      <c r="C1232" s="382" t="s">
        <v>517</v>
      </c>
      <c r="D1232" s="382" t="s">
        <v>28</v>
      </c>
      <c r="E1232" s="382"/>
      <c r="F1232" s="440" t="s">
        <v>277</v>
      </c>
      <c r="G1232" s="411">
        <f>SUM(G1233:G1237)</f>
        <v>0.32000000000000006</v>
      </c>
      <c r="H1232" s="411">
        <f t="shared" ref="H1232:K1232" si="416">SUM(H1233:H1237)</f>
        <v>0.1</v>
      </c>
      <c r="I1232" s="411">
        <f t="shared" si="416"/>
        <v>0.05</v>
      </c>
      <c r="J1232" s="411">
        <f t="shared" si="416"/>
        <v>7.0000000000000007E-2</v>
      </c>
      <c r="K1232" s="411">
        <f t="shared" si="416"/>
        <v>0.1</v>
      </c>
      <c r="L1232" s="411">
        <f>SUM(M1232:P1232)</f>
        <v>5</v>
      </c>
      <c r="M1232" s="388">
        <f>SUM(M1233:M1237)</f>
        <v>2</v>
      </c>
      <c r="N1232" s="388">
        <f>SUM(N1233:N1237)</f>
        <v>1</v>
      </c>
      <c r="O1232" s="388">
        <f>SUM(O1233:O1237)</f>
        <v>1</v>
      </c>
      <c r="P1232" s="388">
        <f>SUM(P1233:P1237)</f>
        <v>1</v>
      </c>
      <c r="Q1232" s="409">
        <f>SUM(Q1233:Q1236)</f>
        <v>0</v>
      </c>
      <c r="R1232" s="385" t="str">
        <f>IF(SUM(M1232:P1232)=L1232,"T","F")</f>
        <v>T</v>
      </c>
      <c r="S1232" s="389"/>
      <c r="T1232" s="389"/>
      <c r="U1232" s="389"/>
      <c r="V1232" s="389"/>
      <c r="W1232" s="389"/>
      <c r="X1232" s="389"/>
      <c r="Y1232" s="389"/>
      <c r="Z1232" s="389"/>
      <c r="AA1232" s="389"/>
      <c r="AB1232" s="389"/>
      <c r="AC1232" s="389"/>
      <c r="AD1232" s="389"/>
      <c r="AE1232" s="389"/>
      <c r="AF1232" s="389"/>
    </row>
    <row r="1233" spans="1:32" hidden="1" outlineLevel="3">
      <c r="A1233" s="382"/>
      <c r="B1233" s="382" t="s">
        <v>516</v>
      </c>
      <c r="C1233" s="382" t="s">
        <v>517</v>
      </c>
      <c r="D1233" s="382" t="s">
        <v>28</v>
      </c>
      <c r="E1233" s="382" t="s">
        <v>29</v>
      </c>
      <c r="F1233" s="440" t="s">
        <v>279</v>
      </c>
      <c r="G1233" s="387">
        <v>0.05</v>
      </c>
      <c r="H1233" s="411">
        <f t="shared" ref="H1233:H1241" si="417">IF(M1233=1,$G1233,"")</f>
        <v>0.05</v>
      </c>
      <c r="I1233" s="411" t="str">
        <f t="shared" ref="I1233:I1241" si="418">IF(N1233=1,$G1233,"")</f>
        <v/>
      </c>
      <c r="J1233" s="411" t="str">
        <f t="shared" ref="J1233:J1241" si="419">IF(O1233=1,$G1233,"")</f>
        <v/>
      </c>
      <c r="K1233" s="411" t="str">
        <f t="shared" ref="K1233:K1241" si="420">IF(P1233=1,$G1233,"")</f>
        <v/>
      </c>
      <c r="L1233" s="387">
        <f>SUM(M1233:P1233)</f>
        <v>1</v>
      </c>
      <c r="M1233" s="388">
        <v>1</v>
      </c>
      <c r="N1233" s="388"/>
      <c r="O1233" s="388"/>
      <c r="P1233" s="388"/>
      <c r="Q1233" s="382"/>
      <c r="R1233" s="385" t="str">
        <f>IF(SUM(M1233:P1233)=L1233,"T","F")</f>
        <v>T</v>
      </c>
      <c r="S1233" s="389"/>
      <c r="T1233" s="389"/>
      <c r="U1233" s="389"/>
      <c r="V1233" s="389"/>
      <c r="W1233" s="389"/>
      <c r="X1233" s="389"/>
      <c r="Y1233" s="389"/>
      <c r="Z1233" s="389"/>
      <c r="AA1233" s="389"/>
      <c r="AB1233" s="389"/>
      <c r="AC1233" s="389"/>
      <c r="AD1233" s="389"/>
      <c r="AE1233" s="389"/>
      <c r="AF1233" s="389"/>
    </row>
    <row r="1234" spans="1:32" hidden="1" outlineLevel="3">
      <c r="A1234" s="382"/>
      <c r="B1234" s="382" t="s">
        <v>516</v>
      </c>
      <c r="C1234" s="382" t="s">
        <v>517</v>
      </c>
      <c r="D1234" s="382" t="s">
        <v>28</v>
      </c>
      <c r="E1234" s="382" t="s">
        <v>29</v>
      </c>
      <c r="F1234" s="440" t="s">
        <v>33</v>
      </c>
      <c r="G1234" s="387">
        <v>0.05</v>
      </c>
      <c r="H1234" s="411">
        <f t="shared" si="417"/>
        <v>0.05</v>
      </c>
      <c r="I1234" s="411" t="str">
        <f t="shared" si="418"/>
        <v/>
      </c>
      <c r="J1234" s="411" t="str">
        <f t="shared" si="419"/>
        <v/>
      </c>
      <c r="K1234" s="411" t="str">
        <f t="shared" si="420"/>
        <v/>
      </c>
      <c r="L1234" s="387">
        <f>SUM(M1234:P1234)</f>
        <v>1</v>
      </c>
      <c r="M1234" s="388">
        <v>1</v>
      </c>
      <c r="N1234" s="388"/>
      <c r="O1234" s="388"/>
      <c r="P1234" s="388"/>
      <c r="Q1234" s="382"/>
      <c r="R1234" s="385" t="str">
        <f>IF(SUM(N1234:P1234)=L1234,"T","F")</f>
        <v>F</v>
      </c>
      <c r="S1234" s="389"/>
      <c r="T1234" s="389"/>
      <c r="U1234" s="389"/>
      <c r="V1234" s="389"/>
      <c r="W1234" s="389"/>
      <c r="X1234" s="389"/>
      <c r="Y1234" s="389"/>
      <c r="Z1234" s="389"/>
      <c r="AA1234" s="389"/>
      <c r="AB1234" s="389"/>
      <c r="AC1234" s="389"/>
      <c r="AD1234" s="389"/>
      <c r="AE1234" s="389"/>
      <c r="AF1234" s="389"/>
    </row>
    <row r="1235" spans="1:32" hidden="1" outlineLevel="3">
      <c r="A1235" s="382"/>
      <c r="B1235" s="382" t="s">
        <v>516</v>
      </c>
      <c r="C1235" s="382" t="s">
        <v>517</v>
      </c>
      <c r="D1235" s="382" t="s">
        <v>28</v>
      </c>
      <c r="E1235" s="382" t="s">
        <v>29</v>
      </c>
      <c r="F1235" s="440" t="s">
        <v>280</v>
      </c>
      <c r="G1235" s="387">
        <v>0.05</v>
      </c>
      <c r="H1235" s="411" t="str">
        <f t="shared" si="417"/>
        <v/>
      </c>
      <c r="I1235" s="411">
        <f t="shared" si="418"/>
        <v>0.05</v>
      </c>
      <c r="J1235" s="411" t="str">
        <f t="shared" si="419"/>
        <v/>
      </c>
      <c r="K1235" s="411" t="str">
        <f t="shared" si="420"/>
        <v/>
      </c>
      <c r="L1235" s="387">
        <f>SUM(N1235:P1235)</f>
        <v>1</v>
      </c>
      <c r="N1235" s="388">
        <v>1</v>
      </c>
      <c r="O1235" s="388"/>
      <c r="P1235" s="388"/>
      <c r="Q1235" s="382"/>
      <c r="R1235" s="385" t="str">
        <f>IF(SUM(N1235:P1235)=L1235,"T","F")</f>
        <v>T</v>
      </c>
      <c r="S1235" s="389"/>
      <c r="T1235" s="389"/>
      <c r="U1235" s="389"/>
      <c r="V1235" s="389"/>
      <c r="W1235" s="389"/>
      <c r="X1235" s="389"/>
      <c r="Y1235" s="389"/>
      <c r="Z1235" s="389"/>
      <c r="AA1235" s="389"/>
      <c r="AB1235" s="389"/>
      <c r="AC1235" s="389"/>
      <c r="AD1235" s="389"/>
      <c r="AE1235" s="389"/>
      <c r="AF1235" s="389"/>
    </row>
    <row r="1236" spans="1:32" hidden="1" outlineLevel="3">
      <c r="A1236" s="382"/>
      <c r="B1236" s="382" t="s">
        <v>516</v>
      </c>
      <c r="C1236" s="382" t="s">
        <v>517</v>
      </c>
      <c r="D1236" s="382" t="s">
        <v>28</v>
      </c>
      <c r="E1236" s="382" t="s">
        <v>29</v>
      </c>
      <c r="F1236" s="440" t="s">
        <v>518</v>
      </c>
      <c r="G1236" s="387">
        <v>7.0000000000000007E-2</v>
      </c>
      <c r="H1236" s="411" t="str">
        <f t="shared" si="417"/>
        <v/>
      </c>
      <c r="I1236" s="411" t="str">
        <f t="shared" si="418"/>
        <v/>
      </c>
      <c r="J1236" s="411">
        <f t="shared" si="419"/>
        <v>7.0000000000000007E-2</v>
      </c>
      <c r="K1236" s="411" t="str">
        <f t="shared" si="420"/>
        <v/>
      </c>
      <c r="L1236" s="387">
        <f t="shared" ref="L1236:L1241" si="421">SUM(M1236:P1236)</f>
        <v>1</v>
      </c>
      <c r="M1236" s="388"/>
      <c r="N1236" s="388"/>
      <c r="O1236" s="388">
        <v>1</v>
      </c>
      <c r="P1236" s="388"/>
      <c r="Q1236" s="382"/>
      <c r="R1236" s="385" t="str">
        <f t="shared" ref="R1236:R1241" si="422">IF(SUM(M1236:P1236)=L1236,"T","F")</f>
        <v>T</v>
      </c>
      <c r="S1236" s="389"/>
      <c r="T1236" s="389"/>
      <c r="U1236" s="389"/>
      <c r="V1236" s="389"/>
      <c r="W1236" s="389"/>
      <c r="X1236" s="389"/>
      <c r="Y1236" s="389"/>
      <c r="Z1236" s="389"/>
      <c r="AA1236" s="389"/>
      <c r="AB1236" s="389"/>
      <c r="AC1236" s="389"/>
      <c r="AD1236" s="389"/>
      <c r="AE1236" s="389"/>
      <c r="AF1236" s="389"/>
    </row>
    <row r="1237" spans="1:32" hidden="1" outlineLevel="3">
      <c r="A1237" s="382"/>
      <c r="B1237" s="382" t="s">
        <v>516</v>
      </c>
      <c r="C1237" s="382" t="s">
        <v>517</v>
      </c>
      <c r="D1237" s="382" t="s">
        <v>28</v>
      </c>
      <c r="E1237" s="382" t="s">
        <v>29</v>
      </c>
      <c r="F1237" s="440" t="s">
        <v>519</v>
      </c>
      <c r="G1237" s="387">
        <v>0.1</v>
      </c>
      <c r="H1237" s="411" t="str">
        <f>IF(M1237=1,$G1237,"")</f>
        <v/>
      </c>
      <c r="I1237" s="411" t="str">
        <f>IF(N1237=1,$G1237,"")</f>
        <v/>
      </c>
      <c r="J1237" s="411" t="str">
        <f>IF(O1237=1,$G1237,"")</f>
        <v/>
      </c>
      <c r="K1237" s="411">
        <f>IF(P1237=1,$G1237,"")</f>
        <v>0.1</v>
      </c>
      <c r="L1237" s="387">
        <f>SUM(M1237:P1237)</f>
        <v>1</v>
      </c>
      <c r="M1237" s="388"/>
      <c r="N1237" s="388"/>
      <c r="O1237" s="388"/>
      <c r="P1237" s="388">
        <v>1</v>
      </c>
      <c r="Q1237" s="382"/>
      <c r="R1237" s="385"/>
      <c r="S1237" s="389"/>
      <c r="T1237" s="389"/>
      <c r="U1237" s="389"/>
      <c r="V1237" s="389"/>
      <c r="W1237" s="389"/>
      <c r="X1237" s="389"/>
      <c r="Y1237" s="389"/>
      <c r="Z1237" s="389"/>
      <c r="AA1237" s="389"/>
      <c r="AB1237" s="389"/>
      <c r="AC1237" s="389"/>
      <c r="AD1237" s="389"/>
      <c r="AE1237" s="389"/>
      <c r="AF1237" s="389"/>
    </row>
    <row r="1238" spans="1:32" hidden="1" outlineLevel="2" collapsed="1">
      <c r="A1238" s="382"/>
      <c r="B1238" s="382" t="s">
        <v>516</v>
      </c>
      <c r="C1238" s="382" t="s">
        <v>517</v>
      </c>
      <c r="D1238" s="382" t="s">
        <v>64</v>
      </c>
      <c r="E1238" s="382"/>
      <c r="F1238" s="440" t="s">
        <v>277</v>
      </c>
      <c r="G1238" s="411">
        <f>SUM(G1239:G1241)</f>
        <v>0.13</v>
      </c>
      <c r="H1238" s="411">
        <f>SUM(H1239:H1241)</f>
        <v>0.05</v>
      </c>
      <c r="I1238" s="411">
        <f t="shared" ref="I1238:K1238" si="423">SUM(I1239:I1241)</f>
        <v>0.05</v>
      </c>
      <c r="J1238" s="411">
        <f t="shared" si="423"/>
        <v>0.03</v>
      </c>
      <c r="K1238" s="411">
        <f t="shared" si="423"/>
        <v>0</v>
      </c>
      <c r="L1238" s="411">
        <f t="shared" si="421"/>
        <v>3</v>
      </c>
      <c r="M1238" s="388">
        <f>SUM(M1239:M1241)</f>
        <v>1</v>
      </c>
      <c r="N1238" s="388">
        <f>SUM(N1239:N1241)</f>
        <v>1</v>
      </c>
      <c r="O1238" s="388">
        <f>SUM(O1239:O1241)</f>
        <v>1</v>
      </c>
      <c r="P1238" s="388">
        <f>SUM(P1239:P1241)</f>
        <v>0</v>
      </c>
      <c r="Q1238" s="382"/>
      <c r="R1238" s="385" t="str">
        <f t="shared" si="422"/>
        <v>T</v>
      </c>
      <c r="S1238" s="389"/>
      <c r="T1238" s="389"/>
      <c r="U1238" s="389"/>
      <c r="V1238" s="389"/>
      <c r="W1238" s="389"/>
      <c r="X1238" s="389"/>
      <c r="Y1238" s="389"/>
      <c r="Z1238" s="389"/>
      <c r="AA1238" s="389"/>
      <c r="AB1238" s="389"/>
      <c r="AC1238" s="389"/>
      <c r="AD1238" s="389"/>
      <c r="AE1238" s="389"/>
      <c r="AF1238" s="389"/>
    </row>
    <row r="1239" spans="1:32" hidden="1" outlineLevel="3">
      <c r="A1239" s="382"/>
      <c r="B1239" s="382" t="s">
        <v>516</v>
      </c>
      <c r="C1239" s="382" t="s">
        <v>517</v>
      </c>
      <c r="D1239" s="382" t="s">
        <v>64</v>
      </c>
      <c r="E1239" s="382" t="s">
        <v>29</v>
      </c>
      <c r="F1239" s="440" t="s">
        <v>279</v>
      </c>
      <c r="G1239" s="387">
        <v>0.05</v>
      </c>
      <c r="H1239" s="411" t="str">
        <f t="shared" si="417"/>
        <v/>
      </c>
      <c r="I1239" s="411">
        <f t="shared" si="418"/>
        <v>0.05</v>
      </c>
      <c r="J1239" s="411" t="str">
        <f t="shared" si="419"/>
        <v/>
      </c>
      <c r="K1239" s="411" t="str">
        <f t="shared" si="420"/>
        <v/>
      </c>
      <c r="L1239" s="387">
        <f t="shared" si="421"/>
        <v>1</v>
      </c>
      <c r="M1239" s="388"/>
      <c r="N1239" s="388">
        <v>1</v>
      </c>
      <c r="O1239" s="388"/>
      <c r="P1239" s="388"/>
      <c r="Q1239" s="382"/>
      <c r="R1239" s="385" t="str">
        <f t="shared" si="422"/>
        <v>T</v>
      </c>
      <c r="S1239" s="389"/>
      <c r="T1239" s="389"/>
      <c r="U1239" s="389"/>
      <c r="V1239" s="389"/>
      <c r="W1239" s="389"/>
      <c r="X1239" s="389"/>
      <c r="Y1239" s="389"/>
      <c r="Z1239" s="389"/>
      <c r="AA1239" s="389"/>
      <c r="AB1239" s="389"/>
      <c r="AC1239" s="389"/>
      <c r="AD1239" s="389"/>
      <c r="AE1239" s="389"/>
      <c r="AF1239" s="389"/>
    </row>
    <row r="1240" spans="1:32" hidden="1" outlineLevel="3">
      <c r="A1240" s="382"/>
      <c r="B1240" s="382" t="s">
        <v>516</v>
      </c>
      <c r="C1240" s="382" t="s">
        <v>517</v>
      </c>
      <c r="D1240" s="382" t="s">
        <v>64</v>
      </c>
      <c r="E1240" s="382" t="s">
        <v>29</v>
      </c>
      <c r="F1240" s="440" t="s">
        <v>33</v>
      </c>
      <c r="G1240" s="387">
        <v>0.05</v>
      </c>
      <c r="H1240" s="411">
        <f t="shared" si="417"/>
        <v>0.05</v>
      </c>
      <c r="I1240" s="411" t="str">
        <f t="shared" si="418"/>
        <v/>
      </c>
      <c r="J1240" s="411" t="str">
        <f t="shared" si="419"/>
        <v/>
      </c>
      <c r="K1240" s="411" t="str">
        <f t="shared" si="420"/>
        <v/>
      </c>
      <c r="L1240" s="387">
        <f t="shared" si="421"/>
        <v>1</v>
      </c>
      <c r="M1240" s="388">
        <v>1</v>
      </c>
      <c r="N1240" s="388"/>
      <c r="O1240" s="388"/>
      <c r="P1240" s="388"/>
      <c r="Q1240" s="382"/>
      <c r="R1240" s="385" t="str">
        <f t="shared" si="422"/>
        <v>T</v>
      </c>
      <c r="S1240" s="389"/>
      <c r="T1240" s="389"/>
      <c r="U1240" s="389"/>
      <c r="V1240" s="389"/>
      <c r="W1240" s="389"/>
      <c r="X1240" s="389"/>
      <c r="Y1240" s="389"/>
      <c r="Z1240" s="389"/>
      <c r="AA1240" s="389"/>
      <c r="AB1240" s="389"/>
      <c r="AC1240" s="389"/>
      <c r="AD1240" s="389"/>
      <c r="AE1240" s="389"/>
      <c r="AF1240" s="389"/>
    </row>
    <row r="1241" spans="1:32" hidden="1" outlineLevel="3">
      <c r="A1241" s="382"/>
      <c r="B1241" s="382" t="s">
        <v>516</v>
      </c>
      <c r="C1241" s="382" t="s">
        <v>517</v>
      </c>
      <c r="D1241" s="382" t="s">
        <v>64</v>
      </c>
      <c r="E1241" s="382" t="s">
        <v>29</v>
      </c>
      <c r="F1241" s="440" t="s">
        <v>280</v>
      </c>
      <c r="G1241" s="387">
        <v>0.03</v>
      </c>
      <c r="H1241" s="411" t="str">
        <f t="shared" si="417"/>
        <v/>
      </c>
      <c r="I1241" s="411" t="str">
        <f t="shared" si="418"/>
        <v/>
      </c>
      <c r="J1241" s="411">
        <f t="shared" si="419"/>
        <v>0.03</v>
      </c>
      <c r="K1241" s="411" t="str">
        <f t="shared" si="420"/>
        <v/>
      </c>
      <c r="L1241" s="387">
        <f t="shared" si="421"/>
        <v>1</v>
      </c>
      <c r="M1241" s="388"/>
      <c r="N1241" s="388"/>
      <c r="O1241" s="388">
        <v>1</v>
      </c>
      <c r="P1241" s="388"/>
      <c r="Q1241" s="382"/>
      <c r="R1241" s="385" t="str">
        <f t="shared" si="422"/>
        <v>T</v>
      </c>
      <c r="S1241" s="389"/>
      <c r="T1241" s="389"/>
      <c r="U1241" s="389"/>
      <c r="V1241" s="389"/>
      <c r="W1241" s="389"/>
      <c r="X1241" s="389"/>
      <c r="Y1241" s="389"/>
      <c r="Z1241" s="389"/>
      <c r="AA1241" s="389"/>
      <c r="AB1241" s="389"/>
      <c r="AC1241" s="389"/>
      <c r="AD1241" s="389"/>
      <c r="AE1241" s="389"/>
      <c r="AF1241" s="389"/>
    </row>
    <row r="1242" spans="1:32" outlineLevel="1" collapsed="1">
      <c r="A1242" s="382"/>
      <c r="B1242" s="517" t="s">
        <v>520</v>
      </c>
      <c r="C1242" s="517" t="s">
        <v>521</v>
      </c>
      <c r="D1242" s="518"/>
      <c r="E1242" s="517"/>
      <c r="F1242" s="519" t="s">
        <v>522</v>
      </c>
      <c r="G1242" s="520">
        <f>SUM(G1243,G1252,G1258,G1266)</f>
        <v>0.59504352000000005</v>
      </c>
      <c r="H1242" s="520">
        <f>H1243+H1252+H1258+H1266</f>
        <v>0.19417209600000002</v>
      </c>
      <c r="I1242" s="520">
        <f>I1243+I1252+I1258+I1266</f>
        <v>0.26513794559999998</v>
      </c>
      <c r="J1242" s="520">
        <f>J1243+J1252+J1258+J1266</f>
        <v>0.1357334784</v>
      </c>
      <c r="K1242" s="520">
        <f>K1243+K1252+K1258+K1266</f>
        <v>0</v>
      </c>
      <c r="L1242" s="520">
        <f t="shared" ref="L1242:L1271" si="424">SUM(M1242:P1242)</f>
        <v>25</v>
      </c>
      <c r="M1242" s="521">
        <f>M1243+M1252+M1258+M1266</f>
        <v>8</v>
      </c>
      <c r="N1242" s="521">
        <f>N1243+N1252+N1258+N1266</f>
        <v>11</v>
      </c>
      <c r="O1242" s="521">
        <f>O1243+O1252+O1258+O1266</f>
        <v>6</v>
      </c>
      <c r="P1242" s="521">
        <f>P1243+P1252+P1258+P1266</f>
        <v>0</v>
      </c>
      <c r="Q1242" s="382"/>
      <c r="R1242" s="385" t="str">
        <f t="shared" ref="R1242:R1271" si="425">IF(SUM(M1242:P1242)=L1242,"T","F")</f>
        <v>T</v>
      </c>
      <c r="S1242" s="389"/>
      <c r="T1242" s="389"/>
      <c r="U1242" s="389"/>
      <c r="V1242" s="389"/>
      <c r="W1242" s="389"/>
      <c r="X1242" s="389"/>
      <c r="Y1242" s="389"/>
      <c r="Z1242" s="389"/>
      <c r="AA1242" s="389"/>
      <c r="AB1242" s="389"/>
      <c r="AC1242" s="389"/>
      <c r="AD1242" s="389"/>
      <c r="AE1242" s="389"/>
      <c r="AF1242" s="389"/>
    </row>
    <row r="1243" spans="1:32" hidden="1" outlineLevel="2" collapsed="1">
      <c r="A1243" s="382"/>
      <c r="B1243" s="523" t="s">
        <v>521</v>
      </c>
      <c r="C1243" s="523" t="s">
        <v>521</v>
      </c>
      <c r="D1243" s="524" t="s">
        <v>18</v>
      </c>
      <c r="E1243" s="523"/>
      <c r="F1243" s="444" t="s">
        <v>87</v>
      </c>
      <c r="G1243" s="411">
        <f>SUM(G1244:G1251)</f>
        <v>0.41653046400000004</v>
      </c>
      <c r="H1243" s="411">
        <f>SUM(H1244:H1251)</f>
        <v>0.153458592</v>
      </c>
      <c r="I1243" s="411">
        <f>SUM(I1244:I1251)</f>
        <v>0.16144531200000001</v>
      </c>
      <c r="J1243" s="411">
        <f>SUM(J1244:J1251)</f>
        <v>0.10162656</v>
      </c>
      <c r="K1243" s="411">
        <f>SUM(K1244:K1251)</f>
        <v>0</v>
      </c>
      <c r="L1243" s="411">
        <f t="shared" si="424"/>
        <v>8</v>
      </c>
      <c r="M1243" s="522">
        <f>SUM(M1244:M1251)</f>
        <v>3</v>
      </c>
      <c r="N1243" s="522">
        <f>SUM(N1244:N1251)</f>
        <v>3</v>
      </c>
      <c r="O1243" s="522">
        <f>SUM(O1244:O1251)</f>
        <v>2</v>
      </c>
      <c r="P1243" s="522">
        <f>SUM(P1244:P1251)</f>
        <v>0</v>
      </c>
      <c r="Q1243" s="382"/>
      <c r="R1243" s="385" t="str">
        <f t="shared" si="425"/>
        <v>T</v>
      </c>
      <c r="S1243" s="389"/>
      <c r="T1243" s="389"/>
      <c r="U1243" s="389"/>
      <c r="V1243" s="389"/>
      <c r="W1243" s="389"/>
      <c r="X1243" s="389"/>
      <c r="Y1243" s="389"/>
      <c r="Z1243" s="389"/>
      <c r="AA1243" s="389"/>
      <c r="AB1243" s="389"/>
      <c r="AC1243" s="389"/>
      <c r="AD1243" s="389"/>
      <c r="AE1243" s="389"/>
      <c r="AF1243" s="389"/>
    </row>
    <row r="1244" spans="1:32" hidden="1" outlineLevel="3">
      <c r="A1244" s="382"/>
      <c r="B1244" s="523" t="s">
        <v>521</v>
      </c>
      <c r="C1244" s="523" t="s">
        <v>521</v>
      </c>
      <c r="D1244" s="524" t="s">
        <v>18</v>
      </c>
      <c r="E1244" s="523" t="s">
        <v>286</v>
      </c>
      <c r="F1244" s="444" t="s">
        <v>278</v>
      </c>
      <c r="G1244" s="525">
        <v>4.3845312000000004E-2</v>
      </c>
      <c r="H1244" s="525">
        <f>IF(M1244=1,$G1244,"")</f>
        <v>4.3845312000000004E-2</v>
      </c>
      <c r="I1244" s="522"/>
      <c r="J1244" s="522"/>
      <c r="K1244" s="522"/>
      <c r="L1244" s="525">
        <f t="shared" si="424"/>
        <v>1</v>
      </c>
      <c r="M1244" s="522">
        <v>1</v>
      </c>
      <c r="N1244" s="522"/>
      <c r="O1244" s="522"/>
      <c r="P1244" s="522"/>
      <c r="Q1244" s="382"/>
      <c r="R1244" s="385" t="str">
        <f t="shared" si="425"/>
        <v>T</v>
      </c>
      <c r="S1244" s="389"/>
      <c r="T1244" s="389"/>
      <c r="U1244" s="389"/>
      <c r="V1244" s="389"/>
      <c r="W1244" s="389"/>
      <c r="X1244" s="389"/>
      <c r="Y1244" s="389"/>
      <c r="Z1244" s="389"/>
      <c r="AA1244" s="389"/>
      <c r="AB1244" s="389"/>
      <c r="AC1244" s="389"/>
      <c r="AD1244" s="389"/>
      <c r="AE1244" s="389"/>
      <c r="AF1244" s="389"/>
    </row>
    <row r="1245" spans="1:32" hidden="1" outlineLevel="3">
      <c r="A1245" s="382"/>
      <c r="B1245" s="523" t="s">
        <v>521</v>
      </c>
      <c r="C1245" s="523" t="s">
        <v>521</v>
      </c>
      <c r="D1245" s="524" t="s">
        <v>18</v>
      </c>
      <c r="E1245" s="523" t="s">
        <v>286</v>
      </c>
      <c r="F1245" s="444" t="s">
        <v>279</v>
      </c>
      <c r="G1245" s="525">
        <v>6.576796800000001E-2</v>
      </c>
      <c r="H1245" s="525">
        <f>IF(M1245=1,$G1245,"")</f>
        <v>6.576796800000001E-2</v>
      </c>
      <c r="I1245" s="522"/>
      <c r="J1245" s="522"/>
      <c r="K1245" s="522"/>
      <c r="L1245" s="525">
        <f t="shared" si="424"/>
        <v>1</v>
      </c>
      <c r="M1245" s="522">
        <v>1</v>
      </c>
      <c r="N1245" s="522"/>
      <c r="O1245" s="522"/>
      <c r="P1245" s="522"/>
      <c r="Q1245" s="382"/>
      <c r="R1245" s="385" t="str">
        <f t="shared" si="425"/>
        <v>T</v>
      </c>
      <c r="S1245" s="389"/>
      <c r="T1245" s="389"/>
      <c r="U1245" s="389"/>
      <c r="V1245" s="389"/>
      <c r="W1245" s="389"/>
      <c r="X1245" s="389"/>
      <c r="Y1245" s="389"/>
      <c r="Z1245" s="389"/>
      <c r="AA1245" s="389"/>
      <c r="AB1245" s="389"/>
      <c r="AC1245" s="389"/>
      <c r="AD1245" s="389"/>
      <c r="AE1245" s="389"/>
      <c r="AF1245" s="389"/>
    </row>
    <row r="1246" spans="1:32" hidden="1" outlineLevel="3">
      <c r="A1246" s="382"/>
      <c r="B1246" s="523" t="s">
        <v>521</v>
      </c>
      <c r="C1246" s="523" t="s">
        <v>521</v>
      </c>
      <c r="D1246" s="524" t="s">
        <v>18</v>
      </c>
      <c r="E1246" s="523" t="s">
        <v>286</v>
      </c>
      <c r="F1246" s="444" t="s">
        <v>33</v>
      </c>
      <c r="G1246" s="525">
        <v>4.3845312000000004E-2</v>
      </c>
      <c r="H1246" s="525">
        <f>IF(M1246=1,$G1246,"")</f>
        <v>4.3845312000000004E-2</v>
      </c>
      <c r="I1246" s="522"/>
      <c r="J1246" s="522"/>
      <c r="K1246" s="522"/>
      <c r="L1246" s="525">
        <f t="shared" si="424"/>
        <v>1</v>
      </c>
      <c r="M1246" s="522">
        <v>1</v>
      </c>
      <c r="N1246" s="522"/>
      <c r="O1246" s="522"/>
      <c r="P1246" s="522"/>
      <c r="Q1246" s="382"/>
      <c r="R1246" s="385" t="str">
        <f t="shared" si="425"/>
        <v>T</v>
      </c>
      <c r="S1246" s="389"/>
      <c r="T1246" s="389"/>
      <c r="U1246" s="389"/>
      <c r="V1246" s="389"/>
      <c r="W1246" s="389"/>
      <c r="X1246" s="389"/>
      <c r="Y1246" s="389"/>
      <c r="Z1246" s="389"/>
      <c r="AA1246" s="389"/>
      <c r="AB1246" s="389"/>
      <c r="AC1246" s="389"/>
      <c r="AD1246" s="389"/>
      <c r="AE1246" s="389"/>
      <c r="AF1246" s="389"/>
    </row>
    <row r="1247" spans="1:32" hidden="1" outlineLevel="3">
      <c r="A1247" s="382"/>
      <c r="B1247" s="523" t="s">
        <v>521</v>
      </c>
      <c r="C1247" s="523" t="s">
        <v>521</v>
      </c>
      <c r="D1247" s="524" t="s">
        <v>18</v>
      </c>
      <c r="E1247" s="523" t="s">
        <v>286</v>
      </c>
      <c r="F1247" s="444" t="s">
        <v>280</v>
      </c>
      <c r="G1247" s="525">
        <v>4.3845312000000004E-2</v>
      </c>
      <c r="H1247" s="522"/>
      <c r="I1247" s="525">
        <f>IF(N1247=1,$G1247,"")</f>
        <v>4.3845312000000004E-2</v>
      </c>
      <c r="J1247" s="522"/>
      <c r="K1247" s="522"/>
      <c r="L1247" s="525">
        <f t="shared" si="424"/>
        <v>1</v>
      </c>
      <c r="M1247" s="522"/>
      <c r="N1247" s="522">
        <v>1</v>
      </c>
      <c r="O1247" s="522"/>
      <c r="P1247" s="522"/>
      <c r="Q1247" s="382"/>
      <c r="R1247" s="385" t="str">
        <f t="shared" si="425"/>
        <v>T</v>
      </c>
      <c r="S1247" s="389"/>
      <c r="T1247" s="389"/>
      <c r="U1247" s="389"/>
      <c r="V1247" s="389"/>
      <c r="W1247" s="389"/>
      <c r="X1247" s="389"/>
      <c r="Y1247" s="389"/>
      <c r="Z1247" s="389"/>
      <c r="AA1247" s="389"/>
      <c r="AB1247" s="389"/>
      <c r="AC1247" s="389"/>
      <c r="AD1247" s="389"/>
      <c r="AE1247" s="389"/>
      <c r="AF1247" s="389"/>
    </row>
    <row r="1248" spans="1:32" hidden="1" outlineLevel="3">
      <c r="A1248" s="382"/>
      <c r="B1248" s="523" t="s">
        <v>521</v>
      </c>
      <c r="C1248" s="523" t="s">
        <v>521</v>
      </c>
      <c r="D1248" s="524" t="s">
        <v>18</v>
      </c>
      <c r="E1248" s="523" t="s">
        <v>286</v>
      </c>
      <c r="F1248" s="444" t="s">
        <v>281</v>
      </c>
      <c r="G1248" s="525">
        <v>6.720000000000001E-2</v>
      </c>
      <c r="H1248" s="522"/>
      <c r="I1248" s="525">
        <f>IF(N1248=1,$G1248,"")</f>
        <v>6.720000000000001E-2</v>
      </c>
      <c r="J1248" s="522"/>
      <c r="K1248" s="522"/>
      <c r="L1248" s="525">
        <f t="shared" si="424"/>
        <v>1</v>
      </c>
      <c r="M1248" s="522"/>
      <c r="N1248" s="522">
        <v>1</v>
      </c>
      <c r="O1248" s="522"/>
      <c r="P1248" s="522"/>
      <c r="Q1248" s="382"/>
      <c r="R1248" s="385" t="str">
        <f t="shared" si="425"/>
        <v>T</v>
      </c>
      <c r="S1248" s="389"/>
      <c r="T1248" s="389"/>
      <c r="U1248" s="389"/>
      <c r="V1248" s="389"/>
      <c r="W1248" s="389"/>
      <c r="X1248" s="389"/>
      <c r="Y1248" s="389"/>
      <c r="Z1248" s="389"/>
      <c r="AA1248" s="389"/>
      <c r="AB1248" s="389"/>
      <c r="AC1248" s="389"/>
      <c r="AD1248" s="389"/>
      <c r="AE1248" s="389"/>
      <c r="AF1248" s="389"/>
    </row>
    <row r="1249" spans="1:32" hidden="1" outlineLevel="3">
      <c r="A1249" s="382"/>
      <c r="B1249" s="523" t="s">
        <v>521</v>
      </c>
      <c r="C1249" s="523" t="s">
        <v>521</v>
      </c>
      <c r="D1249" s="524" t="s">
        <v>18</v>
      </c>
      <c r="E1249" s="523" t="s">
        <v>286</v>
      </c>
      <c r="F1249" s="444" t="s">
        <v>282</v>
      </c>
      <c r="G1249" s="525">
        <v>5.0400000000000007E-2</v>
      </c>
      <c r="H1249" s="522"/>
      <c r="I1249" s="525">
        <f>IF(N1249=1,$G1249,"")</f>
        <v>5.0400000000000007E-2</v>
      </c>
      <c r="J1249" s="522"/>
      <c r="K1249" s="522"/>
      <c r="L1249" s="525">
        <f t="shared" si="424"/>
        <v>1</v>
      </c>
      <c r="M1249" s="522"/>
      <c r="N1249" s="522">
        <v>1</v>
      </c>
      <c r="O1249" s="522"/>
      <c r="P1249" s="522"/>
      <c r="Q1249" s="382"/>
      <c r="R1249" s="385" t="str">
        <f t="shared" si="425"/>
        <v>T</v>
      </c>
      <c r="S1249" s="389"/>
      <c r="T1249" s="389"/>
      <c r="U1249" s="389"/>
      <c r="V1249" s="389"/>
      <c r="W1249" s="389"/>
      <c r="X1249" s="389"/>
      <c r="Y1249" s="389"/>
      <c r="Z1249" s="389"/>
      <c r="AA1249" s="389"/>
      <c r="AB1249" s="389"/>
      <c r="AC1249" s="389"/>
      <c r="AD1249" s="389"/>
      <c r="AE1249" s="389"/>
      <c r="AF1249" s="389"/>
    </row>
    <row r="1250" spans="1:32" hidden="1" outlineLevel="3">
      <c r="A1250" s="382"/>
      <c r="B1250" s="523" t="s">
        <v>521</v>
      </c>
      <c r="C1250" s="523" t="s">
        <v>521</v>
      </c>
      <c r="D1250" s="524" t="s">
        <v>18</v>
      </c>
      <c r="E1250" s="523" t="s">
        <v>286</v>
      </c>
      <c r="F1250" s="444" t="s">
        <v>283</v>
      </c>
      <c r="G1250" s="525">
        <v>5.1226560000000004E-2</v>
      </c>
      <c r="H1250" s="522"/>
      <c r="I1250" s="522"/>
      <c r="J1250" s="525">
        <f>IF(O1250=1,$G1250,"")</f>
        <v>5.1226560000000004E-2</v>
      </c>
      <c r="K1250" s="522"/>
      <c r="L1250" s="525">
        <f t="shared" si="424"/>
        <v>1</v>
      </c>
      <c r="M1250" s="522"/>
      <c r="N1250" s="522"/>
      <c r="O1250" s="522">
        <v>1</v>
      </c>
      <c r="P1250" s="522"/>
      <c r="Q1250" s="382"/>
      <c r="R1250" s="385" t="str">
        <f t="shared" si="425"/>
        <v>T</v>
      </c>
      <c r="S1250" s="389"/>
      <c r="T1250" s="389"/>
      <c r="U1250" s="389"/>
      <c r="V1250" s="389"/>
      <c r="W1250" s="389"/>
      <c r="X1250" s="389"/>
      <c r="Y1250" s="389"/>
      <c r="Z1250" s="389"/>
      <c r="AA1250" s="389"/>
      <c r="AB1250" s="389"/>
      <c r="AC1250" s="389"/>
      <c r="AD1250" s="389"/>
      <c r="AE1250" s="389"/>
      <c r="AF1250" s="389"/>
    </row>
    <row r="1251" spans="1:32" hidden="1" outlineLevel="3">
      <c r="A1251" s="382"/>
      <c r="B1251" s="523" t="s">
        <v>521</v>
      </c>
      <c r="C1251" s="523" t="s">
        <v>521</v>
      </c>
      <c r="D1251" s="524" t="s">
        <v>18</v>
      </c>
      <c r="E1251" s="523" t="s">
        <v>286</v>
      </c>
      <c r="F1251" s="444" t="s">
        <v>284</v>
      </c>
      <c r="G1251" s="525">
        <v>5.0400000000000007E-2</v>
      </c>
      <c r="H1251" s="522"/>
      <c r="I1251" s="522"/>
      <c r="J1251" s="525">
        <f>IF(O1251=1,$G1251,"")</f>
        <v>5.0400000000000007E-2</v>
      </c>
      <c r="K1251" s="522"/>
      <c r="L1251" s="525">
        <f t="shared" si="424"/>
        <v>1</v>
      </c>
      <c r="M1251" s="522"/>
      <c r="N1251" s="522"/>
      <c r="O1251" s="522">
        <v>1</v>
      </c>
      <c r="P1251" s="522"/>
      <c r="Q1251" s="382"/>
      <c r="R1251" s="385" t="str">
        <f t="shared" si="425"/>
        <v>T</v>
      </c>
      <c r="S1251" s="389"/>
      <c r="T1251" s="389">
        <v>5.0400000000000007E-2</v>
      </c>
      <c r="U1251" s="389">
        <f>T1251*10^7</f>
        <v>504000.00000000006</v>
      </c>
      <c r="V1251" s="389">
        <v>504000</v>
      </c>
      <c r="W1251" s="389"/>
      <c r="X1251" s="389"/>
      <c r="Y1251" s="389"/>
      <c r="Z1251" s="389"/>
      <c r="AA1251" s="389"/>
      <c r="AB1251" s="389"/>
      <c r="AC1251" s="389"/>
      <c r="AD1251" s="389"/>
      <c r="AE1251" s="389"/>
      <c r="AF1251" s="389"/>
    </row>
    <row r="1252" spans="1:32" hidden="1" outlineLevel="2" collapsed="1">
      <c r="A1252" s="382"/>
      <c r="B1252" s="523" t="s">
        <v>521</v>
      </c>
      <c r="C1252" s="523" t="s">
        <v>521</v>
      </c>
      <c r="D1252" s="524" t="s">
        <v>26</v>
      </c>
      <c r="E1252" s="524"/>
      <c r="F1252" s="444" t="s">
        <v>87</v>
      </c>
      <c r="G1252" s="411">
        <f>SUM(G1253:G1257)</f>
        <v>9.5206963199999994E-2</v>
      </c>
      <c r="H1252" s="411">
        <f>SUM(H1253:H1257)</f>
        <v>2.0043571200000002E-2</v>
      </c>
      <c r="I1252" s="411">
        <f>SUM(I1253:I1257)</f>
        <v>6.2283571200000006E-2</v>
      </c>
      <c r="J1252" s="411">
        <f>SUM(J1253:J1257)</f>
        <v>1.2879820800000002E-2</v>
      </c>
      <c r="K1252" s="411">
        <f>SUM(K1253:K1257)</f>
        <v>0</v>
      </c>
      <c r="L1252" s="411">
        <f t="shared" si="424"/>
        <v>5</v>
      </c>
      <c r="M1252" s="522">
        <f>SUM(M1253:M1257)</f>
        <v>1</v>
      </c>
      <c r="N1252" s="522">
        <f>SUM(N1253:N1257)</f>
        <v>3</v>
      </c>
      <c r="O1252" s="522">
        <f>SUM(O1253:O1257)</f>
        <v>1</v>
      </c>
      <c r="P1252" s="522">
        <f>SUM(P1253:P1257)</f>
        <v>0</v>
      </c>
      <c r="Q1252" s="382"/>
      <c r="R1252" s="385" t="str">
        <f t="shared" si="425"/>
        <v>T</v>
      </c>
      <c r="S1252" s="389"/>
      <c r="T1252" s="389"/>
      <c r="U1252" s="389"/>
      <c r="V1252" s="389"/>
      <c r="W1252" s="389"/>
      <c r="X1252" s="389"/>
      <c r="Y1252" s="389"/>
      <c r="Z1252" s="389"/>
      <c r="AA1252" s="389"/>
      <c r="AB1252" s="389"/>
      <c r="AC1252" s="389"/>
      <c r="AD1252" s="389"/>
      <c r="AE1252" s="389"/>
      <c r="AF1252" s="389"/>
    </row>
    <row r="1253" spans="1:32" hidden="1" outlineLevel="3">
      <c r="A1253" s="382"/>
      <c r="B1253" s="523" t="s">
        <v>521</v>
      </c>
      <c r="C1253" s="523" t="s">
        <v>521</v>
      </c>
      <c r="D1253" s="524" t="s">
        <v>26</v>
      </c>
      <c r="E1253" s="524" t="s">
        <v>27</v>
      </c>
      <c r="F1253" s="444" t="s">
        <v>279</v>
      </c>
      <c r="G1253" s="525">
        <v>2.0043571200000002E-2</v>
      </c>
      <c r="H1253" s="525">
        <f>IF(M1253=1,$G1253,"")</f>
        <v>2.0043571200000002E-2</v>
      </c>
      <c r="I1253" s="522"/>
      <c r="J1253" s="522"/>
      <c r="K1253" s="522"/>
      <c r="L1253" s="525">
        <f t="shared" si="424"/>
        <v>1</v>
      </c>
      <c r="M1253" s="522">
        <v>1</v>
      </c>
      <c r="N1253" s="522"/>
      <c r="O1253" s="522"/>
      <c r="P1253" s="522"/>
      <c r="Q1253" s="382"/>
      <c r="R1253" s="385" t="str">
        <f t="shared" si="425"/>
        <v>T</v>
      </c>
      <c r="S1253" s="389"/>
      <c r="T1253" s="389"/>
      <c r="U1253" s="389"/>
      <c r="V1253" s="389"/>
      <c r="W1253" s="389"/>
      <c r="X1253" s="389"/>
      <c r="Y1253" s="389"/>
      <c r="Z1253" s="389"/>
      <c r="AA1253" s="389"/>
      <c r="AB1253" s="389"/>
      <c r="AC1253" s="389"/>
      <c r="AD1253" s="389"/>
      <c r="AE1253" s="389"/>
      <c r="AF1253" s="389"/>
    </row>
    <row r="1254" spans="1:32" hidden="1" outlineLevel="3">
      <c r="A1254" s="382"/>
      <c r="B1254" s="523" t="s">
        <v>521</v>
      </c>
      <c r="C1254" s="523" t="s">
        <v>521</v>
      </c>
      <c r="D1254" s="524" t="s">
        <v>26</v>
      </c>
      <c r="E1254" s="524" t="s">
        <v>27</v>
      </c>
      <c r="F1254" s="444" t="s">
        <v>280</v>
      </c>
      <c r="G1254" s="525">
        <v>2.0043571200000002E-2</v>
      </c>
      <c r="H1254" s="525" t="str">
        <f>IF(M1254=1,$G1254,"")</f>
        <v/>
      </c>
      <c r="I1254" s="525">
        <f>IF(N1254=1,$G1254,"")</f>
        <v>2.0043571200000002E-2</v>
      </c>
      <c r="J1254" s="522"/>
      <c r="K1254" s="522"/>
      <c r="L1254" s="525">
        <f t="shared" si="424"/>
        <v>1</v>
      </c>
      <c r="M1254" s="522"/>
      <c r="N1254" s="522">
        <v>1</v>
      </c>
      <c r="O1254" s="522"/>
      <c r="P1254" s="522"/>
      <c r="Q1254" s="382"/>
      <c r="R1254" s="385" t="str">
        <f t="shared" si="425"/>
        <v>T</v>
      </c>
      <c r="S1254" s="389"/>
      <c r="T1254" s="389"/>
      <c r="U1254" s="389"/>
      <c r="V1254" s="389"/>
      <c r="W1254" s="389"/>
      <c r="X1254" s="389"/>
      <c r="Y1254" s="389"/>
      <c r="Z1254" s="389"/>
      <c r="AA1254" s="389"/>
      <c r="AB1254" s="389"/>
      <c r="AC1254" s="389"/>
      <c r="AD1254" s="389"/>
      <c r="AE1254" s="389"/>
      <c r="AF1254" s="389"/>
    </row>
    <row r="1255" spans="1:32" hidden="1" outlineLevel="3">
      <c r="A1255" s="382"/>
      <c r="B1255" s="523" t="s">
        <v>521</v>
      </c>
      <c r="C1255" s="523" t="s">
        <v>521</v>
      </c>
      <c r="D1255" s="524" t="s">
        <v>26</v>
      </c>
      <c r="E1255" s="524" t="s">
        <v>27</v>
      </c>
      <c r="F1255" s="444" t="s">
        <v>281</v>
      </c>
      <c r="G1255" s="525">
        <v>3.8399999999999997E-2</v>
      </c>
      <c r="H1255" s="522"/>
      <c r="I1255" s="525">
        <f>IF(N1255=1,$G1255,"")</f>
        <v>3.8399999999999997E-2</v>
      </c>
      <c r="J1255" s="522"/>
      <c r="K1255" s="522"/>
      <c r="L1255" s="525">
        <f t="shared" si="424"/>
        <v>1</v>
      </c>
      <c r="M1255" s="522"/>
      <c r="N1255" s="522">
        <v>1</v>
      </c>
      <c r="O1255" s="522"/>
      <c r="P1255" s="522"/>
      <c r="Q1255" s="382"/>
      <c r="R1255" s="385" t="str">
        <f t="shared" si="425"/>
        <v>T</v>
      </c>
      <c r="S1255" s="389"/>
      <c r="T1255" s="389"/>
      <c r="U1255" s="389"/>
      <c r="V1255" s="389"/>
      <c r="W1255" s="389"/>
      <c r="X1255" s="389"/>
      <c r="Y1255" s="389"/>
      <c r="Z1255" s="389"/>
      <c r="AA1255" s="389"/>
      <c r="AB1255" s="389"/>
      <c r="AC1255" s="389"/>
      <c r="AD1255" s="389"/>
      <c r="AE1255" s="389"/>
      <c r="AF1255" s="389"/>
    </row>
    <row r="1256" spans="1:32" hidden="1" outlineLevel="3">
      <c r="A1256" s="382"/>
      <c r="B1256" s="523" t="s">
        <v>521</v>
      </c>
      <c r="C1256" s="523" t="s">
        <v>521</v>
      </c>
      <c r="D1256" s="524" t="s">
        <v>26</v>
      </c>
      <c r="E1256" s="524" t="s">
        <v>27</v>
      </c>
      <c r="F1256" s="444" t="s">
        <v>282</v>
      </c>
      <c r="G1256" s="525">
        <v>3.8400000000000001E-3</v>
      </c>
      <c r="H1256" s="522"/>
      <c r="I1256" s="525">
        <f>IF(N1256=1,$G1256,"")</f>
        <v>3.8400000000000001E-3</v>
      </c>
      <c r="J1256" s="522"/>
      <c r="K1256" s="522"/>
      <c r="L1256" s="525">
        <f t="shared" si="424"/>
        <v>1</v>
      </c>
      <c r="M1256" s="522"/>
      <c r="N1256" s="522">
        <v>1</v>
      </c>
      <c r="O1256" s="522"/>
      <c r="P1256" s="522"/>
      <c r="Q1256" s="382"/>
      <c r="R1256" s="385" t="str">
        <f t="shared" si="425"/>
        <v>T</v>
      </c>
      <c r="S1256" s="389"/>
      <c r="T1256" s="389"/>
      <c r="U1256" s="389"/>
      <c r="V1256" s="389"/>
      <c r="W1256" s="389"/>
      <c r="X1256" s="389"/>
      <c r="Y1256" s="389"/>
      <c r="Z1256" s="389"/>
      <c r="AA1256" s="389"/>
      <c r="AB1256" s="389"/>
      <c r="AC1256" s="389"/>
      <c r="AD1256" s="389"/>
      <c r="AE1256" s="389"/>
      <c r="AF1256" s="389"/>
    </row>
    <row r="1257" spans="1:32" hidden="1" outlineLevel="3">
      <c r="A1257" s="382"/>
      <c r="B1257" s="523" t="s">
        <v>521</v>
      </c>
      <c r="C1257" s="523" t="s">
        <v>521</v>
      </c>
      <c r="D1257" s="524" t="s">
        <v>26</v>
      </c>
      <c r="E1257" s="524" t="s">
        <v>27</v>
      </c>
      <c r="F1257" s="444" t="s">
        <v>283</v>
      </c>
      <c r="G1257" s="525">
        <v>1.2879820800000002E-2</v>
      </c>
      <c r="H1257" s="522"/>
      <c r="I1257" s="522"/>
      <c r="J1257" s="525">
        <f>IF(O1257=1,$G1257,"")</f>
        <v>1.2879820800000002E-2</v>
      </c>
      <c r="K1257" s="522"/>
      <c r="L1257" s="525">
        <f t="shared" si="424"/>
        <v>1</v>
      </c>
      <c r="M1257" s="522"/>
      <c r="N1257" s="522"/>
      <c r="O1257" s="522">
        <v>1</v>
      </c>
      <c r="P1257" s="522"/>
      <c r="Q1257" s="382"/>
      <c r="R1257" s="385" t="str">
        <f t="shared" si="425"/>
        <v>T</v>
      </c>
      <c r="S1257" s="389"/>
      <c r="T1257" s="389"/>
      <c r="U1257" s="389"/>
      <c r="V1257" s="389"/>
      <c r="W1257" s="389"/>
      <c r="X1257" s="389"/>
      <c r="Y1257" s="389"/>
      <c r="Z1257" s="389"/>
      <c r="AA1257" s="389"/>
      <c r="AB1257" s="389"/>
      <c r="AC1257" s="389"/>
      <c r="AD1257" s="389"/>
      <c r="AE1257" s="389"/>
      <c r="AF1257" s="389"/>
    </row>
    <row r="1258" spans="1:32" hidden="1" outlineLevel="2" collapsed="1">
      <c r="A1258" s="382"/>
      <c r="B1258" s="523" t="s">
        <v>521</v>
      </c>
      <c r="C1258" s="523" t="s">
        <v>521</v>
      </c>
      <c r="D1258" s="524" t="s">
        <v>28</v>
      </c>
      <c r="E1258" s="524"/>
      <c r="F1258" s="444" t="s">
        <v>87</v>
      </c>
      <c r="G1258" s="411">
        <f>SUM(G1259:G1265)</f>
        <v>5.3553916799999997E-2</v>
      </c>
      <c r="H1258" s="411">
        <f>SUM(H1259:H1265)</f>
        <v>1.1274508799999999E-2</v>
      </c>
      <c r="I1258" s="411">
        <f>SUM(I1259:I1265)</f>
        <v>2.5077254399999999E-2</v>
      </c>
      <c r="J1258" s="411">
        <f>SUM(J1259:J1265)</f>
        <v>1.7202153599999999E-2</v>
      </c>
      <c r="K1258" s="411">
        <f>SUM(K1259:K1265)</f>
        <v>0</v>
      </c>
      <c r="L1258" s="411">
        <f t="shared" si="424"/>
        <v>7</v>
      </c>
      <c r="M1258" s="522">
        <f>SUM(M1259:M1265)</f>
        <v>2</v>
      </c>
      <c r="N1258" s="522">
        <f>SUM(N1259:N1265)</f>
        <v>3</v>
      </c>
      <c r="O1258" s="522">
        <f>SUM(O1259:O1265)</f>
        <v>2</v>
      </c>
      <c r="P1258" s="522">
        <f>SUM(P1259:P1265)</f>
        <v>0</v>
      </c>
      <c r="Q1258" s="382"/>
      <c r="R1258" s="385" t="str">
        <f t="shared" si="425"/>
        <v>T</v>
      </c>
      <c r="S1258" s="389"/>
      <c r="T1258" s="389"/>
      <c r="U1258" s="389"/>
      <c r="V1258" s="389"/>
      <c r="W1258" s="389"/>
      <c r="X1258" s="389"/>
      <c r="Y1258" s="389"/>
      <c r="Z1258" s="389"/>
      <c r="AA1258" s="389"/>
      <c r="AB1258" s="389"/>
      <c r="AC1258" s="389"/>
      <c r="AD1258" s="389"/>
      <c r="AE1258" s="389"/>
      <c r="AF1258" s="389"/>
    </row>
    <row r="1259" spans="1:32" hidden="1" outlineLevel="3">
      <c r="A1259" s="382"/>
      <c r="B1259" s="523" t="s">
        <v>521</v>
      </c>
      <c r="C1259" s="523" t="s">
        <v>521</v>
      </c>
      <c r="D1259" s="524" t="s">
        <v>28</v>
      </c>
      <c r="E1259" s="524" t="s">
        <v>29</v>
      </c>
      <c r="F1259" s="444" t="s">
        <v>279</v>
      </c>
      <c r="G1259" s="525">
        <v>5.6372543999999997E-3</v>
      </c>
      <c r="H1259" s="525">
        <f>IF(M1259=1,$G1259,"")</f>
        <v>5.6372543999999997E-3</v>
      </c>
      <c r="I1259" s="522"/>
      <c r="J1259" s="522"/>
      <c r="K1259" s="522"/>
      <c r="L1259" s="525">
        <f t="shared" si="424"/>
        <v>1</v>
      </c>
      <c r="M1259" s="522">
        <v>1</v>
      </c>
      <c r="N1259" s="522"/>
      <c r="O1259" s="522"/>
      <c r="P1259" s="522"/>
      <c r="Q1259" s="382"/>
      <c r="R1259" s="385" t="str">
        <f t="shared" si="425"/>
        <v>T</v>
      </c>
      <c r="S1259" s="389"/>
      <c r="T1259" s="389"/>
      <c r="U1259" s="389"/>
      <c r="V1259" s="389"/>
      <c r="W1259" s="389"/>
      <c r="X1259" s="389"/>
      <c r="Y1259" s="389"/>
      <c r="Z1259" s="389"/>
      <c r="AA1259" s="389"/>
      <c r="AB1259" s="389"/>
      <c r="AC1259" s="389"/>
      <c r="AD1259" s="389"/>
      <c r="AE1259" s="389"/>
      <c r="AF1259" s="389"/>
    </row>
    <row r="1260" spans="1:32" hidden="1" outlineLevel="3">
      <c r="A1260" s="382"/>
      <c r="B1260" s="523" t="s">
        <v>521</v>
      </c>
      <c r="C1260" s="523" t="s">
        <v>521</v>
      </c>
      <c r="D1260" s="524" t="s">
        <v>28</v>
      </c>
      <c r="E1260" s="524" t="s">
        <v>29</v>
      </c>
      <c r="F1260" s="444" t="s">
        <v>33</v>
      </c>
      <c r="G1260" s="525">
        <v>5.6372543999999997E-3</v>
      </c>
      <c r="H1260" s="525">
        <f>IF(M1260=1,$G1260,"")</f>
        <v>5.6372543999999997E-3</v>
      </c>
      <c r="I1260" s="522"/>
      <c r="J1260" s="522"/>
      <c r="K1260" s="522"/>
      <c r="L1260" s="525">
        <f t="shared" si="424"/>
        <v>1</v>
      </c>
      <c r="M1260" s="522">
        <v>1</v>
      </c>
      <c r="N1260" s="522"/>
      <c r="O1260" s="522"/>
      <c r="P1260" s="522"/>
      <c r="Q1260" s="382"/>
      <c r="R1260" s="385" t="str">
        <f t="shared" si="425"/>
        <v>T</v>
      </c>
      <c r="S1260" s="389"/>
      <c r="T1260" s="389"/>
      <c r="U1260" s="389"/>
      <c r="V1260" s="389"/>
      <c r="W1260" s="389"/>
      <c r="X1260" s="389"/>
      <c r="Y1260" s="389"/>
      <c r="Z1260" s="389"/>
      <c r="AA1260" s="389"/>
      <c r="AB1260" s="389"/>
      <c r="AC1260" s="389"/>
      <c r="AD1260" s="389"/>
      <c r="AE1260" s="389"/>
      <c r="AF1260" s="389"/>
    </row>
    <row r="1261" spans="1:32" hidden="1" outlineLevel="3">
      <c r="A1261" s="382"/>
      <c r="B1261" s="523" t="s">
        <v>521</v>
      </c>
      <c r="C1261" s="523" t="s">
        <v>521</v>
      </c>
      <c r="D1261" s="524" t="s">
        <v>28</v>
      </c>
      <c r="E1261" s="524" t="s">
        <v>29</v>
      </c>
      <c r="F1261" s="444" t="s">
        <v>280</v>
      </c>
      <c r="G1261" s="525">
        <v>5.6372543999999997E-3</v>
      </c>
      <c r="H1261" s="525" t="str">
        <f>IF(M1261=1,$G1261,"")</f>
        <v/>
      </c>
      <c r="I1261" s="525">
        <f>IF(N1261=1,$G1261,"")</f>
        <v>5.6372543999999997E-3</v>
      </c>
      <c r="J1261" s="522"/>
      <c r="K1261" s="522"/>
      <c r="L1261" s="525">
        <f t="shared" si="424"/>
        <v>1</v>
      </c>
      <c r="M1261" s="522"/>
      <c r="N1261" s="522">
        <v>1</v>
      </c>
      <c r="O1261" s="522"/>
      <c r="P1261" s="522"/>
      <c r="Q1261" s="382"/>
      <c r="R1261" s="385" t="str">
        <f t="shared" si="425"/>
        <v>T</v>
      </c>
      <c r="S1261" s="389"/>
      <c r="T1261" s="389"/>
      <c r="U1261" s="389"/>
      <c r="V1261" s="389"/>
      <c r="W1261" s="389"/>
      <c r="X1261" s="389"/>
      <c r="Y1261" s="389"/>
      <c r="Z1261" s="389"/>
      <c r="AA1261" s="389"/>
      <c r="AB1261" s="389"/>
      <c r="AC1261" s="389"/>
      <c r="AD1261" s="389"/>
      <c r="AE1261" s="389"/>
      <c r="AF1261" s="389"/>
    </row>
    <row r="1262" spans="1:32" hidden="1" outlineLevel="3">
      <c r="A1262" s="382"/>
      <c r="B1262" s="523" t="s">
        <v>521</v>
      </c>
      <c r="C1262" s="523" t="s">
        <v>521</v>
      </c>
      <c r="D1262" s="524" t="s">
        <v>28</v>
      </c>
      <c r="E1262" s="524" t="s">
        <v>29</v>
      </c>
      <c r="F1262" s="444" t="s">
        <v>281</v>
      </c>
      <c r="G1262" s="525">
        <v>1.0799999999999999E-2</v>
      </c>
      <c r="H1262" s="522"/>
      <c r="I1262" s="525">
        <f>IF(N1262=1,$G1262,"")</f>
        <v>1.0799999999999999E-2</v>
      </c>
      <c r="J1262" s="522"/>
      <c r="K1262" s="522"/>
      <c r="L1262" s="525">
        <f t="shared" si="424"/>
        <v>1</v>
      </c>
      <c r="M1262" s="522"/>
      <c r="N1262" s="522">
        <v>1</v>
      </c>
      <c r="O1262" s="522"/>
      <c r="P1262" s="522"/>
      <c r="Q1262" s="382"/>
      <c r="R1262" s="385" t="str">
        <f t="shared" si="425"/>
        <v>T</v>
      </c>
      <c r="S1262" s="389"/>
      <c r="T1262" s="389"/>
      <c r="U1262" s="389"/>
      <c r="V1262" s="389"/>
      <c r="W1262" s="389"/>
      <c r="X1262" s="389"/>
      <c r="Y1262" s="389"/>
      <c r="Z1262" s="389"/>
      <c r="AA1262" s="389"/>
      <c r="AB1262" s="389"/>
      <c r="AC1262" s="389"/>
      <c r="AD1262" s="389"/>
      <c r="AE1262" s="389"/>
      <c r="AF1262" s="389"/>
    </row>
    <row r="1263" spans="1:32" hidden="1" outlineLevel="3">
      <c r="A1263" s="382"/>
      <c r="B1263" s="523" t="s">
        <v>521</v>
      </c>
      <c r="C1263" s="523" t="s">
        <v>521</v>
      </c>
      <c r="D1263" s="524" t="s">
        <v>28</v>
      </c>
      <c r="E1263" s="524" t="s">
        <v>29</v>
      </c>
      <c r="F1263" s="444" t="s">
        <v>282</v>
      </c>
      <c r="G1263" s="525">
        <v>8.6400000000000001E-3</v>
      </c>
      <c r="H1263" s="522"/>
      <c r="I1263" s="525">
        <f>IF(N1263=1,$G1263,"")</f>
        <v>8.6400000000000001E-3</v>
      </c>
      <c r="J1263" s="522"/>
      <c r="K1263" s="522"/>
      <c r="L1263" s="525">
        <f t="shared" si="424"/>
        <v>1</v>
      </c>
      <c r="M1263" s="522"/>
      <c r="N1263" s="522">
        <v>1</v>
      </c>
      <c r="O1263" s="522"/>
      <c r="P1263" s="522"/>
      <c r="Q1263" s="382"/>
      <c r="R1263" s="385" t="str">
        <f t="shared" si="425"/>
        <v>T</v>
      </c>
      <c r="S1263" s="389"/>
      <c r="T1263" s="389"/>
      <c r="U1263" s="389"/>
      <c r="V1263" s="389"/>
      <c r="W1263" s="389"/>
      <c r="X1263" s="389"/>
      <c r="Y1263" s="389"/>
      <c r="Z1263" s="389"/>
      <c r="AA1263" s="389"/>
      <c r="AB1263" s="389"/>
      <c r="AC1263" s="389"/>
      <c r="AD1263" s="389"/>
      <c r="AE1263" s="389"/>
      <c r="AF1263" s="389"/>
    </row>
    <row r="1264" spans="1:32" hidden="1" outlineLevel="3">
      <c r="A1264" s="382"/>
      <c r="B1264" s="523" t="s">
        <v>521</v>
      </c>
      <c r="C1264" s="523" t="s">
        <v>521</v>
      </c>
      <c r="D1264" s="524" t="s">
        <v>28</v>
      </c>
      <c r="E1264" s="524" t="s">
        <v>29</v>
      </c>
      <c r="F1264" s="444" t="s">
        <v>283</v>
      </c>
      <c r="G1264" s="525">
        <v>8.5621536000000005E-3</v>
      </c>
      <c r="H1264" s="522"/>
      <c r="I1264" s="522"/>
      <c r="J1264" s="525">
        <f>IF(O1264=1,$G1264,"")</f>
        <v>8.5621536000000005E-3</v>
      </c>
      <c r="K1264" s="522"/>
      <c r="L1264" s="525">
        <f t="shared" si="424"/>
        <v>1</v>
      </c>
      <c r="M1264" s="522"/>
      <c r="N1264" s="522"/>
      <c r="O1264" s="522">
        <v>1</v>
      </c>
      <c r="P1264" s="522"/>
      <c r="Q1264" s="382"/>
      <c r="R1264" s="385" t="str">
        <f t="shared" si="425"/>
        <v>T</v>
      </c>
      <c r="S1264" s="389"/>
      <c r="T1264" s="389"/>
      <c r="U1264" s="389"/>
      <c r="V1264" s="389"/>
      <c r="W1264" s="389"/>
      <c r="X1264" s="389"/>
      <c r="Y1264" s="389"/>
      <c r="Z1264" s="389"/>
      <c r="AA1264" s="389"/>
      <c r="AB1264" s="389"/>
      <c r="AC1264" s="389"/>
      <c r="AD1264" s="389"/>
      <c r="AE1264" s="389"/>
      <c r="AF1264" s="389"/>
    </row>
    <row r="1265" spans="1:32" hidden="1" outlineLevel="3">
      <c r="A1265" s="382"/>
      <c r="B1265" s="523" t="s">
        <v>521</v>
      </c>
      <c r="C1265" s="523" t="s">
        <v>521</v>
      </c>
      <c r="D1265" s="524" t="s">
        <v>28</v>
      </c>
      <c r="E1265" s="524" t="s">
        <v>29</v>
      </c>
      <c r="F1265" s="444" t="s">
        <v>284</v>
      </c>
      <c r="G1265" s="525">
        <v>8.6400000000000001E-3</v>
      </c>
      <c r="H1265" s="522"/>
      <c r="I1265" s="522"/>
      <c r="J1265" s="525">
        <f>IF(O1265=1,$G1265,"")</f>
        <v>8.6400000000000001E-3</v>
      </c>
      <c r="K1265" s="522"/>
      <c r="L1265" s="525">
        <f t="shared" si="424"/>
        <v>1</v>
      </c>
      <c r="M1265" s="522"/>
      <c r="N1265" s="522"/>
      <c r="O1265" s="522">
        <v>1</v>
      </c>
      <c r="P1265" s="522"/>
      <c r="Q1265" s="382"/>
      <c r="R1265" s="385" t="str">
        <f t="shared" si="425"/>
        <v>T</v>
      </c>
      <c r="S1265" s="389"/>
      <c r="T1265" s="389"/>
      <c r="U1265" s="389"/>
      <c r="V1265" s="389"/>
      <c r="W1265" s="389"/>
      <c r="X1265" s="389"/>
      <c r="Y1265" s="389"/>
      <c r="Z1265" s="389"/>
      <c r="AA1265" s="389"/>
      <c r="AB1265" s="389"/>
      <c r="AC1265" s="389"/>
      <c r="AD1265" s="389"/>
      <c r="AE1265" s="389"/>
      <c r="AF1265" s="389"/>
    </row>
    <row r="1266" spans="1:32" hidden="1" outlineLevel="2" collapsed="1">
      <c r="A1266" s="382"/>
      <c r="B1266" s="523" t="s">
        <v>521</v>
      </c>
      <c r="C1266" s="523" t="s">
        <v>521</v>
      </c>
      <c r="D1266" s="524" t="s">
        <v>64</v>
      </c>
      <c r="E1266" s="524"/>
      <c r="F1266" s="444" t="s">
        <v>87</v>
      </c>
      <c r="G1266" s="411">
        <f>SUM(G1267:G1271)</f>
        <v>2.9752175999999998E-2</v>
      </c>
      <c r="H1266" s="411">
        <f>SUM(H1267:H1271)</f>
        <v>9.3954239999999994E-3</v>
      </c>
      <c r="I1266" s="411">
        <f>SUM(I1267:I1271)</f>
        <v>1.6331808E-2</v>
      </c>
      <c r="J1266" s="411">
        <f>SUM(J1267:J1271)</f>
        <v>4.0249439999999999E-3</v>
      </c>
      <c r="K1266" s="411">
        <f>SUM(K1267:K1271)</f>
        <v>0</v>
      </c>
      <c r="L1266" s="411">
        <f t="shared" si="424"/>
        <v>5</v>
      </c>
      <c r="M1266" s="522">
        <f>SUM(M1267:M1271)</f>
        <v>2</v>
      </c>
      <c r="N1266" s="522">
        <f>SUM(N1267:N1271)</f>
        <v>2</v>
      </c>
      <c r="O1266" s="522">
        <f>SUM(O1267:O1271)</f>
        <v>1</v>
      </c>
      <c r="P1266" s="522">
        <f>SUM(P1267:P1271)</f>
        <v>0</v>
      </c>
      <c r="Q1266" s="382"/>
      <c r="R1266" s="385" t="str">
        <f t="shared" si="425"/>
        <v>T</v>
      </c>
      <c r="S1266" s="389"/>
      <c r="T1266" s="389"/>
      <c r="U1266" s="389"/>
      <c r="V1266" s="389"/>
      <c r="W1266" s="389"/>
      <c r="X1266" s="389"/>
      <c r="Y1266" s="389"/>
      <c r="Z1266" s="389"/>
      <c r="AA1266" s="389"/>
      <c r="AB1266" s="389"/>
      <c r="AC1266" s="389"/>
      <c r="AD1266" s="389"/>
      <c r="AE1266" s="389"/>
      <c r="AF1266" s="389"/>
    </row>
    <row r="1267" spans="1:32" hidden="1" outlineLevel="3">
      <c r="A1267" s="382"/>
      <c r="B1267" s="523" t="s">
        <v>521</v>
      </c>
      <c r="C1267" s="523" t="s">
        <v>521</v>
      </c>
      <c r="D1267" s="524" t="s">
        <v>64</v>
      </c>
      <c r="E1267" s="524" t="s">
        <v>29</v>
      </c>
      <c r="F1267" s="444" t="s">
        <v>279</v>
      </c>
      <c r="G1267" s="525">
        <v>4.6977119999999997E-3</v>
      </c>
      <c r="H1267" s="525">
        <f>IF(M1267=1,$G1267,"")</f>
        <v>4.6977119999999997E-3</v>
      </c>
      <c r="I1267" s="522"/>
      <c r="J1267" s="522"/>
      <c r="K1267" s="522"/>
      <c r="L1267" s="525">
        <f t="shared" si="424"/>
        <v>1</v>
      </c>
      <c r="M1267" s="522">
        <v>1</v>
      </c>
      <c r="N1267" s="522"/>
      <c r="O1267" s="522"/>
      <c r="P1267" s="522"/>
      <c r="Q1267" s="382"/>
      <c r="R1267" s="385" t="str">
        <f t="shared" si="425"/>
        <v>T</v>
      </c>
      <c r="S1267" s="389"/>
      <c r="T1267" s="389"/>
      <c r="U1267" s="389"/>
      <c r="V1267" s="389"/>
      <c r="W1267" s="389"/>
      <c r="X1267" s="389"/>
      <c r="Y1267" s="389"/>
      <c r="Z1267" s="389"/>
      <c r="AA1267" s="389"/>
      <c r="AB1267" s="389"/>
      <c r="AC1267" s="389"/>
      <c r="AD1267" s="389"/>
      <c r="AE1267" s="389"/>
      <c r="AF1267" s="389"/>
    </row>
    <row r="1268" spans="1:32" hidden="1" outlineLevel="3">
      <c r="A1268" s="382"/>
      <c r="B1268" s="523" t="s">
        <v>521</v>
      </c>
      <c r="C1268" s="523" t="s">
        <v>521</v>
      </c>
      <c r="D1268" s="524" t="s">
        <v>64</v>
      </c>
      <c r="E1268" s="524" t="s">
        <v>29</v>
      </c>
      <c r="F1268" s="444" t="s">
        <v>33</v>
      </c>
      <c r="G1268" s="525">
        <v>4.6977119999999997E-3</v>
      </c>
      <c r="H1268" s="525">
        <f>IF(M1268=1,$G1268,"")</f>
        <v>4.6977119999999997E-3</v>
      </c>
      <c r="I1268" s="522"/>
      <c r="J1268" s="522"/>
      <c r="K1268" s="522"/>
      <c r="L1268" s="525">
        <f t="shared" si="424"/>
        <v>1</v>
      </c>
      <c r="M1268" s="522">
        <v>1</v>
      </c>
      <c r="N1268" s="522"/>
      <c r="O1268" s="522"/>
      <c r="P1268" s="522"/>
      <c r="Q1268" s="382"/>
      <c r="R1268" s="385" t="str">
        <f t="shared" si="425"/>
        <v>T</v>
      </c>
      <c r="S1268" s="389"/>
      <c r="T1268" s="389"/>
      <c r="U1268" s="389"/>
      <c r="V1268" s="389"/>
      <c r="W1268" s="389"/>
      <c r="X1268" s="389"/>
      <c r="Y1268" s="389"/>
      <c r="Z1268" s="389"/>
      <c r="AA1268" s="389"/>
      <c r="AB1268" s="389"/>
      <c r="AC1268" s="389"/>
      <c r="AD1268" s="389"/>
      <c r="AE1268" s="389"/>
      <c r="AF1268" s="389"/>
    </row>
    <row r="1269" spans="1:32" hidden="1" outlineLevel="3">
      <c r="A1269" s="382"/>
      <c r="B1269" s="523" t="s">
        <v>521</v>
      </c>
      <c r="C1269" s="523" t="s">
        <v>521</v>
      </c>
      <c r="D1269" s="524" t="s">
        <v>64</v>
      </c>
      <c r="E1269" s="524" t="s">
        <v>29</v>
      </c>
      <c r="F1269" s="444" t="s">
        <v>280</v>
      </c>
      <c r="G1269" s="525">
        <v>3.1318080000000002E-3</v>
      </c>
      <c r="I1269" s="525">
        <f t="shared" ref="I1269:I1270" si="426">IF(N1269=1,$G1269,"")</f>
        <v>3.1318080000000002E-3</v>
      </c>
      <c r="J1269" s="522"/>
      <c r="K1269" s="522"/>
      <c r="L1269" s="525">
        <f t="shared" si="424"/>
        <v>1</v>
      </c>
      <c r="M1269" s="522"/>
      <c r="N1269" s="522">
        <v>1</v>
      </c>
      <c r="O1269" s="522"/>
      <c r="P1269" s="522"/>
      <c r="Q1269" s="382"/>
      <c r="R1269" s="385" t="str">
        <f t="shared" si="425"/>
        <v>T</v>
      </c>
      <c r="S1269" s="389"/>
      <c r="T1269" s="389"/>
      <c r="U1269" s="389"/>
      <c r="V1269" s="389"/>
      <c r="W1269" s="389"/>
      <c r="X1269" s="389"/>
      <c r="Y1269" s="389"/>
      <c r="Z1269" s="389"/>
      <c r="AA1269" s="389"/>
      <c r="AB1269" s="389"/>
      <c r="AC1269" s="389"/>
      <c r="AD1269" s="389"/>
      <c r="AE1269" s="389"/>
      <c r="AF1269" s="389"/>
    </row>
    <row r="1270" spans="1:32" hidden="1" outlineLevel="3">
      <c r="A1270" s="382"/>
      <c r="B1270" s="523" t="s">
        <v>521</v>
      </c>
      <c r="C1270" s="523" t="s">
        <v>521</v>
      </c>
      <c r="D1270" s="524" t="s">
        <v>64</v>
      </c>
      <c r="E1270" s="524" t="s">
        <v>29</v>
      </c>
      <c r="F1270" s="444" t="s">
        <v>282</v>
      </c>
      <c r="G1270" s="525">
        <v>1.32E-2</v>
      </c>
      <c r="H1270" s="522"/>
      <c r="I1270" s="525">
        <f t="shared" si="426"/>
        <v>1.32E-2</v>
      </c>
      <c r="J1270" s="522"/>
      <c r="K1270" s="522"/>
      <c r="L1270" s="525">
        <f t="shared" si="424"/>
        <v>1</v>
      </c>
      <c r="M1270" s="522"/>
      <c r="N1270" s="522">
        <v>1</v>
      </c>
      <c r="O1270" s="522"/>
      <c r="P1270" s="522"/>
      <c r="Q1270" s="382"/>
      <c r="R1270" s="385" t="str">
        <f t="shared" si="425"/>
        <v>T</v>
      </c>
      <c r="S1270" s="389"/>
      <c r="T1270" s="389"/>
      <c r="U1270" s="389"/>
      <c r="V1270" s="389"/>
      <c r="W1270" s="389"/>
      <c r="X1270" s="389"/>
      <c r="Y1270" s="389"/>
      <c r="Z1270" s="389"/>
      <c r="AA1270" s="389"/>
      <c r="AB1270" s="389"/>
      <c r="AC1270" s="389"/>
      <c r="AD1270" s="389"/>
      <c r="AE1270" s="389"/>
      <c r="AF1270" s="389"/>
    </row>
    <row r="1271" spans="1:32" hidden="1" outlineLevel="3">
      <c r="A1271" s="382"/>
      <c r="B1271" s="523" t="s">
        <v>521</v>
      </c>
      <c r="C1271" s="523" t="s">
        <v>521</v>
      </c>
      <c r="D1271" s="524" t="s">
        <v>64</v>
      </c>
      <c r="E1271" s="524" t="s">
        <v>29</v>
      </c>
      <c r="F1271" s="444" t="s">
        <v>283</v>
      </c>
      <c r="G1271" s="525">
        <v>4.0249439999999999E-3</v>
      </c>
      <c r="H1271" s="522"/>
      <c r="I1271" s="522"/>
      <c r="J1271" s="525">
        <f>IF(O1271=1,$G1271,"")</f>
        <v>4.0249439999999999E-3</v>
      </c>
      <c r="K1271" s="522"/>
      <c r="L1271" s="525">
        <f t="shared" si="424"/>
        <v>1</v>
      </c>
      <c r="M1271" s="522"/>
      <c r="N1271" s="522"/>
      <c r="O1271" s="522">
        <v>1</v>
      </c>
      <c r="P1271" s="522"/>
      <c r="Q1271" s="382"/>
      <c r="R1271" s="385" t="str">
        <f t="shared" si="425"/>
        <v>T</v>
      </c>
      <c r="S1271" s="389"/>
      <c r="T1271" s="389"/>
      <c r="U1271" s="389"/>
      <c r="V1271" s="389"/>
      <c r="W1271" s="389"/>
      <c r="X1271" s="389"/>
      <c r="Y1271" s="389"/>
      <c r="Z1271" s="389"/>
      <c r="AA1271" s="389"/>
      <c r="AB1271" s="389"/>
      <c r="AC1271" s="389"/>
      <c r="AD1271" s="389"/>
      <c r="AE1271" s="389"/>
      <c r="AF1271" s="389"/>
    </row>
    <row r="1272" spans="1:32" s="473" customFormat="1" ht="26.45" outlineLevel="1" collapsed="1">
      <c r="A1272" s="405"/>
      <c r="B1272" s="403" t="s">
        <v>523</v>
      </c>
      <c r="C1272" s="403" t="s">
        <v>524</v>
      </c>
      <c r="D1272" s="403"/>
      <c r="E1272" s="403"/>
      <c r="F1272" s="443" t="s">
        <v>525</v>
      </c>
      <c r="G1272" s="426">
        <f>SUM(G1273,G1280,G1284,G1289)*0</f>
        <v>0</v>
      </c>
      <c r="H1272" s="505">
        <f>SUM(H1273,H1280,H1284,H1289)</f>
        <v>0</v>
      </c>
      <c r="I1272" s="505">
        <f>SUM(I1273,I1280,I1284,I1289)</f>
        <v>0</v>
      </c>
      <c r="J1272" s="427">
        <f>SUM(J1273,J1280,J1284,J1289)</f>
        <v>0</v>
      </c>
      <c r="K1272" s="427">
        <f>SUM(K1273,K1280,K1284,K1289)</f>
        <v>0</v>
      </c>
      <c r="L1272" s="426">
        <f t="shared" si="390"/>
        <v>0</v>
      </c>
      <c r="M1272" s="505">
        <f>SUM(M1273,M1280,M1284,M1289)</f>
        <v>0</v>
      </c>
      <c r="N1272" s="505">
        <f>SUM(N1273,N1280,N1284,N1289)</f>
        <v>0</v>
      </c>
      <c r="O1272" s="427">
        <f>SUM(O1273,O1280,O1284,O1289)</f>
        <v>0</v>
      </c>
      <c r="P1272" s="427">
        <f>SUM(P1273,P1280,P1284,P1289)</f>
        <v>0</v>
      </c>
      <c r="Q1272" s="405"/>
      <c r="R1272" s="471" t="str">
        <f t="shared" si="389"/>
        <v>T</v>
      </c>
      <c r="S1272" s="472" t="s">
        <v>501</v>
      </c>
      <c r="T1272" s="472"/>
      <c r="U1272" s="472"/>
      <c r="V1272" s="472"/>
      <c r="W1272" s="472"/>
      <c r="X1272" s="472"/>
      <c r="Y1272" s="472"/>
      <c r="Z1272" s="472"/>
      <c r="AA1272" s="472"/>
      <c r="AB1272" s="472"/>
      <c r="AC1272" s="472"/>
      <c r="AD1272" s="472"/>
      <c r="AE1272" s="472"/>
      <c r="AF1272" s="472"/>
    </row>
    <row r="1273" spans="1:32" hidden="1" outlineLevel="2" collapsed="1">
      <c r="A1273" s="382"/>
      <c r="B1273" s="382" t="s">
        <v>524</v>
      </c>
      <c r="C1273" s="386" t="s">
        <v>524</v>
      </c>
      <c r="D1273" s="382" t="s">
        <v>18</v>
      </c>
      <c r="E1273" s="386"/>
      <c r="F1273" s="440" t="s">
        <v>506</v>
      </c>
      <c r="G1273" s="387">
        <f>SUM(G1274:G1279)</f>
        <v>4.6748250000000002</v>
      </c>
      <c r="H1273" s="409">
        <f>SUM(H1274:H1279)</f>
        <v>0</v>
      </c>
      <c r="I1273" s="409">
        <f>SUM(I1274:I1279)</f>
        <v>0</v>
      </c>
      <c r="J1273" s="409">
        <f>SUM(J1274:J1279)</f>
        <v>0</v>
      </c>
      <c r="K1273" s="409">
        <f>SUM(K1274:K1279)</f>
        <v>0</v>
      </c>
      <c r="L1273" s="387">
        <f t="shared" si="390"/>
        <v>0</v>
      </c>
      <c r="M1273" s="409">
        <f>SUM(M1274:M1279)</f>
        <v>0</v>
      </c>
      <c r="N1273" s="409">
        <f>SUM(N1274:N1279)</f>
        <v>0</v>
      </c>
      <c r="O1273" s="409">
        <f>SUM(O1274:O1279)</f>
        <v>0</v>
      </c>
      <c r="P1273" s="409">
        <f>SUM(P1274:P1279)</f>
        <v>0</v>
      </c>
      <c r="Q1273" s="382"/>
      <c r="R1273" s="385" t="str">
        <f t="shared" si="389"/>
        <v>T</v>
      </c>
      <c r="S1273" s="389"/>
      <c r="T1273" s="389"/>
      <c r="U1273" s="389"/>
      <c r="V1273" s="389"/>
      <c r="W1273" s="389"/>
      <c r="X1273" s="389"/>
      <c r="Y1273" s="389"/>
      <c r="Z1273" s="389"/>
      <c r="AA1273" s="389"/>
      <c r="AB1273" s="389"/>
      <c r="AC1273" s="389"/>
      <c r="AD1273" s="389"/>
      <c r="AE1273" s="389"/>
      <c r="AF1273" s="389"/>
    </row>
    <row r="1274" spans="1:32" s="473" customFormat="1" hidden="1" outlineLevel="3">
      <c r="A1274" s="405"/>
      <c r="B1274" s="405" t="s">
        <v>524</v>
      </c>
      <c r="C1274" s="404" t="s">
        <v>524</v>
      </c>
      <c r="D1274" s="405" t="s">
        <v>18</v>
      </c>
      <c r="E1274" s="404" t="s">
        <v>144</v>
      </c>
      <c r="F1274" s="448" t="s">
        <v>511</v>
      </c>
      <c r="G1274" s="462">
        <v>1.0388500000000001</v>
      </c>
      <c r="H1274" s="457" t="str">
        <f t="shared" ref="H1274:K1279" si="427">IF(M1274=1,$G1274,"")</f>
        <v/>
      </c>
      <c r="I1274" s="457" t="str">
        <f t="shared" si="427"/>
        <v/>
      </c>
      <c r="J1274" s="457" t="str">
        <f t="shared" si="427"/>
        <v/>
      </c>
      <c r="K1274" s="457" t="str">
        <f t="shared" si="427"/>
        <v/>
      </c>
      <c r="L1274" s="462">
        <f t="shared" si="390"/>
        <v>0</v>
      </c>
      <c r="M1274" s="463"/>
      <c r="N1274" s="463"/>
      <c r="O1274" s="463"/>
      <c r="P1274" s="463"/>
      <c r="Q1274" s="405"/>
      <c r="R1274" s="471" t="str">
        <f t="shared" si="389"/>
        <v>T</v>
      </c>
      <c r="S1274" s="472"/>
      <c r="T1274" s="472"/>
      <c r="U1274" s="472"/>
      <c r="V1274" s="472"/>
      <c r="W1274" s="472"/>
      <c r="X1274" s="472"/>
      <c r="Y1274" s="472"/>
      <c r="Z1274" s="472"/>
      <c r="AA1274" s="472"/>
      <c r="AB1274" s="472"/>
      <c r="AC1274" s="472"/>
      <c r="AD1274" s="472"/>
      <c r="AE1274" s="472"/>
      <c r="AF1274" s="472"/>
    </row>
    <row r="1275" spans="1:32" s="473" customFormat="1" hidden="1" outlineLevel="3">
      <c r="A1275" s="405"/>
      <c r="B1275" s="405" t="s">
        <v>524</v>
      </c>
      <c r="C1275" s="404" t="s">
        <v>524</v>
      </c>
      <c r="D1275" s="405" t="s">
        <v>18</v>
      </c>
      <c r="E1275" s="404" t="s">
        <v>144</v>
      </c>
      <c r="F1275" s="448" t="s">
        <v>32</v>
      </c>
      <c r="G1275" s="462">
        <v>1.0388500000000001</v>
      </c>
      <c r="H1275" s="457" t="str">
        <f t="shared" si="427"/>
        <v/>
      </c>
      <c r="I1275" s="457" t="str">
        <f t="shared" si="427"/>
        <v/>
      </c>
      <c r="J1275" s="457" t="str">
        <f t="shared" si="427"/>
        <v/>
      </c>
      <c r="K1275" s="457" t="str">
        <f t="shared" si="427"/>
        <v/>
      </c>
      <c r="L1275" s="462">
        <f t="shared" si="390"/>
        <v>0</v>
      </c>
      <c r="M1275" s="456"/>
      <c r="N1275" s="456"/>
      <c r="O1275" s="463"/>
      <c r="P1275" s="463"/>
      <c r="Q1275" s="405"/>
      <c r="R1275" s="471" t="str">
        <f t="shared" si="389"/>
        <v>T</v>
      </c>
      <c r="S1275" s="472"/>
      <c r="T1275" s="472"/>
      <c r="U1275" s="472"/>
      <c r="V1275" s="472"/>
      <c r="W1275" s="472"/>
      <c r="X1275" s="472"/>
      <c r="Y1275" s="472"/>
      <c r="Z1275" s="472"/>
      <c r="AA1275" s="472"/>
      <c r="AB1275" s="472"/>
      <c r="AC1275" s="472"/>
      <c r="AD1275" s="472"/>
      <c r="AE1275" s="472"/>
      <c r="AF1275" s="472"/>
    </row>
    <row r="1276" spans="1:32" s="473" customFormat="1" hidden="1" outlineLevel="3">
      <c r="A1276" s="405"/>
      <c r="B1276" s="405" t="s">
        <v>524</v>
      </c>
      <c r="C1276" s="404" t="s">
        <v>524</v>
      </c>
      <c r="D1276" s="405" t="s">
        <v>18</v>
      </c>
      <c r="E1276" s="404" t="s">
        <v>144</v>
      </c>
      <c r="F1276" s="448" t="s">
        <v>454</v>
      </c>
      <c r="G1276" s="462">
        <v>0.51942500000000003</v>
      </c>
      <c r="H1276" s="457" t="str">
        <f t="shared" si="427"/>
        <v/>
      </c>
      <c r="I1276" s="457" t="str">
        <f t="shared" si="427"/>
        <v/>
      </c>
      <c r="J1276" s="457" t="str">
        <f t="shared" si="427"/>
        <v/>
      </c>
      <c r="K1276" s="457" t="str">
        <f t="shared" si="427"/>
        <v/>
      </c>
      <c r="L1276" s="462">
        <f t="shared" si="390"/>
        <v>0</v>
      </c>
      <c r="M1276" s="456"/>
      <c r="N1276" s="456"/>
      <c r="O1276" s="463"/>
      <c r="P1276" s="463"/>
      <c r="Q1276" s="405"/>
      <c r="R1276" s="471" t="str">
        <f t="shared" si="389"/>
        <v>T</v>
      </c>
      <c r="S1276" s="472"/>
      <c r="T1276" s="472"/>
      <c r="U1276" s="472"/>
      <c r="V1276" s="472"/>
      <c r="W1276" s="472"/>
      <c r="X1276" s="472"/>
      <c r="Y1276" s="472"/>
      <c r="Z1276" s="472"/>
      <c r="AA1276" s="472"/>
      <c r="AB1276" s="472"/>
      <c r="AC1276" s="472"/>
      <c r="AD1276" s="472"/>
      <c r="AE1276" s="472"/>
      <c r="AF1276" s="472"/>
    </row>
    <row r="1277" spans="1:32" s="473" customFormat="1" hidden="1" outlineLevel="3">
      <c r="A1277" s="405"/>
      <c r="B1277" s="405" t="s">
        <v>524</v>
      </c>
      <c r="C1277" s="404" t="s">
        <v>524</v>
      </c>
      <c r="D1277" s="405" t="s">
        <v>18</v>
      </c>
      <c r="E1277" s="404" t="s">
        <v>144</v>
      </c>
      <c r="F1277" s="448" t="s">
        <v>455</v>
      </c>
      <c r="G1277" s="462">
        <v>1.0388500000000001</v>
      </c>
      <c r="H1277" s="457" t="str">
        <f t="shared" si="427"/>
        <v/>
      </c>
      <c r="I1277" s="457" t="str">
        <f t="shared" si="427"/>
        <v/>
      </c>
      <c r="J1277" s="457" t="str">
        <f t="shared" si="427"/>
        <v/>
      </c>
      <c r="K1277" s="457" t="str">
        <f t="shared" si="427"/>
        <v/>
      </c>
      <c r="L1277" s="462">
        <f t="shared" si="390"/>
        <v>0</v>
      </c>
      <c r="M1277" s="456"/>
      <c r="N1277" s="456"/>
      <c r="O1277" s="463"/>
      <c r="P1277" s="463"/>
      <c r="Q1277" s="405"/>
      <c r="R1277" s="471" t="str">
        <f t="shared" si="389"/>
        <v>T</v>
      </c>
      <c r="S1277" s="472"/>
      <c r="T1277" s="472"/>
      <c r="U1277" s="472"/>
      <c r="V1277" s="472"/>
      <c r="W1277" s="472"/>
      <c r="X1277" s="472"/>
      <c r="Y1277" s="472"/>
      <c r="Z1277" s="472"/>
      <c r="AA1277" s="472"/>
      <c r="AB1277" s="472"/>
      <c r="AC1277" s="472"/>
      <c r="AD1277" s="472"/>
      <c r="AE1277" s="472"/>
      <c r="AF1277" s="472"/>
    </row>
    <row r="1278" spans="1:32" s="473" customFormat="1" hidden="1" outlineLevel="3">
      <c r="A1278" s="405"/>
      <c r="B1278" s="405" t="s">
        <v>524</v>
      </c>
      <c r="C1278" s="404" t="s">
        <v>524</v>
      </c>
      <c r="D1278" s="405" t="s">
        <v>18</v>
      </c>
      <c r="E1278" s="404" t="s">
        <v>144</v>
      </c>
      <c r="F1278" s="448" t="s">
        <v>335</v>
      </c>
      <c r="G1278" s="462">
        <v>0.51942500000000003</v>
      </c>
      <c r="H1278" s="457" t="str">
        <f t="shared" si="427"/>
        <v/>
      </c>
      <c r="I1278" s="457" t="str">
        <f t="shared" si="427"/>
        <v/>
      </c>
      <c r="J1278" s="457" t="str">
        <f t="shared" si="427"/>
        <v/>
      </c>
      <c r="K1278" s="457" t="str">
        <f t="shared" si="427"/>
        <v/>
      </c>
      <c r="L1278" s="462">
        <f t="shared" si="390"/>
        <v>0</v>
      </c>
      <c r="M1278" s="456"/>
      <c r="N1278" s="456"/>
      <c r="O1278" s="463"/>
      <c r="P1278" s="463"/>
      <c r="Q1278" s="405"/>
      <c r="R1278" s="471" t="str">
        <f t="shared" si="389"/>
        <v>T</v>
      </c>
      <c r="S1278" s="472"/>
      <c r="T1278" s="472"/>
      <c r="U1278" s="472"/>
      <c r="V1278" s="472"/>
      <c r="W1278" s="472"/>
      <c r="X1278" s="472"/>
      <c r="Y1278" s="472"/>
      <c r="Z1278" s="472"/>
      <c r="AA1278" s="472"/>
      <c r="AB1278" s="472"/>
      <c r="AC1278" s="472"/>
      <c r="AD1278" s="472"/>
      <c r="AE1278" s="472"/>
      <c r="AF1278" s="472"/>
    </row>
    <row r="1279" spans="1:32" s="473" customFormat="1" hidden="1" outlineLevel="3">
      <c r="A1279" s="405"/>
      <c r="B1279" s="405" t="s">
        <v>524</v>
      </c>
      <c r="C1279" s="404" t="s">
        <v>524</v>
      </c>
      <c r="D1279" s="405" t="s">
        <v>18</v>
      </c>
      <c r="E1279" s="404" t="s">
        <v>144</v>
      </c>
      <c r="F1279" s="448" t="s">
        <v>197</v>
      </c>
      <c r="G1279" s="462">
        <v>0.51942500000000003</v>
      </c>
      <c r="H1279" s="457" t="str">
        <f t="shared" si="427"/>
        <v/>
      </c>
      <c r="I1279" s="457" t="str">
        <f t="shared" si="427"/>
        <v/>
      </c>
      <c r="J1279" s="457" t="str">
        <f t="shared" si="427"/>
        <v/>
      </c>
      <c r="K1279" s="457" t="str">
        <f t="shared" si="427"/>
        <v/>
      </c>
      <c r="L1279" s="462">
        <f t="shared" si="390"/>
        <v>0</v>
      </c>
      <c r="M1279" s="456"/>
      <c r="N1279" s="456"/>
      <c r="O1279" s="463"/>
      <c r="P1279" s="463"/>
      <c r="Q1279" s="405"/>
      <c r="R1279" s="471" t="str">
        <f t="shared" si="389"/>
        <v>T</v>
      </c>
      <c r="S1279" s="472"/>
      <c r="T1279" s="472"/>
      <c r="U1279" s="472"/>
      <c r="V1279" s="472"/>
      <c r="W1279" s="472"/>
      <c r="X1279" s="472"/>
      <c r="Y1279" s="472"/>
      <c r="Z1279" s="472"/>
      <c r="AA1279" s="472"/>
      <c r="AB1279" s="472"/>
      <c r="AC1279" s="472"/>
      <c r="AD1279" s="472"/>
      <c r="AE1279" s="472"/>
      <c r="AF1279" s="472"/>
    </row>
    <row r="1280" spans="1:32" hidden="1" outlineLevel="2" collapsed="1">
      <c r="A1280" s="382"/>
      <c r="B1280" s="382" t="s">
        <v>524</v>
      </c>
      <c r="C1280" s="386" t="s">
        <v>524</v>
      </c>
      <c r="D1280" s="382" t="s">
        <v>26</v>
      </c>
      <c r="E1280" s="382"/>
      <c r="F1280" s="440" t="s">
        <v>470</v>
      </c>
      <c r="G1280" s="387">
        <f>SUM(G1281:G1283)</f>
        <v>0.88094479999999997</v>
      </c>
      <c r="H1280" s="409">
        <f>SUM(H1281:H1283)</f>
        <v>0</v>
      </c>
      <c r="I1280" s="409">
        <f>SUM(I1281:I1283)</f>
        <v>0</v>
      </c>
      <c r="J1280" s="409">
        <f>SUM(J1281:J1283)</f>
        <v>0</v>
      </c>
      <c r="K1280" s="409">
        <f>SUM(K1281:K1283)</f>
        <v>0</v>
      </c>
      <c r="L1280" s="387">
        <f t="shared" si="390"/>
        <v>0</v>
      </c>
      <c r="M1280" s="409">
        <f>SUM(M1281:M1283)</f>
        <v>0</v>
      </c>
      <c r="N1280" s="409">
        <f>SUM(N1281:N1283)</f>
        <v>0</v>
      </c>
      <c r="O1280" s="409">
        <f>SUM(O1281:O1283)</f>
        <v>0</v>
      </c>
      <c r="P1280" s="409">
        <f>SUM(P1281:P1283)</f>
        <v>0</v>
      </c>
      <c r="Q1280" s="382"/>
      <c r="R1280" s="385" t="str">
        <f t="shared" si="389"/>
        <v>T</v>
      </c>
      <c r="S1280" s="389"/>
      <c r="T1280" s="389"/>
      <c r="U1280" s="389"/>
      <c r="V1280" s="389"/>
      <c r="W1280" s="389"/>
      <c r="X1280" s="389"/>
      <c r="Y1280" s="389"/>
      <c r="Z1280" s="389"/>
      <c r="AA1280" s="389"/>
      <c r="AB1280" s="389"/>
      <c r="AC1280" s="389"/>
      <c r="AD1280" s="389"/>
      <c r="AE1280" s="389"/>
      <c r="AF1280" s="389"/>
    </row>
    <row r="1281" spans="1:32" hidden="1" outlineLevel="3">
      <c r="A1281" s="382"/>
      <c r="B1281" s="382" t="s">
        <v>524</v>
      </c>
      <c r="C1281" s="386" t="s">
        <v>524</v>
      </c>
      <c r="D1281" s="382" t="s">
        <v>26</v>
      </c>
      <c r="E1281" s="382" t="s">
        <v>27</v>
      </c>
      <c r="F1281" s="440" t="s">
        <v>32</v>
      </c>
      <c r="G1281" s="387">
        <v>0.33035429999999999</v>
      </c>
      <c r="H1281" s="411" t="str">
        <f t="shared" ref="H1281:K1283" si="428">IF(M1281=1,$G1281,"")</f>
        <v/>
      </c>
      <c r="I1281" s="411" t="str">
        <f t="shared" si="428"/>
        <v/>
      </c>
      <c r="J1281" s="411" t="str">
        <f t="shared" si="428"/>
        <v/>
      </c>
      <c r="K1281" s="411" t="str">
        <f t="shared" si="428"/>
        <v/>
      </c>
      <c r="L1281" s="387">
        <f>SUM(M1281:P1281)</f>
        <v>0</v>
      </c>
      <c r="M1281" s="388"/>
      <c r="N1281" s="388"/>
      <c r="O1281" s="388"/>
      <c r="P1281" s="409"/>
      <c r="Q1281" s="382"/>
      <c r="R1281" s="385" t="str">
        <f>IF(SUM(M1281:P1281)=L1281,"T","F")</f>
        <v>T</v>
      </c>
      <c r="S1281" s="389"/>
      <c r="T1281" s="389"/>
      <c r="U1281" s="389"/>
      <c r="V1281" s="389"/>
      <c r="W1281" s="389"/>
      <c r="X1281" s="389"/>
      <c r="Y1281" s="389"/>
      <c r="Z1281" s="389"/>
      <c r="AA1281" s="389"/>
      <c r="AB1281" s="389"/>
      <c r="AC1281" s="389"/>
      <c r="AD1281" s="389"/>
      <c r="AE1281" s="389"/>
      <c r="AF1281" s="389"/>
    </row>
    <row r="1282" spans="1:32" hidden="1" outlineLevel="3">
      <c r="A1282" s="382"/>
      <c r="B1282" s="382" t="s">
        <v>524</v>
      </c>
      <c r="C1282" s="386" t="s">
        <v>524</v>
      </c>
      <c r="D1282" s="382" t="s">
        <v>26</v>
      </c>
      <c r="E1282" s="382" t="s">
        <v>27</v>
      </c>
      <c r="F1282" s="440" t="s">
        <v>34</v>
      </c>
      <c r="G1282" s="387">
        <v>0.44047239999999999</v>
      </c>
      <c r="H1282" s="411" t="str">
        <f t="shared" si="428"/>
        <v/>
      </c>
      <c r="I1282" s="411" t="str">
        <f t="shared" si="428"/>
        <v/>
      </c>
      <c r="J1282" s="411" t="str">
        <f t="shared" si="428"/>
        <v/>
      </c>
      <c r="K1282" s="411" t="str">
        <f t="shared" si="428"/>
        <v/>
      </c>
      <c r="L1282" s="387">
        <f>SUM(M1282:P1282)</f>
        <v>0</v>
      </c>
      <c r="M1282" s="388"/>
      <c r="N1282" s="388"/>
      <c r="O1282" s="388"/>
      <c r="P1282" s="409"/>
      <c r="Q1282" s="382"/>
      <c r="R1282" s="385" t="str">
        <f>IF(SUM(M1282:P1282)=L1282,"T","F")</f>
        <v>T</v>
      </c>
      <c r="S1282" s="389"/>
      <c r="T1282" s="389"/>
      <c r="U1282" s="389"/>
      <c r="V1282" s="389"/>
      <c r="W1282" s="389"/>
      <c r="X1282" s="389"/>
      <c r="Y1282" s="389"/>
      <c r="Z1282" s="389"/>
      <c r="AA1282" s="389"/>
      <c r="AB1282" s="389"/>
      <c r="AC1282" s="389"/>
      <c r="AD1282" s="389"/>
      <c r="AE1282" s="389"/>
      <c r="AF1282" s="389"/>
    </row>
    <row r="1283" spans="1:32" hidden="1" outlineLevel="3">
      <c r="A1283" s="382"/>
      <c r="B1283" s="382" t="s">
        <v>524</v>
      </c>
      <c r="C1283" s="386" t="s">
        <v>524</v>
      </c>
      <c r="D1283" s="382" t="s">
        <v>26</v>
      </c>
      <c r="E1283" s="382" t="s">
        <v>27</v>
      </c>
      <c r="F1283" s="440" t="s">
        <v>197</v>
      </c>
      <c r="G1283" s="387">
        <v>0.1101181</v>
      </c>
      <c r="H1283" s="411" t="str">
        <f t="shared" si="428"/>
        <v/>
      </c>
      <c r="I1283" s="411" t="str">
        <f t="shared" si="428"/>
        <v/>
      </c>
      <c r="J1283" s="411" t="str">
        <f t="shared" si="428"/>
        <v/>
      </c>
      <c r="K1283" s="411" t="str">
        <f t="shared" si="428"/>
        <v/>
      </c>
      <c r="L1283" s="387">
        <f>SUM(M1283:P1283)</f>
        <v>0</v>
      </c>
      <c r="M1283" s="388"/>
      <c r="N1283" s="388"/>
      <c r="O1283" s="388"/>
      <c r="P1283" s="409"/>
      <c r="Q1283" s="382"/>
      <c r="R1283" s="385" t="str">
        <f>IF(SUM(M1283:P1283)=L1283,"T","F")</f>
        <v>T</v>
      </c>
      <c r="S1283" s="389"/>
      <c r="T1283" s="389"/>
      <c r="U1283" s="389"/>
      <c r="V1283" s="389"/>
      <c r="W1283" s="389"/>
      <c r="X1283" s="389"/>
      <c r="Y1283" s="389"/>
      <c r="Z1283" s="389"/>
      <c r="AA1283" s="389"/>
      <c r="AB1283" s="389"/>
      <c r="AC1283" s="389"/>
      <c r="AD1283" s="389"/>
      <c r="AE1283" s="389"/>
      <c r="AF1283" s="389"/>
    </row>
    <row r="1284" spans="1:32" hidden="1" outlineLevel="2" collapsed="1">
      <c r="A1284" s="382"/>
      <c r="B1284" s="382" t="s">
        <v>524</v>
      </c>
      <c r="C1284" s="386" t="s">
        <v>524</v>
      </c>
      <c r="D1284" s="382" t="s">
        <v>28</v>
      </c>
      <c r="E1284" s="382"/>
      <c r="F1284" s="440" t="s">
        <v>507</v>
      </c>
      <c r="G1284" s="387">
        <f>SUM(G1285:G1288)</f>
        <v>0.36775290000000005</v>
      </c>
      <c r="H1284" s="409">
        <f>SUM(H1285:H1288)</f>
        <v>0</v>
      </c>
      <c r="I1284" s="409">
        <f>SUM(I1285:I1288)</f>
        <v>0</v>
      </c>
      <c r="J1284" s="409">
        <f>SUM(J1285:J1288)</f>
        <v>0</v>
      </c>
      <c r="K1284" s="409">
        <f>SUM(K1285:K1288)</f>
        <v>0</v>
      </c>
      <c r="L1284" s="387">
        <f t="shared" si="390"/>
        <v>0</v>
      </c>
      <c r="M1284" s="409">
        <f>SUM(M1285:M1288)</f>
        <v>0</v>
      </c>
      <c r="N1284" s="409">
        <f>SUM(N1285:N1288)</f>
        <v>0</v>
      </c>
      <c r="O1284" s="409">
        <f>SUM(O1285:O1288)</f>
        <v>0</v>
      </c>
      <c r="P1284" s="409">
        <f>SUM(P1285:P1288)</f>
        <v>0</v>
      </c>
      <c r="Q1284" s="382"/>
      <c r="R1284" s="385" t="str">
        <f t="shared" si="389"/>
        <v>T</v>
      </c>
      <c r="S1284" s="389"/>
      <c r="T1284" s="389"/>
      <c r="U1284" s="389"/>
      <c r="V1284" s="389"/>
      <c r="W1284" s="389"/>
      <c r="X1284" s="389"/>
      <c r="Y1284" s="389"/>
      <c r="Z1284" s="389"/>
      <c r="AA1284" s="389"/>
      <c r="AB1284" s="389"/>
      <c r="AC1284" s="389"/>
      <c r="AD1284" s="389"/>
      <c r="AE1284" s="389"/>
      <c r="AF1284" s="389"/>
    </row>
    <row r="1285" spans="1:32" hidden="1" outlineLevel="3">
      <c r="A1285" s="382"/>
      <c r="B1285" s="382" t="s">
        <v>524</v>
      </c>
      <c r="C1285" s="386" t="s">
        <v>524</v>
      </c>
      <c r="D1285" s="382" t="s">
        <v>28</v>
      </c>
      <c r="E1285" s="382" t="s">
        <v>29</v>
      </c>
      <c r="F1285" s="440" t="s">
        <v>32</v>
      </c>
      <c r="G1285" s="387">
        <v>0.12258430000000001</v>
      </c>
      <c r="H1285" s="411" t="str">
        <f t="shared" ref="H1285:K1288" si="429">IF(M1285=1,$G1285,"")</f>
        <v/>
      </c>
      <c r="I1285" s="411" t="str">
        <f t="shared" si="429"/>
        <v/>
      </c>
      <c r="J1285" s="411" t="str">
        <f t="shared" si="429"/>
        <v/>
      </c>
      <c r="K1285" s="411" t="str">
        <f t="shared" si="429"/>
        <v/>
      </c>
      <c r="L1285" s="387">
        <f t="shared" si="390"/>
        <v>0</v>
      </c>
      <c r="M1285" s="388"/>
      <c r="N1285" s="388"/>
      <c r="O1285" s="388"/>
      <c r="P1285" s="388"/>
      <c r="Q1285" s="382"/>
      <c r="R1285" s="385" t="str">
        <f t="shared" si="389"/>
        <v>T</v>
      </c>
      <c r="S1285" s="389"/>
      <c r="T1285" s="389"/>
      <c r="U1285" s="389"/>
      <c r="V1285" s="389"/>
      <c r="W1285" s="389"/>
      <c r="X1285" s="389"/>
      <c r="Y1285" s="389"/>
      <c r="Z1285" s="389"/>
      <c r="AA1285" s="389"/>
      <c r="AB1285" s="389"/>
      <c r="AC1285" s="389"/>
      <c r="AD1285" s="389"/>
      <c r="AE1285" s="389"/>
      <c r="AF1285" s="389"/>
    </row>
    <row r="1286" spans="1:32" hidden="1" outlineLevel="3">
      <c r="A1286" s="382"/>
      <c r="B1286" s="382" t="s">
        <v>524</v>
      </c>
      <c r="C1286" s="386" t="s">
        <v>524</v>
      </c>
      <c r="D1286" s="382" t="s">
        <v>28</v>
      </c>
      <c r="E1286" s="382" t="s">
        <v>29</v>
      </c>
      <c r="F1286" s="440" t="s">
        <v>33</v>
      </c>
      <c r="G1286" s="387">
        <v>6.1292150000000004E-2</v>
      </c>
      <c r="H1286" s="411" t="str">
        <f t="shared" si="429"/>
        <v/>
      </c>
      <c r="I1286" s="411" t="str">
        <f t="shared" si="429"/>
        <v/>
      </c>
      <c r="J1286" s="411" t="str">
        <f t="shared" si="429"/>
        <v/>
      </c>
      <c r="K1286" s="411" t="str">
        <f t="shared" si="429"/>
        <v/>
      </c>
      <c r="L1286" s="387">
        <f t="shared" si="390"/>
        <v>0</v>
      </c>
      <c r="M1286" s="388"/>
      <c r="N1286" s="388"/>
      <c r="O1286" s="388"/>
      <c r="P1286" s="388"/>
      <c r="Q1286" s="382"/>
      <c r="R1286" s="385" t="str">
        <f t="shared" si="389"/>
        <v>T</v>
      </c>
      <c r="S1286" s="389"/>
      <c r="T1286" s="389"/>
      <c r="U1286" s="389"/>
      <c r="V1286" s="389"/>
      <c r="W1286" s="389"/>
      <c r="X1286" s="389"/>
      <c r="Y1286" s="389"/>
      <c r="Z1286" s="389"/>
      <c r="AA1286" s="389"/>
      <c r="AB1286" s="389"/>
      <c r="AC1286" s="389"/>
      <c r="AD1286" s="389"/>
      <c r="AE1286" s="389"/>
      <c r="AF1286" s="389"/>
    </row>
    <row r="1287" spans="1:32" hidden="1" outlineLevel="3">
      <c r="A1287" s="382"/>
      <c r="B1287" s="382" t="s">
        <v>524</v>
      </c>
      <c r="C1287" s="386" t="s">
        <v>524</v>
      </c>
      <c r="D1287" s="382" t="s">
        <v>28</v>
      </c>
      <c r="E1287" s="382" t="s">
        <v>29</v>
      </c>
      <c r="F1287" s="440" t="s">
        <v>34</v>
      </c>
      <c r="G1287" s="387">
        <v>0.12258430000000001</v>
      </c>
      <c r="H1287" s="411" t="str">
        <f t="shared" si="429"/>
        <v/>
      </c>
      <c r="I1287" s="411" t="str">
        <f t="shared" si="429"/>
        <v/>
      </c>
      <c r="J1287" s="411" t="str">
        <f t="shared" si="429"/>
        <v/>
      </c>
      <c r="K1287" s="411" t="str">
        <f t="shared" si="429"/>
        <v/>
      </c>
      <c r="L1287" s="387">
        <f t="shared" si="390"/>
        <v>0</v>
      </c>
      <c r="M1287" s="388"/>
      <c r="N1287" s="388"/>
      <c r="O1287" s="388"/>
      <c r="P1287" s="388"/>
      <c r="Q1287" s="382"/>
      <c r="R1287" s="385" t="str">
        <f t="shared" si="389"/>
        <v>T</v>
      </c>
      <c r="S1287" s="389"/>
      <c r="T1287" s="389"/>
      <c r="U1287" s="389"/>
      <c r="V1287" s="389"/>
      <c r="W1287" s="389"/>
      <c r="X1287" s="389"/>
      <c r="Y1287" s="389"/>
      <c r="Z1287" s="389"/>
      <c r="AA1287" s="389"/>
      <c r="AB1287" s="389"/>
      <c r="AC1287" s="389"/>
      <c r="AD1287" s="389"/>
      <c r="AE1287" s="389"/>
      <c r="AF1287" s="389"/>
    </row>
    <row r="1288" spans="1:32" hidden="1" outlineLevel="3">
      <c r="A1288" s="382"/>
      <c r="B1288" s="382" t="s">
        <v>524</v>
      </c>
      <c r="C1288" s="386" t="s">
        <v>524</v>
      </c>
      <c r="D1288" s="382" t="s">
        <v>28</v>
      </c>
      <c r="E1288" s="382" t="s">
        <v>29</v>
      </c>
      <c r="F1288" s="440" t="s">
        <v>197</v>
      </c>
      <c r="G1288" s="387">
        <v>6.1292150000000004E-2</v>
      </c>
      <c r="H1288" s="411" t="str">
        <f t="shared" si="429"/>
        <v/>
      </c>
      <c r="I1288" s="411" t="str">
        <f t="shared" si="429"/>
        <v/>
      </c>
      <c r="J1288" s="411" t="str">
        <f t="shared" si="429"/>
        <v/>
      </c>
      <c r="K1288" s="411" t="str">
        <f t="shared" si="429"/>
        <v/>
      </c>
      <c r="L1288" s="387">
        <f t="shared" si="390"/>
        <v>0</v>
      </c>
      <c r="M1288" s="388"/>
      <c r="N1288" s="388"/>
      <c r="O1288" s="388"/>
      <c r="P1288" s="388"/>
      <c r="Q1288" s="382"/>
      <c r="R1288" s="385" t="str">
        <f t="shared" si="389"/>
        <v>T</v>
      </c>
      <c r="S1288" s="389"/>
      <c r="T1288" s="389"/>
      <c r="U1288" s="389"/>
      <c r="V1288" s="389"/>
      <c r="W1288" s="389"/>
      <c r="X1288" s="389"/>
      <c r="Y1288" s="389"/>
      <c r="Z1288" s="389"/>
      <c r="AA1288" s="389"/>
      <c r="AB1288" s="389"/>
      <c r="AC1288" s="389"/>
      <c r="AD1288" s="389"/>
      <c r="AE1288" s="389"/>
      <c r="AF1288" s="389"/>
    </row>
    <row r="1289" spans="1:32" hidden="1" outlineLevel="2" collapsed="1">
      <c r="A1289" s="382"/>
      <c r="B1289" s="382" t="s">
        <v>524</v>
      </c>
      <c r="C1289" s="386" t="s">
        <v>524</v>
      </c>
      <c r="D1289" s="382" t="s">
        <v>64</v>
      </c>
      <c r="E1289" s="382"/>
      <c r="F1289" s="440" t="s">
        <v>507</v>
      </c>
      <c r="G1289" s="387">
        <f>SUM(G1290:G1293)</f>
        <v>0.27425640000000001</v>
      </c>
      <c r="H1289" s="409">
        <f>SUM(H1290:H1293)</f>
        <v>0</v>
      </c>
      <c r="I1289" s="409">
        <f>SUM(I1290:I1293)</f>
        <v>0</v>
      </c>
      <c r="J1289" s="409">
        <f>SUM(J1290:J1293)</f>
        <v>0</v>
      </c>
      <c r="K1289" s="409">
        <f>SUM(K1290:K1293)</f>
        <v>0</v>
      </c>
      <c r="L1289" s="387">
        <f t="shared" si="390"/>
        <v>0</v>
      </c>
      <c r="M1289" s="409">
        <f>SUM(M1290:M1293)</f>
        <v>0</v>
      </c>
      <c r="N1289" s="409">
        <f>SUM(N1290:N1293)</f>
        <v>0</v>
      </c>
      <c r="O1289" s="409">
        <f>SUM(O1290:O1293)</f>
        <v>0</v>
      </c>
      <c r="P1289" s="409">
        <f>SUM(P1290:P1293)</f>
        <v>0</v>
      </c>
      <c r="Q1289" s="382"/>
      <c r="R1289" s="385" t="str">
        <f t="shared" si="389"/>
        <v>T</v>
      </c>
      <c r="S1289" s="389"/>
      <c r="T1289" s="389"/>
      <c r="U1289" s="389"/>
      <c r="V1289" s="389"/>
      <c r="W1289" s="389"/>
      <c r="X1289" s="389"/>
      <c r="Y1289" s="389"/>
      <c r="Z1289" s="389"/>
      <c r="AA1289" s="389"/>
      <c r="AB1289" s="389"/>
      <c r="AC1289" s="389"/>
      <c r="AD1289" s="389"/>
      <c r="AE1289" s="389"/>
      <c r="AF1289" s="389"/>
    </row>
    <row r="1290" spans="1:32" hidden="1" outlineLevel="3">
      <c r="A1290" s="382"/>
      <c r="B1290" s="382" t="s">
        <v>524</v>
      </c>
      <c r="C1290" s="386" t="s">
        <v>524</v>
      </c>
      <c r="D1290" s="382" t="s">
        <v>64</v>
      </c>
      <c r="E1290" s="382" t="s">
        <v>29</v>
      </c>
      <c r="F1290" s="440" t="s">
        <v>32</v>
      </c>
      <c r="G1290" s="387">
        <v>0.10284615000000001</v>
      </c>
      <c r="H1290" s="388"/>
      <c r="I1290" s="388"/>
      <c r="J1290" s="388"/>
      <c r="K1290" s="388"/>
      <c r="L1290" s="387">
        <f t="shared" si="390"/>
        <v>0</v>
      </c>
      <c r="M1290" s="388"/>
      <c r="N1290" s="388"/>
      <c r="O1290" s="388"/>
      <c r="P1290" s="388"/>
      <c r="Q1290" s="382"/>
      <c r="R1290" s="385" t="str">
        <f t="shared" si="389"/>
        <v>T</v>
      </c>
      <c r="S1290" s="389"/>
      <c r="T1290" s="389"/>
      <c r="U1290" s="389"/>
      <c r="V1290" s="389"/>
      <c r="W1290" s="389"/>
      <c r="X1290" s="389"/>
      <c r="Y1290" s="389"/>
      <c r="Z1290" s="389"/>
      <c r="AA1290" s="389"/>
      <c r="AB1290" s="389"/>
      <c r="AC1290" s="389"/>
      <c r="AD1290" s="389"/>
      <c r="AE1290" s="389"/>
      <c r="AF1290" s="389"/>
    </row>
    <row r="1291" spans="1:32" hidden="1" outlineLevel="3">
      <c r="A1291" s="382"/>
      <c r="B1291" s="382" t="s">
        <v>524</v>
      </c>
      <c r="C1291" s="386" t="s">
        <v>524</v>
      </c>
      <c r="D1291" s="382" t="s">
        <v>64</v>
      </c>
      <c r="E1291" s="382" t="s">
        <v>29</v>
      </c>
      <c r="F1291" s="440" t="s">
        <v>33</v>
      </c>
      <c r="G1291" s="387">
        <v>3.4282050000000001E-2</v>
      </c>
      <c r="H1291" s="388"/>
      <c r="I1291" s="388"/>
      <c r="J1291" s="388"/>
      <c r="K1291" s="388"/>
      <c r="L1291" s="387">
        <f t="shared" si="390"/>
        <v>0</v>
      </c>
      <c r="M1291" s="388"/>
      <c r="N1291" s="388"/>
      <c r="O1291" s="388"/>
      <c r="P1291" s="388"/>
      <c r="Q1291" s="382"/>
      <c r="R1291" s="385" t="str">
        <f t="shared" si="389"/>
        <v>T</v>
      </c>
      <c r="S1291" s="389"/>
      <c r="T1291" s="389"/>
      <c r="U1291" s="389"/>
      <c r="V1291" s="389"/>
      <c r="W1291" s="389"/>
      <c r="X1291" s="389"/>
      <c r="Y1291" s="389"/>
      <c r="Z1291" s="389"/>
      <c r="AA1291" s="389"/>
      <c r="AB1291" s="389"/>
      <c r="AC1291" s="389"/>
      <c r="AD1291" s="389"/>
      <c r="AE1291" s="389"/>
      <c r="AF1291" s="389"/>
    </row>
    <row r="1292" spans="1:32" hidden="1" outlineLevel="3">
      <c r="A1292" s="382"/>
      <c r="B1292" s="382" t="s">
        <v>524</v>
      </c>
      <c r="C1292" s="386" t="s">
        <v>524</v>
      </c>
      <c r="D1292" s="382" t="s">
        <v>64</v>
      </c>
      <c r="E1292" s="382" t="s">
        <v>29</v>
      </c>
      <c r="F1292" s="440" t="s">
        <v>34</v>
      </c>
      <c r="G1292" s="387">
        <v>0.10284615000000001</v>
      </c>
      <c r="H1292" s="388"/>
      <c r="I1292" s="388"/>
      <c r="J1292" s="388"/>
      <c r="K1292" s="388"/>
      <c r="L1292" s="387">
        <f t="shared" si="390"/>
        <v>0</v>
      </c>
      <c r="M1292" s="388"/>
      <c r="N1292" s="388"/>
      <c r="O1292" s="388"/>
      <c r="P1292" s="388"/>
      <c r="Q1292" s="382"/>
      <c r="R1292" s="385" t="str">
        <f t="shared" si="389"/>
        <v>T</v>
      </c>
      <c r="S1292" s="389"/>
      <c r="T1292" s="389"/>
      <c r="U1292" s="389"/>
      <c r="V1292" s="389"/>
      <c r="W1292" s="389"/>
      <c r="X1292" s="389"/>
      <c r="Y1292" s="389"/>
      <c r="Z1292" s="389"/>
      <c r="AA1292" s="389"/>
      <c r="AB1292" s="389"/>
      <c r="AC1292" s="389"/>
      <c r="AD1292" s="389"/>
      <c r="AE1292" s="389"/>
      <c r="AF1292" s="389"/>
    </row>
    <row r="1293" spans="1:32" hidden="1" outlineLevel="3">
      <c r="A1293" s="382"/>
      <c r="B1293" s="382" t="s">
        <v>524</v>
      </c>
      <c r="C1293" s="386" t="s">
        <v>524</v>
      </c>
      <c r="D1293" s="382" t="s">
        <v>64</v>
      </c>
      <c r="E1293" s="382" t="s">
        <v>29</v>
      </c>
      <c r="F1293" s="440" t="s">
        <v>197</v>
      </c>
      <c r="G1293" s="387">
        <v>3.4282050000000001E-2</v>
      </c>
      <c r="H1293" s="388"/>
      <c r="I1293" s="388"/>
      <c r="J1293" s="388"/>
      <c r="K1293" s="388"/>
      <c r="L1293" s="387">
        <f t="shared" si="390"/>
        <v>0</v>
      </c>
      <c r="M1293" s="388"/>
      <c r="N1293" s="388"/>
      <c r="O1293" s="388"/>
      <c r="P1293" s="388"/>
      <c r="Q1293" s="382"/>
      <c r="R1293" s="385" t="str">
        <f t="shared" si="389"/>
        <v>T</v>
      </c>
      <c r="S1293" s="389"/>
      <c r="T1293" s="389"/>
      <c r="U1293" s="389"/>
      <c r="V1293" s="389"/>
      <c r="W1293" s="389"/>
      <c r="X1293" s="389"/>
      <c r="Y1293" s="389"/>
      <c r="Z1293" s="389"/>
      <c r="AA1293" s="389"/>
      <c r="AB1293" s="389"/>
      <c r="AC1293" s="389"/>
      <c r="AD1293" s="389"/>
      <c r="AE1293" s="389"/>
      <c r="AF1293" s="389"/>
    </row>
    <row r="1294" spans="1:32" s="508" customFormat="1" outlineLevel="1" collapsed="1">
      <c r="A1294" s="425"/>
      <c r="B1294" s="403" t="s">
        <v>526</v>
      </c>
      <c r="C1294" s="403" t="s">
        <v>527</v>
      </c>
      <c r="D1294" s="403"/>
      <c r="E1294" s="403"/>
      <c r="F1294" s="443" t="s">
        <v>528</v>
      </c>
      <c r="G1294" s="469">
        <f>(G1295+G1300+G1304+G1307+G1311)*0</f>
        <v>0</v>
      </c>
      <c r="H1294" s="505">
        <f>H1295+H1300+H1304+H1307+H1311</f>
        <v>0</v>
      </c>
      <c r="I1294" s="505">
        <f>I1295+I1300+I1304+I1307+I1311</f>
        <v>0</v>
      </c>
      <c r="J1294" s="505">
        <f>J1295+J1300+J1304+J1307+J1311</f>
        <v>0</v>
      </c>
      <c r="K1294" s="505">
        <f>K1295+K1300+K1304+K1307+K1311</f>
        <v>0</v>
      </c>
      <c r="L1294" s="469">
        <f t="shared" ref="L1294:L1314" si="430">SUM(M1294:P1294)</f>
        <v>0</v>
      </c>
      <c r="M1294" s="505">
        <f>M1295+M1300+M1304+M1307+M1311</f>
        <v>0</v>
      </c>
      <c r="N1294" s="505">
        <f>N1295+N1300+N1304+N1307+N1311</f>
        <v>0</v>
      </c>
      <c r="O1294" s="505">
        <f>O1295+O1300+O1304+O1307+O1311</f>
        <v>0</v>
      </c>
      <c r="P1294" s="505">
        <f>P1295+P1300+P1304+P1307+P1311</f>
        <v>0</v>
      </c>
      <c r="Q1294" s="425"/>
      <c r="R1294" s="506" t="str">
        <f t="shared" ref="R1294:R1300" si="431">IF(SUM(M1294:P1294)=L1294,"T","F")</f>
        <v>T</v>
      </c>
      <c r="S1294" s="507" t="s">
        <v>529</v>
      </c>
      <c r="T1294" s="507"/>
      <c r="U1294" s="507"/>
      <c r="V1294" s="507"/>
      <c r="W1294" s="507"/>
      <c r="X1294" s="507"/>
      <c r="Y1294" s="507"/>
      <c r="Z1294" s="507"/>
      <c r="AA1294" s="507"/>
      <c r="AB1294" s="507"/>
      <c r="AC1294" s="507"/>
      <c r="AD1294" s="507"/>
      <c r="AE1294" s="507"/>
      <c r="AF1294" s="507"/>
    </row>
    <row r="1295" spans="1:32" s="508" customFormat="1" hidden="1" outlineLevel="2" collapsed="1">
      <c r="A1295" s="425"/>
      <c r="B1295" s="425" t="s">
        <v>526</v>
      </c>
      <c r="C1295" s="403" t="s">
        <v>530</v>
      </c>
      <c r="D1295" s="425" t="s">
        <v>18</v>
      </c>
      <c r="E1295" s="425"/>
      <c r="F1295" s="443" t="s">
        <v>531</v>
      </c>
      <c r="G1295" s="469">
        <f>SUM(G1296:G1298)</f>
        <v>0</v>
      </c>
      <c r="H1295" s="427">
        <f>SUM(H1296:H1298)</f>
        <v>0</v>
      </c>
      <c r="I1295" s="427">
        <f>SUM(I1296:I1299)</f>
        <v>0</v>
      </c>
      <c r="J1295" s="427">
        <f>SUM(J1296:J1298)</f>
        <v>0</v>
      </c>
      <c r="K1295" s="427">
        <f>SUM(K1296:K1298)</f>
        <v>0</v>
      </c>
      <c r="L1295" s="469">
        <f t="shared" si="430"/>
        <v>0</v>
      </c>
      <c r="M1295" s="427">
        <f>SUM(M1296:M1298)</f>
        <v>0</v>
      </c>
      <c r="N1295" s="427">
        <f>SUM(N1296:N1299)</f>
        <v>0</v>
      </c>
      <c r="O1295" s="427">
        <f>SUM(O1296:O1298)</f>
        <v>0</v>
      </c>
      <c r="P1295" s="427">
        <f>SUM(P1296:P1298)</f>
        <v>0</v>
      </c>
      <c r="Q1295" s="425"/>
      <c r="R1295" s="506" t="str">
        <f t="shared" si="431"/>
        <v>T</v>
      </c>
      <c r="S1295" s="507"/>
      <c r="T1295" s="507"/>
      <c r="U1295" s="507"/>
      <c r="V1295" s="507"/>
      <c r="W1295" s="507"/>
      <c r="X1295" s="507"/>
      <c r="Y1295" s="507"/>
      <c r="Z1295" s="507"/>
      <c r="AA1295" s="507"/>
      <c r="AB1295" s="507"/>
      <c r="AC1295" s="507"/>
      <c r="AD1295" s="507"/>
      <c r="AE1295" s="507"/>
      <c r="AF1295" s="507"/>
    </row>
    <row r="1296" spans="1:32" s="508" customFormat="1" hidden="1" outlineLevel="3">
      <c r="A1296" s="425"/>
      <c r="B1296" s="425" t="s">
        <v>526</v>
      </c>
      <c r="C1296" s="403" t="s">
        <v>530</v>
      </c>
      <c r="D1296" s="425" t="s">
        <v>18</v>
      </c>
      <c r="E1296" s="425" t="s">
        <v>144</v>
      </c>
      <c r="F1296" s="443" t="s">
        <v>334</v>
      </c>
      <c r="G1296" s="469">
        <f>12.64*0</f>
        <v>0</v>
      </c>
      <c r="H1296" s="470"/>
      <c r="I1296" s="470"/>
      <c r="J1296" s="470"/>
      <c r="K1296" s="470"/>
      <c r="L1296" s="469">
        <f t="shared" si="430"/>
        <v>0</v>
      </c>
      <c r="M1296" s="470"/>
      <c r="N1296" s="470"/>
      <c r="O1296" s="470"/>
      <c r="P1296" s="470"/>
      <c r="Q1296" s="425"/>
      <c r="R1296" s="506" t="str">
        <f t="shared" si="431"/>
        <v>T</v>
      </c>
      <c r="S1296" s="507"/>
      <c r="T1296" s="507"/>
      <c r="U1296" s="507"/>
      <c r="V1296" s="507"/>
      <c r="W1296" s="507"/>
      <c r="X1296" s="507"/>
      <c r="Y1296" s="507"/>
      <c r="Z1296" s="507"/>
      <c r="AA1296" s="507"/>
      <c r="AB1296" s="507"/>
      <c r="AC1296" s="507"/>
      <c r="AD1296" s="507"/>
      <c r="AE1296" s="507"/>
      <c r="AF1296" s="507"/>
    </row>
    <row r="1297" spans="1:32" s="508" customFormat="1" hidden="1" outlineLevel="3">
      <c r="A1297" s="425"/>
      <c r="B1297" s="425" t="s">
        <v>526</v>
      </c>
      <c r="C1297" s="403" t="s">
        <v>530</v>
      </c>
      <c r="D1297" s="425" t="s">
        <v>18</v>
      </c>
      <c r="E1297" s="425" t="s">
        <v>144</v>
      </c>
      <c r="F1297" s="443" t="s">
        <v>32</v>
      </c>
      <c r="G1297" s="469">
        <f>12.64*0</f>
        <v>0</v>
      </c>
      <c r="H1297" s="470"/>
      <c r="I1297" s="470"/>
      <c r="J1297" s="470"/>
      <c r="K1297" s="470"/>
      <c r="L1297" s="469">
        <f t="shared" si="430"/>
        <v>0</v>
      </c>
      <c r="M1297" s="470"/>
      <c r="N1297" s="470"/>
      <c r="O1297" s="470"/>
      <c r="P1297" s="470"/>
      <c r="Q1297" s="425"/>
      <c r="R1297" s="506" t="str">
        <f t="shared" si="431"/>
        <v>T</v>
      </c>
      <c r="S1297" s="507"/>
      <c r="T1297" s="507"/>
      <c r="U1297" s="507"/>
      <c r="V1297" s="507"/>
      <c r="W1297" s="507"/>
      <c r="X1297" s="507"/>
      <c r="Y1297" s="507"/>
      <c r="Z1297" s="507"/>
      <c r="AA1297" s="507"/>
      <c r="AB1297" s="507"/>
      <c r="AC1297" s="507"/>
      <c r="AD1297" s="507"/>
      <c r="AE1297" s="507"/>
      <c r="AF1297" s="507"/>
    </row>
    <row r="1298" spans="1:32" s="508" customFormat="1" hidden="1" outlineLevel="3">
      <c r="A1298" s="425"/>
      <c r="B1298" s="425" t="s">
        <v>526</v>
      </c>
      <c r="C1298" s="403" t="s">
        <v>530</v>
      </c>
      <c r="D1298" s="425" t="s">
        <v>18</v>
      </c>
      <c r="E1298" s="425" t="s">
        <v>144</v>
      </c>
      <c r="F1298" s="443" t="s">
        <v>33</v>
      </c>
      <c r="G1298" s="469">
        <f>6.32*0</f>
        <v>0</v>
      </c>
      <c r="H1298" s="470"/>
      <c r="I1298" s="470"/>
      <c r="J1298" s="470"/>
      <c r="K1298" s="470"/>
      <c r="L1298" s="469">
        <f t="shared" si="430"/>
        <v>0</v>
      </c>
      <c r="M1298" s="470"/>
      <c r="N1298" s="470"/>
      <c r="O1298" s="470"/>
      <c r="P1298" s="470"/>
      <c r="Q1298" s="425"/>
      <c r="R1298" s="506" t="str">
        <f t="shared" si="431"/>
        <v>T</v>
      </c>
      <c r="S1298" s="507"/>
      <c r="T1298" s="507"/>
      <c r="U1298" s="507"/>
      <c r="V1298" s="507"/>
      <c r="W1298" s="507"/>
      <c r="X1298" s="507"/>
      <c r="Y1298" s="507"/>
      <c r="Z1298" s="507"/>
      <c r="AA1298" s="507"/>
      <c r="AB1298" s="507"/>
      <c r="AC1298" s="507"/>
      <c r="AD1298" s="507"/>
      <c r="AE1298" s="507"/>
      <c r="AF1298" s="507"/>
    </row>
    <row r="1299" spans="1:32" s="508" customFormat="1" hidden="1" outlineLevel="3">
      <c r="A1299" s="425"/>
      <c r="B1299" s="425" t="s">
        <v>526</v>
      </c>
      <c r="C1299" s="403" t="s">
        <v>530</v>
      </c>
      <c r="D1299" s="425" t="s">
        <v>18</v>
      </c>
      <c r="E1299" s="425" t="s">
        <v>144</v>
      </c>
      <c r="F1299" s="443" t="s">
        <v>34</v>
      </c>
      <c r="G1299" s="469">
        <f>12.64*0</f>
        <v>0</v>
      </c>
      <c r="H1299" s="470"/>
      <c r="I1299" s="470"/>
      <c r="J1299" s="470"/>
      <c r="K1299" s="470"/>
      <c r="L1299" s="469">
        <f t="shared" si="430"/>
        <v>0</v>
      </c>
      <c r="M1299" s="470"/>
      <c r="N1299" s="470"/>
      <c r="O1299" s="470"/>
      <c r="P1299" s="470"/>
      <c r="Q1299" s="425"/>
      <c r="R1299" s="506" t="str">
        <f t="shared" si="431"/>
        <v>T</v>
      </c>
      <c r="S1299" s="507"/>
      <c r="T1299" s="507"/>
      <c r="U1299" s="507"/>
      <c r="V1299" s="507"/>
      <c r="W1299" s="507"/>
      <c r="X1299" s="507"/>
      <c r="Y1299" s="507"/>
      <c r="Z1299" s="507"/>
      <c r="AA1299" s="507"/>
      <c r="AB1299" s="507"/>
      <c r="AC1299" s="507"/>
      <c r="AD1299" s="507"/>
      <c r="AE1299" s="507"/>
      <c r="AF1299" s="507"/>
    </row>
    <row r="1300" spans="1:32" s="508" customFormat="1" hidden="1" outlineLevel="2" collapsed="1">
      <c r="A1300" s="425"/>
      <c r="B1300" s="425" t="s">
        <v>526</v>
      </c>
      <c r="C1300" s="403" t="s">
        <v>532</v>
      </c>
      <c r="D1300" s="425" t="s">
        <v>18</v>
      </c>
      <c r="E1300" s="425"/>
      <c r="F1300" s="443" t="s">
        <v>533</v>
      </c>
      <c r="G1300" s="469">
        <f>SUM(G1301:G1303)</f>
        <v>0</v>
      </c>
      <c r="H1300" s="427">
        <f>SUM(H1301:H1303)</f>
        <v>0</v>
      </c>
      <c r="I1300" s="427">
        <f>SUM(I1301:I1303)</f>
        <v>0</v>
      </c>
      <c r="J1300" s="427">
        <f>SUM(J1301:J1303)</f>
        <v>0</v>
      </c>
      <c r="K1300" s="427">
        <f>SUM(K1301:K1303)</f>
        <v>0</v>
      </c>
      <c r="L1300" s="469">
        <f t="shared" si="430"/>
        <v>0</v>
      </c>
      <c r="M1300" s="427">
        <f>SUM(M1301:M1303)</f>
        <v>0</v>
      </c>
      <c r="N1300" s="427">
        <f>SUM(N1301:N1303)</f>
        <v>0</v>
      </c>
      <c r="O1300" s="427">
        <f>SUM(O1301:O1303)</f>
        <v>0</v>
      </c>
      <c r="P1300" s="427">
        <f>SUM(P1301:P1303)</f>
        <v>0</v>
      </c>
      <c r="Q1300" s="425"/>
      <c r="R1300" s="506" t="str">
        <f t="shared" si="431"/>
        <v>T</v>
      </c>
      <c r="S1300" s="507"/>
      <c r="T1300" s="507"/>
      <c r="U1300" s="507"/>
      <c r="V1300" s="507"/>
      <c r="W1300" s="507"/>
      <c r="X1300" s="507"/>
      <c r="Y1300" s="507"/>
      <c r="Z1300" s="507"/>
      <c r="AA1300" s="507"/>
      <c r="AB1300" s="507"/>
      <c r="AC1300" s="507"/>
      <c r="AD1300" s="507"/>
      <c r="AE1300" s="507"/>
      <c r="AF1300" s="507"/>
    </row>
    <row r="1301" spans="1:32" s="508" customFormat="1" hidden="1" outlineLevel="3">
      <c r="A1301" s="425"/>
      <c r="B1301" s="425" t="s">
        <v>526</v>
      </c>
      <c r="C1301" s="403" t="s">
        <v>532</v>
      </c>
      <c r="D1301" s="425" t="s">
        <v>18</v>
      </c>
      <c r="E1301" s="425" t="s">
        <v>72</v>
      </c>
      <c r="F1301" s="443" t="s">
        <v>334</v>
      </c>
      <c r="G1301" s="469">
        <f>1.4*0</f>
        <v>0</v>
      </c>
      <c r="H1301" s="470"/>
      <c r="I1301" s="470"/>
      <c r="J1301" s="470"/>
      <c r="K1301" s="470"/>
      <c r="L1301" s="469">
        <f t="shared" si="430"/>
        <v>0</v>
      </c>
      <c r="M1301" s="470"/>
      <c r="N1301" s="470"/>
      <c r="O1301" s="470"/>
      <c r="P1301" s="470"/>
      <c r="Q1301" s="425"/>
      <c r="R1301" s="506" t="str">
        <f t="shared" ref="R1301:R1314" si="432">IF(SUM(M1301:P1301)=L1301,"T","F")</f>
        <v>T</v>
      </c>
      <c r="S1301" s="507"/>
      <c r="T1301" s="507"/>
      <c r="U1301" s="507"/>
      <c r="V1301" s="507"/>
      <c r="W1301" s="507"/>
      <c r="X1301" s="507"/>
      <c r="Y1301" s="507"/>
      <c r="Z1301" s="507"/>
      <c r="AA1301" s="507"/>
      <c r="AB1301" s="507"/>
      <c r="AC1301" s="507"/>
      <c r="AD1301" s="507"/>
      <c r="AE1301" s="507"/>
      <c r="AF1301" s="507"/>
    </row>
    <row r="1302" spans="1:32" s="508" customFormat="1" hidden="1" outlineLevel="3">
      <c r="A1302" s="425"/>
      <c r="B1302" s="425" t="s">
        <v>526</v>
      </c>
      <c r="C1302" s="403" t="s">
        <v>532</v>
      </c>
      <c r="D1302" s="425" t="s">
        <v>18</v>
      </c>
      <c r="E1302" s="425" t="s">
        <v>72</v>
      </c>
      <c r="F1302" s="443" t="s">
        <v>32</v>
      </c>
      <c r="G1302" s="469">
        <f>2.81*0</f>
        <v>0</v>
      </c>
      <c r="H1302" s="470"/>
      <c r="I1302" s="470"/>
      <c r="J1302" s="470"/>
      <c r="K1302" s="470"/>
      <c r="L1302" s="469">
        <f t="shared" si="430"/>
        <v>0</v>
      </c>
      <c r="M1302" s="470"/>
      <c r="N1302" s="470"/>
      <c r="O1302" s="470"/>
      <c r="P1302" s="470"/>
      <c r="Q1302" s="425"/>
      <c r="R1302" s="506" t="str">
        <f>IF(SUM(M1302:P1302)=L1302,"T","F")</f>
        <v>T</v>
      </c>
      <c r="S1302" s="507"/>
      <c r="T1302" s="507"/>
      <c r="U1302" s="507"/>
      <c r="V1302" s="507"/>
      <c r="W1302" s="507"/>
      <c r="X1302" s="507"/>
      <c r="Y1302" s="507"/>
      <c r="Z1302" s="507"/>
      <c r="AA1302" s="507"/>
      <c r="AB1302" s="507"/>
      <c r="AC1302" s="507"/>
      <c r="AD1302" s="507"/>
      <c r="AE1302" s="507"/>
      <c r="AF1302" s="507"/>
    </row>
    <row r="1303" spans="1:32" s="508" customFormat="1" hidden="1" outlineLevel="3">
      <c r="A1303" s="425"/>
      <c r="B1303" s="425" t="s">
        <v>526</v>
      </c>
      <c r="C1303" s="403" t="s">
        <v>532</v>
      </c>
      <c r="D1303" s="425" t="s">
        <v>18</v>
      </c>
      <c r="E1303" s="425" t="s">
        <v>72</v>
      </c>
      <c r="F1303" s="443" t="s">
        <v>34</v>
      </c>
      <c r="G1303" s="469">
        <f>4.21*0</f>
        <v>0</v>
      </c>
      <c r="H1303" s="470"/>
      <c r="I1303" s="470"/>
      <c r="J1303" s="470"/>
      <c r="K1303" s="470"/>
      <c r="L1303" s="469">
        <f t="shared" si="430"/>
        <v>0</v>
      </c>
      <c r="M1303" s="470"/>
      <c r="N1303" s="470"/>
      <c r="O1303" s="470"/>
      <c r="P1303" s="470"/>
      <c r="Q1303" s="425"/>
      <c r="R1303" s="506" t="str">
        <f t="shared" si="432"/>
        <v>T</v>
      </c>
      <c r="S1303" s="507"/>
      <c r="T1303" s="507"/>
      <c r="U1303" s="507"/>
      <c r="V1303" s="507"/>
      <c r="W1303" s="507"/>
      <c r="X1303" s="507"/>
      <c r="Y1303" s="507"/>
      <c r="Z1303" s="507"/>
      <c r="AA1303" s="507"/>
      <c r="AB1303" s="507"/>
      <c r="AC1303" s="507"/>
      <c r="AD1303" s="507"/>
      <c r="AE1303" s="507"/>
      <c r="AF1303" s="507"/>
    </row>
    <row r="1304" spans="1:32" s="508" customFormat="1" hidden="1" outlineLevel="2" collapsed="1">
      <c r="A1304" s="425"/>
      <c r="B1304" s="425" t="s">
        <v>526</v>
      </c>
      <c r="C1304" s="403" t="s">
        <v>527</v>
      </c>
      <c r="D1304" s="425" t="s">
        <v>26</v>
      </c>
      <c r="E1304" s="425"/>
      <c r="F1304" s="443" t="s">
        <v>534</v>
      </c>
      <c r="G1304" s="469">
        <f>SUM(G1305:G1306)</f>
        <v>0</v>
      </c>
      <c r="H1304" s="427">
        <f>SUM(H1305:H1306)</f>
        <v>0</v>
      </c>
      <c r="I1304" s="427">
        <f>SUM(I1305:I1306)</f>
        <v>0</v>
      </c>
      <c r="J1304" s="427">
        <f>SUM(J1305:J1306)</f>
        <v>0</v>
      </c>
      <c r="K1304" s="427">
        <f>SUM(K1305:K1306)</f>
        <v>0</v>
      </c>
      <c r="L1304" s="469">
        <f t="shared" si="430"/>
        <v>0</v>
      </c>
      <c r="M1304" s="427">
        <f>SUM(M1305:M1306)</f>
        <v>0</v>
      </c>
      <c r="N1304" s="427">
        <f>SUM(N1305:N1306)</f>
        <v>0</v>
      </c>
      <c r="O1304" s="427">
        <f>SUM(O1305:O1306)</f>
        <v>0</v>
      </c>
      <c r="P1304" s="427">
        <f>SUM(P1305:P1306)</f>
        <v>0</v>
      </c>
      <c r="Q1304" s="425"/>
      <c r="R1304" s="506" t="str">
        <f t="shared" si="432"/>
        <v>T</v>
      </c>
      <c r="S1304" s="507"/>
      <c r="T1304" s="507"/>
      <c r="U1304" s="507"/>
      <c r="V1304" s="507"/>
      <c r="W1304" s="507"/>
      <c r="X1304" s="507"/>
      <c r="Y1304" s="507"/>
      <c r="Z1304" s="507"/>
      <c r="AA1304" s="507"/>
      <c r="AB1304" s="507"/>
      <c r="AC1304" s="507"/>
      <c r="AD1304" s="507"/>
      <c r="AE1304" s="507"/>
      <c r="AF1304" s="507"/>
    </row>
    <row r="1305" spans="1:32" s="508" customFormat="1" hidden="1" outlineLevel="3" collapsed="1">
      <c r="A1305" s="425"/>
      <c r="B1305" s="425" t="s">
        <v>526</v>
      </c>
      <c r="C1305" s="403" t="s">
        <v>527</v>
      </c>
      <c r="D1305" s="425" t="s">
        <v>26</v>
      </c>
      <c r="E1305" s="425" t="s">
        <v>27</v>
      </c>
      <c r="F1305" s="443" t="s">
        <v>32</v>
      </c>
      <c r="G1305" s="469">
        <f>4.91*0</f>
        <v>0</v>
      </c>
      <c r="H1305" s="470"/>
      <c r="I1305" s="470"/>
      <c r="J1305" s="470"/>
      <c r="K1305" s="470"/>
      <c r="L1305" s="469">
        <f t="shared" si="430"/>
        <v>0</v>
      </c>
      <c r="M1305" s="470"/>
      <c r="N1305" s="470"/>
      <c r="O1305" s="470"/>
      <c r="P1305" s="470"/>
      <c r="Q1305" s="425"/>
      <c r="R1305" s="506" t="str">
        <f>IF(SUM(M1305:P1305)=L1305,"T","F")</f>
        <v>T</v>
      </c>
      <c r="S1305" s="507"/>
      <c r="T1305" s="507"/>
      <c r="U1305" s="507"/>
      <c r="V1305" s="507"/>
      <c r="W1305" s="507"/>
      <c r="X1305" s="507"/>
      <c r="Y1305" s="507"/>
      <c r="Z1305" s="507"/>
      <c r="AA1305" s="507"/>
      <c r="AB1305" s="507"/>
      <c r="AC1305" s="507"/>
      <c r="AD1305" s="507"/>
      <c r="AE1305" s="507"/>
      <c r="AF1305" s="507"/>
    </row>
    <row r="1306" spans="1:32" s="508" customFormat="1" hidden="1" outlineLevel="3">
      <c r="A1306" s="425"/>
      <c r="B1306" s="425" t="s">
        <v>526</v>
      </c>
      <c r="C1306" s="403" t="s">
        <v>527</v>
      </c>
      <c r="D1306" s="425" t="s">
        <v>26</v>
      </c>
      <c r="E1306" s="425" t="s">
        <v>27</v>
      </c>
      <c r="F1306" s="443" t="s">
        <v>34</v>
      </c>
      <c r="G1306" s="469">
        <f>6.85*0</f>
        <v>0</v>
      </c>
      <c r="H1306" s="470"/>
      <c r="I1306" s="470"/>
      <c r="J1306" s="470"/>
      <c r="K1306" s="470"/>
      <c r="L1306" s="469">
        <f t="shared" si="430"/>
        <v>0</v>
      </c>
      <c r="M1306" s="470"/>
      <c r="N1306" s="470"/>
      <c r="O1306" s="470"/>
      <c r="P1306" s="470"/>
      <c r="Q1306" s="425"/>
      <c r="R1306" s="506" t="str">
        <f t="shared" si="432"/>
        <v>T</v>
      </c>
      <c r="S1306" s="507"/>
      <c r="T1306" s="507"/>
      <c r="U1306" s="507"/>
      <c r="V1306" s="507"/>
      <c r="W1306" s="507"/>
      <c r="X1306" s="507"/>
      <c r="Y1306" s="507"/>
      <c r="Z1306" s="507"/>
      <c r="AA1306" s="507"/>
      <c r="AB1306" s="507"/>
      <c r="AC1306" s="507"/>
      <c r="AD1306" s="507"/>
      <c r="AE1306" s="507"/>
      <c r="AF1306" s="507"/>
    </row>
    <row r="1307" spans="1:32" s="508" customFormat="1" hidden="1" outlineLevel="2" collapsed="1">
      <c r="A1307" s="425"/>
      <c r="B1307" s="425" t="s">
        <v>526</v>
      </c>
      <c r="C1307" s="403" t="s">
        <v>527</v>
      </c>
      <c r="D1307" s="425" t="s">
        <v>28</v>
      </c>
      <c r="E1307" s="425"/>
      <c r="F1307" s="443" t="s">
        <v>535</v>
      </c>
      <c r="G1307" s="426">
        <f>SUM(G1308:G1310)</f>
        <v>0</v>
      </c>
      <c r="H1307" s="427">
        <f>SUM(H1308:H1310)</f>
        <v>0</v>
      </c>
      <c r="I1307" s="427">
        <f>SUM(I1308:I1310)</f>
        <v>0</v>
      </c>
      <c r="J1307" s="427">
        <f>SUM(J1308:J1310)</f>
        <v>0</v>
      </c>
      <c r="K1307" s="427">
        <f>SUM(K1308:K1310)</f>
        <v>0</v>
      </c>
      <c r="L1307" s="426">
        <f t="shared" si="430"/>
        <v>0</v>
      </c>
      <c r="M1307" s="427">
        <f>SUM(M1308:M1310)</f>
        <v>0</v>
      </c>
      <c r="N1307" s="427">
        <f>SUM(N1308:N1310)</f>
        <v>0</v>
      </c>
      <c r="O1307" s="427">
        <f>SUM(O1308:O1310)</f>
        <v>0</v>
      </c>
      <c r="P1307" s="427">
        <f>SUM(P1308:P1310)</f>
        <v>0</v>
      </c>
      <c r="Q1307" s="425"/>
      <c r="R1307" s="506" t="str">
        <f t="shared" si="432"/>
        <v>T</v>
      </c>
      <c r="S1307" s="507"/>
      <c r="T1307" s="507"/>
      <c r="U1307" s="507"/>
      <c r="V1307" s="507"/>
      <c r="W1307" s="507"/>
      <c r="X1307" s="507"/>
      <c r="Y1307" s="507"/>
      <c r="Z1307" s="507"/>
      <c r="AA1307" s="507"/>
      <c r="AB1307" s="507"/>
      <c r="AC1307" s="507"/>
      <c r="AD1307" s="507"/>
      <c r="AE1307" s="507"/>
      <c r="AF1307" s="507"/>
    </row>
    <row r="1308" spans="1:32" s="508" customFormat="1" hidden="1" outlineLevel="3">
      <c r="A1308" s="425"/>
      <c r="B1308" s="425" t="s">
        <v>526</v>
      </c>
      <c r="C1308" s="403" t="s">
        <v>527</v>
      </c>
      <c r="D1308" s="425" t="s">
        <v>28</v>
      </c>
      <c r="E1308" s="425" t="s">
        <v>29</v>
      </c>
      <c r="F1308" s="443" t="s">
        <v>32</v>
      </c>
      <c r="G1308" s="469">
        <f>1.823231287449*0</f>
        <v>0</v>
      </c>
      <c r="H1308" s="470"/>
      <c r="I1308" s="470"/>
      <c r="J1308" s="470"/>
      <c r="K1308" s="470"/>
      <c r="L1308" s="469">
        <f t="shared" si="430"/>
        <v>0</v>
      </c>
      <c r="M1308" s="470"/>
      <c r="N1308" s="470"/>
      <c r="O1308" s="470"/>
      <c r="P1308" s="470"/>
      <c r="Q1308" s="425"/>
      <c r="R1308" s="506" t="str">
        <f t="shared" si="432"/>
        <v>T</v>
      </c>
      <c r="S1308" s="507"/>
      <c r="T1308" s="507"/>
      <c r="U1308" s="507"/>
      <c r="V1308" s="507"/>
      <c r="W1308" s="507"/>
      <c r="X1308" s="507"/>
      <c r="Y1308" s="507"/>
      <c r="Z1308" s="507"/>
      <c r="AA1308" s="507"/>
      <c r="AB1308" s="507"/>
      <c r="AC1308" s="507"/>
      <c r="AD1308" s="507"/>
      <c r="AE1308" s="507"/>
      <c r="AF1308" s="507"/>
    </row>
    <row r="1309" spans="1:32" s="508" customFormat="1" hidden="1" outlineLevel="3">
      <c r="A1309" s="425"/>
      <c r="B1309" s="425" t="s">
        <v>526</v>
      </c>
      <c r="C1309" s="403" t="s">
        <v>527</v>
      </c>
      <c r="D1309" s="425" t="s">
        <v>28</v>
      </c>
      <c r="E1309" s="425" t="s">
        <v>29</v>
      </c>
      <c r="F1309" s="443" t="s">
        <v>33</v>
      </c>
      <c r="G1309" s="469">
        <f>1.07734886550225*0</f>
        <v>0</v>
      </c>
      <c r="H1309" s="470"/>
      <c r="I1309" s="470"/>
      <c r="J1309" s="470"/>
      <c r="K1309" s="470"/>
      <c r="L1309" s="469">
        <f t="shared" si="430"/>
        <v>0</v>
      </c>
      <c r="M1309" s="470"/>
      <c r="N1309" s="470"/>
      <c r="O1309" s="470"/>
      <c r="P1309" s="470"/>
      <c r="Q1309" s="425"/>
      <c r="R1309" s="506" t="str">
        <f>IF(SUM(M1309:P1309)=L1309,"T","F")</f>
        <v>T</v>
      </c>
      <c r="S1309" s="507"/>
      <c r="T1309" s="507"/>
      <c r="U1309" s="507"/>
      <c r="V1309" s="507"/>
      <c r="W1309" s="507"/>
      <c r="X1309" s="507"/>
      <c r="Y1309" s="507"/>
      <c r="Z1309" s="507"/>
      <c r="AA1309" s="507"/>
      <c r="AB1309" s="507"/>
      <c r="AC1309" s="507"/>
      <c r="AD1309" s="507"/>
      <c r="AE1309" s="507"/>
      <c r="AF1309" s="507"/>
    </row>
    <row r="1310" spans="1:32" s="508" customFormat="1" hidden="1" outlineLevel="3">
      <c r="A1310" s="425"/>
      <c r="B1310" s="425" t="s">
        <v>526</v>
      </c>
      <c r="C1310" s="403" t="s">
        <v>527</v>
      </c>
      <c r="D1310" s="425" t="s">
        <v>28</v>
      </c>
      <c r="E1310" s="425" t="s">
        <v>29</v>
      </c>
      <c r="F1310" s="443" t="s">
        <v>34</v>
      </c>
      <c r="G1310" s="469">
        <f>1.823231287449*0</f>
        <v>0</v>
      </c>
      <c r="H1310" s="470"/>
      <c r="I1310" s="470"/>
      <c r="J1310" s="470"/>
      <c r="K1310" s="470"/>
      <c r="L1310" s="469">
        <f t="shared" si="430"/>
        <v>0</v>
      </c>
      <c r="M1310" s="470"/>
      <c r="N1310" s="470"/>
      <c r="O1310" s="470"/>
      <c r="P1310" s="470"/>
      <c r="Q1310" s="425"/>
      <c r="R1310" s="506" t="str">
        <f t="shared" si="432"/>
        <v>T</v>
      </c>
      <c r="S1310" s="507"/>
      <c r="T1310" s="507"/>
      <c r="U1310" s="507"/>
      <c r="V1310" s="507"/>
      <c r="W1310" s="507"/>
      <c r="X1310" s="507"/>
      <c r="Y1310" s="507"/>
      <c r="Z1310" s="507"/>
      <c r="AA1310" s="507"/>
      <c r="AB1310" s="507"/>
      <c r="AC1310" s="507"/>
      <c r="AD1310" s="507"/>
      <c r="AE1310" s="507"/>
      <c r="AF1310" s="507"/>
    </row>
    <row r="1311" spans="1:32" s="508" customFormat="1" hidden="1" outlineLevel="2" collapsed="1">
      <c r="A1311" s="425"/>
      <c r="B1311" s="425" t="s">
        <v>526</v>
      </c>
      <c r="C1311" s="403" t="s">
        <v>527</v>
      </c>
      <c r="D1311" s="425" t="s">
        <v>64</v>
      </c>
      <c r="E1311" s="425"/>
      <c r="F1311" s="443" t="s">
        <v>535</v>
      </c>
      <c r="G1311" s="469">
        <f>SUM(G1312:G1314)</f>
        <v>0</v>
      </c>
      <c r="H1311" s="470">
        <f>SUM(H1312:H1314)</f>
        <v>0</v>
      </c>
      <c r="I1311" s="470">
        <f>SUM(I1312:I1314)</f>
        <v>0</v>
      </c>
      <c r="J1311" s="470">
        <f>SUM(J1312:J1314)</f>
        <v>0</v>
      </c>
      <c r="K1311" s="470">
        <f>SUM(K1312:K1314)</f>
        <v>0</v>
      </c>
      <c r="L1311" s="469">
        <f t="shared" si="430"/>
        <v>0</v>
      </c>
      <c r="M1311" s="470">
        <f>SUM(M1312:M1314)</f>
        <v>0</v>
      </c>
      <c r="N1311" s="470">
        <f>SUM(N1312:N1314)</f>
        <v>0</v>
      </c>
      <c r="O1311" s="470">
        <f>SUM(O1312:O1314)</f>
        <v>0</v>
      </c>
      <c r="P1311" s="470">
        <f>SUM(P1312:P1314)</f>
        <v>0</v>
      </c>
      <c r="Q1311" s="425"/>
      <c r="R1311" s="506" t="str">
        <f t="shared" si="432"/>
        <v>T</v>
      </c>
      <c r="S1311" s="507"/>
      <c r="T1311" s="507"/>
      <c r="U1311" s="507"/>
      <c r="V1311" s="507"/>
      <c r="W1311" s="507"/>
      <c r="X1311" s="507"/>
      <c r="Y1311" s="507"/>
      <c r="Z1311" s="507"/>
      <c r="AA1311" s="507"/>
      <c r="AB1311" s="507"/>
      <c r="AC1311" s="507"/>
      <c r="AD1311" s="507"/>
      <c r="AE1311" s="507"/>
      <c r="AF1311" s="507"/>
    </row>
    <row r="1312" spans="1:32" s="508" customFormat="1" hidden="1" outlineLevel="3">
      <c r="A1312" s="425"/>
      <c r="B1312" s="425" t="s">
        <v>526</v>
      </c>
      <c r="C1312" s="403" t="s">
        <v>527</v>
      </c>
      <c r="D1312" s="425" t="s">
        <v>64</v>
      </c>
      <c r="E1312" s="425" t="s">
        <v>29</v>
      </c>
      <c r="F1312" s="443" t="s">
        <v>32</v>
      </c>
      <c r="G1312" s="469">
        <f>1.5296601479445*0</f>
        <v>0</v>
      </c>
      <c r="H1312" s="470"/>
      <c r="I1312" s="470"/>
      <c r="J1312" s="470"/>
      <c r="K1312" s="470"/>
      <c r="L1312" s="469">
        <f t="shared" si="430"/>
        <v>0</v>
      </c>
      <c r="M1312" s="470"/>
      <c r="N1312" s="470"/>
      <c r="O1312" s="470"/>
      <c r="P1312" s="470"/>
      <c r="Q1312" s="425"/>
      <c r="R1312" s="506" t="str">
        <f t="shared" si="432"/>
        <v>T</v>
      </c>
      <c r="S1312" s="507"/>
      <c r="T1312" s="507"/>
      <c r="U1312" s="507"/>
      <c r="V1312" s="507"/>
      <c r="W1312" s="507"/>
      <c r="X1312" s="507"/>
      <c r="Y1312" s="507"/>
      <c r="Z1312" s="507"/>
      <c r="AA1312" s="507"/>
      <c r="AB1312" s="507"/>
      <c r="AC1312" s="507"/>
      <c r="AD1312" s="507"/>
      <c r="AE1312" s="507"/>
      <c r="AF1312" s="507"/>
    </row>
    <row r="1313" spans="1:32" s="508" customFormat="1" hidden="1" outlineLevel="3">
      <c r="A1313" s="425"/>
      <c r="B1313" s="425" t="s">
        <v>526</v>
      </c>
      <c r="C1313" s="403" t="s">
        <v>527</v>
      </c>
      <c r="D1313" s="425" t="s">
        <v>64</v>
      </c>
      <c r="E1313" s="425" t="s">
        <v>29</v>
      </c>
      <c r="F1313" s="443" t="s">
        <v>33</v>
      </c>
      <c r="G1313" s="469">
        <f>0.60258495867075*0</f>
        <v>0</v>
      </c>
      <c r="H1313" s="470"/>
      <c r="I1313" s="470"/>
      <c r="J1313" s="470"/>
      <c r="K1313" s="470"/>
      <c r="L1313" s="469">
        <f t="shared" si="430"/>
        <v>0</v>
      </c>
      <c r="M1313" s="470"/>
      <c r="N1313" s="470"/>
      <c r="O1313" s="470"/>
      <c r="P1313" s="470"/>
      <c r="Q1313" s="425"/>
      <c r="R1313" s="506" t="str">
        <f>IF(SUM(M1313:P1313)=L1313,"T","F")</f>
        <v>T</v>
      </c>
      <c r="S1313" s="507"/>
      <c r="T1313" s="507"/>
      <c r="U1313" s="507"/>
      <c r="V1313" s="507"/>
      <c r="W1313" s="507"/>
      <c r="X1313" s="507"/>
      <c r="Y1313" s="507"/>
      <c r="Z1313" s="507"/>
      <c r="AA1313" s="507"/>
      <c r="AB1313" s="507"/>
      <c r="AC1313" s="507"/>
      <c r="AD1313" s="507"/>
      <c r="AE1313" s="507"/>
      <c r="AF1313" s="507"/>
    </row>
    <row r="1314" spans="1:32" s="508" customFormat="1" hidden="1" outlineLevel="3">
      <c r="A1314" s="425"/>
      <c r="B1314" s="425" t="s">
        <v>526</v>
      </c>
      <c r="C1314" s="403" t="s">
        <v>527</v>
      </c>
      <c r="D1314" s="425" t="s">
        <v>64</v>
      </c>
      <c r="E1314" s="425" t="s">
        <v>29</v>
      </c>
      <c r="F1314" s="443" t="s">
        <v>34</v>
      </c>
      <c r="G1314" s="469">
        <f>1.5296601479445*0</f>
        <v>0</v>
      </c>
      <c r="H1314" s="427"/>
      <c r="I1314" s="427"/>
      <c r="J1314" s="427"/>
      <c r="K1314" s="427"/>
      <c r="L1314" s="469">
        <f t="shared" si="430"/>
        <v>0</v>
      </c>
      <c r="M1314" s="427"/>
      <c r="N1314" s="427"/>
      <c r="O1314" s="427"/>
      <c r="P1314" s="427"/>
      <c r="Q1314" s="425"/>
      <c r="R1314" s="506" t="str">
        <f t="shared" si="432"/>
        <v>T</v>
      </c>
      <c r="S1314" s="507"/>
      <c r="T1314" s="507"/>
      <c r="U1314" s="507"/>
      <c r="V1314" s="507"/>
      <c r="W1314" s="507"/>
      <c r="X1314" s="507"/>
      <c r="Y1314" s="507"/>
      <c r="Z1314" s="507"/>
      <c r="AA1314" s="507"/>
      <c r="AB1314" s="507"/>
      <c r="AC1314" s="507"/>
      <c r="AD1314" s="507"/>
      <c r="AE1314" s="507"/>
      <c r="AF1314" s="507"/>
    </row>
    <row r="1315" spans="1:32" s="556" customFormat="1" ht="26.45" outlineLevel="1" collapsed="1">
      <c r="A1315" s="524"/>
      <c r="B1315" s="517" t="s">
        <v>536</v>
      </c>
      <c r="C1315" s="517" t="s">
        <v>537</v>
      </c>
      <c r="D1315" s="517"/>
      <c r="E1315" s="517"/>
      <c r="F1315" s="519" t="s">
        <v>538</v>
      </c>
      <c r="G1315" s="520">
        <f>SUM(G1316,G1353,G1383,G1404)</f>
        <v>9.5996236557326604</v>
      </c>
      <c r="H1315" s="520">
        <f>SUM(H1316,H1353,H1383,H1404)</f>
        <v>4.4898450109999999</v>
      </c>
      <c r="I1315" s="520">
        <f>SUM(I1316,I1353,I1383,I1404)</f>
        <v>1.7108358200013525</v>
      </c>
      <c r="J1315" s="520">
        <f>SUM(J1316,J1353,J1383,J1404)</f>
        <v>2.178654663962277</v>
      </c>
      <c r="K1315" s="520">
        <f>SUM(K1316,K1353,K1383,K1404)</f>
        <v>1.1480619407690282</v>
      </c>
      <c r="L1315" s="520">
        <f t="shared" si="390"/>
        <v>92</v>
      </c>
      <c r="M1315" s="521">
        <f>SUM(M1316,M1353,M1383,M1404)</f>
        <v>12</v>
      </c>
      <c r="N1315" s="521">
        <f>SUM(N1316,N1353,N1383,N1404)</f>
        <v>7</v>
      </c>
      <c r="O1315" s="521">
        <f>SUM(O1316,O1353,O1383,O1404)</f>
        <v>31</v>
      </c>
      <c r="P1315" s="521">
        <f>SUM(P1316,P1353,P1383,P1404)</f>
        <v>42</v>
      </c>
      <c r="Q1315" s="524"/>
      <c r="R1315" s="554" t="str">
        <f t="shared" si="389"/>
        <v>T</v>
      </c>
      <c r="S1315" s="555"/>
      <c r="T1315" s="555"/>
      <c r="U1315" s="555"/>
      <c r="V1315" s="555"/>
      <c r="W1315" s="555"/>
      <c r="X1315" s="555"/>
      <c r="Y1315" s="555"/>
      <c r="Z1315" s="555"/>
      <c r="AA1315" s="555"/>
      <c r="AB1315" s="555"/>
      <c r="AC1315" s="555"/>
      <c r="AD1315" s="555"/>
      <c r="AE1315" s="555"/>
      <c r="AF1315" s="555"/>
    </row>
    <row r="1316" spans="1:32" hidden="1" outlineLevel="2" collapsed="1">
      <c r="A1316" s="382"/>
      <c r="B1316" s="382" t="s">
        <v>536</v>
      </c>
      <c r="C1316" s="386" t="s">
        <v>537</v>
      </c>
      <c r="D1316" s="382" t="s">
        <v>18</v>
      </c>
      <c r="E1316" s="386"/>
      <c r="F1316" s="440" t="s">
        <v>539</v>
      </c>
      <c r="G1316" s="411">
        <f>SUM(G1317:G1352)</f>
        <v>7.019331569235244</v>
      </c>
      <c r="H1316" s="411">
        <f>SUM(H1317:H1352)</f>
        <v>3.4099999999999997</v>
      </c>
      <c r="I1316" s="411">
        <f>SUM(I1317:I1352)</f>
        <v>1.3708358200013524</v>
      </c>
      <c r="J1316" s="411">
        <f>SUM(J1317:J1352)</f>
        <v>1.5272822282258909</v>
      </c>
      <c r="K1316" s="411">
        <f>SUM(K1317:K1352)</f>
        <v>0.71121352100799995</v>
      </c>
      <c r="L1316" s="411">
        <f t="shared" si="390"/>
        <v>36</v>
      </c>
      <c r="M1316" s="409">
        <f>SUM(M1317:M1352)</f>
        <v>5</v>
      </c>
      <c r="N1316" s="409">
        <f>SUM(N1317:N1352)</f>
        <v>3</v>
      </c>
      <c r="O1316" s="409">
        <f>SUM(O1317:O1352)</f>
        <v>11</v>
      </c>
      <c r="P1316" s="409">
        <f>SUM(P1317:P1352)</f>
        <v>17</v>
      </c>
      <c r="Q1316" s="382"/>
      <c r="R1316" s="385" t="str">
        <f t="shared" si="389"/>
        <v>T</v>
      </c>
      <c r="S1316" s="389"/>
      <c r="T1316" s="389"/>
      <c r="U1316" s="389"/>
      <c r="V1316" s="389"/>
      <c r="W1316" s="389"/>
      <c r="X1316" s="389"/>
      <c r="Y1316" s="389"/>
      <c r="Z1316" s="389"/>
      <c r="AA1316" s="389"/>
      <c r="AB1316" s="389"/>
      <c r="AC1316" s="389"/>
      <c r="AD1316" s="389"/>
      <c r="AE1316" s="389"/>
      <c r="AF1316" s="389"/>
    </row>
    <row r="1317" spans="1:32" hidden="1" outlineLevel="3">
      <c r="A1317" s="382"/>
      <c r="B1317" s="382" t="s">
        <v>536</v>
      </c>
      <c r="C1317" s="386" t="s">
        <v>537</v>
      </c>
      <c r="D1317" s="382" t="s">
        <v>18</v>
      </c>
      <c r="E1317" s="386" t="s">
        <v>72</v>
      </c>
      <c r="F1317" s="440" t="s">
        <v>540</v>
      </c>
      <c r="G1317" s="411">
        <v>1.34</v>
      </c>
      <c r="H1317" s="525">
        <f t="shared" ref="H1317:H1352" si="433">IF(M1317=1,$G1317,"")</f>
        <v>1.34</v>
      </c>
      <c r="I1317" s="525" t="str">
        <f t="shared" ref="I1317:I1352" si="434">IF(N1317=1,$G1317,"")</f>
        <v/>
      </c>
      <c r="J1317" s="525" t="str">
        <f t="shared" ref="J1317:J1352" si="435">IF(O1317=1,$G1317,"")</f>
        <v/>
      </c>
      <c r="K1317" s="525" t="str">
        <f t="shared" ref="K1317:K1352" si="436">IF(P1317=1,$G1317,"")</f>
        <v/>
      </c>
      <c r="L1317" s="411">
        <f t="shared" si="390"/>
        <v>1</v>
      </c>
      <c r="M1317" s="409">
        <v>1</v>
      </c>
      <c r="N1317" s="409"/>
      <c r="O1317" s="409"/>
      <c r="P1317" s="409"/>
      <c r="Q1317" s="382"/>
      <c r="R1317" s="385" t="str">
        <f t="shared" si="389"/>
        <v>T</v>
      </c>
      <c r="S1317" s="389"/>
      <c r="T1317" s="389"/>
      <c r="U1317" s="389"/>
      <c r="V1317" s="389"/>
      <c r="W1317" s="389"/>
      <c r="X1317" s="389"/>
      <c r="Y1317" s="389"/>
      <c r="Z1317" s="389"/>
      <c r="AA1317" s="389"/>
      <c r="AB1317" s="389"/>
      <c r="AC1317" s="389"/>
      <c r="AD1317" s="389"/>
      <c r="AE1317" s="389"/>
      <c r="AF1317" s="389"/>
    </row>
    <row r="1318" spans="1:32" hidden="1" outlineLevel="3">
      <c r="A1318" s="382"/>
      <c r="B1318" s="382" t="s">
        <v>536</v>
      </c>
      <c r="C1318" s="386" t="s">
        <v>537</v>
      </c>
      <c r="D1318" s="382" t="s">
        <v>18</v>
      </c>
      <c r="E1318" s="386" t="s">
        <v>72</v>
      </c>
      <c r="F1318" s="440" t="s">
        <v>353</v>
      </c>
      <c r="G1318" s="411">
        <v>1.34</v>
      </c>
      <c r="H1318" s="525">
        <f t="shared" si="433"/>
        <v>1.34</v>
      </c>
      <c r="I1318" s="525" t="str">
        <f t="shared" si="434"/>
        <v/>
      </c>
      <c r="J1318" s="525" t="str">
        <f t="shared" si="435"/>
        <v/>
      </c>
      <c r="K1318" s="525" t="str">
        <f t="shared" si="436"/>
        <v/>
      </c>
      <c r="L1318" s="411">
        <f t="shared" si="390"/>
        <v>1</v>
      </c>
      <c r="M1318" s="409">
        <v>1</v>
      </c>
      <c r="O1318" s="409"/>
      <c r="P1318" s="409"/>
      <c r="Q1318" s="382"/>
      <c r="R1318" s="385" t="str">
        <f t="shared" si="389"/>
        <v>T</v>
      </c>
      <c r="S1318" s="389"/>
      <c r="T1318" s="389"/>
      <c r="U1318" s="389"/>
      <c r="V1318" s="389"/>
      <c r="W1318" s="389"/>
      <c r="X1318" s="389"/>
      <c r="Y1318" s="389"/>
      <c r="Z1318" s="389"/>
      <c r="AA1318" s="389"/>
      <c r="AB1318" s="389"/>
      <c r="AC1318" s="389"/>
      <c r="AD1318" s="389"/>
      <c r="AE1318" s="389"/>
      <c r="AF1318" s="389"/>
    </row>
    <row r="1319" spans="1:32" hidden="1" outlineLevel="3" collapsed="1">
      <c r="A1319" s="382"/>
      <c r="B1319" s="382" t="s">
        <v>536</v>
      </c>
      <c r="C1319" s="386" t="s">
        <v>537</v>
      </c>
      <c r="D1319" s="382" t="s">
        <v>18</v>
      </c>
      <c r="E1319" s="386" t="s">
        <v>72</v>
      </c>
      <c r="F1319" s="440" t="s">
        <v>541</v>
      </c>
      <c r="G1319" s="411">
        <v>0.68</v>
      </c>
      <c r="H1319" s="525" t="str">
        <f t="shared" si="433"/>
        <v/>
      </c>
      <c r="I1319" s="525">
        <f t="shared" si="434"/>
        <v>0.68</v>
      </c>
      <c r="J1319" s="525" t="str">
        <f t="shared" si="435"/>
        <v/>
      </c>
      <c r="K1319" s="525" t="str">
        <f t="shared" si="436"/>
        <v/>
      </c>
      <c r="L1319" s="411">
        <f t="shared" ref="L1319:L1353" si="437">SUM(M1319:P1319)</f>
        <v>1</v>
      </c>
      <c r="N1319" s="409">
        <v>1</v>
      </c>
      <c r="O1319" s="409"/>
      <c r="P1319" s="409"/>
      <c r="Q1319" s="382"/>
      <c r="R1319" s="385" t="str">
        <f t="shared" si="389"/>
        <v>T</v>
      </c>
      <c r="S1319" s="389"/>
      <c r="T1319" s="389"/>
      <c r="U1319" s="389"/>
      <c r="V1319" s="389"/>
      <c r="W1319" s="389"/>
      <c r="X1319" s="389"/>
      <c r="Y1319" s="389"/>
      <c r="Z1319" s="389"/>
      <c r="AA1319" s="389"/>
      <c r="AB1319" s="389"/>
      <c r="AC1319" s="389"/>
      <c r="AD1319" s="389"/>
      <c r="AE1319" s="389"/>
      <c r="AF1319" s="389"/>
    </row>
    <row r="1320" spans="1:32" hidden="1" outlineLevel="3">
      <c r="A1320" s="382"/>
      <c r="B1320" s="382" t="s">
        <v>536</v>
      </c>
      <c r="C1320" s="386" t="s">
        <v>537</v>
      </c>
      <c r="D1320" s="382" t="s">
        <v>18</v>
      </c>
      <c r="E1320" s="386" t="s">
        <v>72</v>
      </c>
      <c r="F1320" s="440" t="s">
        <v>33</v>
      </c>
      <c r="G1320" s="411">
        <v>0.67</v>
      </c>
      <c r="H1320" s="525">
        <f t="shared" si="433"/>
        <v>0.67</v>
      </c>
      <c r="I1320" s="525" t="str">
        <f t="shared" si="434"/>
        <v/>
      </c>
      <c r="J1320" s="525" t="str">
        <f t="shared" si="435"/>
        <v/>
      </c>
      <c r="K1320" s="525" t="str">
        <f t="shared" si="436"/>
        <v/>
      </c>
      <c r="L1320" s="411">
        <f t="shared" si="437"/>
        <v>1</v>
      </c>
      <c r="M1320" s="409">
        <v>1</v>
      </c>
      <c r="N1320" s="409"/>
      <c r="O1320" s="409"/>
      <c r="P1320" s="409"/>
      <c r="Q1320" s="382"/>
      <c r="R1320" s="385" t="str">
        <f t="shared" si="389"/>
        <v>T</v>
      </c>
      <c r="S1320" s="389"/>
      <c r="T1320" s="389"/>
      <c r="U1320" s="389"/>
      <c r="V1320" s="389"/>
      <c r="W1320" s="389"/>
      <c r="X1320" s="389"/>
      <c r="Y1320" s="389"/>
      <c r="Z1320" s="389"/>
      <c r="AA1320" s="389"/>
      <c r="AB1320" s="389"/>
      <c r="AC1320" s="389"/>
      <c r="AD1320" s="389"/>
      <c r="AE1320" s="389"/>
      <c r="AF1320" s="389"/>
    </row>
    <row r="1321" spans="1:32" hidden="1" outlineLevel="3">
      <c r="A1321" s="382"/>
      <c r="B1321" s="382" t="s">
        <v>536</v>
      </c>
      <c r="C1321" s="386" t="s">
        <v>537</v>
      </c>
      <c r="D1321" s="382" t="s">
        <v>18</v>
      </c>
      <c r="E1321" s="386" t="s">
        <v>72</v>
      </c>
      <c r="F1321" s="440" t="s">
        <v>335</v>
      </c>
      <c r="G1321" s="387">
        <v>0.68083582000135223</v>
      </c>
      <c r="H1321" s="525" t="str">
        <f t="shared" si="433"/>
        <v/>
      </c>
      <c r="I1321" s="525">
        <f t="shared" si="434"/>
        <v>0.68083582000135223</v>
      </c>
      <c r="J1321" s="525" t="str">
        <f t="shared" si="435"/>
        <v/>
      </c>
      <c r="K1321" s="525" t="str">
        <f t="shared" si="436"/>
        <v/>
      </c>
      <c r="L1321" s="387">
        <f t="shared" si="437"/>
        <v>1</v>
      </c>
      <c r="M1321" s="407"/>
      <c r="N1321" s="388">
        <v>1</v>
      </c>
      <c r="O1321" s="388"/>
      <c r="P1321" s="388"/>
      <c r="Q1321" s="382"/>
      <c r="R1321" s="385" t="str">
        <f t="shared" si="389"/>
        <v>T</v>
      </c>
      <c r="S1321" s="389"/>
      <c r="T1321" s="389"/>
      <c r="U1321" s="389"/>
      <c r="V1321" s="389"/>
      <c r="W1321" s="389"/>
      <c r="X1321" s="389"/>
      <c r="Y1321" s="389"/>
      <c r="Z1321" s="389"/>
      <c r="AA1321" s="389"/>
      <c r="AB1321" s="389"/>
      <c r="AC1321" s="389"/>
      <c r="AD1321" s="389"/>
      <c r="AE1321" s="389"/>
      <c r="AF1321" s="389"/>
    </row>
    <row r="1322" spans="1:32" hidden="1" outlineLevel="3">
      <c r="A1322" s="382"/>
      <c r="B1322" s="382" t="s">
        <v>536</v>
      </c>
      <c r="C1322" s="386" t="s">
        <v>537</v>
      </c>
      <c r="D1322" s="382" t="s">
        <v>18</v>
      </c>
      <c r="E1322" s="386" t="s">
        <v>72</v>
      </c>
      <c r="F1322" s="440" t="s">
        <v>542</v>
      </c>
      <c r="G1322" s="411">
        <v>4.4285200000000004E-2</v>
      </c>
      <c r="H1322" s="525" t="str">
        <f t="shared" si="433"/>
        <v/>
      </c>
      <c r="I1322" s="525" t="str">
        <f t="shared" si="434"/>
        <v/>
      </c>
      <c r="J1322" s="525">
        <f t="shared" si="435"/>
        <v>4.4285200000000004E-2</v>
      </c>
      <c r="K1322" s="525" t="str">
        <f t="shared" si="436"/>
        <v/>
      </c>
      <c r="L1322" s="411">
        <f t="shared" si="437"/>
        <v>1</v>
      </c>
      <c r="M1322" s="409"/>
      <c r="N1322" s="407"/>
      <c r="O1322" s="409">
        <v>1</v>
      </c>
      <c r="P1322" s="409"/>
      <c r="Q1322" s="382"/>
      <c r="R1322" s="385" t="str">
        <f t="shared" si="389"/>
        <v>T</v>
      </c>
      <c r="S1322" s="389"/>
      <c r="T1322" s="389"/>
      <c r="U1322" s="389"/>
      <c r="V1322" s="389"/>
      <c r="W1322" s="389"/>
      <c r="X1322" s="389"/>
      <c r="Y1322" s="389"/>
      <c r="Z1322" s="389"/>
      <c r="AA1322" s="389"/>
      <c r="AB1322" s="389"/>
      <c r="AC1322" s="389"/>
      <c r="AD1322" s="389"/>
      <c r="AE1322" s="389"/>
      <c r="AF1322" s="389"/>
    </row>
    <row r="1323" spans="1:32" hidden="1" outlineLevel="3">
      <c r="A1323" s="382"/>
      <c r="B1323" s="382" t="s">
        <v>536</v>
      </c>
      <c r="C1323" s="386" t="s">
        <v>537</v>
      </c>
      <c r="D1323" s="382" t="s">
        <v>18</v>
      </c>
      <c r="E1323" s="386" t="s">
        <v>72</v>
      </c>
      <c r="F1323" s="440" t="s">
        <v>543</v>
      </c>
      <c r="G1323" s="411">
        <v>2.2142600000000002E-2</v>
      </c>
      <c r="H1323" s="525" t="str">
        <f t="shared" si="433"/>
        <v/>
      </c>
      <c r="I1323" s="525" t="str">
        <f t="shared" si="434"/>
        <v/>
      </c>
      <c r="J1323" s="525">
        <f t="shared" si="435"/>
        <v>2.2142600000000002E-2</v>
      </c>
      <c r="K1323" s="525" t="str">
        <f t="shared" si="436"/>
        <v/>
      </c>
      <c r="L1323" s="411">
        <f t="shared" si="437"/>
        <v>1</v>
      </c>
      <c r="M1323" s="409"/>
      <c r="N1323" s="407"/>
      <c r="O1323" s="409">
        <v>1</v>
      </c>
      <c r="P1323" s="409"/>
      <c r="Q1323" s="382"/>
      <c r="R1323" s="385" t="str">
        <f t="shared" si="389"/>
        <v>T</v>
      </c>
      <c r="S1323" s="389"/>
      <c r="T1323" s="389"/>
      <c r="U1323" s="389"/>
      <c r="V1323" s="389"/>
      <c r="W1323" s="389"/>
      <c r="X1323" s="389"/>
      <c r="Y1323" s="389"/>
      <c r="Z1323" s="389"/>
      <c r="AA1323" s="389"/>
      <c r="AB1323" s="389"/>
      <c r="AC1323" s="389"/>
      <c r="AD1323" s="389"/>
      <c r="AE1323" s="389"/>
      <c r="AF1323" s="389"/>
    </row>
    <row r="1324" spans="1:32" ht="26.45" hidden="1" outlineLevel="3" collapsed="1">
      <c r="A1324" s="382"/>
      <c r="B1324" s="382" t="s">
        <v>536</v>
      </c>
      <c r="C1324" s="386" t="s">
        <v>537</v>
      </c>
      <c r="D1324" s="382" t="s">
        <v>18</v>
      </c>
      <c r="E1324" s="386" t="s">
        <v>72</v>
      </c>
      <c r="F1324" s="440" t="s">
        <v>544</v>
      </c>
      <c r="G1324" s="411">
        <v>4.4285200000000004E-2</v>
      </c>
      <c r="H1324" s="525" t="str">
        <f t="shared" si="433"/>
        <v/>
      </c>
      <c r="I1324" s="525" t="str">
        <f t="shared" si="434"/>
        <v/>
      </c>
      <c r="J1324" s="525" t="str">
        <f t="shared" si="435"/>
        <v/>
      </c>
      <c r="K1324" s="525">
        <f t="shared" si="436"/>
        <v>4.4285200000000004E-2</v>
      </c>
      <c r="L1324" s="411">
        <f t="shared" si="437"/>
        <v>1</v>
      </c>
      <c r="M1324" s="409"/>
      <c r="N1324" s="407"/>
      <c r="O1324" s="407"/>
      <c r="P1324" s="409">
        <v>1</v>
      </c>
      <c r="Q1324" s="382"/>
      <c r="R1324" s="385" t="str">
        <f t="shared" si="389"/>
        <v>T</v>
      </c>
      <c r="S1324" s="389"/>
      <c r="T1324" s="389"/>
      <c r="U1324" s="389"/>
      <c r="V1324" s="389"/>
      <c r="W1324" s="389"/>
      <c r="X1324" s="389"/>
      <c r="Y1324" s="389"/>
      <c r="Z1324" s="389"/>
      <c r="AA1324" s="389"/>
      <c r="AB1324" s="389"/>
      <c r="AC1324" s="389"/>
      <c r="AD1324" s="389"/>
      <c r="AE1324" s="389"/>
      <c r="AF1324" s="389"/>
    </row>
    <row r="1325" spans="1:32" hidden="1" outlineLevel="3">
      <c r="A1325" s="382"/>
      <c r="B1325" s="382" t="s">
        <v>536</v>
      </c>
      <c r="C1325" s="386" t="s">
        <v>537</v>
      </c>
      <c r="D1325" s="382" t="s">
        <v>18</v>
      </c>
      <c r="E1325" s="386" t="s">
        <v>72</v>
      </c>
      <c r="F1325" s="440" t="s">
        <v>545</v>
      </c>
      <c r="G1325" s="411">
        <v>4.4285200000000004E-2</v>
      </c>
      <c r="H1325" s="525" t="str">
        <f t="shared" si="433"/>
        <v/>
      </c>
      <c r="I1325" s="525" t="str">
        <f t="shared" si="434"/>
        <v/>
      </c>
      <c r="J1325" s="525" t="str">
        <f t="shared" si="435"/>
        <v/>
      </c>
      <c r="K1325" s="525">
        <f t="shared" si="436"/>
        <v>4.4285200000000004E-2</v>
      </c>
      <c r="L1325" s="411">
        <f t="shared" si="437"/>
        <v>1</v>
      </c>
      <c r="M1325" s="409"/>
      <c r="N1325" s="407"/>
      <c r="O1325" s="409"/>
      <c r="P1325" s="409">
        <v>1</v>
      </c>
      <c r="Q1325" s="382"/>
      <c r="R1325" s="385" t="str">
        <f t="shared" si="389"/>
        <v>T</v>
      </c>
      <c r="S1325" s="389"/>
      <c r="T1325" s="389"/>
      <c r="U1325" s="389"/>
      <c r="V1325" s="389"/>
      <c r="W1325" s="389"/>
      <c r="X1325" s="389"/>
      <c r="Y1325" s="389"/>
      <c r="Z1325" s="389"/>
      <c r="AA1325" s="389"/>
      <c r="AB1325" s="389"/>
      <c r="AC1325" s="389"/>
      <c r="AD1325" s="389"/>
      <c r="AE1325" s="389"/>
      <c r="AF1325" s="389"/>
    </row>
    <row r="1326" spans="1:32" hidden="1" outlineLevel="3">
      <c r="A1326" s="382"/>
      <c r="B1326" s="382" t="s">
        <v>536</v>
      </c>
      <c r="C1326" s="386" t="s">
        <v>537</v>
      </c>
      <c r="D1326" s="382" t="s">
        <v>18</v>
      </c>
      <c r="E1326" s="386" t="s">
        <v>72</v>
      </c>
      <c r="F1326" s="440" t="s">
        <v>546</v>
      </c>
      <c r="G1326" s="387">
        <v>2.657112E-2</v>
      </c>
      <c r="H1326" s="525" t="str">
        <f t="shared" si="433"/>
        <v/>
      </c>
      <c r="I1326" s="525" t="str">
        <f t="shared" si="434"/>
        <v/>
      </c>
      <c r="J1326" s="525" t="str">
        <f t="shared" si="435"/>
        <v/>
      </c>
      <c r="K1326" s="525">
        <f t="shared" si="436"/>
        <v>2.657112E-2</v>
      </c>
      <c r="L1326" s="387">
        <f t="shared" si="437"/>
        <v>1</v>
      </c>
      <c r="M1326" s="388"/>
      <c r="N1326" s="407"/>
      <c r="O1326" s="388"/>
      <c r="P1326" s="388">
        <v>1</v>
      </c>
      <c r="Q1326" s="382"/>
      <c r="R1326" s="385" t="str">
        <f t="shared" si="389"/>
        <v>T</v>
      </c>
      <c r="S1326" s="389"/>
      <c r="T1326" s="389"/>
      <c r="U1326" s="389"/>
      <c r="V1326" s="389"/>
      <c r="W1326" s="389"/>
      <c r="X1326" s="389"/>
      <c r="Y1326" s="389"/>
      <c r="Z1326" s="389"/>
      <c r="AA1326" s="389"/>
      <c r="AB1326" s="389"/>
      <c r="AC1326" s="389"/>
      <c r="AD1326" s="389"/>
      <c r="AE1326" s="389"/>
      <c r="AF1326" s="389"/>
    </row>
    <row r="1327" spans="1:32" hidden="1" outlineLevel="3">
      <c r="A1327" s="382"/>
      <c r="B1327" s="382" t="s">
        <v>536</v>
      </c>
      <c r="C1327" s="386" t="s">
        <v>537</v>
      </c>
      <c r="D1327" s="382" t="s">
        <v>18</v>
      </c>
      <c r="E1327" s="386" t="s">
        <v>72</v>
      </c>
      <c r="F1327" s="440" t="s">
        <v>547</v>
      </c>
      <c r="G1327" s="411">
        <v>2.657112E-2</v>
      </c>
      <c r="H1327" s="525" t="str">
        <f t="shared" si="433"/>
        <v/>
      </c>
      <c r="I1327" s="525" t="str">
        <f t="shared" si="434"/>
        <v/>
      </c>
      <c r="J1327" s="525" t="str">
        <f t="shared" si="435"/>
        <v/>
      </c>
      <c r="K1327" s="525">
        <f t="shared" si="436"/>
        <v>2.657112E-2</v>
      </c>
      <c r="L1327" s="411">
        <f t="shared" si="437"/>
        <v>1</v>
      </c>
      <c r="M1327" s="409"/>
      <c r="N1327" s="407"/>
      <c r="O1327" s="409"/>
      <c r="P1327" s="409">
        <v>1</v>
      </c>
      <c r="Q1327" s="382"/>
      <c r="R1327" s="385" t="str">
        <f t="shared" si="389"/>
        <v>T</v>
      </c>
      <c r="S1327" s="389"/>
      <c r="T1327" s="389"/>
      <c r="U1327" s="389"/>
      <c r="V1327" s="389"/>
      <c r="W1327" s="389"/>
      <c r="X1327" s="389"/>
      <c r="Y1327" s="389"/>
      <c r="Z1327" s="389"/>
      <c r="AA1327" s="389"/>
      <c r="AB1327" s="389"/>
      <c r="AC1327" s="389"/>
      <c r="AD1327" s="389"/>
      <c r="AE1327" s="389"/>
      <c r="AF1327" s="389"/>
    </row>
    <row r="1328" spans="1:32" hidden="1" outlineLevel="3">
      <c r="A1328" s="382"/>
      <c r="B1328" s="382" t="s">
        <v>536</v>
      </c>
      <c r="C1328" s="386" t="s">
        <v>537</v>
      </c>
      <c r="D1328" s="382" t="s">
        <v>18</v>
      </c>
      <c r="E1328" s="386" t="s">
        <v>72</v>
      </c>
      <c r="F1328" s="440" t="s">
        <v>548</v>
      </c>
      <c r="G1328" s="411">
        <v>5.1574549999999997E-2</v>
      </c>
      <c r="H1328" s="525" t="str">
        <f t="shared" si="433"/>
        <v/>
      </c>
      <c r="I1328" s="525" t="str">
        <f t="shared" si="434"/>
        <v/>
      </c>
      <c r="J1328" s="525">
        <f t="shared" si="435"/>
        <v>5.1574549999999997E-2</v>
      </c>
      <c r="K1328" s="525" t="str">
        <f t="shared" si="436"/>
        <v/>
      </c>
      <c r="L1328" s="411">
        <f t="shared" si="437"/>
        <v>1</v>
      </c>
      <c r="M1328" s="409"/>
      <c r="N1328" s="407"/>
      <c r="O1328" s="409">
        <v>1</v>
      </c>
      <c r="P1328" s="409"/>
      <c r="Q1328" s="382"/>
      <c r="R1328" s="385" t="str">
        <f t="shared" si="389"/>
        <v>T</v>
      </c>
      <c r="S1328" s="389"/>
      <c r="T1328" s="389"/>
      <c r="U1328" s="389"/>
      <c r="V1328" s="389"/>
      <c r="W1328" s="389"/>
      <c r="X1328" s="389"/>
      <c r="Y1328" s="389"/>
      <c r="Z1328" s="389"/>
      <c r="AA1328" s="389"/>
      <c r="AB1328" s="389"/>
      <c r="AC1328" s="389"/>
      <c r="AD1328" s="389"/>
      <c r="AE1328" s="389"/>
      <c r="AF1328" s="389"/>
    </row>
    <row r="1329" spans="1:32" hidden="1" outlineLevel="3">
      <c r="A1329" s="382"/>
      <c r="B1329" s="382" t="s">
        <v>536</v>
      </c>
      <c r="C1329" s="386" t="s">
        <v>537</v>
      </c>
      <c r="D1329" s="382" t="s">
        <v>18</v>
      </c>
      <c r="E1329" s="386" t="s">
        <v>72</v>
      </c>
      <c r="F1329" s="440" t="s">
        <v>549</v>
      </c>
      <c r="G1329" s="411">
        <v>2.5787274999999998E-2</v>
      </c>
      <c r="H1329" s="525" t="str">
        <f t="shared" si="433"/>
        <v/>
      </c>
      <c r="I1329" s="525" t="str">
        <f t="shared" si="434"/>
        <v/>
      </c>
      <c r="J1329" s="525">
        <f t="shared" si="435"/>
        <v>2.5787274999999998E-2</v>
      </c>
      <c r="K1329" s="525" t="str">
        <f t="shared" si="436"/>
        <v/>
      </c>
      <c r="L1329" s="411">
        <f t="shared" si="437"/>
        <v>1</v>
      </c>
      <c r="M1329" s="409"/>
      <c r="N1329" s="407"/>
      <c r="O1329" s="409">
        <v>1</v>
      </c>
      <c r="P1329" s="409"/>
      <c r="Q1329" s="382"/>
      <c r="R1329" s="385" t="str">
        <f t="shared" si="389"/>
        <v>T</v>
      </c>
      <c r="S1329" s="389"/>
      <c r="T1329" s="389"/>
      <c r="U1329" s="389"/>
      <c r="V1329" s="389"/>
      <c r="W1329" s="389"/>
      <c r="X1329" s="389"/>
      <c r="Y1329" s="389"/>
      <c r="Z1329" s="389"/>
      <c r="AA1329" s="389"/>
      <c r="AB1329" s="389"/>
      <c r="AC1329" s="389"/>
      <c r="AD1329" s="389"/>
      <c r="AE1329" s="389"/>
      <c r="AF1329" s="389"/>
    </row>
    <row r="1330" spans="1:32" ht="26.45" hidden="1" outlineLevel="3" collapsed="1">
      <c r="A1330" s="382"/>
      <c r="B1330" s="382" t="s">
        <v>536</v>
      </c>
      <c r="C1330" s="386" t="s">
        <v>537</v>
      </c>
      <c r="D1330" s="382" t="s">
        <v>18</v>
      </c>
      <c r="E1330" s="386" t="s">
        <v>72</v>
      </c>
      <c r="F1330" s="440" t="s">
        <v>550</v>
      </c>
      <c r="G1330" s="411">
        <v>5.1574549999999997E-2</v>
      </c>
      <c r="H1330" s="525" t="str">
        <f t="shared" si="433"/>
        <v/>
      </c>
      <c r="I1330" s="525" t="str">
        <f t="shared" si="434"/>
        <v/>
      </c>
      <c r="J1330" s="525" t="str">
        <f t="shared" si="435"/>
        <v/>
      </c>
      <c r="K1330" s="525">
        <f t="shared" si="436"/>
        <v>5.1574549999999997E-2</v>
      </c>
      <c r="L1330" s="411">
        <f t="shared" si="437"/>
        <v>1</v>
      </c>
      <c r="M1330" s="409"/>
      <c r="N1330" s="407"/>
      <c r="O1330" s="407"/>
      <c r="P1330" s="409">
        <v>1</v>
      </c>
      <c r="Q1330" s="382"/>
      <c r="R1330" s="385" t="str">
        <f t="shared" si="389"/>
        <v>T</v>
      </c>
      <c r="S1330" s="389"/>
      <c r="T1330" s="389"/>
      <c r="U1330" s="389"/>
      <c r="V1330" s="389"/>
      <c r="W1330" s="389"/>
      <c r="X1330" s="389"/>
      <c r="Y1330" s="389"/>
      <c r="Z1330" s="389"/>
      <c r="AA1330" s="389"/>
      <c r="AB1330" s="389"/>
      <c r="AC1330" s="389"/>
      <c r="AD1330" s="389"/>
      <c r="AE1330" s="389"/>
      <c r="AF1330" s="389"/>
    </row>
    <row r="1331" spans="1:32" hidden="1" outlineLevel="3">
      <c r="A1331" s="382"/>
      <c r="B1331" s="382" t="s">
        <v>536</v>
      </c>
      <c r="C1331" s="386" t="s">
        <v>537</v>
      </c>
      <c r="D1331" s="382" t="s">
        <v>18</v>
      </c>
      <c r="E1331" s="386" t="s">
        <v>72</v>
      </c>
      <c r="F1331" s="440" t="s">
        <v>551</v>
      </c>
      <c r="G1331" s="411">
        <v>5.1574549999999997E-2</v>
      </c>
      <c r="H1331" s="525" t="str">
        <f t="shared" si="433"/>
        <v/>
      </c>
      <c r="I1331" s="525" t="str">
        <f t="shared" si="434"/>
        <v/>
      </c>
      <c r="J1331" s="525" t="str">
        <f t="shared" si="435"/>
        <v/>
      </c>
      <c r="K1331" s="525">
        <f t="shared" si="436"/>
        <v>5.1574549999999997E-2</v>
      </c>
      <c r="L1331" s="411">
        <f t="shared" si="437"/>
        <v>1</v>
      </c>
      <c r="M1331" s="409"/>
      <c r="N1331" s="407"/>
      <c r="O1331" s="409"/>
      <c r="P1331" s="409">
        <v>1</v>
      </c>
      <c r="Q1331" s="382"/>
      <c r="R1331" s="385" t="str">
        <f t="shared" ref="R1331:R1397" si="438">IF(SUM(M1331:P1331)=L1331,"T","F")</f>
        <v>T</v>
      </c>
      <c r="S1331" s="389"/>
      <c r="T1331" s="389"/>
      <c r="U1331" s="389"/>
      <c r="V1331" s="389"/>
      <c r="W1331" s="389"/>
      <c r="X1331" s="389"/>
      <c r="Y1331" s="389"/>
      <c r="Z1331" s="389"/>
      <c r="AA1331" s="389"/>
      <c r="AB1331" s="389"/>
      <c r="AC1331" s="389"/>
      <c r="AD1331" s="389"/>
      <c r="AE1331" s="389"/>
      <c r="AF1331" s="389"/>
    </row>
    <row r="1332" spans="1:32" hidden="1" outlineLevel="3">
      <c r="A1332" s="382"/>
      <c r="B1332" s="382" t="s">
        <v>536</v>
      </c>
      <c r="C1332" s="386" t="s">
        <v>537</v>
      </c>
      <c r="D1332" s="382" t="s">
        <v>18</v>
      </c>
      <c r="E1332" s="386" t="s">
        <v>72</v>
      </c>
      <c r="F1332" s="440" t="s">
        <v>552</v>
      </c>
      <c r="G1332" s="387">
        <v>3.0944729999999997E-2</v>
      </c>
      <c r="H1332" s="525" t="str">
        <f t="shared" si="433"/>
        <v/>
      </c>
      <c r="I1332" s="525" t="str">
        <f t="shared" si="434"/>
        <v/>
      </c>
      <c r="J1332" s="525" t="str">
        <f t="shared" si="435"/>
        <v/>
      </c>
      <c r="K1332" s="525">
        <f t="shared" si="436"/>
        <v>3.0944729999999997E-2</v>
      </c>
      <c r="L1332" s="387">
        <f t="shared" si="437"/>
        <v>1</v>
      </c>
      <c r="M1332" s="388"/>
      <c r="N1332" s="407"/>
      <c r="O1332" s="388"/>
      <c r="P1332" s="388">
        <v>1</v>
      </c>
      <c r="Q1332" s="382"/>
      <c r="R1332" s="385" t="str">
        <f t="shared" si="438"/>
        <v>T</v>
      </c>
      <c r="S1332" s="389"/>
      <c r="T1332" s="389"/>
      <c r="U1332" s="389"/>
      <c r="V1332" s="389"/>
      <c r="W1332" s="389"/>
      <c r="X1332" s="389"/>
      <c r="Y1332" s="389"/>
      <c r="Z1332" s="389"/>
      <c r="AA1332" s="389"/>
      <c r="AB1332" s="389"/>
      <c r="AC1332" s="389"/>
      <c r="AD1332" s="389"/>
      <c r="AE1332" s="389"/>
      <c r="AF1332" s="389"/>
    </row>
    <row r="1333" spans="1:32" hidden="1" outlineLevel="3">
      <c r="A1333" s="382"/>
      <c r="B1333" s="382" t="s">
        <v>536</v>
      </c>
      <c r="C1333" s="386" t="s">
        <v>537</v>
      </c>
      <c r="D1333" s="382" t="s">
        <v>18</v>
      </c>
      <c r="E1333" s="386" t="s">
        <v>72</v>
      </c>
      <c r="F1333" s="440" t="s">
        <v>553</v>
      </c>
      <c r="G1333" s="411">
        <v>3.0944729999999997E-2</v>
      </c>
      <c r="H1333" s="525" t="str">
        <f t="shared" si="433"/>
        <v/>
      </c>
      <c r="I1333" s="525" t="str">
        <f t="shared" si="434"/>
        <v/>
      </c>
      <c r="J1333" s="525" t="str">
        <f t="shared" si="435"/>
        <v/>
      </c>
      <c r="K1333" s="525">
        <f t="shared" si="436"/>
        <v>3.0944729999999997E-2</v>
      </c>
      <c r="L1333" s="411">
        <f t="shared" si="437"/>
        <v>1</v>
      </c>
      <c r="M1333" s="409"/>
      <c r="N1333" s="407"/>
      <c r="O1333" s="409"/>
      <c r="P1333" s="409">
        <v>1</v>
      </c>
      <c r="Q1333" s="382"/>
      <c r="R1333" s="385" t="str">
        <f t="shared" si="438"/>
        <v>T</v>
      </c>
      <c r="S1333" s="389"/>
      <c r="T1333" s="389"/>
      <c r="U1333" s="389"/>
      <c r="V1333" s="389"/>
      <c r="W1333" s="389"/>
      <c r="X1333" s="389"/>
      <c r="Y1333" s="389"/>
      <c r="Z1333" s="389"/>
      <c r="AA1333" s="389"/>
      <c r="AB1333" s="389"/>
      <c r="AC1333" s="389"/>
      <c r="AD1333" s="389"/>
      <c r="AE1333" s="389"/>
      <c r="AF1333" s="389"/>
    </row>
    <row r="1334" spans="1:32" hidden="1" outlineLevel="3">
      <c r="A1334" s="382"/>
      <c r="B1334" s="382" t="s">
        <v>536</v>
      </c>
      <c r="C1334" s="386" t="s">
        <v>537</v>
      </c>
      <c r="D1334" s="382" t="s">
        <v>18</v>
      </c>
      <c r="E1334" s="386" t="s">
        <v>72</v>
      </c>
      <c r="F1334" s="440" t="s">
        <v>554</v>
      </c>
      <c r="G1334" s="411">
        <v>5.3070800000000008E-2</v>
      </c>
      <c r="H1334" s="525" t="str">
        <f t="shared" si="433"/>
        <v/>
      </c>
      <c r="I1334" s="525" t="str">
        <f t="shared" si="434"/>
        <v/>
      </c>
      <c r="J1334" s="525" t="str">
        <f t="shared" si="435"/>
        <v/>
      </c>
      <c r="K1334" s="525">
        <f t="shared" si="436"/>
        <v>5.3070800000000008E-2</v>
      </c>
      <c r="L1334" s="411">
        <f t="shared" si="437"/>
        <v>1</v>
      </c>
      <c r="M1334" s="409"/>
      <c r="N1334" s="407"/>
      <c r="O1334" s="407"/>
      <c r="P1334" s="409">
        <v>1</v>
      </c>
      <c r="Q1334" s="382"/>
      <c r="R1334" s="385" t="str">
        <f t="shared" si="438"/>
        <v>T</v>
      </c>
      <c r="S1334" s="389"/>
      <c r="T1334" s="389"/>
      <c r="U1334" s="389"/>
      <c r="V1334" s="389"/>
      <c r="W1334" s="389"/>
      <c r="X1334" s="389"/>
      <c r="Y1334" s="389"/>
      <c r="Z1334" s="389"/>
      <c r="AA1334" s="389"/>
      <c r="AB1334" s="389"/>
      <c r="AC1334" s="389"/>
      <c r="AD1334" s="389"/>
      <c r="AE1334" s="389"/>
      <c r="AF1334" s="389"/>
    </row>
    <row r="1335" spans="1:32" hidden="1" outlineLevel="3">
      <c r="A1335" s="382"/>
      <c r="B1335" s="382" t="s">
        <v>536</v>
      </c>
      <c r="C1335" s="386" t="s">
        <v>537</v>
      </c>
      <c r="D1335" s="382" t="s">
        <v>18</v>
      </c>
      <c r="E1335" s="386" t="s">
        <v>72</v>
      </c>
      <c r="F1335" s="440" t="s">
        <v>555</v>
      </c>
      <c r="G1335" s="411">
        <v>2.6535400000000004E-2</v>
      </c>
      <c r="H1335" s="525" t="str">
        <f t="shared" si="433"/>
        <v/>
      </c>
      <c r="I1335" s="525" t="str">
        <f t="shared" si="434"/>
        <v/>
      </c>
      <c r="J1335" s="525" t="str">
        <f t="shared" si="435"/>
        <v/>
      </c>
      <c r="K1335" s="525">
        <f t="shared" si="436"/>
        <v>2.6535400000000004E-2</v>
      </c>
      <c r="L1335" s="411">
        <f t="shared" si="437"/>
        <v>1</v>
      </c>
      <c r="M1335" s="409"/>
      <c r="N1335" s="407"/>
      <c r="O1335" s="407"/>
      <c r="P1335" s="409">
        <v>1</v>
      </c>
      <c r="Q1335" s="382"/>
      <c r="R1335" s="385" t="str">
        <f t="shared" si="438"/>
        <v>T</v>
      </c>
      <c r="S1335" s="389"/>
      <c r="T1335" s="389"/>
      <c r="U1335" s="389"/>
      <c r="V1335" s="389"/>
      <c r="W1335" s="389"/>
      <c r="X1335" s="389"/>
      <c r="Y1335" s="389"/>
      <c r="Z1335" s="389"/>
      <c r="AA1335" s="389"/>
      <c r="AB1335" s="389"/>
      <c r="AC1335" s="389"/>
      <c r="AD1335" s="389"/>
      <c r="AE1335" s="389"/>
      <c r="AF1335" s="389"/>
    </row>
    <row r="1336" spans="1:32" hidden="1" outlineLevel="3">
      <c r="A1336" s="382"/>
      <c r="B1336" s="382" t="s">
        <v>536</v>
      </c>
      <c r="C1336" s="386" t="s">
        <v>537</v>
      </c>
      <c r="D1336" s="382" t="s">
        <v>18</v>
      </c>
      <c r="E1336" s="386" t="s">
        <v>72</v>
      </c>
      <c r="F1336" s="440" t="s">
        <v>556</v>
      </c>
      <c r="G1336" s="411">
        <v>6.1283550000000013E-2</v>
      </c>
      <c r="H1336" s="525" t="str">
        <f t="shared" si="433"/>
        <v/>
      </c>
      <c r="I1336" s="525" t="str">
        <f t="shared" si="434"/>
        <v/>
      </c>
      <c r="J1336" s="525" t="str">
        <f t="shared" si="435"/>
        <v/>
      </c>
      <c r="K1336" s="525">
        <f t="shared" si="436"/>
        <v>6.1283550000000013E-2</v>
      </c>
      <c r="L1336" s="411">
        <f t="shared" si="437"/>
        <v>1</v>
      </c>
      <c r="M1336" s="409"/>
      <c r="N1336" s="407"/>
      <c r="O1336" s="407"/>
      <c r="P1336" s="409">
        <v>1</v>
      </c>
      <c r="Q1336" s="382"/>
      <c r="R1336" s="385" t="str">
        <f t="shared" si="438"/>
        <v>T</v>
      </c>
      <c r="S1336" s="389"/>
      <c r="T1336" s="389"/>
      <c r="U1336" s="389"/>
      <c r="V1336" s="389"/>
      <c r="W1336" s="389"/>
      <c r="X1336" s="389"/>
      <c r="Y1336" s="389"/>
      <c r="Z1336" s="389"/>
      <c r="AA1336" s="389"/>
      <c r="AB1336" s="389"/>
      <c r="AC1336" s="389"/>
      <c r="AD1336" s="389"/>
      <c r="AE1336" s="389"/>
      <c r="AF1336" s="389"/>
    </row>
    <row r="1337" spans="1:32" hidden="1" outlineLevel="3">
      <c r="A1337" s="382"/>
      <c r="B1337" s="382" t="s">
        <v>536</v>
      </c>
      <c r="C1337" s="386" t="s">
        <v>537</v>
      </c>
      <c r="D1337" s="382" t="s">
        <v>18</v>
      </c>
      <c r="E1337" s="386" t="s">
        <v>72</v>
      </c>
      <c r="F1337" s="440" t="s">
        <v>557</v>
      </c>
      <c r="G1337" s="411">
        <v>3.0641775000000007E-2</v>
      </c>
      <c r="H1337" s="525" t="str">
        <f t="shared" si="433"/>
        <v/>
      </c>
      <c r="I1337" s="525" t="str">
        <f t="shared" si="434"/>
        <v/>
      </c>
      <c r="J1337" s="525" t="str">
        <f t="shared" si="435"/>
        <v/>
      </c>
      <c r="K1337" s="525">
        <f t="shared" si="436"/>
        <v>3.0641775000000007E-2</v>
      </c>
      <c r="L1337" s="411">
        <f t="shared" si="437"/>
        <v>1</v>
      </c>
      <c r="M1337" s="409"/>
      <c r="N1337" s="407"/>
      <c r="O1337" s="407"/>
      <c r="P1337" s="409">
        <v>1</v>
      </c>
      <c r="Q1337" s="382"/>
      <c r="R1337" s="385" t="str">
        <f t="shared" si="438"/>
        <v>T</v>
      </c>
      <c r="S1337" s="389"/>
      <c r="T1337" s="389"/>
      <c r="U1337" s="389"/>
      <c r="V1337" s="389"/>
      <c r="W1337" s="389"/>
      <c r="X1337" s="389"/>
      <c r="Y1337" s="389"/>
      <c r="Z1337" s="389"/>
      <c r="AA1337" s="389"/>
      <c r="AB1337" s="389"/>
      <c r="AC1337" s="389"/>
      <c r="AD1337" s="389"/>
      <c r="AE1337" s="389"/>
      <c r="AF1337" s="389"/>
    </row>
    <row r="1338" spans="1:32" hidden="1" outlineLevel="3">
      <c r="A1338" s="382"/>
      <c r="B1338" s="382" t="s">
        <v>536</v>
      </c>
      <c r="C1338" s="386" t="s">
        <v>537</v>
      </c>
      <c r="D1338" s="382" t="s">
        <v>18</v>
      </c>
      <c r="E1338" s="386" t="s">
        <v>72</v>
      </c>
      <c r="F1338" s="440" t="s">
        <v>558</v>
      </c>
      <c r="G1338" s="411">
        <v>0.75414213200567337</v>
      </c>
      <c r="H1338" s="525" t="str">
        <f t="shared" si="433"/>
        <v/>
      </c>
      <c r="I1338" s="525" t="str">
        <f t="shared" si="434"/>
        <v/>
      </c>
      <c r="J1338" s="525">
        <f t="shared" si="435"/>
        <v>0.75414213200567337</v>
      </c>
      <c r="K1338" s="525" t="str">
        <f t="shared" si="436"/>
        <v/>
      </c>
      <c r="L1338" s="411">
        <f t="shared" si="437"/>
        <v>1</v>
      </c>
      <c r="M1338" s="409"/>
      <c r="N1338" s="409"/>
      <c r="O1338" s="409">
        <v>1</v>
      </c>
      <c r="P1338" s="409"/>
      <c r="Q1338" s="382"/>
      <c r="R1338" s="385" t="str">
        <f t="shared" si="438"/>
        <v>T</v>
      </c>
      <c r="S1338" s="389"/>
      <c r="T1338" s="389"/>
      <c r="U1338" s="389"/>
      <c r="V1338" s="389"/>
      <c r="W1338" s="389"/>
      <c r="X1338" s="389"/>
      <c r="Y1338" s="389"/>
      <c r="Z1338" s="389"/>
      <c r="AA1338" s="389"/>
      <c r="AB1338" s="389"/>
      <c r="AC1338" s="389"/>
      <c r="AD1338" s="389"/>
      <c r="AE1338" s="389"/>
      <c r="AF1338" s="389"/>
    </row>
    <row r="1339" spans="1:32" hidden="1" outlineLevel="3">
      <c r="A1339" s="382"/>
      <c r="B1339" s="382" t="s">
        <v>536</v>
      </c>
      <c r="C1339" s="386" t="s">
        <v>537</v>
      </c>
      <c r="D1339" s="382" t="s">
        <v>18</v>
      </c>
      <c r="E1339" s="386" t="s">
        <v>72</v>
      </c>
      <c r="F1339" s="440" t="s">
        <v>559</v>
      </c>
      <c r="G1339" s="411">
        <v>0.32218183314231663</v>
      </c>
      <c r="H1339" s="525" t="str">
        <f t="shared" si="433"/>
        <v/>
      </c>
      <c r="I1339" s="525" t="str">
        <f t="shared" si="434"/>
        <v/>
      </c>
      <c r="J1339" s="525">
        <f t="shared" si="435"/>
        <v>0.32218183314231663</v>
      </c>
      <c r="K1339" s="525" t="str">
        <f t="shared" si="436"/>
        <v/>
      </c>
      <c r="L1339" s="411">
        <f t="shared" si="437"/>
        <v>1</v>
      </c>
      <c r="M1339" s="409"/>
      <c r="N1339" s="409"/>
      <c r="O1339" s="409">
        <v>1</v>
      </c>
      <c r="P1339" s="409"/>
      <c r="Q1339" s="382"/>
      <c r="R1339" s="385" t="str">
        <f t="shared" si="438"/>
        <v>T</v>
      </c>
      <c r="S1339" s="389"/>
      <c r="T1339" s="389"/>
      <c r="U1339" s="389"/>
      <c r="V1339" s="389"/>
      <c r="W1339" s="389"/>
      <c r="X1339" s="389"/>
      <c r="Y1339" s="389"/>
      <c r="Z1339" s="389"/>
      <c r="AA1339" s="389"/>
      <c r="AB1339" s="389"/>
      <c r="AC1339" s="389"/>
      <c r="AD1339" s="389"/>
      <c r="AE1339" s="389"/>
      <c r="AF1339" s="389"/>
    </row>
    <row r="1340" spans="1:32" hidden="1" outlineLevel="3">
      <c r="A1340" s="382"/>
      <c r="B1340" s="382" t="s">
        <v>536</v>
      </c>
      <c r="C1340" s="386" t="s">
        <v>537</v>
      </c>
      <c r="D1340" s="382" t="s">
        <v>18</v>
      </c>
      <c r="E1340" s="386" t="s">
        <v>72</v>
      </c>
      <c r="F1340" s="440" t="s">
        <v>560</v>
      </c>
      <c r="G1340" s="411">
        <v>5.5376250053900677E-2</v>
      </c>
      <c r="H1340" s="525" t="str">
        <f t="shared" si="433"/>
        <v/>
      </c>
      <c r="I1340" s="525" t="str">
        <f t="shared" si="434"/>
        <v/>
      </c>
      <c r="J1340" s="525">
        <f t="shared" si="435"/>
        <v>5.5376250053900677E-2</v>
      </c>
      <c r="K1340" s="525" t="str">
        <f t="shared" si="436"/>
        <v/>
      </c>
      <c r="L1340" s="411">
        <f t="shared" si="437"/>
        <v>1</v>
      </c>
      <c r="M1340" s="409"/>
      <c r="N1340" s="409"/>
      <c r="O1340" s="409">
        <v>1</v>
      </c>
      <c r="P1340" s="409"/>
      <c r="Q1340" s="382"/>
      <c r="R1340" s="385" t="str">
        <f t="shared" si="438"/>
        <v>T</v>
      </c>
      <c r="S1340" s="389"/>
      <c r="T1340" s="389"/>
      <c r="U1340" s="389"/>
      <c r="V1340" s="389"/>
      <c r="W1340" s="389"/>
      <c r="X1340" s="389"/>
      <c r="Y1340" s="389"/>
      <c r="Z1340" s="389"/>
      <c r="AA1340" s="389"/>
      <c r="AB1340" s="389"/>
      <c r="AC1340" s="389"/>
      <c r="AD1340" s="389"/>
      <c r="AE1340" s="389"/>
      <c r="AF1340" s="389"/>
    </row>
    <row r="1341" spans="1:32" hidden="1" outlineLevel="3">
      <c r="A1341" s="382"/>
      <c r="B1341" s="382" t="s">
        <v>536</v>
      </c>
      <c r="C1341" s="386" t="s">
        <v>537</v>
      </c>
      <c r="D1341" s="382" t="s">
        <v>18</v>
      </c>
      <c r="E1341" s="386" t="s">
        <v>72</v>
      </c>
      <c r="F1341" s="440" t="s">
        <v>561</v>
      </c>
      <c r="G1341" s="411">
        <v>0.14850000000000002</v>
      </c>
      <c r="H1341" s="525" t="str">
        <f t="shared" si="433"/>
        <v/>
      </c>
      <c r="I1341" s="525" t="str">
        <f t="shared" si="434"/>
        <v/>
      </c>
      <c r="J1341" s="525">
        <f t="shared" si="435"/>
        <v>0.14850000000000002</v>
      </c>
      <c r="K1341" s="525" t="str">
        <f t="shared" si="436"/>
        <v/>
      </c>
      <c r="L1341" s="411">
        <f t="shared" si="437"/>
        <v>1</v>
      </c>
      <c r="M1341" s="409"/>
      <c r="N1341" s="409"/>
      <c r="O1341" s="409">
        <v>1</v>
      </c>
      <c r="P1341" s="409"/>
      <c r="Q1341" s="382"/>
      <c r="R1341" s="385" t="str">
        <f t="shared" si="438"/>
        <v>T</v>
      </c>
      <c r="S1341" s="389"/>
      <c r="T1341" s="389"/>
      <c r="U1341" s="389"/>
      <c r="V1341" s="389"/>
      <c r="W1341" s="389"/>
      <c r="X1341" s="389"/>
      <c r="Y1341" s="389"/>
      <c r="Z1341" s="389"/>
      <c r="AA1341" s="389"/>
      <c r="AB1341" s="389"/>
      <c r="AC1341" s="389"/>
      <c r="AD1341" s="389"/>
      <c r="AE1341" s="389"/>
      <c r="AF1341" s="389"/>
    </row>
    <row r="1342" spans="1:32" hidden="1" outlineLevel="3">
      <c r="A1342" s="382"/>
      <c r="B1342" s="382" t="s">
        <v>536</v>
      </c>
      <c r="C1342" s="386" t="s">
        <v>537</v>
      </c>
      <c r="D1342" s="382" t="s">
        <v>18</v>
      </c>
      <c r="E1342" s="386" t="s">
        <v>72</v>
      </c>
      <c r="F1342" s="440" t="s">
        <v>562</v>
      </c>
      <c r="G1342" s="411">
        <v>0.14850000000000002</v>
      </c>
      <c r="H1342" s="525" t="str">
        <f t="shared" si="433"/>
        <v/>
      </c>
      <c r="I1342" s="525" t="str">
        <f t="shared" si="434"/>
        <v/>
      </c>
      <c r="J1342" s="525" t="str">
        <f t="shared" si="435"/>
        <v/>
      </c>
      <c r="K1342" s="525">
        <f t="shared" si="436"/>
        <v>0.14850000000000002</v>
      </c>
      <c r="L1342" s="411">
        <f t="shared" si="437"/>
        <v>1</v>
      </c>
      <c r="M1342" s="409"/>
      <c r="N1342" s="409"/>
      <c r="O1342" s="409"/>
      <c r="P1342" s="409">
        <v>1</v>
      </c>
      <c r="Q1342" s="382"/>
      <c r="R1342" s="385" t="str">
        <f t="shared" si="438"/>
        <v>T</v>
      </c>
      <c r="S1342" s="389"/>
      <c r="T1342" s="389"/>
      <c r="U1342" s="389"/>
      <c r="V1342" s="389"/>
      <c r="W1342" s="389"/>
      <c r="X1342" s="389"/>
      <c r="Y1342" s="389"/>
      <c r="Z1342" s="389"/>
      <c r="AA1342" s="389"/>
      <c r="AB1342" s="389"/>
      <c r="AC1342" s="389"/>
      <c r="AD1342" s="389"/>
      <c r="AE1342" s="389"/>
      <c r="AF1342" s="389"/>
    </row>
    <row r="1343" spans="1:32" hidden="1" outlineLevel="3">
      <c r="A1343" s="382"/>
      <c r="B1343" s="382" t="s">
        <v>536</v>
      </c>
      <c r="C1343" s="386" t="s">
        <v>537</v>
      </c>
      <c r="D1343" s="382" t="s">
        <v>18</v>
      </c>
      <c r="E1343" s="386" t="s">
        <v>72</v>
      </c>
      <c r="F1343" s="440" t="s">
        <v>69</v>
      </c>
      <c r="G1343" s="411">
        <v>3.2896194012000002E-2</v>
      </c>
      <c r="H1343" s="525" t="str">
        <f t="shared" si="433"/>
        <v/>
      </c>
      <c r="I1343" s="525" t="str">
        <f t="shared" si="434"/>
        <v/>
      </c>
      <c r="J1343" s="525">
        <f t="shared" si="435"/>
        <v>3.2896194012000002E-2</v>
      </c>
      <c r="K1343" s="525" t="str">
        <f t="shared" si="436"/>
        <v/>
      </c>
      <c r="L1343" s="411">
        <f t="shared" si="437"/>
        <v>1</v>
      </c>
      <c r="M1343" s="409"/>
      <c r="N1343" s="407"/>
      <c r="O1343" s="409">
        <v>1</v>
      </c>
      <c r="P1343" s="409"/>
      <c r="Q1343" s="382"/>
      <c r="R1343" s="385" t="str">
        <f t="shared" si="438"/>
        <v>T</v>
      </c>
      <c r="S1343" s="389"/>
      <c r="T1343" s="389"/>
      <c r="U1343" s="389"/>
      <c r="V1343" s="389"/>
      <c r="W1343" s="389"/>
      <c r="X1343" s="389"/>
      <c r="Y1343" s="389"/>
      <c r="Z1343" s="389"/>
      <c r="AA1343" s="389"/>
      <c r="AB1343" s="389"/>
      <c r="AC1343" s="389"/>
      <c r="AD1343" s="389"/>
      <c r="AE1343" s="389"/>
      <c r="AF1343" s="389"/>
    </row>
    <row r="1344" spans="1:32" hidden="1" outlineLevel="3">
      <c r="A1344" s="382"/>
      <c r="B1344" s="382" t="s">
        <v>536</v>
      </c>
      <c r="C1344" s="386" t="s">
        <v>537</v>
      </c>
      <c r="D1344" s="382" t="s">
        <v>18</v>
      </c>
      <c r="E1344" s="386" t="s">
        <v>72</v>
      </c>
      <c r="F1344" s="440" t="s">
        <v>359</v>
      </c>
      <c r="G1344" s="411">
        <v>3.2896194012000002E-2</v>
      </c>
      <c r="H1344" s="525" t="str">
        <f t="shared" si="433"/>
        <v/>
      </c>
      <c r="I1344" s="525" t="str">
        <f t="shared" si="434"/>
        <v/>
      </c>
      <c r="J1344" s="525">
        <f t="shared" si="435"/>
        <v>3.2896194012000002E-2</v>
      </c>
      <c r="K1344" s="525" t="str">
        <f t="shared" si="436"/>
        <v/>
      </c>
      <c r="L1344" s="411">
        <f t="shared" si="437"/>
        <v>1</v>
      </c>
      <c r="M1344" s="409"/>
      <c r="N1344" s="407"/>
      <c r="O1344" s="409">
        <v>1</v>
      </c>
      <c r="P1344" s="409"/>
      <c r="Q1344" s="382"/>
      <c r="R1344" s="385" t="str">
        <f t="shared" si="438"/>
        <v>T</v>
      </c>
      <c r="S1344" s="389"/>
      <c r="T1344" s="389"/>
      <c r="U1344" s="389"/>
      <c r="V1344" s="389"/>
      <c r="W1344" s="389"/>
      <c r="X1344" s="389"/>
      <c r="Y1344" s="389"/>
      <c r="Z1344" s="389"/>
      <c r="AA1344" s="389"/>
      <c r="AB1344" s="389"/>
      <c r="AC1344" s="389"/>
      <c r="AD1344" s="389"/>
      <c r="AE1344" s="389"/>
      <c r="AF1344" s="389"/>
    </row>
    <row r="1345" spans="1:32" hidden="1" outlineLevel="3" collapsed="1">
      <c r="A1345" s="382"/>
      <c r="B1345" s="382" t="s">
        <v>536</v>
      </c>
      <c r="C1345" s="386" t="s">
        <v>537</v>
      </c>
      <c r="D1345" s="382" t="s">
        <v>18</v>
      </c>
      <c r="E1345" s="386" t="s">
        <v>72</v>
      </c>
      <c r="F1345" s="440" t="s">
        <v>563</v>
      </c>
      <c r="G1345" s="411">
        <v>1.0965398004000001E-2</v>
      </c>
      <c r="H1345" s="525" t="str">
        <f t="shared" si="433"/>
        <v/>
      </c>
      <c r="I1345" s="525" t="str">
        <f t="shared" si="434"/>
        <v/>
      </c>
      <c r="J1345" s="525" t="str">
        <f t="shared" si="435"/>
        <v/>
      </c>
      <c r="K1345" s="525">
        <f t="shared" si="436"/>
        <v>1.0965398004000001E-2</v>
      </c>
      <c r="L1345" s="411">
        <f t="shared" si="437"/>
        <v>1</v>
      </c>
      <c r="M1345" s="409"/>
      <c r="N1345" s="407"/>
      <c r="O1345" s="409"/>
      <c r="P1345" s="409">
        <v>1</v>
      </c>
      <c r="Q1345" s="382"/>
      <c r="R1345" s="385" t="str">
        <f t="shared" si="438"/>
        <v>T</v>
      </c>
      <c r="S1345" s="389"/>
      <c r="T1345" s="389"/>
      <c r="U1345" s="389"/>
      <c r="V1345" s="389"/>
      <c r="W1345" s="389"/>
      <c r="X1345" s="389"/>
      <c r="Y1345" s="389"/>
      <c r="Z1345" s="389"/>
      <c r="AA1345" s="389"/>
      <c r="AB1345" s="389"/>
      <c r="AC1345" s="389"/>
      <c r="AD1345" s="389"/>
      <c r="AE1345" s="389"/>
      <c r="AF1345" s="389"/>
    </row>
    <row r="1346" spans="1:32" hidden="1" outlineLevel="3">
      <c r="A1346" s="382"/>
      <c r="B1346" s="382" t="s">
        <v>536</v>
      </c>
      <c r="C1346" s="386" t="s">
        <v>537</v>
      </c>
      <c r="D1346" s="382" t="s">
        <v>18</v>
      </c>
      <c r="E1346" s="386" t="s">
        <v>72</v>
      </c>
      <c r="F1346" s="440" t="s">
        <v>564</v>
      </c>
      <c r="G1346" s="411">
        <v>1.0965398004000001E-2</v>
      </c>
      <c r="H1346" s="525" t="str">
        <f t="shared" si="433"/>
        <v/>
      </c>
      <c r="I1346" s="525" t="str">
        <f t="shared" si="434"/>
        <v/>
      </c>
      <c r="J1346" s="525" t="str">
        <f t="shared" si="435"/>
        <v/>
      </c>
      <c r="K1346" s="525">
        <f t="shared" si="436"/>
        <v>1.0965398004000001E-2</v>
      </c>
      <c r="L1346" s="411">
        <f t="shared" si="437"/>
        <v>1</v>
      </c>
      <c r="M1346" s="409"/>
      <c r="N1346" s="407"/>
      <c r="O1346" s="409"/>
      <c r="P1346" s="409">
        <v>1</v>
      </c>
      <c r="Q1346" s="382"/>
      <c r="R1346" s="385" t="str">
        <f t="shared" si="438"/>
        <v>T</v>
      </c>
      <c r="S1346" s="389"/>
      <c r="T1346" s="389"/>
      <c r="U1346" s="389"/>
      <c r="V1346" s="389"/>
      <c r="W1346" s="389"/>
      <c r="X1346" s="389"/>
      <c r="Y1346" s="389"/>
      <c r="Z1346" s="389"/>
      <c r="AA1346" s="389"/>
      <c r="AB1346" s="389"/>
      <c r="AC1346" s="389"/>
      <c r="AD1346" s="389"/>
      <c r="AE1346" s="389"/>
      <c r="AF1346" s="389"/>
    </row>
    <row r="1347" spans="1:32" hidden="1" outlineLevel="3">
      <c r="A1347" s="382"/>
      <c r="B1347" s="382" t="s">
        <v>536</v>
      </c>
      <c r="C1347" s="386" t="s">
        <v>537</v>
      </c>
      <c r="D1347" s="382" t="s">
        <v>18</v>
      </c>
      <c r="E1347" s="386" t="s">
        <v>204</v>
      </c>
      <c r="F1347" s="420" t="s">
        <v>565</v>
      </c>
      <c r="G1347" s="411">
        <v>0.03</v>
      </c>
      <c r="H1347" s="525">
        <f t="shared" si="433"/>
        <v>0.03</v>
      </c>
      <c r="I1347" s="525" t="str">
        <f t="shared" si="434"/>
        <v/>
      </c>
      <c r="J1347" s="525" t="str">
        <f t="shared" si="435"/>
        <v/>
      </c>
      <c r="K1347" s="525" t="str">
        <f t="shared" si="436"/>
        <v/>
      </c>
      <c r="L1347" s="411">
        <f>SUM(M1347:P1347)</f>
        <v>1</v>
      </c>
      <c r="M1347" s="409">
        <v>1</v>
      </c>
      <c r="N1347" s="409"/>
      <c r="O1347" s="409"/>
      <c r="P1347" s="409"/>
      <c r="Q1347" s="382"/>
      <c r="R1347" s="385" t="str">
        <f>IF(SUM(M1347:P1347)=L1347,"T","F")</f>
        <v>T</v>
      </c>
      <c r="S1347" s="389"/>
      <c r="T1347" s="389"/>
      <c r="U1347" s="389"/>
      <c r="V1347" s="389"/>
      <c r="W1347" s="389"/>
      <c r="X1347" s="389"/>
      <c r="Y1347" s="389"/>
      <c r="Z1347" s="389"/>
      <c r="AA1347" s="389"/>
      <c r="AB1347" s="389"/>
      <c r="AC1347" s="389"/>
      <c r="AD1347" s="389"/>
      <c r="AE1347" s="389"/>
      <c r="AF1347" s="389"/>
    </row>
    <row r="1348" spans="1:32" hidden="1" outlineLevel="3">
      <c r="A1348" s="382"/>
      <c r="B1348" s="382" t="s">
        <v>536</v>
      </c>
      <c r="C1348" s="386" t="s">
        <v>537</v>
      </c>
      <c r="D1348" s="382" t="s">
        <v>18</v>
      </c>
      <c r="E1348" s="386" t="s">
        <v>204</v>
      </c>
      <c r="F1348" s="420" t="s">
        <v>342</v>
      </c>
      <c r="G1348" s="411">
        <v>0.01</v>
      </c>
      <c r="H1348" s="525" t="str">
        <f t="shared" si="433"/>
        <v/>
      </c>
      <c r="I1348" s="525">
        <f t="shared" si="434"/>
        <v>0.01</v>
      </c>
      <c r="J1348" s="525" t="str">
        <f t="shared" si="435"/>
        <v/>
      </c>
      <c r="K1348" s="525" t="str">
        <f t="shared" si="436"/>
        <v/>
      </c>
      <c r="L1348" s="411">
        <f>SUM(M1348:P1348)</f>
        <v>1</v>
      </c>
      <c r="M1348" s="409"/>
      <c r="N1348" s="409">
        <v>1</v>
      </c>
      <c r="O1348" s="409"/>
      <c r="P1348" s="409"/>
      <c r="Q1348" s="382"/>
      <c r="R1348" s="385" t="str">
        <f>IF(SUM(M1348:P1348)=L1348,"T","F")</f>
        <v>T</v>
      </c>
      <c r="S1348" s="389"/>
      <c r="T1348" s="389"/>
      <c r="U1348" s="389"/>
      <c r="V1348" s="389"/>
      <c r="W1348" s="389"/>
      <c r="X1348" s="389"/>
      <c r="Y1348" s="389"/>
      <c r="Z1348" s="389"/>
      <c r="AA1348" s="389"/>
      <c r="AB1348" s="389"/>
      <c r="AC1348" s="389"/>
      <c r="AD1348" s="389"/>
      <c r="AE1348" s="389"/>
      <c r="AF1348" s="389"/>
    </row>
    <row r="1349" spans="1:32" hidden="1" outlineLevel="3">
      <c r="A1349" s="382"/>
      <c r="B1349" s="382" t="s">
        <v>536</v>
      </c>
      <c r="C1349" s="386" t="s">
        <v>537</v>
      </c>
      <c r="D1349" s="382" t="s">
        <v>18</v>
      </c>
      <c r="E1349" s="386" t="s">
        <v>204</v>
      </c>
      <c r="F1349" s="420" t="s">
        <v>566</v>
      </c>
      <c r="G1349" s="411">
        <v>0.03</v>
      </c>
      <c r="H1349" s="525">
        <f t="shared" si="433"/>
        <v>0.03</v>
      </c>
      <c r="I1349" s="525" t="str">
        <f t="shared" si="434"/>
        <v/>
      </c>
      <c r="J1349" s="525" t="str">
        <f t="shared" si="435"/>
        <v/>
      </c>
      <c r="K1349" s="525" t="str">
        <f t="shared" si="436"/>
        <v/>
      </c>
      <c r="L1349" s="411">
        <f>SUM(M1349:P1349)</f>
        <v>1</v>
      </c>
      <c r="M1349" s="409">
        <v>1</v>
      </c>
      <c r="N1349" s="409"/>
      <c r="O1349" s="409"/>
      <c r="P1349" s="409"/>
      <c r="Q1349" s="382"/>
      <c r="R1349" s="385" t="str">
        <f>IF(SUM(M1349:P1349)=L1349,"T","F")</f>
        <v>T</v>
      </c>
      <c r="S1349" s="389"/>
      <c r="T1349" s="389"/>
      <c r="U1349" s="389"/>
      <c r="V1349" s="389"/>
      <c r="W1349" s="389"/>
      <c r="X1349" s="389"/>
      <c r="Y1349" s="389"/>
      <c r="Z1349" s="389"/>
      <c r="AA1349" s="389"/>
      <c r="AB1349" s="389"/>
      <c r="AC1349" s="389"/>
      <c r="AD1349" s="389"/>
      <c r="AE1349" s="389"/>
      <c r="AF1349" s="389"/>
    </row>
    <row r="1350" spans="1:32" hidden="1" outlineLevel="3">
      <c r="A1350" s="382"/>
      <c r="B1350" s="382" t="s">
        <v>536</v>
      </c>
      <c r="C1350" s="386" t="s">
        <v>537</v>
      </c>
      <c r="D1350" s="382" t="s">
        <v>18</v>
      </c>
      <c r="E1350" s="386" t="s">
        <v>204</v>
      </c>
      <c r="F1350" s="440" t="s">
        <v>205</v>
      </c>
      <c r="G1350" s="411">
        <v>3.7499999999999999E-2</v>
      </c>
      <c r="H1350" s="525" t="str">
        <f t="shared" si="433"/>
        <v/>
      </c>
      <c r="I1350" s="525" t="str">
        <f t="shared" si="434"/>
        <v/>
      </c>
      <c r="J1350" s="525">
        <f t="shared" si="435"/>
        <v>3.7499999999999999E-2</v>
      </c>
      <c r="K1350" s="525" t="str">
        <f t="shared" si="436"/>
        <v/>
      </c>
      <c r="L1350" s="411">
        <f t="shared" si="437"/>
        <v>1</v>
      </c>
      <c r="M1350" s="409"/>
      <c r="N1350" s="409"/>
      <c r="O1350" s="409">
        <v>1</v>
      </c>
      <c r="P1350" s="409"/>
      <c r="Q1350" s="382"/>
      <c r="R1350" s="385" t="str">
        <f t="shared" si="438"/>
        <v>T</v>
      </c>
      <c r="S1350" s="389"/>
      <c r="T1350" s="389"/>
      <c r="U1350" s="389"/>
      <c r="V1350" s="389"/>
      <c r="W1350" s="389"/>
      <c r="X1350" s="389"/>
      <c r="Y1350" s="389"/>
      <c r="Z1350" s="389"/>
      <c r="AA1350" s="389"/>
      <c r="AB1350" s="389"/>
      <c r="AC1350" s="389"/>
      <c r="AD1350" s="389"/>
      <c r="AE1350" s="389"/>
      <c r="AF1350" s="389"/>
    </row>
    <row r="1351" spans="1:32" hidden="1" outlineLevel="3" collapsed="1">
      <c r="A1351" s="382"/>
      <c r="B1351" s="382" t="s">
        <v>536</v>
      </c>
      <c r="C1351" s="386" t="s">
        <v>537</v>
      </c>
      <c r="D1351" s="382" t="s">
        <v>18</v>
      </c>
      <c r="E1351" s="386" t="s">
        <v>204</v>
      </c>
      <c r="F1351" s="440" t="s">
        <v>116</v>
      </c>
      <c r="G1351" s="411">
        <v>0.05</v>
      </c>
      <c r="H1351" s="525" t="str">
        <f t="shared" si="433"/>
        <v/>
      </c>
      <c r="I1351" s="525" t="str">
        <f t="shared" si="434"/>
        <v/>
      </c>
      <c r="J1351" s="525" t="str">
        <f t="shared" si="435"/>
        <v/>
      </c>
      <c r="K1351" s="525">
        <f t="shared" si="436"/>
        <v>0.05</v>
      </c>
      <c r="L1351" s="411">
        <f t="shared" si="437"/>
        <v>1</v>
      </c>
      <c r="M1351" s="409"/>
      <c r="N1351" s="409"/>
      <c r="O1351" s="409"/>
      <c r="P1351" s="409">
        <v>1</v>
      </c>
      <c r="Q1351" s="382"/>
      <c r="R1351" s="385" t="str">
        <f t="shared" si="438"/>
        <v>T</v>
      </c>
      <c r="S1351" s="389"/>
      <c r="T1351" s="389"/>
      <c r="U1351" s="389"/>
      <c r="V1351" s="389"/>
      <c r="W1351" s="389"/>
      <c r="X1351" s="389"/>
      <c r="Y1351" s="389"/>
      <c r="Z1351" s="389"/>
      <c r="AA1351" s="389"/>
      <c r="AB1351" s="389"/>
      <c r="AC1351" s="389"/>
      <c r="AD1351" s="389"/>
      <c r="AE1351" s="389"/>
      <c r="AF1351" s="389"/>
    </row>
    <row r="1352" spans="1:32" hidden="1" outlineLevel="3">
      <c r="A1352" s="382"/>
      <c r="B1352" s="382" t="s">
        <v>536</v>
      </c>
      <c r="C1352" s="386" t="s">
        <v>537</v>
      </c>
      <c r="D1352" s="382" t="s">
        <v>18</v>
      </c>
      <c r="E1352" s="386" t="s">
        <v>204</v>
      </c>
      <c r="F1352" s="440" t="s">
        <v>117</v>
      </c>
      <c r="G1352" s="411">
        <v>1.2500000000000001E-2</v>
      </c>
      <c r="H1352" s="525" t="str">
        <f t="shared" si="433"/>
        <v/>
      </c>
      <c r="I1352" s="525" t="str">
        <f t="shared" si="434"/>
        <v/>
      </c>
      <c r="J1352" s="525" t="str">
        <f t="shared" si="435"/>
        <v/>
      </c>
      <c r="K1352" s="525">
        <f t="shared" si="436"/>
        <v>1.2500000000000001E-2</v>
      </c>
      <c r="L1352" s="411">
        <f t="shared" si="437"/>
        <v>1</v>
      </c>
      <c r="M1352" s="409"/>
      <c r="N1352" s="409"/>
      <c r="O1352" s="409"/>
      <c r="P1352" s="409">
        <v>1</v>
      </c>
      <c r="Q1352" s="382"/>
      <c r="R1352" s="385" t="str">
        <f t="shared" si="438"/>
        <v>T</v>
      </c>
      <c r="S1352" s="389"/>
      <c r="T1352" s="389"/>
      <c r="U1352" s="389"/>
      <c r="V1352" s="389"/>
      <c r="W1352" s="389"/>
      <c r="X1352" s="389"/>
      <c r="Y1352" s="389"/>
      <c r="Z1352" s="389"/>
      <c r="AA1352" s="389"/>
      <c r="AB1352" s="389"/>
      <c r="AC1352" s="389"/>
      <c r="AD1352" s="389"/>
      <c r="AE1352" s="389"/>
      <c r="AF1352" s="389"/>
    </row>
    <row r="1353" spans="1:32" hidden="1" outlineLevel="2" collapsed="1">
      <c r="A1353" s="382"/>
      <c r="B1353" s="382" t="s">
        <v>536</v>
      </c>
      <c r="C1353" s="386" t="s">
        <v>537</v>
      </c>
      <c r="D1353" s="382" t="s">
        <v>26</v>
      </c>
      <c r="E1353" s="382"/>
      <c r="F1353" s="440" t="s">
        <v>470</v>
      </c>
      <c r="G1353" s="411">
        <f>SUM(G1354:G1382)</f>
        <v>1.4705244698000006</v>
      </c>
      <c r="H1353" s="411">
        <f>SUM(H1354:H1382)</f>
        <v>0.62984501100000001</v>
      </c>
      <c r="I1353" s="411">
        <f>SUM(I1354:I1382)</f>
        <v>0.09</v>
      </c>
      <c r="J1353" s="411">
        <f>SUM(J1354:J1382)</f>
        <v>0.326853485</v>
      </c>
      <c r="K1353" s="411">
        <f>SUM(K1354:K1382)</f>
        <v>0.35159975379999997</v>
      </c>
      <c r="L1353" s="411">
        <f t="shared" si="437"/>
        <v>26</v>
      </c>
      <c r="M1353" s="409">
        <f>SUM(M1354:M1382)</f>
        <v>2</v>
      </c>
      <c r="N1353" s="409">
        <f>SUM(N1354:N1382)</f>
        <v>1</v>
      </c>
      <c r="O1353" s="409">
        <f>SUM(O1354:O1382)</f>
        <v>8</v>
      </c>
      <c r="P1353" s="409">
        <f>SUM(P1354:P1382)</f>
        <v>15</v>
      </c>
      <c r="Q1353" s="382"/>
      <c r="R1353" s="385" t="str">
        <f t="shared" si="438"/>
        <v>T</v>
      </c>
      <c r="S1353" s="389"/>
      <c r="T1353" s="389"/>
      <c r="U1353" s="389"/>
      <c r="V1353" s="389"/>
      <c r="W1353" s="389"/>
      <c r="X1353" s="389"/>
      <c r="Y1353" s="389"/>
      <c r="Z1353" s="389"/>
      <c r="AA1353" s="389"/>
      <c r="AB1353" s="389"/>
      <c r="AC1353" s="389"/>
      <c r="AD1353" s="389"/>
      <c r="AE1353" s="389"/>
      <c r="AF1353" s="389"/>
    </row>
    <row r="1354" spans="1:32" hidden="1" outlineLevel="3">
      <c r="A1354" s="382"/>
      <c r="B1354" s="382" t="s">
        <v>536</v>
      </c>
      <c r="C1354" s="386" t="s">
        <v>537</v>
      </c>
      <c r="D1354" s="382" t="s">
        <v>26</v>
      </c>
      <c r="E1354" s="382" t="s">
        <v>27</v>
      </c>
      <c r="F1354" s="440" t="s">
        <v>540</v>
      </c>
      <c r="G1354" s="411">
        <v>0.26984501099999997</v>
      </c>
      <c r="H1354" s="525">
        <f t="shared" ref="H1354:H1382" si="439">IF(M1354=1,$G1354,"")</f>
        <v>0.26984501099999997</v>
      </c>
      <c r="I1354" s="525" t="str">
        <f t="shared" ref="I1354:I1382" si="440">IF(N1354=1,$G1354,"")</f>
        <v/>
      </c>
      <c r="J1354" s="525" t="str">
        <f t="shared" ref="J1354:J1382" si="441">IF(O1354=1,$G1354,"")</f>
        <v/>
      </c>
      <c r="K1354" s="525" t="str">
        <f t="shared" ref="K1354:K1382" si="442">IF(P1354=1,$G1354,"")</f>
        <v/>
      </c>
      <c r="L1354" s="411">
        <f t="shared" ref="L1354:L1385" si="443">SUM(M1354:P1354)</f>
        <v>1</v>
      </c>
      <c r="M1354" s="409">
        <v>1</v>
      </c>
      <c r="N1354" s="409"/>
      <c r="O1354" s="409"/>
      <c r="P1354" s="409"/>
      <c r="Q1354" s="382"/>
      <c r="R1354" s="385" t="str">
        <f t="shared" si="438"/>
        <v>T</v>
      </c>
      <c r="S1354" s="389"/>
      <c r="T1354" s="389"/>
      <c r="U1354" s="389"/>
      <c r="V1354" s="389"/>
      <c r="W1354" s="389"/>
      <c r="X1354" s="389"/>
      <c r="Y1354" s="389"/>
      <c r="Z1354" s="389"/>
      <c r="AA1354" s="389"/>
      <c r="AB1354" s="389"/>
      <c r="AC1354" s="389"/>
      <c r="AD1354" s="389"/>
      <c r="AE1354" s="389"/>
      <c r="AF1354" s="389"/>
    </row>
    <row r="1355" spans="1:32" hidden="1" outlineLevel="3">
      <c r="A1355" s="382"/>
      <c r="B1355" s="382" t="s">
        <v>536</v>
      </c>
      <c r="C1355" s="386" t="s">
        <v>537</v>
      </c>
      <c r="D1355" s="382" t="s">
        <v>26</v>
      </c>
      <c r="E1355" s="382" t="s">
        <v>27</v>
      </c>
      <c r="F1355" s="440" t="s">
        <v>353</v>
      </c>
      <c r="G1355" s="411">
        <v>0.36</v>
      </c>
      <c r="H1355" s="525">
        <f t="shared" si="439"/>
        <v>0.36</v>
      </c>
      <c r="I1355" s="525" t="str">
        <f t="shared" si="440"/>
        <v/>
      </c>
      <c r="J1355" s="525" t="str">
        <f t="shared" si="441"/>
        <v/>
      </c>
      <c r="K1355" s="525" t="str">
        <f t="shared" si="442"/>
        <v/>
      </c>
      <c r="L1355" s="411">
        <f t="shared" si="443"/>
        <v>1</v>
      </c>
      <c r="M1355" s="409">
        <v>1</v>
      </c>
      <c r="O1355" s="409"/>
      <c r="P1355" s="409"/>
      <c r="Q1355" s="382"/>
      <c r="R1355" s="385" t="str">
        <f t="shared" si="438"/>
        <v>T</v>
      </c>
      <c r="S1355" s="389"/>
      <c r="T1355" s="389"/>
      <c r="U1355" s="389"/>
      <c r="V1355" s="389"/>
      <c r="W1355" s="389"/>
      <c r="X1355" s="389"/>
      <c r="Y1355" s="389"/>
      <c r="Z1355" s="389"/>
      <c r="AA1355" s="389"/>
      <c r="AB1355" s="389"/>
      <c r="AC1355" s="389"/>
      <c r="AD1355" s="389"/>
      <c r="AE1355" s="389"/>
      <c r="AF1355" s="389"/>
    </row>
    <row r="1356" spans="1:32" hidden="1" outlineLevel="3">
      <c r="A1356" s="382"/>
      <c r="B1356" s="382" t="s">
        <v>536</v>
      </c>
      <c r="C1356" s="386" t="s">
        <v>537</v>
      </c>
      <c r="D1356" s="382" t="s">
        <v>26</v>
      </c>
      <c r="E1356" s="382" t="s">
        <v>27</v>
      </c>
      <c r="F1356" s="440" t="s">
        <v>541</v>
      </c>
      <c r="G1356" s="387">
        <v>0.09</v>
      </c>
      <c r="H1356" s="525" t="str">
        <f t="shared" si="439"/>
        <v/>
      </c>
      <c r="I1356" s="525">
        <f t="shared" si="440"/>
        <v>0.09</v>
      </c>
      <c r="J1356" s="525" t="str">
        <f t="shared" si="441"/>
        <v/>
      </c>
      <c r="K1356" s="525" t="str">
        <f t="shared" si="442"/>
        <v/>
      </c>
      <c r="L1356" s="387">
        <f t="shared" si="443"/>
        <v>1</v>
      </c>
      <c r="N1356" s="388">
        <v>1</v>
      </c>
      <c r="O1356" s="388"/>
      <c r="P1356" s="388"/>
      <c r="Q1356" s="382"/>
      <c r="R1356" s="385" t="str">
        <f t="shared" si="438"/>
        <v>T</v>
      </c>
      <c r="S1356" s="389"/>
      <c r="T1356" s="389"/>
      <c r="U1356" s="389"/>
      <c r="V1356" s="389"/>
      <c r="W1356" s="389"/>
      <c r="X1356" s="389"/>
      <c r="Y1356" s="389"/>
      <c r="Z1356" s="389"/>
      <c r="AA1356" s="389"/>
      <c r="AB1356" s="389"/>
      <c r="AC1356" s="389"/>
      <c r="AD1356" s="389"/>
      <c r="AE1356" s="389"/>
      <c r="AF1356" s="389"/>
    </row>
    <row r="1357" spans="1:32" hidden="1" outlineLevel="3">
      <c r="A1357" s="382"/>
      <c r="B1357" s="382" t="s">
        <v>536</v>
      </c>
      <c r="C1357" s="386" t="s">
        <v>537</v>
      </c>
      <c r="D1357" s="382" t="s">
        <v>26</v>
      </c>
      <c r="E1357" s="382" t="s">
        <v>27</v>
      </c>
      <c r="F1357" s="440" t="s">
        <v>542</v>
      </c>
      <c r="G1357" s="411">
        <v>1.8776924800000001E-2</v>
      </c>
      <c r="H1357" s="525" t="str">
        <f t="shared" si="439"/>
        <v/>
      </c>
      <c r="I1357" s="525" t="str">
        <f t="shared" si="440"/>
        <v/>
      </c>
      <c r="J1357" s="525">
        <f t="shared" si="441"/>
        <v>1.8776924800000001E-2</v>
      </c>
      <c r="K1357" s="525" t="str">
        <f t="shared" si="442"/>
        <v/>
      </c>
      <c r="L1357" s="411">
        <f t="shared" si="443"/>
        <v>1</v>
      </c>
      <c r="M1357" s="409"/>
      <c r="N1357" s="409"/>
      <c r="O1357" s="409">
        <v>1</v>
      </c>
      <c r="P1357" s="409"/>
      <c r="Q1357" s="382"/>
      <c r="R1357" s="385" t="str">
        <f t="shared" si="438"/>
        <v>T</v>
      </c>
      <c r="S1357" s="389"/>
      <c r="T1357" s="389"/>
      <c r="U1357" s="389"/>
      <c r="V1357" s="389"/>
      <c r="W1357" s="389"/>
      <c r="X1357" s="389"/>
      <c r="Y1357" s="389"/>
      <c r="Z1357" s="389"/>
      <c r="AA1357" s="389"/>
      <c r="AB1357" s="389"/>
      <c r="AC1357" s="389"/>
      <c r="AD1357" s="389"/>
      <c r="AE1357" s="389"/>
      <c r="AF1357" s="389"/>
    </row>
    <row r="1358" spans="1:32" hidden="1" outlineLevel="3">
      <c r="A1358" s="382"/>
      <c r="B1358" s="382" t="s">
        <v>536</v>
      </c>
      <c r="C1358" s="386" t="s">
        <v>537</v>
      </c>
      <c r="D1358" s="382" t="s">
        <v>26</v>
      </c>
      <c r="E1358" s="382" t="s">
        <v>27</v>
      </c>
      <c r="F1358" s="440" t="s">
        <v>543</v>
      </c>
      <c r="G1358" s="387">
        <v>1.8776924800000001E-2</v>
      </c>
      <c r="H1358" s="525" t="str">
        <f t="shared" si="439"/>
        <v/>
      </c>
      <c r="I1358" s="525" t="str">
        <f t="shared" si="440"/>
        <v/>
      </c>
      <c r="J1358" s="525">
        <f t="shared" si="441"/>
        <v>1.8776924800000001E-2</v>
      </c>
      <c r="K1358" s="525" t="str">
        <f t="shared" si="442"/>
        <v/>
      </c>
      <c r="L1358" s="387">
        <f t="shared" si="443"/>
        <v>1</v>
      </c>
      <c r="M1358" s="388"/>
      <c r="N1358" s="388"/>
      <c r="O1358" s="388">
        <v>1</v>
      </c>
      <c r="P1358" s="388"/>
      <c r="Q1358" s="382"/>
      <c r="R1358" s="385" t="str">
        <f t="shared" si="438"/>
        <v>T</v>
      </c>
      <c r="S1358" s="389"/>
      <c r="T1358" s="389"/>
      <c r="U1358" s="389"/>
      <c r="V1358" s="389"/>
      <c r="W1358" s="389"/>
      <c r="X1358" s="389"/>
      <c r="Y1358" s="389"/>
      <c r="Z1358" s="389"/>
      <c r="AA1358" s="389"/>
      <c r="AB1358" s="389"/>
      <c r="AC1358" s="389"/>
      <c r="AD1358" s="389"/>
      <c r="AE1358" s="389"/>
      <c r="AF1358" s="389"/>
    </row>
    <row r="1359" spans="1:32" hidden="1" outlineLevel="3">
      <c r="A1359" s="382"/>
      <c r="B1359" s="382" t="s">
        <v>536</v>
      </c>
      <c r="C1359" s="386" t="s">
        <v>537</v>
      </c>
      <c r="D1359" s="382" t="s">
        <v>26</v>
      </c>
      <c r="E1359" s="382" t="s">
        <v>27</v>
      </c>
      <c r="F1359" s="440" t="s">
        <v>545</v>
      </c>
      <c r="G1359" s="387">
        <v>1.8776924800000001E-2</v>
      </c>
      <c r="H1359" s="525" t="str">
        <f t="shared" si="439"/>
        <v/>
      </c>
      <c r="I1359" s="525" t="str">
        <f t="shared" si="440"/>
        <v/>
      </c>
      <c r="J1359" s="525" t="str">
        <f t="shared" si="441"/>
        <v/>
      </c>
      <c r="K1359" s="525">
        <f t="shared" si="442"/>
        <v>1.8776924800000001E-2</v>
      </c>
      <c r="L1359" s="387">
        <f t="shared" si="443"/>
        <v>1</v>
      </c>
      <c r="M1359" s="388"/>
      <c r="N1359" s="388"/>
      <c r="O1359" s="388"/>
      <c r="P1359" s="388">
        <v>1</v>
      </c>
      <c r="Q1359" s="382"/>
      <c r="R1359" s="385" t="str">
        <f t="shared" si="438"/>
        <v>T</v>
      </c>
      <c r="S1359" s="389"/>
      <c r="T1359" s="389"/>
      <c r="U1359" s="389"/>
      <c r="V1359" s="389"/>
      <c r="W1359" s="389"/>
      <c r="X1359" s="389"/>
      <c r="Y1359" s="389"/>
      <c r="Z1359" s="389"/>
      <c r="AA1359" s="389"/>
      <c r="AB1359" s="389"/>
      <c r="AC1359" s="389"/>
      <c r="AD1359" s="389"/>
      <c r="AE1359" s="389"/>
      <c r="AF1359" s="389"/>
    </row>
    <row r="1360" spans="1:32" hidden="1" outlineLevel="3">
      <c r="A1360" s="382"/>
      <c r="B1360" s="382" t="s">
        <v>536</v>
      </c>
      <c r="C1360" s="386" t="s">
        <v>537</v>
      </c>
      <c r="D1360" s="382" t="s">
        <v>26</v>
      </c>
      <c r="E1360" s="382" t="s">
        <v>27</v>
      </c>
      <c r="F1360" s="440" t="s">
        <v>546</v>
      </c>
      <c r="G1360" s="411">
        <v>9.3884624000000003E-3</v>
      </c>
      <c r="H1360" s="525" t="str">
        <f t="shared" si="439"/>
        <v/>
      </c>
      <c r="I1360" s="525" t="str">
        <f t="shared" si="440"/>
        <v/>
      </c>
      <c r="J1360" s="525" t="str">
        <f t="shared" si="441"/>
        <v/>
      </c>
      <c r="K1360" s="525">
        <f t="shared" si="442"/>
        <v>9.3884624000000003E-3</v>
      </c>
      <c r="L1360" s="411">
        <f t="shared" si="443"/>
        <v>1</v>
      </c>
      <c r="M1360" s="409"/>
      <c r="N1360" s="409"/>
      <c r="O1360" s="409"/>
      <c r="P1360" s="409">
        <v>1</v>
      </c>
      <c r="Q1360" s="382"/>
      <c r="R1360" s="385" t="str">
        <f t="shared" si="438"/>
        <v>T</v>
      </c>
      <c r="S1360" s="389"/>
      <c r="T1360" s="389"/>
      <c r="U1360" s="389"/>
      <c r="V1360" s="389"/>
      <c r="W1360" s="389"/>
      <c r="X1360" s="389"/>
      <c r="Y1360" s="389"/>
      <c r="Z1360" s="389"/>
      <c r="AA1360" s="389"/>
      <c r="AB1360" s="389"/>
      <c r="AC1360" s="389"/>
      <c r="AD1360" s="389"/>
      <c r="AE1360" s="389"/>
      <c r="AF1360" s="389"/>
    </row>
    <row r="1361" spans="1:32" hidden="1" outlineLevel="3">
      <c r="A1361" s="382"/>
      <c r="B1361" s="382" t="s">
        <v>536</v>
      </c>
      <c r="C1361" s="386" t="s">
        <v>537</v>
      </c>
      <c r="D1361" s="382" t="s">
        <v>26</v>
      </c>
      <c r="E1361" s="382" t="s">
        <v>27</v>
      </c>
      <c r="F1361" s="440" t="s">
        <v>547</v>
      </c>
      <c r="G1361" s="387">
        <v>9.3884624000000003E-3</v>
      </c>
      <c r="H1361" s="525" t="str">
        <f t="shared" si="439"/>
        <v/>
      </c>
      <c r="I1361" s="525" t="str">
        <f t="shared" si="440"/>
        <v/>
      </c>
      <c r="J1361" s="525" t="str">
        <f t="shared" si="441"/>
        <v/>
      </c>
      <c r="K1361" s="525">
        <f t="shared" si="442"/>
        <v>9.3884624000000003E-3</v>
      </c>
      <c r="L1361" s="387">
        <f t="shared" si="443"/>
        <v>1</v>
      </c>
      <c r="M1361" s="388"/>
      <c r="N1361" s="388"/>
      <c r="O1361" s="388"/>
      <c r="P1361" s="388">
        <v>1</v>
      </c>
      <c r="Q1361" s="382"/>
      <c r="R1361" s="385" t="str">
        <f t="shared" si="438"/>
        <v>T</v>
      </c>
      <c r="S1361" s="389"/>
      <c r="T1361" s="389"/>
      <c r="U1361" s="389"/>
      <c r="V1361" s="389"/>
      <c r="W1361" s="389"/>
      <c r="X1361" s="389"/>
      <c r="Y1361" s="389"/>
      <c r="Z1361" s="389"/>
      <c r="AA1361" s="389"/>
      <c r="AB1361" s="389"/>
      <c r="AC1361" s="389"/>
      <c r="AD1361" s="389"/>
      <c r="AE1361" s="389"/>
      <c r="AF1361" s="389"/>
    </row>
    <row r="1362" spans="1:32" hidden="1" outlineLevel="3">
      <c r="A1362" s="382"/>
      <c r="B1362" s="382" t="s">
        <v>536</v>
      </c>
      <c r="C1362" s="386" t="s">
        <v>537</v>
      </c>
      <c r="D1362" s="382" t="s">
        <v>26</v>
      </c>
      <c r="E1362" s="382" t="s">
        <v>27</v>
      </c>
      <c r="F1362" s="440" t="s">
        <v>548</v>
      </c>
      <c r="G1362" s="411">
        <v>2.1867609200000002E-2</v>
      </c>
      <c r="H1362" s="525" t="str">
        <f t="shared" si="439"/>
        <v/>
      </c>
      <c r="I1362" s="525" t="str">
        <f t="shared" si="440"/>
        <v/>
      </c>
      <c r="J1362" s="525">
        <f t="shared" si="441"/>
        <v>2.1867609200000002E-2</v>
      </c>
      <c r="K1362" s="525" t="str">
        <f t="shared" si="442"/>
        <v/>
      </c>
      <c r="L1362" s="411">
        <f t="shared" si="443"/>
        <v>1</v>
      </c>
      <c r="M1362" s="409"/>
      <c r="N1362" s="409"/>
      <c r="O1362" s="409">
        <v>1</v>
      </c>
      <c r="P1362" s="409"/>
      <c r="Q1362" s="382"/>
      <c r="R1362" s="385" t="str">
        <f t="shared" si="438"/>
        <v>T</v>
      </c>
      <c r="S1362" s="389"/>
      <c r="T1362" s="389"/>
      <c r="U1362" s="389"/>
      <c r="V1362" s="389"/>
      <c r="W1362" s="389"/>
      <c r="X1362" s="389"/>
      <c r="Y1362" s="389"/>
      <c r="Z1362" s="389"/>
      <c r="AA1362" s="389"/>
      <c r="AB1362" s="389"/>
      <c r="AC1362" s="389"/>
      <c r="AD1362" s="389"/>
      <c r="AE1362" s="389"/>
      <c r="AF1362" s="389"/>
    </row>
    <row r="1363" spans="1:32" hidden="1" outlineLevel="3">
      <c r="A1363" s="382"/>
      <c r="B1363" s="382" t="s">
        <v>536</v>
      </c>
      <c r="C1363" s="386" t="s">
        <v>537</v>
      </c>
      <c r="D1363" s="382" t="s">
        <v>26</v>
      </c>
      <c r="E1363" s="382" t="s">
        <v>27</v>
      </c>
      <c r="F1363" s="440" t="s">
        <v>549</v>
      </c>
      <c r="G1363" s="387">
        <v>2.1867609200000002E-2</v>
      </c>
      <c r="H1363" s="525" t="str">
        <f t="shared" si="439"/>
        <v/>
      </c>
      <c r="I1363" s="525" t="str">
        <f t="shared" si="440"/>
        <v/>
      </c>
      <c r="J1363" s="525">
        <f t="shared" si="441"/>
        <v>2.1867609200000002E-2</v>
      </c>
      <c r="K1363" s="525" t="str">
        <f t="shared" si="442"/>
        <v/>
      </c>
      <c r="L1363" s="387">
        <f t="shared" si="443"/>
        <v>1</v>
      </c>
      <c r="M1363" s="388"/>
      <c r="N1363" s="388"/>
      <c r="O1363" s="388">
        <v>1</v>
      </c>
      <c r="P1363" s="388"/>
      <c r="Q1363" s="382"/>
      <c r="R1363" s="385" t="str">
        <f t="shared" si="438"/>
        <v>T</v>
      </c>
      <c r="S1363" s="389"/>
      <c r="T1363" s="389"/>
      <c r="U1363" s="389"/>
      <c r="V1363" s="389"/>
      <c r="W1363" s="389"/>
      <c r="X1363" s="389"/>
      <c r="Y1363" s="389"/>
      <c r="Z1363" s="389"/>
      <c r="AA1363" s="389"/>
      <c r="AB1363" s="389"/>
      <c r="AC1363" s="389"/>
      <c r="AD1363" s="389"/>
      <c r="AE1363" s="389"/>
      <c r="AF1363" s="389"/>
    </row>
    <row r="1364" spans="1:32" hidden="1" outlineLevel="3">
      <c r="A1364" s="382"/>
      <c r="B1364" s="382" t="s">
        <v>536</v>
      </c>
      <c r="C1364" s="386" t="s">
        <v>537</v>
      </c>
      <c r="D1364" s="382" t="s">
        <v>26</v>
      </c>
      <c r="E1364" s="382" t="s">
        <v>27</v>
      </c>
      <c r="F1364" s="440" t="s">
        <v>551</v>
      </c>
      <c r="G1364" s="387">
        <v>2.1867609200000002E-2</v>
      </c>
      <c r="H1364" s="525" t="str">
        <f t="shared" si="439"/>
        <v/>
      </c>
      <c r="I1364" s="525" t="str">
        <f t="shared" si="440"/>
        <v/>
      </c>
      <c r="J1364" s="525" t="str">
        <f t="shared" si="441"/>
        <v/>
      </c>
      <c r="K1364" s="525">
        <f t="shared" si="442"/>
        <v>2.1867609200000002E-2</v>
      </c>
      <c r="L1364" s="387">
        <f t="shared" si="443"/>
        <v>1</v>
      </c>
      <c r="M1364" s="388"/>
      <c r="N1364" s="388"/>
      <c r="O1364" s="388"/>
      <c r="P1364" s="388">
        <v>1</v>
      </c>
      <c r="Q1364" s="382"/>
      <c r="R1364" s="385" t="str">
        <f t="shared" si="438"/>
        <v>T</v>
      </c>
      <c r="S1364" s="389"/>
      <c r="T1364" s="389"/>
      <c r="U1364" s="389"/>
      <c r="V1364" s="389"/>
      <c r="W1364" s="389"/>
      <c r="X1364" s="389"/>
      <c r="Y1364" s="389"/>
      <c r="Z1364" s="389"/>
      <c r="AA1364" s="389"/>
      <c r="AB1364" s="389"/>
      <c r="AC1364" s="389"/>
      <c r="AD1364" s="389"/>
      <c r="AE1364" s="389"/>
      <c r="AF1364" s="389"/>
    </row>
    <row r="1365" spans="1:32" hidden="1" outlineLevel="3">
      <c r="A1365" s="382"/>
      <c r="B1365" s="382" t="s">
        <v>536</v>
      </c>
      <c r="C1365" s="386" t="s">
        <v>537</v>
      </c>
      <c r="D1365" s="382" t="s">
        <v>26</v>
      </c>
      <c r="E1365" s="382" t="s">
        <v>27</v>
      </c>
      <c r="F1365" s="440" t="s">
        <v>552</v>
      </c>
      <c r="G1365" s="411">
        <v>1.0933804600000001E-2</v>
      </c>
      <c r="H1365" s="525" t="str">
        <f t="shared" si="439"/>
        <v/>
      </c>
      <c r="I1365" s="525" t="str">
        <f t="shared" si="440"/>
        <v/>
      </c>
      <c r="J1365" s="525" t="str">
        <f t="shared" si="441"/>
        <v/>
      </c>
      <c r="K1365" s="525">
        <f t="shared" si="442"/>
        <v>1.0933804600000001E-2</v>
      </c>
      <c r="L1365" s="411">
        <f t="shared" si="443"/>
        <v>1</v>
      </c>
      <c r="M1365" s="409"/>
      <c r="N1365" s="409"/>
      <c r="O1365" s="409"/>
      <c r="P1365" s="409">
        <v>1</v>
      </c>
      <c r="Q1365" s="382"/>
      <c r="R1365" s="385" t="str">
        <f t="shared" si="438"/>
        <v>T</v>
      </c>
      <c r="S1365" s="389"/>
      <c r="T1365" s="389"/>
      <c r="U1365" s="389"/>
      <c r="V1365" s="389"/>
      <c r="W1365" s="389"/>
      <c r="X1365" s="389"/>
      <c r="Y1365" s="389"/>
      <c r="Z1365" s="389"/>
      <c r="AA1365" s="389"/>
      <c r="AB1365" s="389"/>
      <c r="AC1365" s="389"/>
      <c r="AD1365" s="389"/>
      <c r="AE1365" s="389"/>
      <c r="AF1365" s="389"/>
    </row>
    <row r="1366" spans="1:32" hidden="1" outlineLevel="3">
      <c r="A1366" s="382"/>
      <c r="B1366" s="382" t="s">
        <v>536</v>
      </c>
      <c r="C1366" s="386" t="s">
        <v>537</v>
      </c>
      <c r="D1366" s="382" t="s">
        <v>26</v>
      </c>
      <c r="E1366" s="382" t="s">
        <v>27</v>
      </c>
      <c r="F1366" s="440" t="s">
        <v>553</v>
      </c>
      <c r="G1366" s="387">
        <v>1.0933804600000001E-2</v>
      </c>
      <c r="H1366" s="525" t="str">
        <f t="shared" si="439"/>
        <v/>
      </c>
      <c r="I1366" s="525" t="str">
        <f t="shared" si="440"/>
        <v/>
      </c>
      <c r="J1366" s="525" t="str">
        <f t="shared" si="441"/>
        <v/>
      </c>
      <c r="K1366" s="525">
        <f t="shared" si="442"/>
        <v>1.0933804600000001E-2</v>
      </c>
      <c r="L1366" s="387">
        <f t="shared" si="443"/>
        <v>1</v>
      </c>
      <c r="M1366" s="388"/>
      <c r="N1366" s="388"/>
      <c r="O1366" s="388"/>
      <c r="P1366" s="388">
        <v>1</v>
      </c>
      <c r="Q1366" s="382"/>
      <c r="R1366" s="385" t="str">
        <f t="shared" si="438"/>
        <v>T</v>
      </c>
      <c r="S1366" s="389"/>
      <c r="T1366" s="389"/>
      <c r="U1366" s="389"/>
      <c r="V1366" s="389"/>
      <c r="W1366" s="389"/>
      <c r="X1366" s="389"/>
      <c r="Y1366" s="389"/>
      <c r="Z1366" s="389"/>
      <c r="AA1366" s="389"/>
      <c r="AB1366" s="389"/>
      <c r="AC1366" s="389"/>
      <c r="AD1366" s="389"/>
      <c r="AE1366" s="389"/>
      <c r="AF1366" s="389"/>
    </row>
    <row r="1367" spans="1:32" hidden="1" outlineLevel="3">
      <c r="A1367" s="382"/>
      <c r="B1367" s="382" t="s">
        <v>536</v>
      </c>
      <c r="C1367" s="386" t="s">
        <v>537</v>
      </c>
      <c r="D1367" s="382" t="s">
        <v>26</v>
      </c>
      <c r="E1367" s="382" t="s">
        <v>27</v>
      </c>
      <c r="F1367" s="440" t="s">
        <v>554</v>
      </c>
      <c r="G1367" s="411">
        <v>2.2502019200000004E-2</v>
      </c>
      <c r="H1367" s="525" t="str">
        <f t="shared" si="439"/>
        <v/>
      </c>
      <c r="I1367" s="525" t="str">
        <f t="shared" si="440"/>
        <v/>
      </c>
      <c r="J1367" s="525" t="str">
        <f t="shared" si="441"/>
        <v/>
      </c>
      <c r="K1367" s="525">
        <f t="shared" si="442"/>
        <v>2.2502019200000004E-2</v>
      </c>
      <c r="L1367" s="411">
        <f t="shared" si="443"/>
        <v>1</v>
      </c>
      <c r="M1367" s="409"/>
      <c r="N1367" s="409"/>
      <c r="O1367" s="409"/>
      <c r="P1367" s="409">
        <v>1</v>
      </c>
      <c r="Q1367" s="382"/>
      <c r="R1367" s="385" t="str">
        <f t="shared" si="438"/>
        <v>T</v>
      </c>
      <c r="S1367" s="389"/>
      <c r="T1367" s="389"/>
      <c r="U1367" s="389"/>
      <c r="V1367" s="389"/>
      <c r="W1367" s="389"/>
      <c r="X1367" s="389"/>
      <c r="Y1367" s="389"/>
      <c r="Z1367" s="389"/>
      <c r="AA1367" s="389"/>
      <c r="AB1367" s="389"/>
      <c r="AC1367" s="389"/>
      <c r="AD1367" s="389"/>
      <c r="AE1367" s="389"/>
      <c r="AF1367" s="389"/>
    </row>
    <row r="1368" spans="1:32" hidden="1" outlineLevel="3">
      <c r="A1368" s="382"/>
      <c r="B1368" s="382" t="s">
        <v>536</v>
      </c>
      <c r="C1368" s="386" t="s">
        <v>537</v>
      </c>
      <c r="D1368" s="382" t="s">
        <v>26</v>
      </c>
      <c r="E1368" s="382" t="s">
        <v>27</v>
      </c>
      <c r="F1368" s="440" t="s">
        <v>555</v>
      </c>
      <c r="G1368" s="387">
        <v>2.2502019200000004E-2</v>
      </c>
      <c r="H1368" s="525" t="str">
        <f t="shared" si="439"/>
        <v/>
      </c>
      <c r="I1368" s="525" t="str">
        <f t="shared" si="440"/>
        <v/>
      </c>
      <c r="J1368" s="525" t="str">
        <f t="shared" si="441"/>
        <v/>
      </c>
      <c r="K1368" s="525">
        <f t="shared" si="442"/>
        <v>2.2502019200000004E-2</v>
      </c>
      <c r="L1368" s="387">
        <f t="shared" si="443"/>
        <v>1</v>
      </c>
      <c r="M1368" s="388"/>
      <c r="N1368" s="388"/>
      <c r="O1368" s="388"/>
      <c r="P1368" s="388">
        <v>1</v>
      </c>
      <c r="Q1368" s="382"/>
      <c r="R1368" s="385" t="str">
        <f t="shared" si="438"/>
        <v>T</v>
      </c>
      <c r="S1368" s="389"/>
      <c r="T1368" s="389"/>
      <c r="U1368" s="389"/>
      <c r="V1368" s="389"/>
      <c r="W1368" s="389"/>
      <c r="X1368" s="389"/>
      <c r="Y1368" s="389"/>
      <c r="Z1368" s="389"/>
      <c r="AA1368" s="389"/>
      <c r="AB1368" s="389"/>
      <c r="AC1368" s="389"/>
      <c r="AD1368" s="389"/>
      <c r="AE1368" s="389"/>
      <c r="AF1368" s="389"/>
    </row>
    <row r="1369" spans="1:32" hidden="1" outlineLevel="3">
      <c r="A1369" s="382"/>
      <c r="B1369" s="382" t="s">
        <v>536</v>
      </c>
      <c r="C1369" s="386" t="s">
        <v>537</v>
      </c>
      <c r="D1369" s="382" t="s">
        <v>26</v>
      </c>
      <c r="E1369" s="382" t="s">
        <v>27</v>
      </c>
      <c r="F1369" s="440" t="s">
        <v>556</v>
      </c>
      <c r="G1369" s="411">
        <v>2.5984225200000006E-2</v>
      </c>
      <c r="H1369" s="525" t="str">
        <f t="shared" si="439"/>
        <v/>
      </c>
      <c r="I1369" s="525" t="str">
        <f t="shared" si="440"/>
        <v/>
      </c>
      <c r="J1369" s="525" t="str">
        <f t="shared" si="441"/>
        <v/>
      </c>
      <c r="K1369" s="525">
        <f t="shared" si="442"/>
        <v>2.5984225200000006E-2</v>
      </c>
      <c r="L1369" s="411">
        <f t="shared" si="443"/>
        <v>1</v>
      </c>
      <c r="M1369" s="409"/>
      <c r="N1369" s="409"/>
      <c r="O1369" s="409"/>
      <c r="P1369" s="409">
        <v>1</v>
      </c>
      <c r="Q1369" s="382"/>
      <c r="R1369" s="385" t="str">
        <f t="shared" si="438"/>
        <v>T</v>
      </c>
      <c r="S1369" s="389"/>
      <c r="T1369" s="389"/>
      <c r="U1369" s="389"/>
      <c r="V1369" s="389"/>
      <c r="W1369" s="389"/>
      <c r="X1369" s="389"/>
      <c r="Y1369" s="389"/>
      <c r="Z1369" s="389"/>
      <c r="AA1369" s="389"/>
      <c r="AB1369" s="389"/>
      <c r="AC1369" s="389"/>
      <c r="AD1369" s="389"/>
      <c r="AE1369" s="389"/>
      <c r="AF1369" s="389"/>
    </row>
    <row r="1370" spans="1:32" hidden="1" outlineLevel="3">
      <c r="A1370" s="382"/>
      <c r="B1370" s="382" t="s">
        <v>536</v>
      </c>
      <c r="C1370" s="386" t="s">
        <v>537</v>
      </c>
      <c r="D1370" s="382" t="s">
        <v>26</v>
      </c>
      <c r="E1370" s="382" t="s">
        <v>27</v>
      </c>
      <c r="F1370" s="440" t="s">
        <v>557</v>
      </c>
      <c r="G1370" s="387">
        <v>2.5984225200000006E-2</v>
      </c>
      <c r="H1370" s="525" t="str">
        <f t="shared" si="439"/>
        <v/>
      </c>
      <c r="I1370" s="525" t="str">
        <f t="shared" si="440"/>
        <v/>
      </c>
      <c r="J1370" s="525" t="str">
        <f t="shared" si="441"/>
        <v/>
      </c>
      <c r="K1370" s="525">
        <f t="shared" si="442"/>
        <v>2.5984225200000006E-2</v>
      </c>
      <c r="L1370" s="387">
        <f t="shared" si="443"/>
        <v>1</v>
      </c>
      <c r="M1370" s="388"/>
      <c r="N1370" s="388"/>
      <c r="O1370" s="388"/>
      <c r="P1370" s="388">
        <v>1</v>
      </c>
      <c r="Q1370" s="382"/>
      <c r="R1370" s="385" t="str">
        <f t="shared" si="438"/>
        <v>T</v>
      </c>
      <c r="S1370" s="389"/>
      <c r="T1370" s="389"/>
      <c r="U1370" s="389"/>
      <c r="V1370" s="389"/>
      <c r="W1370" s="389"/>
      <c r="X1370" s="389"/>
      <c r="Y1370" s="389"/>
      <c r="Z1370" s="389"/>
      <c r="AA1370" s="389"/>
      <c r="AB1370" s="389"/>
      <c r="AC1370" s="389"/>
      <c r="AD1370" s="389"/>
      <c r="AE1370" s="389"/>
      <c r="AF1370" s="389"/>
    </row>
    <row r="1371" spans="1:32" hidden="1" outlineLevel="3">
      <c r="A1371" s="382"/>
      <c r="B1371" s="382" t="s">
        <v>536</v>
      </c>
      <c r="C1371" s="386" t="s">
        <v>537</v>
      </c>
      <c r="D1371" s="382" t="s">
        <v>26</v>
      </c>
      <c r="E1371" s="382" t="s">
        <v>27</v>
      </c>
      <c r="F1371" s="440" t="s">
        <v>567</v>
      </c>
      <c r="G1371" s="387">
        <v>9.3884624000000003E-3</v>
      </c>
      <c r="H1371" s="525" t="str">
        <f t="shared" si="439"/>
        <v/>
      </c>
      <c r="I1371" s="525" t="str">
        <f t="shared" si="440"/>
        <v/>
      </c>
      <c r="J1371" s="525">
        <f t="shared" si="441"/>
        <v>9.3884624000000003E-3</v>
      </c>
      <c r="K1371" s="525" t="str">
        <f t="shared" si="442"/>
        <v/>
      </c>
      <c r="L1371" s="387">
        <f t="shared" si="443"/>
        <v>1</v>
      </c>
      <c r="M1371" s="388"/>
      <c r="N1371" s="388"/>
      <c r="O1371" s="388">
        <v>1</v>
      </c>
      <c r="P1371" s="388"/>
      <c r="Q1371" s="382"/>
      <c r="R1371" s="385" t="str">
        <f t="shared" si="438"/>
        <v>T</v>
      </c>
      <c r="S1371" s="389"/>
      <c r="T1371" s="389"/>
      <c r="U1371" s="389"/>
      <c r="V1371" s="389"/>
      <c r="W1371" s="389"/>
      <c r="X1371" s="389"/>
      <c r="Y1371" s="389"/>
      <c r="Z1371" s="389"/>
      <c r="AA1371" s="389"/>
      <c r="AB1371" s="389"/>
      <c r="AC1371" s="389"/>
      <c r="AD1371" s="389"/>
      <c r="AE1371" s="389"/>
      <c r="AF1371" s="389"/>
    </row>
    <row r="1372" spans="1:32" hidden="1" outlineLevel="3">
      <c r="A1372" s="382"/>
      <c r="B1372" s="382" t="s">
        <v>536</v>
      </c>
      <c r="C1372" s="386" t="s">
        <v>537</v>
      </c>
      <c r="D1372" s="382" t="s">
        <v>26</v>
      </c>
      <c r="E1372" s="382" t="s">
        <v>27</v>
      </c>
      <c r="F1372" s="440" t="s">
        <v>561</v>
      </c>
      <c r="G1372" s="411">
        <v>3.7553849600000001E-2</v>
      </c>
      <c r="H1372" s="525" t="str">
        <f t="shared" si="439"/>
        <v/>
      </c>
      <c r="I1372" s="525" t="str">
        <f t="shared" si="440"/>
        <v/>
      </c>
      <c r="J1372" s="525">
        <f t="shared" si="441"/>
        <v>3.7553849600000001E-2</v>
      </c>
      <c r="K1372" s="525" t="str">
        <f t="shared" si="442"/>
        <v/>
      </c>
      <c r="L1372" s="411">
        <f t="shared" si="443"/>
        <v>1</v>
      </c>
      <c r="M1372" s="409"/>
      <c r="N1372" s="409"/>
      <c r="O1372" s="409">
        <v>1</v>
      </c>
      <c r="P1372" s="409"/>
      <c r="Q1372" s="382"/>
      <c r="R1372" s="385" t="str">
        <f t="shared" si="438"/>
        <v>T</v>
      </c>
      <c r="S1372" s="389"/>
      <c r="T1372" s="389"/>
      <c r="U1372" s="389"/>
      <c r="V1372" s="389"/>
      <c r="W1372" s="389"/>
      <c r="X1372" s="389"/>
      <c r="Y1372" s="389"/>
      <c r="Z1372" s="389"/>
      <c r="AA1372" s="389"/>
      <c r="AB1372" s="389"/>
      <c r="AC1372" s="389"/>
      <c r="AD1372" s="389"/>
      <c r="AE1372" s="389"/>
      <c r="AF1372" s="389"/>
    </row>
    <row r="1373" spans="1:32" hidden="1" outlineLevel="3">
      <c r="A1373" s="382"/>
      <c r="B1373" s="382" t="s">
        <v>536</v>
      </c>
      <c r="C1373" s="386" t="s">
        <v>537</v>
      </c>
      <c r="D1373" s="382" t="s">
        <v>26</v>
      </c>
      <c r="E1373" s="382" t="s">
        <v>27</v>
      </c>
      <c r="F1373" s="440" t="s">
        <v>568</v>
      </c>
      <c r="G1373" s="411">
        <v>9.3884624000000003E-3</v>
      </c>
      <c r="H1373" s="525" t="str">
        <f t="shared" si="439"/>
        <v/>
      </c>
      <c r="I1373" s="525" t="str">
        <f t="shared" si="440"/>
        <v/>
      </c>
      <c r="J1373" s="525" t="str">
        <f t="shared" si="441"/>
        <v/>
      </c>
      <c r="K1373" s="525">
        <f t="shared" si="442"/>
        <v>9.3884624000000003E-3</v>
      </c>
      <c r="L1373" s="411">
        <f t="shared" si="443"/>
        <v>1</v>
      </c>
      <c r="M1373" s="409"/>
      <c r="N1373" s="409"/>
      <c r="O1373" s="409"/>
      <c r="P1373" s="409">
        <v>1</v>
      </c>
      <c r="Q1373" s="382"/>
      <c r="R1373" s="385" t="str">
        <f t="shared" si="438"/>
        <v>T</v>
      </c>
      <c r="S1373" s="389"/>
      <c r="T1373" s="389"/>
      <c r="U1373" s="389"/>
      <c r="V1373" s="389"/>
      <c r="W1373" s="389"/>
      <c r="X1373" s="389"/>
      <c r="Y1373" s="389"/>
      <c r="Z1373" s="389"/>
      <c r="AA1373" s="389"/>
      <c r="AB1373" s="389"/>
      <c r="AC1373" s="389"/>
      <c r="AD1373" s="389"/>
      <c r="AE1373" s="389"/>
      <c r="AF1373" s="389"/>
    </row>
    <row r="1374" spans="1:32" hidden="1" outlineLevel="3">
      <c r="A1374" s="382"/>
      <c r="B1374" s="382" t="s">
        <v>536</v>
      </c>
      <c r="C1374" s="386" t="s">
        <v>537</v>
      </c>
      <c r="D1374" s="382" t="s">
        <v>26</v>
      </c>
      <c r="E1374" s="382" t="s">
        <v>27</v>
      </c>
      <c r="F1374" s="440" t="s">
        <v>562</v>
      </c>
      <c r="G1374" s="387">
        <v>3.7553849600000001E-2</v>
      </c>
      <c r="H1374" s="525" t="str">
        <f t="shared" si="439"/>
        <v/>
      </c>
      <c r="I1374" s="525" t="str">
        <f t="shared" si="440"/>
        <v/>
      </c>
      <c r="J1374" s="525" t="str">
        <f t="shared" si="441"/>
        <v/>
      </c>
      <c r="K1374" s="525">
        <f t="shared" si="442"/>
        <v>3.7553849600000001E-2</v>
      </c>
      <c r="L1374" s="387">
        <f t="shared" si="443"/>
        <v>1</v>
      </c>
      <c r="M1374" s="388"/>
      <c r="N1374" s="388"/>
      <c r="O1374" s="388"/>
      <c r="P1374" s="388">
        <v>1</v>
      </c>
      <c r="Q1374" s="382"/>
      <c r="R1374" s="385" t="str">
        <f t="shared" si="438"/>
        <v>T</v>
      </c>
      <c r="S1374" s="389"/>
      <c r="T1374" s="389"/>
      <c r="U1374" s="389"/>
      <c r="V1374" s="389"/>
      <c r="W1374" s="389"/>
      <c r="X1374" s="389"/>
      <c r="Y1374" s="389"/>
      <c r="Z1374" s="389"/>
      <c r="AA1374" s="389"/>
      <c r="AB1374" s="389"/>
      <c r="AC1374" s="389"/>
      <c r="AD1374" s="389"/>
      <c r="AE1374" s="389"/>
      <c r="AF1374" s="389"/>
    </row>
    <row r="1375" spans="1:32" hidden="1" outlineLevel="3">
      <c r="A1375" s="382"/>
      <c r="B1375" s="382" t="s">
        <v>536</v>
      </c>
      <c r="C1375" s="386" t="s">
        <v>537</v>
      </c>
      <c r="D1375" s="382" t="s">
        <v>26</v>
      </c>
      <c r="E1375" s="382" t="s">
        <v>27</v>
      </c>
      <c r="F1375" s="440" t="s">
        <v>359</v>
      </c>
      <c r="G1375" s="411">
        <v>7.2226219999999994E-2</v>
      </c>
      <c r="H1375" s="525" t="str">
        <f t="shared" si="439"/>
        <v/>
      </c>
      <c r="I1375" s="525" t="str">
        <f t="shared" si="440"/>
        <v/>
      </c>
      <c r="J1375" s="525">
        <f t="shared" si="441"/>
        <v>7.2226219999999994E-2</v>
      </c>
      <c r="K1375" s="525" t="str">
        <f t="shared" si="442"/>
        <v/>
      </c>
      <c r="L1375" s="411">
        <f t="shared" si="443"/>
        <v>1</v>
      </c>
      <c r="M1375" s="409"/>
      <c r="N1375" s="409"/>
      <c r="O1375" s="409">
        <v>1</v>
      </c>
      <c r="P1375" s="409"/>
      <c r="Q1375" s="382"/>
      <c r="R1375" s="385" t="str">
        <f t="shared" si="438"/>
        <v>T</v>
      </c>
      <c r="S1375" s="389"/>
      <c r="T1375" s="389"/>
      <c r="U1375" s="389"/>
      <c r="V1375" s="389"/>
      <c r="W1375" s="389"/>
      <c r="X1375" s="389"/>
      <c r="Y1375" s="389"/>
      <c r="Z1375" s="389"/>
      <c r="AA1375" s="389"/>
      <c r="AB1375" s="389"/>
      <c r="AC1375" s="389"/>
      <c r="AD1375" s="389"/>
      <c r="AE1375" s="389"/>
      <c r="AF1375" s="389"/>
    </row>
    <row r="1376" spans="1:32" hidden="1" outlineLevel="3">
      <c r="A1376" s="382"/>
      <c r="B1376" s="382" t="s">
        <v>536</v>
      </c>
      <c r="C1376" s="386" t="s">
        <v>537</v>
      </c>
      <c r="D1376" s="382" t="s">
        <v>26</v>
      </c>
      <c r="E1376" s="382" t="s">
        <v>27</v>
      </c>
      <c r="F1376" s="440" t="s">
        <v>563</v>
      </c>
      <c r="G1376" s="387">
        <v>5.4169664999999992E-2</v>
      </c>
      <c r="H1376" s="525" t="str">
        <f t="shared" si="439"/>
        <v/>
      </c>
      <c r="I1376" s="525" t="str">
        <f t="shared" si="440"/>
        <v/>
      </c>
      <c r="J1376" s="525" t="str">
        <f t="shared" si="441"/>
        <v/>
      </c>
      <c r="K1376" s="525">
        <f t="shared" si="442"/>
        <v>5.4169664999999992E-2</v>
      </c>
      <c r="L1376" s="387">
        <f t="shared" si="443"/>
        <v>1</v>
      </c>
      <c r="M1376" s="388"/>
      <c r="N1376" s="388"/>
      <c r="O1376" s="388"/>
      <c r="P1376" s="388">
        <v>1</v>
      </c>
      <c r="Q1376" s="382"/>
      <c r="R1376" s="385" t="str">
        <f t="shared" si="438"/>
        <v>T</v>
      </c>
      <c r="S1376" s="389"/>
      <c r="T1376" s="389"/>
      <c r="U1376" s="389"/>
      <c r="V1376" s="389"/>
      <c r="W1376" s="389"/>
      <c r="X1376" s="389"/>
      <c r="Y1376" s="389"/>
      <c r="Z1376" s="389"/>
      <c r="AA1376" s="389"/>
      <c r="AB1376" s="389"/>
      <c r="AC1376" s="389"/>
      <c r="AD1376" s="389"/>
      <c r="AE1376" s="389"/>
      <c r="AF1376" s="389"/>
    </row>
    <row r="1377" spans="1:32" hidden="1" outlineLevel="3">
      <c r="A1377" s="382"/>
      <c r="B1377" s="382" t="s">
        <v>536</v>
      </c>
      <c r="C1377" s="386" t="s">
        <v>537</v>
      </c>
      <c r="D1377" s="382" t="s">
        <v>26</v>
      </c>
      <c r="E1377" s="382" t="s">
        <v>27</v>
      </c>
      <c r="F1377" s="440" t="s">
        <v>564</v>
      </c>
      <c r="G1377" s="411">
        <v>5.4169664999999992E-2</v>
      </c>
      <c r="H1377" s="525" t="str">
        <f t="shared" si="439"/>
        <v/>
      </c>
      <c r="I1377" s="525" t="str">
        <f t="shared" si="440"/>
        <v/>
      </c>
      <c r="J1377" s="525" t="str">
        <f t="shared" si="441"/>
        <v/>
      </c>
      <c r="K1377" s="525">
        <f t="shared" si="442"/>
        <v>5.4169664999999992E-2</v>
      </c>
      <c r="L1377" s="411">
        <f t="shared" si="443"/>
        <v>1</v>
      </c>
      <c r="M1377" s="409"/>
      <c r="N1377" s="409"/>
      <c r="O1377" s="409"/>
      <c r="P1377" s="409">
        <v>1</v>
      </c>
      <c r="Q1377" s="382"/>
      <c r="R1377" s="385" t="str">
        <f t="shared" si="438"/>
        <v>T</v>
      </c>
      <c r="S1377" s="389"/>
      <c r="T1377" s="389"/>
      <c r="U1377" s="389"/>
      <c r="V1377" s="389"/>
      <c r="W1377" s="389"/>
      <c r="X1377" s="389"/>
      <c r="Y1377" s="389"/>
      <c r="Z1377" s="389"/>
      <c r="AA1377" s="389"/>
      <c r="AB1377" s="389"/>
      <c r="AC1377" s="389"/>
      <c r="AD1377" s="389"/>
      <c r="AE1377" s="389"/>
      <c r="AF1377" s="389"/>
    </row>
    <row r="1378" spans="1:32" hidden="1" outlineLevel="3">
      <c r="A1378" s="382"/>
      <c r="B1378" s="382" t="s">
        <v>536</v>
      </c>
      <c r="C1378" s="386" t="s">
        <v>537</v>
      </c>
      <c r="D1378" s="382" t="s">
        <v>26</v>
      </c>
      <c r="E1378" s="382" t="s">
        <v>27</v>
      </c>
      <c r="F1378" s="440" t="s">
        <v>569</v>
      </c>
      <c r="G1378" s="387">
        <v>1.8056554999999998E-2</v>
      </c>
      <c r="H1378" s="525" t="str">
        <f t="shared" si="439"/>
        <v/>
      </c>
      <c r="I1378" s="525" t="str">
        <f t="shared" si="440"/>
        <v/>
      </c>
      <c r="J1378" s="525" t="str">
        <f t="shared" si="441"/>
        <v/>
      </c>
      <c r="K1378" s="525" t="str">
        <f t="shared" si="442"/>
        <v/>
      </c>
      <c r="L1378" s="387">
        <f t="shared" si="443"/>
        <v>0</v>
      </c>
      <c r="M1378" s="388"/>
      <c r="N1378" s="388"/>
      <c r="O1378" s="388"/>
      <c r="P1378" s="388"/>
      <c r="Q1378" s="382"/>
      <c r="R1378" s="385" t="str">
        <f t="shared" si="438"/>
        <v>T</v>
      </c>
      <c r="S1378" s="389"/>
      <c r="T1378" s="389"/>
      <c r="U1378" s="389"/>
      <c r="V1378" s="389"/>
      <c r="W1378" s="389"/>
      <c r="X1378" s="389"/>
      <c r="Y1378" s="389"/>
      <c r="Z1378" s="389"/>
      <c r="AA1378" s="389"/>
      <c r="AB1378" s="389"/>
      <c r="AC1378" s="389"/>
      <c r="AD1378" s="389"/>
      <c r="AE1378" s="389"/>
      <c r="AF1378" s="389"/>
    </row>
    <row r="1379" spans="1:32" hidden="1" outlineLevel="3">
      <c r="A1379" s="382"/>
      <c r="B1379" s="382" t="s">
        <v>536</v>
      </c>
      <c r="C1379" s="386" t="s">
        <v>537</v>
      </c>
      <c r="D1379" s="382" t="s">
        <v>26</v>
      </c>
      <c r="E1379" s="382" t="s">
        <v>27</v>
      </c>
      <c r="F1379" s="440" t="s">
        <v>205</v>
      </c>
      <c r="G1379" s="387">
        <v>0.12639588499999999</v>
      </c>
      <c r="H1379" s="525" t="str">
        <f t="shared" si="439"/>
        <v/>
      </c>
      <c r="I1379" s="525" t="str">
        <f t="shared" si="440"/>
        <v/>
      </c>
      <c r="J1379" s="525">
        <f t="shared" si="441"/>
        <v>0.12639588499999999</v>
      </c>
      <c r="K1379" s="525" t="str">
        <f t="shared" si="442"/>
        <v/>
      </c>
      <c r="L1379" s="387">
        <f t="shared" si="443"/>
        <v>1</v>
      </c>
      <c r="M1379" s="388"/>
      <c r="N1379" s="388"/>
      <c r="O1379" s="388">
        <v>1</v>
      </c>
      <c r="P1379" s="388"/>
      <c r="Q1379" s="382"/>
      <c r="R1379" s="385" t="str">
        <f t="shared" si="438"/>
        <v>T</v>
      </c>
      <c r="S1379" s="389"/>
      <c r="T1379" s="389"/>
      <c r="U1379" s="389"/>
      <c r="V1379" s="389"/>
      <c r="W1379" s="389"/>
      <c r="X1379" s="389"/>
      <c r="Y1379" s="389"/>
      <c r="Z1379" s="389"/>
      <c r="AA1379" s="389"/>
      <c r="AB1379" s="389"/>
      <c r="AC1379" s="389"/>
      <c r="AD1379" s="389"/>
      <c r="AE1379" s="389"/>
      <c r="AF1379" s="389"/>
    </row>
    <row r="1380" spans="1:32" hidden="1" outlineLevel="3">
      <c r="A1380" s="382"/>
      <c r="B1380" s="382" t="s">
        <v>536</v>
      </c>
      <c r="C1380" s="386" t="s">
        <v>537</v>
      </c>
      <c r="D1380" s="382" t="s">
        <v>26</v>
      </c>
      <c r="E1380" s="382" t="s">
        <v>27</v>
      </c>
      <c r="F1380" s="440" t="s">
        <v>117</v>
      </c>
      <c r="G1380" s="387">
        <v>1.8056554999999998E-2</v>
      </c>
      <c r="H1380" s="525" t="str">
        <f t="shared" si="439"/>
        <v/>
      </c>
      <c r="I1380" s="525" t="str">
        <f t="shared" si="440"/>
        <v/>
      </c>
      <c r="J1380" s="525" t="str">
        <f t="shared" si="441"/>
        <v/>
      </c>
      <c r="K1380" s="525">
        <f t="shared" si="442"/>
        <v>1.8056554999999998E-2</v>
      </c>
      <c r="L1380" s="387">
        <f t="shared" si="443"/>
        <v>1</v>
      </c>
      <c r="M1380" s="388"/>
      <c r="N1380" s="388"/>
      <c r="O1380" s="388"/>
      <c r="P1380" s="388">
        <v>1</v>
      </c>
      <c r="Q1380" s="382"/>
      <c r="R1380" s="385" t="str">
        <f t="shared" si="438"/>
        <v>T</v>
      </c>
      <c r="S1380" s="389"/>
      <c r="T1380" s="389"/>
      <c r="U1380" s="389"/>
      <c r="V1380" s="389"/>
      <c r="W1380" s="389"/>
      <c r="X1380" s="389"/>
      <c r="Y1380" s="389"/>
      <c r="Z1380" s="389"/>
      <c r="AA1380" s="389"/>
      <c r="AB1380" s="389"/>
      <c r="AC1380" s="389"/>
      <c r="AD1380" s="389"/>
      <c r="AE1380" s="389"/>
      <c r="AF1380" s="389"/>
    </row>
    <row r="1381" spans="1:32" hidden="1" outlineLevel="3">
      <c r="A1381" s="382"/>
      <c r="B1381" s="382" t="s">
        <v>536</v>
      </c>
      <c r="C1381" s="386" t="s">
        <v>537</v>
      </c>
      <c r="D1381" s="382" t="s">
        <v>26</v>
      </c>
      <c r="E1381" s="382" t="s">
        <v>27</v>
      </c>
      <c r="F1381" s="440" t="s">
        <v>118</v>
      </c>
      <c r="G1381" s="411">
        <v>1.8056554999999998E-2</v>
      </c>
      <c r="H1381" s="525" t="str">
        <f t="shared" si="439"/>
        <v/>
      </c>
      <c r="I1381" s="525" t="str">
        <f t="shared" si="440"/>
        <v/>
      </c>
      <c r="J1381" s="525" t="str">
        <f t="shared" si="441"/>
        <v/>
      </c>
      <c r="K1381" s="525" t="str">
        <f t="shared" si="442"/>
        <v/>
      </c>
      <c r="L1381" s="411">
        <f t="shared" si="443"/>
        <v>0</v>
      </c>
      <c r="M1381" s="409"/>
      <c r="N1381" s="409"/>
      <c r="O1381" s="409"/>
      <c r="P1381" s="409"/>
      <c r="Q1381" s="382"/>
      <c r="R1381" s="385" t="str">
        <f t="shared" si="438"/>
        <v>T</v>
      </c>
      <c r="S1381" s="389"/>
      <c r="T1381" s="389"/>
      <c r="U1381" s="389"/>
      <c r="V1381" s="389"/>
      <c r="W1381" s="389"/>
      <c r="X1381" s="389"/>
      <c r="Y1381" s="389"/>
      <c r="Z1381" s="389"/>
      <c r="AA1381" s="389"/>
      <c r="AB1381" s="389"/>
      <c r="AC1381" s="389"/>
      <c r="AD1381" s="389"/>
      <c r="AE1381" s="389"/>
      <c r="AF1381" s="389"/>
    </row>
    <row r="1382" spans="1:32" hidden="1" outlineLevel="3">
      <c r="A1382" s="382"/>
      <c r="B1382" s="382" t="s">
        <v>536</v>
      </c>
      <c r="C1382" s="386" t="s">
        <v>537</v>
      </c>
      <c r="D1382" s="382" t="s">
        <v>26</v>
      </c>
      <c r="E1382" s="382" t="s">
        <v>27</v>
      </c>
      <c r="F1382" s="440" t="s">
        <v>98</v>
      </c>
      <c r="G1382" s="387">
        <v>3.6113109999999997E-2</v>
      </c>
      <c r="H1382" s="525" t="str">
        <f t="shared" si="439"/>
        <v/>
      </c>
      <c r="I1382" s="525" t="str">
        <f t="shared" si="440"/>
        <v/>
      </c>
      <c r="J1382" s="525" t="str">
        <f t="shared" si="441"/>
        <v/>
      </c>
      <c r="K1382" s="525" t="str">
        <f t="shared" si="442"/>
        <v/>
      </c>
      <c r="L1382" s="387">
        <f t="shared" si="443"/>
        <v>0</v>
      </c>
      <c r="M1382" s="388"/>
      <c r="N1382" s="388"/>
      <c r="O1382" s="388"/>
      <c r="P1382" s="388"/>
      <c r="Q1382" s="382"/>
      <c r="R1382" s="385" t="str">
        <f t="shared" si="438"/>
        <v>T</v>
      </c>
      <c r="S1382" s="389"/>
      <c r="T1382" s="389"/>
      <c r="U1382" s="389"/>
      <c r="V1382" s="389"/>
      <c r="W1382" s="389"/>
      <c r="X1382" s="389"/>
      <c r="Y1382" s="389"/>
      <c r="Z1382" s="389"/>
      <c r="AA1382" s="389"/>
      <c r="AB1382" s="389"/>
      <c r="AC1382" s="389"/>
      <c r="AD1382" s="389"/>
      <c r="AE1382" s="389"/>
      <c r="AF1382" s="389"/>
    </row>
    <row r="1383" spans="1:32" hidden="1" outlineLevel="2" collapsed="1">
      <c r="A1383" s="382"/>
      <c r="B1383" s="382" t="s">
        <v>536</v>
      </c>
      <c r="C1383" s="386" t="s">
        <v>537</v>
      </c>
      <c r="D1383" s="382" t="s">
        <v>28</v>
      </c>
      <c r="E1383" s="382"/>
      <c r="F1383" s="440" t="s">
        <v>570</v>
      </c>
      <c r="G1383" s="411">
        <f>SUM(G1384:G1403)</f>
        <v>0.58924588946634149</v>
      </c>
      <c r="H1383" s="411">
        <f>SUM(H1384:H1403)</f>
        <v>0.25</v>
      </c>
      <c r="I1383" s="411">
        <f>SUM(I1384:I1403)</f>
        <v>0.05</v>
      </c>
      <c r="J1383" s="411">
        <f>SUM(J1384:J1403)</f>
        <v>0.21566389017197976</v>
      </c>
      <c r="K1383" s="411">
        <f>SUM(K1384:K1403)</f>
        <v>7.3581999294361697E-2</v>
      </c>
      <c r="L1383" s="411">
        <f t="shared" si="443"/>
        <v>20</v>
      </c>
      <c r="M1383" s="409">
        <f>SUM(M1384:M1403)</f>
        <v>3</v>
      </c>
      <c r="N1383" s="409">
        <f>SUM(N1384:N1403)</f>
        <v>1</v>
      </c>
      <c r="O1383" s="409">
        <f>SUM(O1384:O1403)</f>
        <v>8</v>
      </c>
      <c r="P1383" s="409">
        <f>SUM(P1384:P1403)</f>
        <v>8</v>
      </c>
      <c r="Q1383" s="382"/>
      <c r="R1383" s="385" t="str">
        <f t="shared" si="438"/>
        <v>T</v>
      </c>
      <c r="S1383" s="389"/>
      <c r="T1383" s="389"/>
      <c r="U1383" s="389"/>
      <c r="V1383" s="389"/>
      <c r="W1383" s="389"/>
      <c r="X1383" s="389"/>
      <c r="Y1383" s="389"/>
      <c r="Z1383" s="389"/>
      <c r="AA1383" s="389"/>
      <c r="AB1383" s="389"/>
      <c r="AC1383" s="389"/>
      <c r="AD1383" s="389"/>
      <c r="AE1383" s="389"/>
      <c r="AF1383" s="389"/>
    </row>
    <row r="1384" spans="1:32" hidden="1" outlineLevel="3">
      <c r="A1384" s="382"/>
      <c r="B1384" s="382" t="s">
        <v>536</v>
      </c>
      <c r="C1384" s="386" t="s">
        <v>537</v>
      </c>
      <c r="D1384" s="382" t="s">
        <v>28</v>
      </c>
      <c r="E1384" s="382" t="s">
        <v>29</v>
      </c>
      <c r="F1384" s="440" t="s">
        <v>32</v>
      </c>
      <c r="G1384" s="411">
        <v>0.1</v>
      </c>
      <c r="H1384" s="525">
        <f t="shared" ref="H1384:H1403" si="444">IF(M1384=1,$G1384,"")</f>
        <v>0.1</v>
      </c>
      <c r="I1384" s="525" t="str">
        <f t="shared" ref="I1384:I1403" si="445">IF(N1384=1,$G1384,"")</f>
        <v/>
      </c>
      <c r="J1384" s="525" t="str">
        <f t="shared" ref="J1384:J1403" si="446">IF(O1384=1,$G1384,"")</f>
        <v/>
      </c>
      <c r="K1384" s="525" t="str">
        <f t="shared" ref="K1384:K1403" si="447">IF(P1384=1,$G1384,"")</f>
        <v/>
      </c>
      <c r="L1384" s="411">
        <f t="shared" si="443"/>
        <v>1</v>
      </c>
      <c r="M1384" s="409">
        <v>1</v>
      </c>
      <c r="N1384" s="409"/>
      <c r="O1384" s="409"/>
      <c r="P1384" s="409"/>
      <c r="Q1384" s="382"/>
      <c r="R1384" s="385" t="str">
        <f t="shared" si="438"/>
        <v>T</v>
      </c>
      <c r="S1384" s="389"/>
      <c r="T1384" s="389"/>
      <c r="U1384" s="389"/>
      <c r="V1384" s="389"/>
      <c r="W1384" s="389"/>
      <c r="X1384" s="389"/>
      <c r="Y1384" s="389"/>
      <c r="Z1384" s="389"/>
      <c r="AA1384" s="389"/>
      <c r="AB1384" s="389"/>
      <c r="AC1384" s="389"/>
      <c r="AD1384" s="389"/>
      <c r="AE1384" s="389"/>
      <c r="AF1384" s="389"/>
    </row>
    <row r="1385" spans="1:32" hidden="1" outlineLevel="3">
      <c r="A1385" s="382"/>
      <c r="B1385" s="382" t="s">
        <v>536</v>
      </c>
      <c r="C1385" s="386" t="s">
        <v>537</v>
      </c>
      <c r="D1385" s="382" t="s">
        <v>28</v>
      </c>
      <c r="E1385" s="382" t="s">
        <v>29</v>
      </c>
      <c r="F1385" s="440" t="s">
        <v>33</v>
      </c>
      <c r="G1385" s="411">
        <v>0.05</v>
      </c>
      <c r="H1385" s="525">
        <f t="shared" si="444"/>
        <v>0.05</v>
      </c>
      <c r="I1385" s="525" t="str">
        <f t="shared" si="445"/>
        <v/>
      </c>
      <c r="J1385" s="525" t="str">
        <f t="shared" si="446"/>
        <v/>
      </c>
      <c r="K1385" s="525" t="str">
        <f t="shared" si="447"/>
        <v/>
      </c>
      <c r="L1385" s="411">
        <f t="shared" si="443"/>
        <v>1</v>
      </c>
      <c r="M1385" s="409">
        <v>1</v>
      </c>
      <c r="N1385" s="409"/>
      <c r="O1385" s="409"/>
      <c r="P1385" s="409"/>
      <c r="Q1385" s="382"/>
      <c r="R1385" s="385" t="str">
        <f t="shared" si="438"/>
        <v>T</v>
      </c>
      <c r="S1385" s="389"/>
      <c r="T1385" s="389"/>
      <c r="U1385" s="389"/>
      <c r="V1385" s="389"/>
      <c r="W1385" s="389"/>
      <c r="X1385" s="389"/>
      <c r="Y1385" s="389"/>
      <c r="Z1385" s="389"/>
      <c r="AA1385" s="389"/>
      <c r="AB1385" s="389"/>
      <c r="AC1385" s="389"/>
      <c r="AD1385" s="389"/>
      <c r="AE1385" s="389"/>
      <c r="AF1385" s="389"/>
    </row>
    <row r="1386" spans="1:32" hidden="1" outlineLevel="3">
      <c r="A1386" s="382"/>
      <c r="B1386" s="382" t="s">
        <v>536</v>
      </c>
      <c r="C1386" s="386" t="s">
        <v>537</v>
      </c>
      <c r="D1386" s="382" t="s">
        <v>28</v>
      </c>
      <c r="E1386" s="382" t="s">
        <v>29</v>
      </c>
      <c r="F1386" s="440" t="s">
        <v>353</v>
      </c>
      <c r="G1386" s="411">
        <v>0.1</v>
      </c>
      <c r="H1386" s="525">
        <f t="shared" si="444"/>
        <v>0.1</v>
      </c>
      <c r="I1386" s="525" t="str">
        <f t="shared" si="445"/>
        <v/>
      </c>
      <c r="J1386" s="525" t="str">
        <f t="shared" si="446"/>
        <v/>
      </c>
      <c r="K1386" s="525" t="str">
        <f t="shared" si="447"/>
        <v/>
      </c>
      <c r="L1386" s="411">
        <f t="shared" ref="L1386:L1417" si="448">SUM(M1386:P1386)</f>
        <v>1</v>
      </c>
      <c r="M1386" s="409">
        <v>1</v>
      </c>
      <c r="O1386" s="409"/>
      <c r="P1386" s="409"/>
      <c r="Q1386" s="382"/>
      <c r="R1386" s="385" t="str">
        <f t="shared" si="438"/>
        <v>T</v>
      </c>
      <c r="S1386" s="389"/>
      <c r="T1386" s="389"/>
      <c r="U1386" s="389"/>
      <c r="V1386" s="389"/>
      <c r="W1386" s="389"/>
      <c r="X1386" s="389"/>
      <c r="Y1386" s="389"/>
      <c r="Z1386" s="389"/>
      <c r="AA1386" s="389"/>
      <c r="AB1386" s="389"/>
      <c r="AC1386" s="389"/>
      <c r="AD1386" s="389"/>
      <c r="AE1386" s="389"/>
      <c r="AF1386" s="389"/>
    </row>
    <row r="1387" spans="1:32" hidden="1" outlineLevel="3">
      <c r="A1387" s="382"/>
      <c r="B1387" s="382" t="s">
        <v>536</v>
      </c>
      <c r="C1387" s="386" t="s">
        <v>537</v>
      </c>
      <c r="D1387" s="382" t="s">
        <v>28</v>
      </c>
      <c r="E1387" s="382" t="s">
        <v>29</v>
      </c>
      <c r="F1387" s="440" t="s">
        <v>541</v>
      </c>
      <c r="G1387" s="387">
        <v>0.05</v>
      </c>
      <c r="H1387" s="525" t="str">
        <f t="shared" si="444"/>
        <v/>
      </c>
      <c r="I1387" s="525">
        <f t="shared" si="445"/>
        <v>0.05</v>
      </c>
      <c r="J1387" s="525" t="str">
        <f t="shared" si="446"/>
        <v/>
      </c>
      <c r="K1387" s="525" t="str">
        <f t="shared" si="447"/>
        <v/>
      </c>
      <c r="L1387" s="387">
        <f t="shared" si="448"/>
        <v>1</v>
      </c>
      <c r="N1387" s="388">
        <v>1</v>
      </c>
      <c r="O1387" s="388"/>
      <c r="P1387" s="388"/>
      <c r="Q1387" s="382"/>
      <c r="R1387" s="385" t="str">
        <f t="shared" si="438"/>
        <v>T</v>
      </c>
      <c r="S1387" s="389"/>
      <c r="T1387" s="389"/>
      <c r="U1387" s="389"/>
      <c r="V1387" s="389"/>
      <c r="W1387" s="389"/>
      <c r="X1387" s="389"/>
      <c r="Y1387" s="389"/>
      <c r="Z1387" s="389"/>
      <c r="AA1387" s="389"/>
      <c r="AB1387" s="389"/>
      <c r="AC1387" s="389"/>
      <c r="AD1387" s="389"/>
      <c r="AE1387" s="389"/>
      <c r="AF1387" s="389"/>
    </row>
    <row r="1388" spans="1:32" hidden="1" outlineLevel="3">
      <c r="A1388" s="382"/>
      <c r="B1388" s="382" t="s">
        <v>536</v>
      </c>
      <c r="C1388" s="386" t="s">
        <v>537</v>
      </c>
      <c r="D1388" s="382" t="s">
        <v>28</v>
      </c>
      <c r="E1388" s="382" t="s">
        <v>29</v>
      </c>
      <c r="F1388" s="440" t="s">
        <v>542</v>
      </c>
      <c r="G1388" s="411">
        <v>1.0451307200000001E-2</v>
      </c>
      <c r="H1388" s="525" t="str">
        <f t="shared" si="444"/>
        <v/>
      </c>
      <c r="I1388" s="525" t="str">
        <f t="shared" si="445"/>
        <v/>
      </c>
      <c r="J1388" s="525">
        <f t="shared" si="446"/>
        <v>1.0451307200000001E-2</v>
      </c>
      <c r="K1388" s="525" t="str">
        <f t="shared" si="447"/>
        <v/>
      </c>
      <c r="L1388" s="411">
        <f t="shared" si="448"/>
        <v>1</v>
      </c>
      <c r="M1388" s="409"/>
      <c r="N1388" s="409"/>
      <c r="O1388" s="409">
        <v>1</v>
      </c>
      <c r="P1388" s="409"/>
      <c r="Q1388" s="382"/>
      <c r="R1388" s="385" t="str">
        <f t="shared" si="438"/>
        <v>T</v>
      </c>
      <c r="S1388" s="389"/>
      <c r="T1388" s="389"/>
      <c r="U1388" s="389"/>
      <c r="V1388" s="389"/>
      <c r="W1388" s="389"/>
      <c r="X1388" s="389"/>
      <c r="Y1388" s="389"/>
      <c r="Z1388" s="389"/>
      <c r="AA1388" s="389"/>
      <c r="AB1388" s="389"/>
      <c r="AC1388" s="389"/>
      <c r="AD1388" s="389"/>
      <c r="AE1388" s="389"/>
      <c r="AF1388" s="389"/>
    </row>
    <row r="1389" spans="1:32" hidden="1" outlineLevel="3">
      <c r="A1389" s="382"/>
      <c r="B1389" s="382" t="s">
        <v>536</v>
      </c>
      <c r="C1389" s="386" t="s">
        <v>537</v>
      </c>
      <c r="D1389" s="382" t="s">
        <v>28</v>
      </c>
      <c r="E1389" s="382" t="s">
        <v>29</v>
      </c>
      <c r="F1389" s="440" t="s">
        <v>545</v>
      </c>
      <c r="G1389" s="387">
        <v>1.56769608E-2</v>
      </c>
      <c r="H1389" s="525" t="str">
        <f t="shared" si="444"/>
        <v/>
      </c>
      <c r="I1389" s="525" t="str">
        <f t="shared" si="445"/>
        <v/>
      </c>
      <c r="J1389" s="525" t="str">
        <f t="shared" si="446"/>
        <v/>
      </c>
      <c r="K1389" s="525">
        <f t="shared" si="447"/>
        <v>1.56769608E-2</v>
      </c>
      <c r="L1389" s="387">
        <f t="shared" si="448"/>
        <v>1</v>
      </c>
      <c r="M1389" s="388"/>
      <c r="N1389" s="388"/>
      <c r="O1389" s="388"/>
      <c r="P1389" s="388">
        <v>1</v>
      </c>
      <c r="Q1389" s="382"/>
      <c r="R1389" s="385" t="str">
        <f t="shared" si="438"/>
        <v>T</v>
      </c>
      <c r="S1389" s="389"/>
      <c r="T1389" s="389"/>
      <c r="U1389" s="389"/>
      <c r="V1389" s="389"/>
      <c r="W1389" s="389"/>
      <c r="X1389" s="389"/>
      <c r="Y1389" s="389"/>
      <c r="Z1389" s="389"/>
      <c r="AA1389" s="389"/>
      <c r="AB1389" s="389"/>
      <c r="AC1389" s="389"/>
      <c r="AD1389" s="389"/>
      <c r="AE1389" s="389"/>
      <c r="AF1389" s="389"/>
    </row>
    <row r="1390" spans="1:32" hidden="1" outlineLevel="3">
      <c r="A1390" s="382"/>
      <c r="B1390" s="382" t="s">
        <v>536</v>
      </c>
      <c r="C1390" s="386" t="s">
        <v>537</v>
      </c>
      <c r="D1390" s="382" t="s">
        <v>28</v>
      </c>
      <c r="E1390" s="382" t="s">
        <v>29</v>
      </c>
      <c r="F1390" s="440" t="s">
        <v>548</v>
      </c>
      <c r="G1390" s="411">
        <v>1.2171593800000003E-2</v>
      </c>
      <c r="H1390" s="525" t="str">
        <f t="shared" si="444"/>
        <v/>
      </c>
      <c r="I1390" s="525" t="str">
        <f t="shared" si="445"/>
        <v/>
      </c>
      <c r="J1390" s="525">
        <f t="shared" si="446"/>
        <v>1.2171593800000003E-2</v>
      </c>
      <c r="K1390" s="525" t="str">
        <f t="shared" si="447"/>
        <v/>
      </c>
      <c r="L1390" s="411">
        <f t="shared" si="448"/>
        <v>1</v>
      </c>
      <c r="M1390" s="409"/>
      <c r="N1390" s="409"/>
      <c r="O1390" s="409">
        <v>1</v>
      </c>
      <c r="P1390" s="409"/>
      <c r="Q1390" s="382"/>
      <c r="R1390" s="385" t="str">
        <f t="shared" si="438"/>
        <v>T</v>
      </c>
      <c r="S1390" s="389"/>
      <c r="T1390" s="389"/>
      <c r="U1390" s="389"/>
      <c r="V1390" s="389"/>
      <c r="W1390" s="389"/>
      <c r="X1390" s="389"/>
      <c r="Y1390" s="389"/>
      <c r="Z1390" s="389"/>
      <c r="AA1390" s="389"/>
      <c r="AB1390" s="389"/>
      <c r="AC1390" s="389"/>
      <c r="AD1390" s="389"/>
      <c r="AE1390" s="389"/>
      <c r="AF1390" s="389"/>
    </row>
    <row r="1391" spans="1:32" hidden="1" outlineLevel="3">
      <c r="A1391" s="382"/>
      <c r="B1391" s="382" t="s">
        <v>536</v>
      </c>
      <c r="C1391" s="386" t="s">
        <v>537</v>
      </c>
      <c r="D1391" s="382" t="s">
        <v>28</v>
      </c>
      <c r="E1391" s="382" t="s">
        <v>29</v>
      </c>
      <c r="F1391" s="440" t="s">
        <v>551</v>
      </c>
      <c r="G1391" s="387">
        <v>1.8257390700000001E-2</v>
      </c>
      <c r="H1391" s="525" t="str">
        <f t="shared" si="444"/>
        <v/>
      </c>
      <c r="I1391" s="525" t="str">
        <f t="shared" si="445"/>
        <v/>
      </c>
      <c r="J1391" s="525" t="str">
        <f t="shared" si="446"/>
        <v/>
      </c>
      <c r="K1391" s="525">
        <f t="shared" si="447"/>
        <v>1.8257390700000001E-2</v>
      </c>
      <c r="L1391" s="387">
        <f t="shared" si="448"/>
        <v>1</v>
      </c>
      <c r="M1391" s="388"/>
      <c r="N1391" s="388"/>
      <c r="O1391" s="388"/>
      <c r="P1391" s="388">
        <v>1</v>
      </c>
      <c r="Q1391" s="382"/>
      <c r="R1391" s="385" t="str">
        <f t="shared" si="438"/>
        <v>T</v>
      </c>
      <c r="S1391" s="389"/>
      <c r="T1391" s="389"/>
      <c r="U1391" s="389"/>
      <c r="V1391" s="389"/>
      <c r="W1391" s="389"/>
      <c r="X1391" s="389"/>
      <c r="Y1391" s="389"/>
      <c r="Z1391" s="389"/>
      <c r="AA1391" s="389"/>
      <c r="AB1391" s="389"/>
      <c r="AC1391" s="389"/>
      <c r="AD1391" s="389"/>
      <c r="AE1391" s="389"/>
      <c r="AF1391" s="389"/>
    </row>
    <row r="1392" spans="1:32" hidden="1" outlineLevel="3">
      <c r="A1392" s="382"/>
      <c r="B1392" s="382" t="s">
        <v>536</v>
      </c>
      <c r="C1392" s="386" t="s">
        <v>537</v>
      </c>
      <c r="D1392" s="382" t="s">
        <v>28</v>
      </c>
      <c r="E1392" s="382" t="s">
        <v>29</v>
      </c>
      <c r="F1392" s="440" t="s">
        <v>554</v>
      </c>
      <c r="G1392" s="411">
        <v>1.0451307200000001E-2</v>
      </c>
      <c r="H1392" s="525" t="str">
        <f t="shared" si="444"/>
        <v/>
      </c>
      <c r="I1392" s="525" t="str">
        <f t="shared" si="445"/>
        <v/>
      </c>
      <c r="J1392" s="525" t="str">
        <f t="shared" si="446"/>
        <v/>
      </c>
      <c r="K1392" s="525">
        <f t="shared" si="447"/>
        <v>1.0451307200000001E-2</v>
      </c>
      <c r="L1392" s="411">
        <f t="shared" si="448"/>
        <v>1</v>
      </c>
      <c r="M1392" s="409"/>
      <c r="N1392" s="409"/>
      <c r="O1392" s="409"/>
      <c r="P1392" s="409">
        <v>1</v>
      </c>
      <c r="Q1392" s="382"/>
      <c r="R1392" s="385" t="str">
        <f t="shared" si="438"/>
        <v>T</v>
      </c>
      <c r="S1392" s="389"/>
      <c r="T1392" s="389"/>
      <c r="U1392" s="389"/>
      <c r="V1392" s="389"/>
      <c r="W1392" s="389"/>
      <c r="X1392" s="389"/>
      <c r="Y1392" s="389"/>
      <c r="Z1392" s="389"/>
      <c r="AA1392" s="389"/>
      <c r="AB1392" s="389"/>
      <c r="AC1392" s="389"/>
      <c r="AD1392" s="389"/>
      <c r="AE1392" s="389"/>
      <c r="AF1392" s="389"/>
    </row>
    <row r="1393" spans="1:32" hidden="1" outlineLevel="3">
      <c r="A1393" s="382"/>
      <c r="B1393" s="382" t="s">
        <v>536</v>
      </c>
      <c r="C1393" s="386" t="s">
        <v>537</v>
      </c>
      <c r="D1393" s="382" t="s">
        <v>28</v>
      </c>
      <c r="E1393" s="382" t="s">
        <v>29</v>
      </c>
      <c r="F1393" s="440" t="s">
        <v>556</v>
      </c>
      <c r="G1393" s="411">
        <v>1.0451307200000001E-2</v>
      </c>
      <c r="H1393" s="525" t="str">
        <f t="shared" si="444"/>
        <v/>
      </c>
      <c r="I1393" s="525" t="str">
        <f t="shared" si="445"/>
        <v/>
      </c>
      <c r="J1393" s="525" t="str">
        <f t="shared" si="446"/>
        <v/>
      </c>
      <c r="K1393" s="525">
        <f t="shared" si="447"/>
        <v>1.0451307200000001E-2</v>
      </c>
      <c r="L1393" s="411">
        <f t="shared" si="448"/>
        <v>1</v>
      </c>
      <c r="M1393" s="409"/>
      <c r="N1393" s="409"/>
      <c r="O1393" s="409"/>
      <c r="P1393" s="409">
        <v>1</v>
      </c>
      <c r="Q1393" s="382"/>
      <c r="R1393" s="385" t="str">
        <f t="shared" si="438"/>
        <v>T</v>
      </c>
      <c r="S1393" s="389"/>
      <c r="T1393" s="389"/>
      <c r="U1393" s="389"/>
      <c r="V1393" s="389"/>
      <c r="W1393" s="389"/>
      <c r="X1393" s="389"/>
      <c r="Y1393" s="389"/>
      <c r="Z1393" s="389"/>
      <c r="AA1393" s="389"/>
      <c r="AB1393" s="389"/>
      <c r="AC1393" s="389"/>
      <c r="AD1393" s="389"/>
      <c r="AE1393" s="389"/>
      <c r="AF1393" s="389"/>
    </row>
    <row r="1394" spans="1:32" hidden="1" outlineLevel="3">
      <c r="A1394" s="382"/>
      <c r="B1394" s="382" t="s">
        <v>536</v>
      </c>
      <c r="C1394" s="386" t="s">
        <v>537</v>
      </c>
      <c r="D1394" s="382" t="s">
        <v>28</v>
      </c>
      <c r="E1394" s="382" t="s">
        <v>29</v>
      </c>
      <c r="F1394" s="440" t="s">
        <v>558</v>
      </c>
      <c r="G1394" s="411">
        <v>0.1156854030496703</v>
      </c>
      <c r="H1394" s="525" t="str">
        <f t="shared" si="444"/>
        <v/>
      </c>
      <c r="I1394" s="525" t="str">
        <f t="shared" si="445"/>
        <v/>
      </c>
      <c r="J1394" s="525">
        <f t="shared" si="446"/>
        <v>0.1156854030496703</v>
      </c>
      <c r="K1394" s="525" t="str">
        <f t="shared" si="447"/>
        <v/>
      </c>
      <c r="L1394" s="411">
        <f t="shared" si="448"/>
        <v>1</v>
      </c>
      <c r="M1394" s="409"/>
      <c r="N1394" s="409"/>
      <c r="O1394" s="409">
        <v>1</v>
      </c>
      <c r="P1394" s="409"/>
      <c r="Q1394" s="382"/>
      <c r="R1394" s="385" t="str">
        <f t="shared" si="438"/>
        <v>T</v>
      </c>
      <c r="S1394" s="389"/>
      <c r="T1394" s="389"/>
      <c r="U1394" s="389"/>
      <c r="V1394" s="389"/>
      <c r="W1394" s="389"/>
      <c r="X1394" s="389"/>
      <c r="Y1394" s="389"/>
      <c r="Z1394" s="389"/>
      <c r="AA1394" s="389"/>
      <c r="AB1394" s="389"/>
      <c r="AC1394" s="389"/>
      <c r="AD1394" s="389"/>
      <c r="AE1394" s="389"/>
      <c r="AF1394" s="389"/>
    </row>
    <row r="1395" spans="1:32" hidden="1" outlineLevel="3">
      <c r="A1395" s="382"/>
      <c r="B1395" s="382" t="s">
        <v>536</v>
      </c>
      <c r="C1395" s="386" t="s">
        <v>537</v>
      </c>
      <c r="D1395" s="382" t="s">
        <v>28</v>
      </c>
      <c r="E1395" s="382" t="s">
        <v>29</v>
      </c>
      <c r="F1395" s="440" t="s">
        <v>559</v>
      </c>
      <c r="G1395" s="387">
        <v>4.9422693204031372E-2</v>
      </c>
      <c r="H1395" s="525" t="str">
        <f t="shared" si="444"/>
        <v/>
      </c>
      <c r="I1395" s="525" t="str">
        <f t="shared" si="445"/>
        <v/>
      </c>
      <c r="J1395" s="525">
        <f t="shared" si="446"/>
        <v>4.9422693204031372E-2</v>
      </c>
      <c r="K1395" s="525" t="str">
        <f t="shared" si="447"/>
        <v/>
      </c>
      <c r="L1395" s="387">
        <f t="shared" si="448"/>
        <v>1</v>
      </c>
      <c r="M1395" s="388"/>
      <c r="N1395" s="388"/>
      <c r="O1395" s="388">
        <v>1</v>
      </c>
      <c r="P1395" s="388"/>
      <c r="Q1395" s="382"/>
      <c r="R1395" s="385" t="str">
        <f t="shared" si="438"/>
        <v>T</v>
      </c>
      <c r="S1395" s="389"/>
      <c r="T1395" s="389"/>
      <c r="U1395" s="389"/>
      <c r="V1395" s="389"/>
      <c r="W1395" s="389"/>
      <c r="X1395" s="389"/>
      <c r="Y1395" s="389"/>
      <c r="Z1395" s="389"/>
      <c r="AA1395" s="389"/>
      <c r="AB1395" s="389"/>
      <c r="AC1395" s="389"/>
      <c r="AD1395" s="389"/>
      <c r="AE1395" s="389"/>
      <c r="AF1395" s="389"/>
    </row>
    <row r="1396" spans="1:32" hidden="1" outlineLevel="3">
      <c r="A1396" s="382"/>
      <c r="B1396" s="382" t="s">
        <v>536</v>
      </c>
      <c r="C1396" s="386" t="s">
        <v>537</v>
      </c>
      <c r="D1396" s="382" t="s">
        <v>28</v>
      </c>
      <c r="E1396" s="382" t="s">
        <v>29</v>
      </c>
      <c r="F1396" s="440" t="s">
        <v>560</v>
      </c>
      <c r="G1396" s="411">
        <v>8.4947167582683641E-3</v>
      </c>
      <c r="H1396" s="525" t="str">
        <f t="shared" si="444"/>
        <v/>
      </c>
      <c r="I1396" s="525" t="str">
        <f t="shared" si="445"/>
        <v/>
      </c>
      <c r="J1396" s="525">
        <f t="shared" si="446"/>
        <v>8.4947167582683641E-3</v>
      </c>
      <c r="K1396" s="525" t="str">
        <f t="shared" si="447"/>
        <v/>
      </c>
      <c r="L1396" s="411">
        <f t="shared" si="448"/>
        <v>1</v>
      </c>
      <c r="M1396" s="409"/>
      <c r="N1396" s="409"/>
      <c r="O1396" s="409">
        <v>1</v>
      </c>
      <c r="P1396" s="409"/>
      <c r="Q1396" s="382"/>
      <c r="R1396" s="385" t="str">
        <f t="shared" si="438"/>
        <v>T</v>
      </c>
      <c r="S1396" s="389"/>
      <c r="T1396" s="389"/>
      <c r="U1396" s="389"/>
      <c r="V1396" s="389"/>
      <c r="W1396" s="389"/>
      <c r="X1396" s="389"/>
      <c r="Y1396" s="389"/>
      <c r="Z1396" s="389"/>
      <c r="AA1396" s="389"/>
      <c r="AB1396" s="389"/>
      <c r="AC1396" s="389"/>
      <c r="AD1396" s="389"/>
      <c r="AE1396" s="389"/>
      <c r="AF1396" s="389"/>
    </row>
    <row r="1397" spans="1:32" hidden="1" outlineLevel="3">
      <c r="A1397" s="382"/>
      <c r="B1397" s="382" t="s">
        <v>536</v>
      </c>
      <c r="C1397" s="386" t="s">
        <v>537</v>
      </c>
      <c r="D1397" s="382" t="s">
        <v>28</v>
      </c>
      <c r="E1397" s="382" t="s">
        <v>29</v>
      </c>
      <c r="F1397" s="440" t="s">
        <v>561</v>
      </c>
      <c r="G1397" s="411">
        <v>1.56769608E-2</v>
      </c>
      <c r="H1397" s="525" t="str">
        <f t="shared" si="444"/>
        <v/>
      </c>
      <c r="I1397" s="525" t="str">
        <f t="shared" si="445"/>
        <v/>
      </c>
      <c r="J1397" s="525">
        <f t="shared" si="446"/>
        <v>1.56769608E-2</v>
      </c>
      <c r="K1397" s="525" t="str">
        <f t="shared" si="447"/>
        <v/>
      </c>
      <c r="L1397" s="411">
        <f t="shared" si="448"/>
        <v>1</v>
      </c>
      <c r="M1397" s="409"/>
      <c r="N1397" s="409"/>
      <c r="O1397" s="409">
        <v>1</v>
      </c>
      <c r="P1397" s="409"/>
      <c r="Q1397" s="382"/>
      <c r="R1397" s="385" t="str">
        <f t="shared" si="438"/>
        <v>T</v>
      </c>
      <c r="S1397" s="389"/>
      <c r="T1397" s="389"/>
      <c r="U1397" s="389"/>
      <c r="V1397" s="389"/>
      <c r="W1397" s="389"/>
      <c r="X1397" s="389"/>
      <c r="Y1397" s="389"/>
      <c r="Z1397" s="389"/>
      <c r="AA1397" s="389"/>
      <c r="AB1397" s="389"/>
      <c r="AC1397" s="389"/>
      <c r="AD1397" s="389"/>
      <c r="AE1397" s="389"/>
      <c r="AF1397" s="389"/>
    </row>
    <row r="1398" spans="1:32" hidden="1" outlineLevel="3">
      <c r="A1398" s="382"/>
      <c r="B1398" s="382" t="s">
        <v>536</v>
      </c>
      <c r="C1398" s="386" t="s">
        <v>537</v>
      </c>
      <c r="D1398" s="382" t="s">
        <v>28</v>
      </c>
      <c r="E1398" s="382" t="s">
        <v>29</v>
      </c>
      <c r="F1398" s="440" t="s">
        <v>562</v>
      </c>
      <c r="G1398" s="387">
        <v>1.56769608E-2</v>
      </c>
      <c r="H1398" s="525" t="str">
        <f t="shared" si="444"/>
        <v/>
      </c>
      <c r="I1398" s="525" t="str">
        <f t="shared" si="445"/>
        <v/>
      </c>
      <c r="J1398" s="525" t="str">
        <f t="shared" si="446"/>
        <v/>
      </c>
      <c r="K1398" s="525">
        <f t="shared" si="447"/>
        <v>1.56769608E-2</v>
      </c>
      <c r="L1398" s="387">
        <f t="shared" si="448"/>
        <v>1</v>
      </c>
      <c r="M1398" s="388"/>
      <c r="N1398" s="388"/>
      <c r="O1398" s="388"/>
      <c r="P1398" s="388">
        <v>1</v>
      </c>
      <c r="Q1398" s="382"/>
      <c r="R1398" s="385" t="str">
        <f t="shared" ref="R1398:R1429" si="449">IF(SUM(M1398:P1398)=L1398,"T","F")</f>
        <v>T</v>
      </c>
      <c r="S1398" s="389"/>
      <c r="T1398" s="389"/>
      <c r="U1398" s="389"/>
      <c r="V1398" s="389"/>
      <c r="W1398" s="389"/>
      <c r="X1398" s="389"/>
      <c r="Y1398" s="389"/>
      <c r="Z1398" s="389"/>
      <c r="AA1398" s="389"/>
      <c r="AB1398" s="389"/>
      <c r="AC1398" s="389"/>
      <c r="AD1398" s="389"/>
      <c r="AE1398" s="389"/>
      <c r="AF1398" s="389"/>
    </row>
    <row r="1399" spans="1:32" hidden="1" outlineLevel="3">
      <c r="A1399" s="382"/>
      <c r="B1399" s="382" t="s">
        <v>536</v>
      </c>
      <c r="C1399" s="386" t="s">
        <v>537</v>
      </c>
      <c r="D1399" s="382" t="s">
        <v>28</v>
      </c>
      <c r="E1399" s="382" t="s">
        <v>29</v>
      </c>
      <c r="F1399" s="440" t="s">
        <v>69</v>
      </c>
      <c r="G1399" s="387">
        <v>2.4841221957982963E-4</v>
      </c>
      <c r="H1399" s="525" t="str">
        <f t="shared" si="444"/>
        <v/>
      </c>
      <c r="I1399" s="525" t="str">
        <f t="shared" si="445"/>
        <v/>
      </c>
      <c r="J1399" s="525">
        <f t="shared" si="446"/>
        <v>2.4841221957982963E-4</v>
      </c>
      <c r="K1399" s="525" t="str">
        <f t="shared" si="447"/>
        <v/>
      </c>
      <c r="L1399" s="387">
        <f t="shared" si="448"/>
        <v>1</v>
      </c>
      <c r="M1399" s="388"/>
      <c r="N1399" s="388"/>
      <c r="O1399" s="388">
        <v>1</v>
      </c>
      <c r="P1399" s="388"/>
      <c r="Q1399" s="382"/>
      <c r="R1399" s="385" t="str">
        <f t="shared" si="449"/>
        <v>T</v>
      </c>
      <c r="S1399" s="389"/>
      <c r="T1399" s="389"/>
      <c r="U1399" s="389"/>
      <c r="V1399" s="389"/>
      <c r="W1399" s="389"/>
      <c r="X1399" s="389"/>
      <c r="Y1399" s="389"/>
      <c r="Z1399" s="389"/>
      <c r="AA1399" s="389"/>
      <c r="AB1399" s="389"/>
      <c r="AC1399" s="389"/>
      <c r="AD1399" s="389"/>
      <c r="AE1399" s="389"/>
      <c r="AF1399" s="389"/>
    </row>
    <row r="1400" spans="1:32" hidden="1" outlineLevel="3">
      <c r="A1400" s="382"/>
      <c r="B1400" s="382" t="s">
        <v>536</v>
      </c>
      <c r="C1400" s="386" t="s">
        <v>537</v>
      </c>
      <c r="D1400" s="382" t="s">
        <v>28</v>
      </c>
      <c r="E1400" s="382" t="s">
        <v>29</v>
      </c>
      <c r="F1400" s="440" t="s">
        <v>563</v>
      </c>
      <c r="G1400" s="387">
        <v>4.9682443915965925E-4</v>
      </c>
      <c r="H1400" s="525" t="str">
        <f t="shared" si="444"/>
        <v/>
      </c>
      <c r="I1400" s="525" t="str">
        <f t="shared" si="445"/>
        <v/>
      </c>
      <c r="J1400" s="525" t="str">
        <f t="shared" si="446"/>
        <v/>
      </c>
      <c r="K1400" s="525">
        <f t="shared" si="447"/>
        <v>4.9682443915965925E-4</v>
      </c>
      <c r="L1400" s="387">
        <f t="shared" si="448"/>
        <v>1</v>
      </c>
      <c r="M1400" s="388"/>
      <c r="N1400" s="388"/>
      <c r="O1400" s="388"/>
      <c r="P1400" s="388">
        <v>1</v>
      </c>
      <c r="Q1400" s="382"/>
      <c r="R1400" s="385" t="str">
        <f t="shared" si="449"/>
        <v>T</v>
      </c>
      <c r="S1400" s="389"/>
      <c r="T1400" s="389"/>
      <c r="U1400" s="389"/>
      <c r="V1400" s="389"/>
      <c r="W1400" s="389"/>
      <c r="X1400" s="389"/>
      <c r="Y1400" s="389"/>
      <c r="Z1400" s="389"/>
      <c r="AA1400" s="389"/>
      <c r="AB1400" s="389"/>
      <c r="AC1400" s="389"/>
      <c r="AD1400" s="389"/>
      <c r="AE1400" s="389"/>
      <c r="AF1400" s="389"/>
    </row>
    <row r="1401" spans="1:32" hidden="1" outlineLevel="3">
      <c r="A1401" s="382"/>
      <c r="B1401" s="382" t="s">
        <v>536</v>
      </c>
      <c r="C1401" s="386" t="s">
        <v>537</v>
      </c>
      <c r="D1401" s="382" t="s">
        <v>28</v>
      </c>
      <c r="E1401" s="382" t="s">
        <v>29</v>
      </c>
      <c r="F1401" s="440" t="s">
        <v>564</v>
      </c>
      <c r="G1401" s="411">
        <v>6.2103054894957407E-5</v>
      </c>
      <c r="H1401" s="525" t="str">
        <f t="shared" si="444"/>
        <v/>
      </c>
      <c r="I1401" s="525" t="str">
        <f t="shared" si="445"/>
        <v/>
      </c>
      <c r="J1401" s="525" t="str">
        <f t="shared" si="446"/>
        <v/>
      </c>
      <c r="K1401" s="525">
        <f t="shared" si="447"/>
        <v>6.2103054894957407E-5</v>
      </c>
      <c r="L1401" s="411">
        <f t="shared" si="448"/>
        <v>1</v>
      </c>
      <c r="M1401" s="409"/>
      <c r="N1401" s="409"/>
      <c r="O1401" s="409"/>
      <c r="P1401" s="409">
        <v>1</v>
      </c>
      <c r="Q1401" s="382"/>
      <c r="R1401" s="385" t="str">
        <f t="shared" si="449"/>
        <v>T</v>
      </c>
      <c r="S1401" s="389"/>
      <c r="T1401" s="389"/>
      <c r="U1401" s="389"/>
      <c r="V1401" s="389"/>
      <c r="W1401" s="389"/>
      <c r="X1401" s="389"/>
      <c r="Y1401" s="389"/>
      <c r="Z1401" s="389"/>
      <c r="AA1401" s="389"/>
      <c r="AB1401" s="389"/>
      <c r="AC1401" s="389"/>
      <c r="AD1401" s="389"/>
      <c r="AE1401" s="389"/>
      <c r="AF1401" s="389"/>
    </row>
    <row r="1402" spans="1:32" hidden="1" outlineLevel="3">
      <c r="A1402" s="382"/>
      <c r="B1402" s="382" t="s">
        <v>536</v>
      </c>
      <c r="C1402" s="386" t="s">
        <v>537</v>
      </c>
      <c r="D1402" s="382" t="s">
        <v>28</v>
      </c>
      <c r="E1402" s="382" t="s">
        <v>29</v>
      </c>
      <c r="F1402" s="440" t="s">
        <v>205</v>
      </c>
      <c r="G1402" s="387">
        <v>3.5128031404299009E-3</v>
      </c>
      <c r="H1402" s="525" t="str">
        <f t="shared" si="444"/>
        <v/>
      </c>
      <c r="I1402" s="525" t="str">
        <f t="shared" si="445"/>
        <v/>
      </c>
      <c r="J1402" s="525">
        <f t="shared" si="446"/>
        <v>3.5128031404299009E-3</v>
      </c>
      <c r="K1402" s="525" t="str">
        <f t="shared" si="447"/>
        <v/>
      </c>
      <c r="L1402" s="387">
        <f t="shared" si="448"/>
        <v>1</v>
      </c>
      <c r="M1402" s="388"/>
      <c r="N1402" s="388"/>
      <c r="O1402" s="388">
        <v>1</v>
      </c>
      <c r="P1402" s="388"/>
      <c r="Q1402" s="382"/>
      <c r="R1402" s="385" t="str">
        <f t="shared" si="449"/>
        <v>T</v>
      </c>
      <c r="S1402" s="389"/>
      <c r="T1402" s="389"/>
      <c r="U1402" s="389"/>
      <c r="V1402" s="389"/>
      <c r="W1402" s="389"/>
      <c r="X1402" s="389"/>
      <c r="Y1402" s="389"/>
      <c r="Z1402" s="389"/>
      <c r="AA1402" s="389"/>
      <c r="AB1402" s="389"/>
      <c r="AC1402" s="389"/>
      <c r="AD1402" s="389"/>
      <c r="AE1402" s="389"/>
      <c r="AF1402" s="389"/>
    </row>
    <row r="1403" spans="1:32" hidden="1" outlineLevel="3">
      <c r="A1403" s="382"/>
      <c r="B1403" s="382" t="s">
        <v>536</v>
      </c>
      <c r="C1403" s="386" t="s">
        <v>537</v>
      </c>
      <c r="D1403" s="382" t="s">
        <v>28</v>
      </c>
      <c r="E1403" s="382" t="s">
        <v>29</v>
      </c>
      <c r="F1403" s="440" t="s">
        <v>116</v>
      </c>
      <c r="G1403" s="411">
        <v>2.5091451003070721E-3</v>
      </c>
      <c r="H1403" s="525" t="str">
        <f t="shared" si="444"/>
        <v/>
      </c>
      <c r="I1403" s="525" t="str">
        <f t="shared" si="445"/>
        <v/>
      </c>
      <c r="J1403" s="525" t="str">
        <f t="shared" si="446"/>
        <v/>
      </c>
      <c r="K1403" s="525">
        <f t="shared" si="447"/>
        <v>2.5091451003070721E-3</v>
      </c>
      <c r="L1403" s="411">
        <f t="shared" si="448"/>
        <v>1</v>
      </c>
      <c r="M1403" s="409"/>
      <c r="N1403" s="409"/>
      <c r="O1403" s="409"/>
      <c r="P1403" s="409">
        <v>1</v>
      </c>
      <c r="Q1403" s="382"/>
      <c r="R1403" s="385" t="str">
        <f t="shared" si="449"/>
        <v>T</v>
      </c>
      <c r="S1403" s="389"/>
      <c r="T1403" s="389"/>
      <c r="U1403" s="389"/>
      <c r="V1403" s="389"/>
      <c r="W1403" s="389"/>
      <c r="X1403" s="389"/>
      <c r="Y1403" s="389"/>
      <c r="Z1403" s="389"/>
      <c r="AA1403" s="389"/>
      <c r="AB1403" s="389"/>
      <c r="AC1403" s="389"/>
      <c r="AD1403" s="389"/>
      <c r="AE1403" s="389"/>
      <c r="AF1403" s="389"/>
    </row>
    <row r="1404" spans="1:32" hidden="1" outlineLevel="2" collapsed="1">
      <c r="A1404" s="382"/>
      <c r="B1404" s="382" t="s">
        <v>536</v>
      </c>
      <c r="C1404" s="386" t="s">
        <v>537</v>
      </c>
      <c r="D1404" s="382" t="s">
        <v>64</v>
      </c>
      <c r="E1404" s="382"/>
      <c r="F1404" s="440" t="s">
        <v>570</v>
      </c>
      <c r="G1404" s="411">
        <f>SUM(G1405:G1414)</f>
        <v>0.52052172723107337</v>
      </c>
      <c r="H1404" s="411">
        <f>SUM(H1405:H1414)</f>
        <v>0.2</v>
      </c>
      <c r="I1404" s="411">
        <f>SUM(I1405:I1414)</f>
        <v>0.2</v>
      </c>
      <c r="J1404" s="411">
        <f>SUM(J1405:J1414)</f>
        <v>0.10885506056440662</v>
      </c>
      <c r="K1404" s="411">
        <f>SUM(K1405:K1414)</f>
        <v>1.1666666666666669E-2</v>
      </c>
      <c r="L1404" s="411">
        <f t="shared" si="448"/>
        <v>10</v>
      </c>
      <c r="M1404" s="409">
        <f>SUM(M1405:M1414)</f>
        <v>2</v>
      </c>
      <c r="N1404" s="409">
        <f>SUM(N1405:N1414)</f>
        <v>2</v>
      </c>
      <c r="O1404" s="409">
        <f>SUM(O1405:O1414)</f>
        <v>4</v>
      </c>
      <c r="P1404" s="409">
        <f>SUM(P1405:P1414)</f>
        <v>2</v>
      </c>
      <c r="Q1404" s="382"/>
      <c r="R1404" s="385" t="str">
        <f t="shared" si="449"/>
        <v>T</v>
      </c>
      <c r="S1404" s="389"/>
      <c r="T1404" s="389"/>
      <c r="U1404" s="389"/>
      <c r="V1404" s="389"/>
      <c r="W1404" s="389"/>
      <c r="X1404" s="389"/>
      <c r="Y1404" s="389"/>
      <c r="Z1404" s="389"/>
      <c r="AA1404" s="389"/>
      <c r="AB1404" s="389"/>
      <c r="AC1404" s="389"/>
      <c r="AD1404" s="389"/>
      <c r="AE1404" s="389"/>
      <c r="AF1404" s="389"/>
    </row>
    <row r="1405" spans="1:32" hidden="1" outlineLevel="3">
      <c r="A1405" s="382"/>
      <c r="B1405" s="382" t="s">
        <v>536</v>
      </c>
      <c r="C1405" s="386" t="s">
        <v>537</v>
      </c>
      <c r="D1405" s="382" t="s">
        <v>64</v>
      </c>
      <c r="E1405" s="382" t="s">
        <v>29</v>
      </c>
      <c r="F1405" s="440" t="s">
        <v>32</v>
      </c>
      <c r="G1405" s="411">
        <v>0.15</v>
      </c>
      <c r="H1405" s="525">
        <f t="shared" ref="H1405:H1414" si="450">IF(M1405=1,$G1405,"")</f>
        <v>0.15</v>
      </c>
      <c r="I1405" s="525" t="str">
        <f t="shared" ref="I1405:I1414" si="451">IF(N1405=1,$G1405,"")</f>
        <v/>
      </c>
      <c r="J1405" s="525" t="str">
        <f t="shared" ref="J1405:J1414" si="452">IF(O1405=1,$G1405,"")</f>
        <v/>
      </c>
      <c r="K1405" s="525" t="str">
        <f t="shared" ref="K1405:K1414" si="453">IF(P1405=1,$G1405,"")</f>
        <v/>
      </c>
      <c r="L1405" s="411">
        <f t="shared" si="448"/>
        <v>1</v>
      </c>
      <c r="M1405" s="409">
        <v>1</v>
      </c>
      <c r="N1405" s="409"/>
      <c r="O1405" s="409"/>
      <c r="P1405" s="409"/>
      <c r="Q1405" s="382"/>
      <c r="R1405" s="385" t="str">
        <f t="shared" si="449"/>
        <v>T</v>
      </c>
      <c r="S1405" s="389"/>
      <c r="T1405" s="389"/>
      <c r="U1405" s="389"/>
      <c r="V1405" s="389"/>
      <c r="W1405" s="389"/>
      <c r="X1405" s="389"/>
      <c r="Y1405" s="389"/>
      <c r="Z1405" s="389"/>
      <c r="AA1405" s="389"/>
      <c r="AB1405" s="389"/>
      <c r="AC1405" s="389"/>
      <c r="AD1405" s="389"/>
      <c r="AE1405" s="389"/>
      <c r="AF1405" s="389"/>
    </row>
    <row r="1406" spans="1:32" hidden="1" outlineLevel="3">
      <c r="A1406" s="382"/>
      <c r="B1406" s="382" t="s">
        <v>536</v>
      </c>
      <c r="C1406" s="386" t="s">
        <v>537</v>
      </c>
      <c r="D1406" s="382" t="s">
        <v>64</v>
      </c>
      <c r="E1406" s="382" t="s">
        <v>29</v>
      </c>
      <c r="F1406" s="440" t="s">
        <v>33</v>
      </c>
      <c r="G1406" s="411">
        <v>0.05</v>
      </c>
      <c r="H1406" s="525">
        <f t="shared" si="450"/>
        <v>0.05</v>
      </c>
      <c r="I1406" s="525" t="str">
        <f t="shared" si="451"/>
        <v/>
      </c>
      <c r="J1406" s="525" t="str">
        <f t="shared" si="452"/>
        <v/>
      </c>
      <c r="K1406" s="525" t="str">
        <f t="shared" si="453"/>
        <v/>
      </c>
      <c r="L1406" s="411">
        <f t="shared" si="448"/>
        <v>1</v>
      </c>
      <c r="M1406" s="409">
        <v>1</v>
      </c>
      <c r="N1406" s="409"/>
      <c r="O1406" s="409"/>
      <c r="P1406" s="409"/>
      <c r="Q1406" s="382"/>
      <c r="R1406" s="385" t="str">
        <f t="shared" si="449"/>
        <v>T</v>
      </c>
      <c r="S1406" s="389"/>
      <c r="T1406" s="389"/>
      <c r="U1406" s="389"/>
      <c r="V1406" s="389"/>
      <c r="W1406" s="389"/>
      <c r="X1406" s="389"/>
      <c r="Y1406" s="389"/>
      <c r="Z1406" s="389"/>
      <c r="AA1406" s="389"/>
      <c r="AB1406" s="389"/>
      <c r="AC1406" s="389"/>
      <c r="AD1406" s="389"/>
      <c r="AE1406" s="389"/>
      <c r="AF1406" s="389"/>
    </row>
    <row r="1407" spans="1:32" hidden="1" outlineLevel="3">
      <c r="A1407" s="382"/>
      <c r="B1407" s="382" t="s">
        <v>536</v>
      </c>
      <c r="C1407" s="386" t="s">
        <v>537</v>
      </c>
      <c r="D1407" s="382" t="s">
        <v>64</v>
      </c>
      <c r="E1407" s="382" t="s">
        <v>29</v>
      </c>
      <c r="F1407" s="440" t="s">
        <v>353</v>
      </c>
      <c r="G1407" s="411">
        <v>0.15</v>
      </c>
      <c r="H1407" s="525" t="str">
        <f t="shared" si="450"/>
        <v/>
      </c>
      <c r="I1407" s="525">
        <f t="shared" si="451"/>
        <v>0.15</v>
      </c>
      <c r="J1407" s="525" t="str">
        <f t="shared" si="452"/>
        <v/>
      </c>
      <c r="K1407" s="525" t="str">
        <f t="shared" si="453"/>
        <v/>
      </c>
      <c r="L1407" s="411">
        <f t="shared" si="448"/>
        <v>1</v>
      </c>
      <c r="N1407" s="409">
        <v>1</v>
      </c>
      <c r="O1407" s="409"/>
      <c r="P1407" s="409"/>
      <c r="Q1407" s="382"/>
      <c r="R1407" s="385" t="str">
        <f t="shared" si="449"/>
        <v>T</v>
      </c>
      <c r="S1407" s="389"/>
      <c r="T1407" s="389"/>
      <c r="U1407" s="389"/>
      <c r="V1407" s="389"/>
      <c r="W1407" s="389"/>
      <c r="X1407" s="389"/>
      <c r="Y1407" s="389"/>
      <c r="Z1407" s="389"/>
      <c r="AA1407" s="389"/>
      <c r="AB1407" s="389"/>
      <c r="AC1407" s="389"/>
      <c r="AD1407" s="389"/>
      <c r="AE1407" s="389"/>
      <c r="AF1407" s="389"/>
    </row>
    <row r="1408" spans="1:32" hidden="1" outlineLevel="3">
      <c r="A1408" s="382"/>
      <c r="B1408" s="382" t="s">
        <v>536</v>
      </c>
      <c r="C1408" s="386" t="s">
        <v>537</v>
      </c>
      <c r="D1408" s="382" t="s">
        <v>64</v>
      </c>
      <c r="E1408" s="382" t="s">
        <v>29</v>
      </c>
      <c r="F1408" s="440" t="s">
        <v>541</v>
      </c>
      <c r="G1408" s="387">
        <v>0.05</v>
      </c>
      <c r="H1408" s="525" t="str">
        <f t="shared" si="450"/>
        <v/>
      </c>
      <c r="I1408" s="525">
        <f t="shared" si="451"/>
        <v>0.05</v>
      </c>
      <c r="J1408" s="525" t="str">
        <f t="shared" si="452"/>
        <v/>
      </c>
      <c r="K1408" s="525" t="str">
        <f t="shared" si="453"/>
        <v/>
      </c>
      <c r="L1408" s="387">
        <f t="shared" si="448"/>
        <v>1</v>
      </c>
      <c r="N1408" s="388">
        <v>1</v>
      </c>
      <c r="O1408" s="388"/>
      <c r="P1408" s="388"/>
      <c r="Q1408" s="382"/>
      <c r="R1408" s="385" t="str">
        <f t="shared" si="449"/>
        <v>T</v>
      </c>
      <c r="S1408" s="389"/>
      <c r="T1408" s="389"/>
      <c r="U1408" s="389"/>
      <c r="V1408" s="389"/>
      <c r="W1408" s="389"/>
      <c r="X1408" s="389"/>
      <c r="Y1408" s="389"/>
      <c r="Z1408" s="389"/>
      <c r="AA1408" s="389"/>
      <c r="AB1408" s="389"/>
      <c r="AC1408" s="389"/>
      <c r="AD1408" s="389"/>
      <c r="AE1408" s="389"/>
      <c r="AF1408" s="389"/>
    </row>
    <row r="1409" spans="1:37" hidden="1" outlineLevel="3">
      <c r="A1409" s="382"/>
      <c r="B1409" s="382" t="s">
        <v>536</v>
      </c>
      <c r="C1409" s="386" t="s">
        <v>537</v>
      </c>
      <c r="D1409" s="382" t="s">
        <v>64</v>
      </c>
      <c r="E1409" s="382" t="s">
        <v>29</v>
      </c>
      <c r="F1409" s="440" t="s">
        <v>558</v>
      </c>
      <c r="G1409" s="411">
        <v>5.4750718783611894E-2</v>
      </c>
      <c r="H1409" s="525" t="str">
        <f t="shared" si="450"/>
        <v/>
      </c>
      <c r="I1409" s="525" t="str">
        <f t="shared" si="451"/>
        <v/>
      </c>
      <c r="J1409" s="525">
        <f t="shared" si="452"/>
        <v>5.4750718783611894E-2</v>
      </c>
      <c r="K1409" s="525" t="str">
        <f t="shared" si="453"/>
        <v/>
      </c>
      <c r="L1409" s="411">
        <f t="shared" si="448"/>
        <v>1</v>
      </c>
      <c r="M1409" s="409"/>
      <c r="N1409" s="409"/>
      <c r="O1409" s="409">
        <v>1</v>
      </c>
      <c r="P1409" s="409"/>
      <c r="Q1409" s="382"/>
      <c r="R1409" s="385" t="str">
        <f t="shared" si="449"/>
        <v>T</v>
      </c>
      <c r="S1409" s="389"/>
      <c r="T1409" s="389"/>
      <c r="U1409" s="389"/>
      <c r="V1409" s="389"/>
      <c r="W1409" s="389"/>
      <c r="X1409" s="389"/>
      <c r="Y1409" s="389"/>
      <c r="Z1409" s="389"/>
      <c r="AA1409" s="389"/>
      <c r="AB1409" s="389"/>
      <c r="AC1409" s="389"/>
      <c r="AD1409" s="389"/>
      <c r="AE1409" s="389"/>
      <c r="AF1409" s="389"/>
    </row>
    <row r="1410" spans="1:37" hidden="1" outlineLevel="3">
      <c r="A1410" s="382"/>
      <c r="B1410" s="382" t="s">
        <v>536</v>
      </c>
      <c r="C1410" s="386" t="s">
        <v>537</v>
      </c>
      <c r="D1410" s="382" t="s">
        <v>64</v>
      </c>
      <c r="E1410" s="382" t="s">
        <v>29</v>
      </c>
      <c r="F1410" s="440" t="s">
        <v>559</v>
      </c>
      <c r="G1410" s="387">
        <v>2.339040108613219E-2</v>
      </c>
      <c r="H1410" s="525" t="str">
        <f t="shared" si="450"/>
        <v/>
      </c>
      <c r="I1410" s="525" t="str">
        <f t="shared" si="451"/>
        <v/>
      </c>
      <c r="J1410" s="525">
        <f t="shared" si="452"/>
        <v>2.339040108613219E-2</v>
      </c>
      <c r="K1410" s="525" t="str">
        <f t="shared" si="453"/>
        <v/>
      </c>
      <c r="L1410" s="387">
        <f t="shared" si="448"/>
        <v>1</v>
      </c>
      <c r="M1410" s="388"/>
      <c r="N1410" s="388"/>
      <c r="O1410" s="388">
        <v>1</v>
      </c>
      <c r="P1410" s="388"/>
      <c r="Q1410" s="382"/>
      <c r="R1410" s="385" t="str">
        <f t="shared" si="449"/>
        <v>T</v>
      </c>
      <c r="S1410" s="389"/>
      <c r="T1410" s="389"/>
      <c r="U1410" s="389"/>
      <c r="V1410" s="389"/>
      <c r="W1410" s="389"/>
      <c r="X1410" s="389"/>
      <c r="Y1410" s="389"/>
      <c r="Z1410" s="389"/>
      <c r="AA1410" s="389"/>
      <c r="AB1410" s="389"/>
      <c r="AC1410" s="389"/>
      <c r="AD1410" s="389"/>
      <c r="AE1410" s="389"/>
      <c r="AF1410" s="389"/>
    </row>
    <row r="1411" spans="1:37" hidden="1" outlineLevel="3">
      <c r="A1411" s="382"/>
      <c r="B1411" s="382" t="s">
        <v>536</v>
      </c>
      <c r="C1411" s="386" t="s">
        <v>537</v>
      </c>
      <c r="D1411" s="382" t="s">
        <v>64</v>
      </c>
      <c r="E1411" s="382" t="s">
        <v>29</v>
      </c>
      <c r="F1411" s="440" t="s">
        <v>560</v>
      </c>
      <c r="G1411" s="411">
        <v>4.0203157539131897E-3</v>
      </c>
      <c r="H1411" s="525" t="str">
        <f t="shared" si="450"/>
        <v/>
      </c>
      <c r="I1411" s="525" t="str">
        <f t="shared" si="451"/>
        <v/>
      </c>
      <c r="J1411" s="525">
        <f t="shared" si="452"/>
        <v>4.0203157539131897E-3</v>
      </c>
      <c r="K1411" s="525" t="str">
        <f t="shared" si="453"/>
        <v/>
      </c>
      <c r="L1411" s="411">
        <f t="shared" si="448"/>
        <v>1</v>
      </c>
      <c r="M1411" s="409"/>
      <c r="N1411" s="409"/>
      <c r="O1411" s="409">
        <v>1</v>
      </c>
      <c r="P1411" s="409"/>
      <c r="Q1411" s="382"/>
      <c r="R1411" s="385" t="str">
        <f t="shared" si="449"/>
        <v>T</v>
      </c>
      <c r="S1411" s="389"/>
      <c r="T1411" s="389"/>
      <c r="U1411" s="389"/>
      <c r="V1411" s="389"/>
      <c r="W1411" s="389"/>
      <c r="X1411" s="389"/>
      <c r="Y1411" s="389"/>
      <c r="Z1411" s="389"/>
      <c r="AA1411" s="389"/>
      <c r="AB1411" s="389"/>
      <c r="AC1411" s="389"/>
      <c r="AD1411" s="389"/>
      <c r="AE1411" s="389"/>
      <c r="AF1411" s="389"/>
    </row>
    <row r="1412" spans="1:37" hidden="1" outlineLevel="3">
      <c r="A1412" s="382"/>
      <c r="B1412" s="382" t="s">
        <v>536</v>
      </c>
      <c r="C1412" s="386" t="s">
        <v>537</v>
      </c>
      <c r="D1412" s="382" t="s">
        <v>64</v>
      </c>
      <c r="E1412" s="382" t="s">
        <v>29</v>
      </c>
      <c r="F1412" s="440" t="s">
        <v>69</v>
      </c>
      <c r="G1412" s="387">
        <v>2.6693624940749339E-2</v>
      </c>
      <c r="H1412" s="525" t="str">
        <f t="shared" si="450"/>
        <v/>
      </c>
      <c r="I1412" s="525" t="str">
        <f t="shared" si="451"/>
        <v/>
      </c>
      <c r="J1412" s="525">
        <f t="shared" si="452"/>
        <v>2.6693624940749339E-2</v>
      </c>
      <c r="K1412" s="525" t="str">
        <f t="shared" si="453"/>
        <v/>
      </c>
      <c r="L1412" s="387">
        <f t="shared" si="448"/>
        <v>1</v>
      </c>
      <c r="M1412" s="388"/>
      <c r="N1412" s="388"/>
      <c r="O1412" s="388">
        <v>1</v>
      </c>
      <c r="P1412" s="388"/>
      <c r="Q1412" s="382"/>
      <c r="R1412" s="385" t="str">
        <f t="shared" si="449"/>
        <v>T</v>
      </c>
      <c r="S1412" s="389"/>
      <c r="T1412" s="389"/>
      <c r="U1412" s="389"/>
      <c r="V1412" s="389"/>
      <c r="W1412" s="389"/>
      <c r="X1412" s="389"/>
      <c r="Y1412" s="389"/>
      <c r="Z1412" s="389"/>
      <c r="AA1412" s="389"/>
      <c r="AB1412" s="389"/>
      <c r="AC1412" s="389"/>
      <c r="AD1412" s="389"/>
      <c r="AE1412" s="389"/>
      <c r="AF1412" s="389"/>
    </row>
    <row r="1413" spans="1:37" hidden="1" outlineLevel="3">
      <c r="A1413" s="382"/>
      <c r="B1413" s="382" t="s">
        <v>536</v>
      </c>
      <c r="C1413" s="386" t="s">
        <v>537</v>
      </c>
      <c r="D1413" s="382" t="s">
        <v>64</v>
      </c>
      <c r="E1413" s="382" t="s">
        <v>29</v>
      </c>
      <c r="F1413" s="440" t="s">
        <v>116</v>
      </c>
      <c r="G1413" s="411">
        <v>3.8888888888888896E-3</v>
      </c>
      <c r="H1413" s="525" t="str">
        <f t="shared" si="450"/>
        <v/>
      </c>
      <c r="I1413" s="525" t="str">
        <f t="shared" si="451"/>
        <v/>
      </c>
      <c r="J1413" s="525" t="str">
        <f t="shared" si="452"/>
        <v/>
      </c>
      <c r="K1413" s="525">
        <f t="shared" si="453"/>
        <v>3.8888888888888896E-3</v>
      </c>
      <c r="L1413" s="411">
        <f t="shared" si="448"/>
        <v>1</v>
      </c>
      <c r="M1413" s="409"/>
      <c r="N1413" s="409"/>
      <c r="O1413" s="409"/>
      <c r="P1413" s="409">
        <v>1</v>
      </c>
      <c r="Q1413" s="382"/>
      <c r="R1413" s="385" t="str">
        <f t="shared" si="449"/>
        <v>T</v>
      </c>
      <c r="S1413" s="389"/>
      <c r="T1413" s="389"/>
      <c r="U1413" s="389"/>
      <c r="V1413" s="389"/>
      <c r="W1413" s="389"/>
      <c r="X1413" s="389"/>
      <c r="Y1413" s="389"/>
      <c r="Z1413" s="389"/>
      <c r="AA1413" s="389"/>
      <c r="AB1413" s="389"/>
      <c r="AC1413" s="389"/>
      <c r="AD1413" s="389"/>
      <c r="AE1413" s="389"/>
      <c r="AF1413" s="389"/>
    </row>
    <row r="1414" spans="1:37" hidden="1" outlineLevel="3">
      <c r="A1414" s="382"/>
      <c r="B1414" s="382" t="s">
        <v>536</v>
      </c>
      <c r="C1414" s="386" t="s">
        <v>537</v>
      </c>
      <c r="D1414" s="382" t="s">
        <v>64</v>
      </c>
      <c r="E1414" s="382" t="s">
        <v>29</v>
      </c>
      <c r="F1414" s="440" t="s">
        <v>117</v>
      </c>
      <c r="G1414" s="387">
        <v>7.7777777777777793E-3</v>
      </c>
      <c r="H1414" s="525" t="str">
        <f t="shared" si="450"/>
        <v/>
      </c>
      <c r="I1414" s="525" t="str">
        <f t="shared" si="451"/>
        <v/>
      </c>
      <c r="J1414" s="525" t="str">
        <f t="shared" si="452"/>
        <v/>
      </c>
      <c r="K1414" s="525">
        <f t="shared" si="453"/>
        <v>7.7777777777777793E-3</v>
      </c>
      <c r="L1414" s="387">
        <f t="shared" si="448"/>
        <v>1</v>
      </c>
      <c r="M1414" s="388"/>
      <c r="N1414" s="388"/>
      <c r="O1414" s="388"/>
      <c r="P1414" s="388">
        <v>1</v>
      </c>
      <c r="Q1414" s="382"/>
      <c r="R1414" s="385" t="str">
        <f t="shared" si="449"/>
        <v>T</v>
      </c>
      <c r="S1414" s="389"/>
      <c r="T1414" s="389"/>
      <c r="U1414" s="389"/>
      <c r="V1414" s="389"/>
      <c r="W1414" s="389"/>
      <c r="X1414" s="389"/>
      <c r="Y1414" s="389"/>
      <c r="Z1414" s="389"/>
      <c r="AA1414" s="389"/>
      <c r="AB1414" s="389"/>
      <c r="AC1414" s="389"/>
      <c r="AD1414" s="389"/>
      <c r="AE1414" s="389"/>
      <c r="AF1414" s="389"/>
    </row>
    <row r="1415" spans="1:37" outlineLevel="1" collapsed="1">
      <c r="A1415" s="382"/>
      <c r="B1415" s="403" t="s">
        <v>571</v>
      </c>
      <c r="C1415" s="403" t="s">
        <v>572</v>
      </c>
      <c r="D1415" s="403"/>
      <c r="E1415" s="403"/>
      <c r="F1415" s="443" t="s">
        <v>573</v>
      </c>
      <c r="G1415" s="426">
        <f>(G1416+G1423+G1427+G1432)*0</f>
        <v>0</v>
      </c>
      <c r="H1415" s="427">
        <f>SUM(H1416,H1423,H1427,H1432)</f>
        <v>0</v>
      </c>
      <c r="I1415" s="427">
        <f>SUM(I1416,I1423,I1427,I1432)</f>
        <v>0</v>
      </c>
      <c r="J1415" s="427">
        <f>SUM(J1416,J1423,J1427,J1432)</f>
        <v>0</v>
      </c>
      <c r="K1415" s="427">
        <f>SUM(K1416,K1423,K1427,K1432)</f>
        <v>0</v>
      </c>
      <c r="L1415" s="426">
        <f t="shared" si="448"/>
        <v>0</v>
      </c>
      <c r="M1415" s="427">
        <f>SUM(M1416,M1423,M1427,M1432)</f>
        <v>0</v>
      </c>
      <c r="N1415" s="427">
        <f>SUM(N1416,N1423,N1427,N1432)</f>
        <v>0</v>
      </c>
      <c r="O1415" s="427">
        <f>SUM(O1416,O1423,O1427,O1432)</f>
        <v>0</v>
      </c>
      <c r="P1415" s="427">
        <f>SUM(P1416,P1423,P1427,P1432)</f>
        <v>0</v>
      </c>
      <c r="Q1415" s="382"/>
      <c r="R1415" s="385" t="str">
        <f t="shared" si="449"/>
        <v>T</v>
      </c>
      <c r="S1415" s="389"/>
      <c r="T1415" s="389"/>
      <c r="U1415" s="389"/>
      <c r="V1415" s="389"/>
      <c r="W1415" s="389"/>
      <c r="X1415" s="389"/>
      <c r="Y1415" s="389"/>
      <c r="Z1415" s="389"/>
      <c r="AA1415" s="389"/>
      <c r="AB1415" s="389"/>
      <c r="AC1415" s="389"/>
      <c r="AD1415" s="389"/>
      <c r="AE1415" s="389"/>
      <c r="AF1415" s="389"/>
    </row>
    <row r="1416" spans="1:37" s="413" customFormat="1" hidden="1" outlineLevel="2" collapsed="1">
      <c r="A1416" s="382"/>
      <c r="B1416" s="404" t="s">
        <v>572</v>
      </c>
      <c r="C1416" s="404" t="s">
        <v>572</v>
      </c>
      <c r="D1416" s="405" t="s">
        <v>18</v>
      </c>
      <c r="E1416" s="405"/>
      <c r="F1416" s="448" t="s">
        <v>574</v>
      </c>
      <c r="G1416" s="457">
        <f>SUM(G1417:G1422)</f>
        <v>13.027500000000002</v>
      </c>
      <c r="H1416" s="456">
        <f>SUM(H1417:H1422)</f>
        <v>0</v>
      </c>
      <c r="I1416" s="456">
        <f>SUM(I1417:I1422)</f>
        <v>0</v>
      </c>
      <c r="J1416" s="456">
        <f>SUM(J1417:J1422)</f>
        <v>0</v>
      </c>
      <c r="K1416" s="456">
        <f>SUM(K1417:K1422)</f>
        <v>0</v>
      </c>
      <c r="L1416" s="457">
        <f t="shared" si="448"/>
        <v>0</v>
      </c>
      <c r="M1416" s="456">
        <f>SUM(M1417:M1422)</f>
        <v>0</v>
      </c>
      <c r="N1416" s="456">
        <f>SUM(N1417:N1422)</f>
        <v>0</v>
      </c>
      <c r="O1416" s="456">
        <f>SUM(O1417:O1422)</f>
        <v>0</v>
      </c>
      <c r="P1416" s="456">
        <f>SUM(P1417:P1422)</f>
        <v>0</v>
      </c>
      <c r="Q1416" s="382"/>
      <c r="R1416" s="385" t="str">
        <f t="shared" si="449"/>
        <v>T</v>
      </c>
      <c r="S1416" s="389"/>
      <c r="T1416" s="389"/>
      <c r="U1416" s="389"/>
      <c r="V1416" s="389"/>
      <c r="W1416" s="389"/>
      <c r="X1416" s="389"/>
      <c r="Y1416" s="389"/>
      <c r="Z1416" s="389"/>
      <c r="AA1416" s="389"/>
      <c r="AB1416" s="389"/>
      <c r="AC1416" s="389"/>
      <c r="AD1416" s="389"/>
      <c r="AE1416" s="389"/>
      <c r="AF1416" s="389"/>
      <c r="AG1416" s="383"/>
      <c r="AH1416" s="383"/>
      <c r="AI1416" s="383"/>
      <c r="AJ1416" s="383"/>
      <c r="AK1416" s="383"/>
    </row>
    <row r="1417" spans="1:37" hidden="1" outlineLevel="3">
      <c r="A1417" s="382"/>
      <c r="B1417" s="404" t="s">
        <v>572</v>
      </c>
      <c r="C1417" s="404" t="s">
        <v>572</v>
      </c>
      <c r="D1417" s="405" t="s">
        <v>18</v>
      </c>
      <c r="E1417" s="405" t="s">
        <v>144</v>
      </c>
      <c r="F1417" s="448" t="s">
        <v>334</v>
      </c>
      <c r="G1417" s="457">
        <v>2.8950000000000005</v>
      </c>
      <c r="H1417" s="456">
        <v>0</v>
      </c>
      <c r="I1417" s="456"/>
      <c r="J1417" s="456"/>
      <c r="K1417" s="456"/>
      <c r="L1417" s="457">
        <f t="shared" si="448"/>
        <v>0</v>
      </c>
      <c r="M1417" s="456">
        <v>0</v>
      </c>
      <c r="N1417" s="456"/>
      <c r="O1417" s="456"/>
      <c r="P1417" s="456"/>
      <c r="Q1417" s="382"/>
      <c r="R1417" s="385" t="str">
        <f t="shared" si="449"/>
        <v>T</v>
      </c>
      <c r="S1417" s="389"/>
      <c r="T1417" s="389"/>
      <c r="U1417" s="389"/>
      <c r="V1417" s="389"/>
      <c r="W1417" s="389"/>
      <c r="X1417" s="389"/>
      <c r="Y1417" s="389"/>
      <c r="Z1417" s="389"/>
      <c r="AA1417" s="389"/>
      <c r="AB1417" s="389"/>
      <c r="AC1417" s="389"/>
      <c r="AD1417" s="389"/>
      <c r="AE1417" s="389"/>
      <c r="AF1417" s="389"/>
    </row>
    <row r="1418" spans="1:37" hidden="1" outlineLevel="3">
      <c r="A1418" s="382"/>
      <c r="B1418" s="404" t="s">
        <v>572</v>
      </c>
      <c r="C1418" s="404" t="s">
        <v>572</v>
      </c>
      <c r="D1418" s="405" t="s">
        <v>18</v>
      </c>
      <c r="E1418" s="405" t="s">
        <v>144</v>
      </c>
      <c r="F1418" s="448" t="s">
        <v>32</v>
      </c>
      <c r="G1418" s="457">
        <v>2.8950000000000005</v>
      </c>
      <c r="H1418" s="456">
        <v>0</v>
      </c>
      <c r="I1418" s="456"/>
      <c r="J1418" s="456"/>
      <c r="K1418" s="456"/>
      <c r="L1418" s="457">
        <f t="shared" ref="L1418:L1449" si="454">SUM(M1418:P1418)</f>
        <v>0</v>
      </c>
      <c r="M1418" s="456">
        <v>0</v>
      </c>
      <c r="N1418" s="456"/>
      <c r="O1418" s="456"/>
      <c r="P1418" s="456"/>
      <c r="Q1418" s="382"/>
      <c r="R1418" s="385" t="str">
        <f t="shared" si="449"/>
        <v>T</v>
      </c>
      <c r="S1418" s="389"/>
      <c r="T1418" s="389"/>
      <c r="U1418" s="389"/>
      <c r="V1418" s="389"/>
      <c r="W1418" s="389"/>
      <c r="X1418" s="389"/>
      <c r="Y1418" s="389"/>
      <c r="Z1418" s="389"/>
      <c r="AA1418" s="389"/>
      <c r="AB1418" s="389"/>
      <c r="AC1418" s="389"/>
      <c r="AD1418" s="389"/>
      <c r="AE1418" s="389"/>
      <c r="AF1418" s="389"/>
    </row>
    <row r="1419" spans="1:37" hidden="1" outlineLevel="3">
      <c r="A1419" s="382"/>
      <c r="B1419" s="404" t="s">
        <v>572</v>
      </c>
      <c r="C1419" s="404" t="s">
        <v>572</v>
      </c>
      <c r="D1419" s="405" t="s">
        <v>18</v>
      </c>
      <c r="E1419" s="405" t="s">
        <v>144</v>
      </c>
      <c r="F1419" s="448" t="s">
        <v>33</v>
      </c>
      <c r="G1419" s="457">
        <v>1.4475000000000002</v>
      </c>
      <c r="H1419" s="456"/>
      <c r="I1419" s="456">
        <v>0</v>
      </c>
      <c r="J1419" s="456"/>
      <c r="K1419" s="456"/>
      <c r="L1419" s="457">
        <f t="shared" si="454"/>
        <v>0</v>
      </c>
      <c r="M1419" s="456"/>
      <c r="N1419" s="456">
        <v>0</v>
      </c>
      <c r="O1419" s="456"/>
      <c r="P1419" s="456"/>
      <c r="Q1419" s="382"/>
      <c r="R1419" s="385" t="str">
        <f t="shared" si="449"/>
        <v>T</v>
      </c>
      <c r="S1419" s="389"/>
      <c r="T1419" s="389"/>
      <c r="U1419" s="389"/>
      <c r="V1419" s="389"/>
      <c r="W1419" s="389"/>
      <c r="X1419" s="389"/>
      <c r="Y1419" s="389"/>
      <c r="Z1419" s="389"/>
      <c r="AA1419" s="389"/>
      <c r="AB1419" s="389"/>
      <c r="AC1419" s="389"/>
      <c r="AD1419" s="389"/>
      <c r="AE1419" s="389"/>
      <c r="AF1419" s="389"/>
    </row>
    <row r="1420" spans="1:37" hidden="1" outlineLevel="3">
      <c r="A1420" s="382"/>
      <c r="B1420" s="404" t="s">
        <v>572</v>
      </c>
      <c r="C1420" s="404" t="s">
        <v>572</v>
      </c>
      <c r="D1420" s="405" t="s">
        <v>18</v>
      </c>
      <c r="E1420" s="405" t="s">
        <v>144</v>
      </c>
      <c r="F1420" s="448" t="s">
        <v>197</v>
      </c>
      <c r="G1420" s="457">
        <v>1.4475000000000002</v>
      </c>
      <c r="H1420" s="456"/>
      <c r="I1420" s="456">
        <v>0</v>
      </c>
      <c r="J1420" s="456"/>
      <c r="K1420" s="456"/>
      <c r="L1420" s="457">
        <f t="shared" si="454"/>
        <v>0</v>
      </c>
      <c r="M1420" s="456"/>
      <c r="N1420" s="456">
        <v>0</v>
      </c>
      <c r="O1420" s="456"/>
      <c r="P1420" s="456"/>
      <c r="Q1420" s="382"/>
      <c r="R1420" s="385" t="str">
        <f t="shared" si="449"/>
        <v>T</v>
      </c>
      <c r="S1420" s="389"/>
      <c r="T1420" s="389"/>
      <c r="U1420" s="389"/>
      <c r="V1420" s="389"/>
      <c r="W1420" s="389"/>
      <c r="X1420" s="389"/>
      <c r="Y1420" s="389"/>
      <c r="Z1420" s="389"/>
      <c r="AA1420" s="389"/>
      <c r="AB1420" s="389"/>
      <c r="AC1420" s="389"/>
      <c r="AD1420" s="389"/>
      <c r="AE1420" s="389"/>
      <c r="AF1420" s="389"/>
    </row>
    <row r="1421" spans="1:37" hidden="1" outlineLevel="3">
      <c r="A1421" s="382"/>
      <c r="B1421" s="404" t="s">
        <v>572</v>
      </c>
      <c r="C1421" s="404" t="s">
        <v>572</v>
      </c>
      <c r="D1421" s="405" t="s">
        <v>18</v>
      </c>
      <c r="E1421" s="405" t="s">
        <v>144</v>
      </c>
      <c r="F1421" s="448" t="s">
        <v>478</v>
      </c>
      <c r="G1421" s="457">
        <v>2.8950000000000005</v>
      </c>
      <c r="H1421" s="456"/>
      <c r="I1421" s="456"/>
      <c r="J1421" s="456">
        <v>0</v>
      </c>
      <c r="K1421" s="456"/>
      <c r="L1421" s="457">
        <f t="shared" si="454"/>
        <v>0</v>
      </c>
      <c r="M1421" s="456"/>
      <c r="N1421" s="456"/>
      <c r="O1421" s="456">
        <v>0</v>
      </c>
      <c r="P1421" s="456"/>
      <c r="Q1421" s="382"/>
      <c r="R1421" s="385" t="str">
        <f t="shared" si="449"/>
        <v>T</v>
      </c>
      <c r="S1421" s="389"/>
      <c r="T1421" s="389"/>
      <c r="U1421" s="389"/>
      <c r="V1421" s="389"/>
      <c r="W1421" s="389"/>
      <c r="X1421" s="389"/>
      <c r="Y1421" s="389"/>
      <c r="Z1421" s="389"/>
      <c r="AA1421" s="389"/>
      <c r="AB1421" s="389"/>
      <c r="AC1421" s="389"/>
      <c r="AD1421" s="389"/>
      <c r="AE1421" s="389"/>
      <c r="AF1421" s="389"/>
    </row>
    <row r="1422" spans="1:37" hidden="1" outlineLevel="3">
      <c r="A1422" s="382"/>
      <c r="B1422" s="404" t="s">
        <v>572</v>
      </c>
      <c r="C1422" s="404" t="s">
        <v>572</v>
      </c>
      <c r="D1422" s="405" t="s">
        <v>18</v>
      </c>
      <c r="E1422" s="405" t="s">
        <v>144</v>
      </c>
      <c r="F1422" s="448" t="s">
        <v>479</v>
      </c>
      <c r="G1422" s="457">
        <v>1.4475000000000002</v>
      </c>
      <c r="H1422" s="456"/>
      <c r="I1422" s="456"/>
      <c r="J1422" s="456">
        <v>0</v>
      </c>
      <c r="K1422" s="456"/>
      <c r="L1422" s="457">
        <f t="shared" si="454"/>
        <v>0</v>
      </c>
      <c r="M1422" s="456"/>
      <c r="N1422" s="456"/>
      <c r="O1422" s="456">
        <v>0</v>
      </c>
      <c r="P1422" s="456"/>
      <c r="Q1422" s="382"/>
      <c r="R1422" s="385" t="str">
        <f t="shared" si="449"/>
        <v>T</v>
      </c>
      <c r="S1422" s="389"/>
      <c r="T1422" s="389"/>
      <c r="U1422" s="389"/>
      <c r="V1422" s="389"/>
      <c r="W1422" s="389"/>
      <c r="X1422" s="389"/>
      <c r="Y1422" s="389"/>
      <c r="Z1422" s="389"/>
      <c r="AA1422" s="389"/>
      <c r="AB1422" s="389"/>
      <c r="AC1422" s="389"/>
      <c r="AD1422" s="389"/>
      <c r="AE1422" s="389"/>
      <c r="AF1422" s="389"/>
    </row>
    <row r="1423" spans="1:37" s="413" customFormat="1" hidden="1" outlineLevel="2" collapsed="1">
      <c r="A1423" s="382"/>
      <c r="B1423" s="404" t="s">
        <v>572</v>
      </c>
      <c r="C1423" s="404" t="s">
        <v>572</v>
      </c>
      <c r="D1423" s="405" t="s">
        <v>26</v>
      </c>
      <c r="E1423" s="405"/>
      <c r="F1423" s="448" t="s">
        <v>575</v>
      </c>
      <c r="G1423" s="457">
        <f>SUM(G1424:G1426)</f>
        <v>2.4549600000000003</v>
      </c>
      <c r="H1423" s="456">
        <f>SUM(H1424:H1426)</f>
        <v>0</v>
      </c>
      <c r="I1423" s="456">
        <f>SUM(I1424:I1426)</f>
        <v>0</v>
      </c>
      <c r="J1423" s="456">
        <f>SUM(J1424:J1426)</f>
        <v>0</v>
      </c>
      <c r="K1423" s="456">
        <f>SUM(K1424:K1426)</f>
        <v>0</v>
      </c>
      <c r="L1423" s="457">
        <f t="shared" si="454"/>
        <v>0</v>
      </c>
      <c r="M1423" s="456">
        <f>SUM(M1424:M1426)</f>
        <v>0</v>
      </c>
      <c r="N1423" s="456">
        <f>SUM(N1424:N1426)</f>
        <v>0</v>
      </c>
      <c r="O1423" s="456">
        <f>SUM(O1424:O1426)</f>
        <v>0</v>
      </c>
      <c r="P1423" s="456">
        <f>SUM(P1424:P1426)</f>
        <v>0</v>
      </c>
      <c r="Q1423" s="382"/>
      <c r="R1423" s="385" t="str">
        <f t="shared" si="449"/>
        <v>T</v>
      </c>
      <c r="S1423" s="389"/>
      <c r="T1423" s="389"/>
      <c r="U1423" s="389"/>
      <c r="V1423" s="389"/>
      <c r="W1423" s="389"/>
      <c r="X1423" s="389"/>
      <c r="Y1423" s="389"/>
      <c r="Z1423" s="389"/>
      <c r="AA1423" s="389"/>
      <c r="AB1423" s="389"/>
      <c r="AC1423" s="389"/>
      <c r="AD1423" s="389"/>
      <c r="AE1423" s="389"/>
      <c r="AF1423" s="389"/>
      <c r="AG1423" s="383"/>
      <c r="AH1423" s="383"/>
      <c r="AI1423" s="383"/>
      <c r="AJ1423" s="383"/>
      <c r="AK1423" s="383"/>
    </row>
    <row r="1424" spans="1:37" hidden="1" outlineLevel="3">
      <c r="A1424" s="382"/>
      <c r="B1424" s="404" t="s">
        <v>572</v>
      </c>
      <c r="C1424" s="404" t="s">
        <v>572</v>
      </c>
      <c r="D1424" s="405" t="s">
        <v>26</v>
      </c>
      <c r="E1424" s="405" t="s">
        <v>27</v>
      </c>
      <c r="F1424" s="448" t="s">
        <v>32</v>
      </c>
      <c r="G1424" s="457">
        <v>0.92061000000000004</v>
      </c>
      <c r="H1424" s="456">
        <v>0</v>
      </c>
      <c r="I1424" s="456"/>
      <c r="J1424" s="456"/>
      <c r="K1424" s="456"/>
      <c r="L1424" s="457">
        <f t="shared" si="454"/>
        <v>0</v>
      </c>
      <c r="M1424" s="456">
        <v>0</v>
      </c>
      <c r="N1424" s="456"/>
      <c r="O1424" s="456"/>
      <c r="P1424" s="456"/>
      <c r="Q1424" s="382"/>
      <c r="R1424" s="385" t="str">
        <f t="shared" si="449"/>
        <v>T</v>
      </c>
      <c r="S1424" s="389"/>
      <c r="T1424" s="389"/>
      <c r="U1424" s="389"/>
      <c r="V1424" s="389"/>
      <c r="W1424" s="389"/>
      <c r="X1424" s="389"/>
      <c r="Y1424" s="389"/>
      <c r="Z1424" s="389"/>
      <c r="AA1424" s="389"/>
      <c r="AB1424" s="389"/>
      <c r="AC1424" s="389"/>
      <c r="AD1424" s="389"/>
      <c r="AE1424" s="389"/>
      <c r="AF1424" s="389"/>
    </row>
    <row r="1425" spans="1:37" hidden="1" outlineLevel="3">
      <c r="A1425" s="382"/>
      <c r="B1425" s="404" t="s">
        <v>572</v>
      </c>
      <c r="C1425" s="404" t="s">
        <v>572</v>
      </c>
      <c r="D1425" s="405" t="s">
        <v>26</v>
      </c>
      <c r="E1425" s="405" t="s">
        <v>27</v>
      </c>
      <c r="F1425" s="448" t="s">
        <v>34</v>
      </c>
      <c r="G1425" s="457">
        <v>1.2274800000000001</v>
      </c>
      <c r="H1425" s="456"/>
      <c r="I1425" s="456"/>
      <c r="J1425" s="456">
        <v>0</v>
      </c>
      <c r="K1425" s="456"/>
      <c r="L1425" s="457">
        <f t="shared" si="454"/>
        <v>0</v>
      </c>
      <c r="M1425" s="456"/>
      <c r="N1425" s="456"/>
      <c r="O1425" s="456">
        <v>0</v>
      </c>
      <c r="P1425" s="456"/>
      <c r="Q1425" s="382"/>
      <c r="R1425" s="385" t="str">
        <f t="shared" si="449"/>
        <v>T</v>
      </c>
      <c r="S1425" s="389"/>
      <c r="T1425" s="389"/>
      <c r="U1425" s="389"/>
      <c r="V1425" s="389"/>
      <c r="W1425" s="389"/>
      <c r="X1425" s="389"/>
      <c r="Y1425" s="389"/>
      <c r="Z1425" s="389"/>
      <c r="AA1425" s="389"/>
      <c r="AB1425" s="389"/>
      <c r="AC1425" s="389"/>
      <c r="AD1425" s="389"/>
      <c r="AE1425" s="389"/>
      <c r="AF1425" s="389"/>
    </row>
    <row r="1426" spans="1:37" hidden="1" outlineLevel="3">
      <c r="A1426" s="382"/>
      <c r="B1426" s="404" t="s">
        <v>572</v>
      </c>
      <c r="C1426" s="404" t="s">
        <v>572</v>
      </c>
      <c r="D1426" s="405" t="s">
        <v>26</v>
      </c>
      <c r="E1426" s="405" t="s">
        <v>27</v>
      </c>
      <c r="F1426" s="448" t="s">
        <v>197</v>
      </c>
      <c r="G1426" s="457">
        <v>0.30687000000000003</v>
      </c>
      <c r="H1426" s="456"/>
      <c r="I1426" s="456">
        <v>0</v>
      </c>
      <c r="J1426" s="456"/>
      <c r="K1426" s="456"/>
      <c r="L1426" s="457">
        <f t="shared" si="454"/>
        <v>0</v>
      </c>
      <c r="M1426" s="456"/>
      <c r="N1426" s="456">
        <v>0</v>
      </c>
      <c r="O1426" s="456"/>
      <c r="P1426" s="456"/>
      <c r="Q1426" s="382"/>
      <c r="R1426" s="385" t="str">
        <f t="shared" si="449"/>
        <v>T</v>
      </c>
      <c r="S1426" s="389"/>
      <c r="T1426" s="389"/>
      <c r="U1426" s="389"/>
      <c r="V1426" s="389"/>
      <c r="W1426" s="389"/>
      <c r="X1426" s="389"/>
      <c r="Y1426" s="389"/>
      <c r="Z1426" s="389"/>
      <c r="AA1426" s="389"/>
      <c r="AB1426" s="389"/>
      <c r="AC1426" s="389"/>
      <c r="AD1426" s="389"/>
      <c r="AE1426" s="389"/>
      <c r="AF1426" s="389"/>
    </row>
    <row r="1427" spans="1:37" s="413" customFormat="1" hidden="1" outlineLevel="2" collapsed="1">
      <c r="A1427" s="382"/>
      <c r="B1427" s="404" t="s">
        <v>572</v>
      </c>
      <c r="C1427" s="404" t="s">
        <v>572</v>
      </c>
      <c r="D1427" s="405" t="s">
        <v>28</v>
      </c>
      <c r="E1427" s="405"/>
      <c r="F1427" s="448" t="s">
        <v>576</v>
      </c>
      <c r="G1427" s="457">
        <f>SUM(G1428:G1431)</f>
        <v>1.0248300000000001</v>
      </c>
      <c r="H1427" s="456">
        <f>SUM(H1428:H1431)</f>
        <v>0</v>
      </c>
      <c r="I1427" s="456">
        <f>SUM(I1428:I1431)</f>
        <v>0</v>
      </c>
      <c r="J1427" s="456">
        <f>SUM(J1428:J1431)</f>
        <v>0</v>
      </c>
      <c r="K1427" s="456">
        <f>SUM(K1428:K1431)</f>
        <v>0</v>
      </c>
      <c r="L1427" s="457">
        <f t="shared" si="454"/>
        <v>0</v>
      </c>
      <c r="M1427" s="456">
        <f>SUM(M1428:M1431)</f>
        <v>0</v>
      </c>
      <c r="N1427" s="456">
        <f>SUM(N1428:N1431)</f>
        <v>0</v>
      </c>
      <c r="O1427" s="456">
        <f>SUM(O1428:O1431)</f>
        <v>0</v>
      </c>
      <c r="P1427" s="456">
        <f>SUM(P1428:P1431)</f>
        <v>0</v>
      </c>
      <c r="Q1427" s="382"/>
      <c r="R1427" s="385" t="str">
        <f t="shared" si="449"/>
        <v>T</v>
      </c>
      <c r="S1427" s="389"/>
      <c r="T1427" s="389"/>
      <c r="U1427" s="389"/>
      <c r="V1427" s="389"/>
      <c r="W1427" s="389"/>
      <c r="X1427" s="389"/>
      <c r="Y1427" s="389"/>
      <c r="Z1427" s="389"/>
      <c r="AA1427" s="389"/>
      <c r="AB1427" s="389"/>
      <c r="AC1427" s="389"/>
      <c r="AD1427" s="389"/>
      <c r="AE1427" s="389"/>
      <c r="AF1427" s="389"/>
      <c r="AG1427" s="383"/>
      <c r="AH1427" s="383"/>
      <c r="AI1427" s="383"/>
      <c r="AJ1427" s="383"/>
      <c r="AK1427" s="383"/>
    </row>
    <row r="1428" spans="1:37" hidden="1" outlineLevel="3">
      <c r="A1428" s="382"/>
      <c r="B1428" s="404" t="s">
        <v>572</v>
      </c>
      <c r="C1428" s="404" t="s">
        <v>572</v>
      </c>
      <c r="D1428" s="405" t="s">
        <v>28</v>
      </c>
      <c r="E1428" s="405" t="s">
        <v>29</v>
      </c>
      <c r="F1428" s="448" t="s">
        <v>32</v>
      </c>
      <c r="G1428" s="457">
        <v>0.34161000000000002</v>
      </c>
      <c r="H1428" s="456">
        <v>0</v>
      </c>
      <c r="I1428" s="456"/>
      <c r="J1428" s="456"/>
      <c r="K1428" s="456"/>
      <c r="L1428" s="457">
        <f t="shared" si="454"/>
        <v>0</v>
      </c>
      <c r="M1428" s="456">
        <v>0</v>
      </c>
      <c r="N1428" s="456"/>
      <c r="O1428" s="456"/>
      <c r="P1428" s="456"/>
      <c r="Q1428" s="382"/>
      <c r="R1428" s="385" t="str">
        <f t="shared" si="449"/>
        <v>T</v>
      </c>
      <c r="S1428" s="389"/>
      <c r="T1428" s="389"/>
      <c r="U1428" s="389"/>
      <c r="V1428" s="389"/>
      <c r="W1428" s="389"/>
      <c r="X1428" s="389"/>
      <c r="Y1428" s="389"/>
      <c r="Z1428" s="389"/>
      <c r="AA1428" s="389"/>
      <c r="AB1428" s="389"/>
      <c r="AC1428" s="389"/>
      <c r="AD1428" s="389"/>
      <c r="AE1428" s="389"/>
      <c r="AF1428" s="389"/>
    </row>
    <row r="1429" spans="1:37" hidden="1" outlineLevel="3">
      <c r="A1429" s="382"/>
      <c r="B1429" s="404" t="s">
        <v>572</v>
      </c>
      <c r="C1429" s="404" t="s">
        <v>572</v>
      </c>
      <c r="D1429" s="405" t="s">
        <v>28</v>
      </c>
      <c r="E1429" s="405" t="s">
        <v>29</v>
      </c>
      <c r="F1429" s="448" t="s">
        <v>33</v>
      </c>
      <c r="G1429" s="457">
        <v>0.17080500000000001</v>
      </c>
      <c r="H1429" s="456"/>
      <c r="I1429" s="456">
        <v>0</v>
      </c>
      <c r="J1429" s="456"/>
      <c r="K1429" s="456"/>
      <c r="L1429" s="457">
        <f t="shared" si="454"/>
        <v>0</v>
      </c>
      <c r="M1429" s="456"/>
      <c r="N1429" s="456">
        <v>0</v>
      </c>
      <c r="O1429" s="456"/>
      <c r="P1429" s="456"/>
      <c r="Q1429" s="382"/>
      <c r="R1429" s="385" t="str">
        <f t="shared" si="449"/>
        <v>T</v>
      </c>
      <c r="S1429" s="389"/>
      <c r="T1429" s="389"/>
      <c r="U1429" s="389"/>
      <c r="V1429" s="389"/>
      <c r="W1429" s="389"/>
      <c r="X1429" s="389"/>
      <c r="Y1429" s="389"/>
      <c r="Z1429" s="389"/>
      <c r="AA1429" s="389"/>
      <c r="AB1429" s="389"/>
      <c r="AC1429" s="389"/>
      <c r="AD1429" s="389"/>
      <c r="AE1429" s="389"/>
      <c r="AF1429" s="389"/>
    </row>
    <row r="1430" spans="1:37" hidden="1" outlineLevel="3">
      <c r="A1430" s="382"/>
      <c r="B1430" s="404" t="s">
        <v>572</v>
      </c>
      <c r="C1430" s="404" t="s">
        <v>572</v>
      </c>
      <c r="D1430" s="405" t="s">
        <v>28</v>
      </c>
      <c r="E1430" s="405" t="s">
        <v>29</v>
      </c>
      <c r="F1430" s="448" t="s">
        <v>34</v>
      </c>
      <c r="G1430" s="457">
        <v>0.34161000000000002</v>
      </c>
      <c r="H1430" s="456"/>
      <c r="I1430" s="456"/>
      <c r="J1430" s="456">
        <v>0</v>
      </c>
      <c r="K1430" s="456"/>
      <c r="L1430" s="457">
        <f t="shared" si="454"/>
        <v>0</v>
      </c>
      <c r="M1430" s="456"/>
      <c r="N1430" s="456"/>
      <c r="O1430" s="456">
        <v>0</v>
      </c>
      <c r="P1430" s="456"/>
      <c r="Q1430" s="382"/>
      <c r="R1430" s="385" t="str">
        <f t="shared" ref="R1430:R1458" si="455">IF(SUM(M1430:P1430)=L1430,"T","F")</f>
        <v>T</v>
      </c>
      <c r="S1430" s="389"/>
      <c r="T1430" s="389"/>
      <c r="U1430" s="389"/>
      <c r="V1430" s="389"/>
      <c r="W1430" s="389"/>
      <c r="X1430" s="389"/>
      <c r="Y1430" s="389"/>
      <c r="Z1430" s="389"/>
      <c r="AA1430" s="389"/>
      <c r="AB1430" s="389"/>
      <c r="AC1430" s="389"/>
      <c r="AD1430" s="389"/>
      <c r="AE1430" s="389"/>
      <c r="AF1430" s="389"/>
    </row>
    <row r="1431" spans="1:37" hidden="1" outlineLevel="3">
      <c r="A1431" s="382"/>
      <c r="B1431" s="404" t="s">
        <v>572</v>
      </c>
      <c r="C1431" s="404" t="s">
        <v>572</v>
      </c>
      <c r="D1431" s="405" t="s">
        <v>28</v>
      </c>
      <c r="E1431" s="405" t="s">
        <v>29</v>
      </c>
      <c r="F1431" s="448" t="s">
        <v>197</v>
      </c>
      <c r="G1431" s="457">
        <v>0.17080500000000001</v>
      </c>
      <c r="H1431" s="456"/>
      <c r="I1431" s="456">
        <v>0</v>
      </c>
      <c r="J1431" s="456"/>
      <c r="K1431" s="456"/>
      <c r="L1431" s="457">
        <f t="shared" si="454"/>
        <v>0</v>
      </c>
      <c r="M1431" s="456"/>
      <c r="N1431" s="456">
        <v>0</v>
      </c>
      <c r="O1431" s="456"/>
      <c r="P1431" s="456"/>
      <c r="Q1431" s="382"/>
      <c r="R1431" s="385" t="str">
        <f t="shared" si="455"/>
        <v>T</v>
      </c>
      <c r="S1431" s="389"/>
      <c r="T1431" s="389"/>
      <c r="U1431" s="389"/>
      <c r="V1431" s="389"/>
      <c r="W1431" s="389"/>
      <c r="X1431" s="389"/>
      <c r="Y1431" s="389"/>
      <c r="Z1431" s="389"/>
      <c r="AA1431" s="389"/>
      <c r="AB1431" s="389"/>
      <c r="AC1431" s="389"/>
      <c r="AD1431" s="389"/>
      <c r="AE1431" s="389"/>
      <c r="AF1431" s="389"/>
    </row>
    <row r="1432" spans="1:37" s="413" customFormat="1" hidden="1" outlineLevel="2" collapsed="1">
      <c r="A1432" s="382"/>
      <c r="B1432" s="404" t="s">
        <v>572</v>
      </c>
      <c r="C1432" s="404" t="s">
        <v>572</v>
      </c>
      <c r="D1432" s="405" t="s">
        <v>64</v>
      </c>
      <c r="E1432" s="405"/>
      <c r="F1432" s="448" t="s">
        <v>576</v>
      </c>
      <c r="G1432" s="457">
        <f>+SUM(G1433:G1436)</f>
        <v>0.76428000000000007</v>
      </c>
      <c r="H1432" s="456">
        <f>SUM(H1433:H1436)</f>
        <v>0</v>
      </c>
      <c r="I1432" s="456">
        <f>SUM(I1433:I1436)</f>
        <v>0</v>
      </c>
      <c r="J1432" s="456">
        <f>SUM(J1433:J1436)</f>
        <v>0</v>
      </c>
      <c r="K1432" s="456">
        <f>SUM(K1433:K1436)</f>
        <v>0</v>
      </c>
      <c r="L1432" s="457">
        <f t="shared" si="454"/>
        <v>0</v>
      </c>
      <c r="M1432" s="456">
        <f>SUM(M1433:M1436)</f>
        <v>0</v>
      </c>
      <c r="N1432" s="456">
        <f>SUM(N1433:N1436)</f>
        <v>0</v>
      </c>
      <c r="O1432" s="456">
        <f>SUM(O1433:O1436)</f>
        <v>0</v>
      </c>
      <c r="P1432" s="456">
        <f>SUM(P1433:P1436)</f>
        <v>0</v>
      </c>
      <c r="Q1432" s="382"/>
      <c r="R1432" s="385" t="str">
        <f t="shared" si="455"/>
        <v>T</v>
      </c>
      <c r="S1432" s="389"/>
      <c r="T1432" s="389"/>
      <c r="U1432" s="389"/>
      <c r="V1432" s="389"/>
      <c r="W1432" s="389"/>
      <c r="X1432" s="389"/>
      <c r="Y1432" s="389"/>
      <c r="Z1432" s="389"/>
      <c r="AA1432" s="389"/>
      <c r="AB1432" s="389"/>
      <c r="AC1432" s="389"/>
      <c r="AD1432" s="389"/>
      <c r="AE1432" s="389"/>
      <c r="AF1432" s="389"/>
      <c r="AG1432" s="383"/>
      <c r="AH1432" s="383"/>
      <c r="AI1432" s="383"/>
      <c r="AJ1432" s="383"/>
      <c r="AK1432" s="383"/>
    </row>
    <row r="1433" spans="1:37" hidden="1" outlineLevel="3">
      <c r="A1433" s="382"/>
      <c r="B1433" s="404" t="s">
        <v>572</v>
      </c>
      <c r="C1433" s="404" t="s">
        <v>572</v>
      </c>
      <c r="D1433" s="405" t="s">
        <v>64</v>
      </c>
      <c r="E1433" s="405" t="s">
        <v>29</v>
      </c>
      <c r="F1433" s="448" t="s">
        <v>32</v>
      </c>
      <c r="G1433" s="457">
        <v>0.286605</v>
      </c>
      <c r="H1433" s="456">
        <v>0</v>
      </c>
      <c r="I1433" s="456"/>
      <c r="J1433" s="456"/>
      <c r="K1433" s="456"/>
      <c r="L1433" s="457">
        <f t="shared" si="454"/>
        <v>0</v>
      </c>
      <c r="M1433" s="456">
        <v>0</v>
      </c>
      <c r="N1433" s="456"/>
      <c r="O1433" s="456"/>
      <c r="P1433" s="456"/>
      <c r="Q1433" s="382"/>
      <c r="R1433" s="385" t="str">
        <f t="shared" si="455"/>
        <v>T</v>
      </c>
      <c r="S1433" s="389"/>
      <c r="T1433" s="389"/>
      <c r="U1433" s="389"/>
      <c r="V1433" s="389"/>
      <c r="W1433" s="389"/>
      <c r="X1433" s="389"/>
      <c r="Y1433" s="389"/>
      <c r="Z1433" s="389"/>
      <c r="AA1433" s="389"/>
      <c r="AB1433" s="389"/>
      <c r="AC1433" s="389"/>
      <c r="AD1433" s="389"/>
      <c r="AE1433" s="389"/>
      <c r="AF1433" s="389"/>
    </row>
    <row r="1434" spans="1:37" hidden="1" outlineLevel="3">
      <c r="A1434" s="382"/>
      <c r="B1434" s="404" t="s">
        <v>572</v>
      </c>
      <c r="C1434" s="404" t="s">
        <v>572</v>
      </c>
      <c r="D1434" s="405" t="s">
        <v>64</v>
      </c>
      <c r="E1434" s="405" t="s">
        <v>29</v>
      </c>
      <c r="F1434" s="448" t="s">
        <v>33</v>
      </c>
      <c r="G1434" s="457">
        <v>9.5535000000000009E-2</v>
      </c>
      <c r="H1434" s="456"/>
      <c r="I1434" s="456">
        <v>0</v>
      </c>
      <c r="J1434" s="456"/>
      <c r="K1434" s="456"/>
      <c r="L1434" s="457">
        <f t="shared" si="454"/>
        <v>0</v>
      </c>
      <c r="M1434" s="456"/>
      <c r="N1434" s="456">
        <v>0</v>
      </c>
      <c r="O1434" s="456"/>
      <c r="P1434" s="456"/>
      <c r="Q1434" s="382"/>
      <c r="R1434" s="385" t="str">
        <f t="shared" si="455"/>
        <v>T</v>
      </c>
      <c r="S1434" s="389"/>
      <c r="T1434" s="389"/>
      <c r="U1434" s="389"/>
      <c r="V1434" s="389"/>
      <c r="W1434" s="389"/>
      <c r="X1434" s="389"/>
      <c r="Y1434" s="389"/>
      <c r="Z1434" s="389"/>
      <c r="AA1434" s="389"/>
      <c r="AB1434" s="389"/>
      <c r="AC1434" s="389"/>
      <c r="AD1434" s="389"/>
      <c r="AE1434" s="389"/>
      <c r="AF1434" s="389"/>
    </row>
    <row r="1435" spans="1:37" hidden="1" outlineLevel="3">
      <c r="A1435" s="382"/>
      <c r="B1435" s="404" t="s">
        <v>572</v>
      </c>
      <c r="C1435" s="404" t="s">
        <v>572</v>
      </c>
      <c r="D1435" s="405" t="s">
        <v>64</v>
      </c>
      <c r="E1435" s="405" t="s">
        <v>29</v>
      </c>
      <c r="F1435" s="448" t="s">
        <v>34</v>
      </c>
      <c r="G1435" s="457">
        <v>0.286605</v>
      </c>
      <c r="H1435" s="456"/>
      <c r="I1435" s="456"/>
      <c r="J1435" s="456">
        <v>0</v>
      </c>
      <c r="K1435" s="456"/>
      <c r="L1435" s="457">
        <f t="shared" si="454"/>
        <v>0</v>
      </c>
      <c r="M1435" s="456"/>
      <c r="N1435" s="456"/>
      <c r="O1435" s="456">
        <v>0</v>
      </c>
      <c r="P1435" s="456"/>
      <c r="Q1435" s="382"/>
      <c r="R1435" s="385" t="str">
        <f t="shared" si="455"/>
        <v>T</v>
      </c>
      <c r="S1435" s="389"/>
      <c r="T1435" s="389"/>
      <c r="U1435" s="389"/>
      <c r="V1435" s="389"/>
      <c r="W1435" s="389"/>
      <c r="X1435" s="389"/>
      <c r="Y1435" s="389"/>
      <c r="Z1435" s="389"/>
      <c r="AA1435" s="389"/>
      <c r="AB1435" s="389"/>
      <c r="AC1435" s="389"/>
      <c r="AD1435" s="389"/>
      <c r="AE1435" s="389"/>
      <c r="AF1435" s="389"/>
    </row>
    <row r="1436" spans="1:37" hidden="1" outlineLevel="3">
      <c r="A1436" s="382"/>
      <c r="B1436" s="404" t="s">
        <v>572</v>
      </c>
      <c r="C1436" s="404" t="s">
        <v>572</v>
      </c>
      <c r="D1436" s="405" t="s">
        <v>64</v>
      </c>
      <c r="E1436" s="405" t="s">
        <v>29</v>
      </c>
      <c r="F1436" s="448" t="s">
        <v>197</v>
      </c>
      <c r="G1436" s="457">
        <v>9.5535000000000009E-2</v>
      </c>
      <c r="H1436" s="456"/>
      <c r="I1436" s="456">
        <v>0</v>
      </c>
      <c r="J1436" s="456"/>
      <c r="K1436" s="456"/>
      <c r="L1436" s="457">
        <f t="shared" si="454"/>
        <v>0</v>
      </c>
      <c r="M1436" s="456"/>
      <c r="N1436" s="456">
        <v>0</v>
      </c>
      <c r="O1436" s="456"/>
      <c r="P1436" s="456"/>
      <c r="Q1436" s="382"/>
      <c r="R1436" s="385" t="str">
        <f t="shared" si="455"/>
        <v>T</v>
      </c>
      <c r="S1436" s="389"/>
      <c r="T1436" s="389"/>
      <c r="U1436" s="389"/>
      <c r="V1436" s="389"/>
      <c r="W1436" s="389"/>
      <c r="X1436" s="389"/>
      <c r="Y1436" s="389"/>
      <c r="Z1436" s="389"/>
      <c r="AA1436" s="389"/>
      <c r="AB1436" s="389"/>
      <c r="AC1436" s="389"/>
      <c r="AD1436" s="389"/>
      <c r="AE1436" s="389"/>
      <c r="AF1436" s="389"/>
    </row>
    <row r="1437" spans="1:37" ht="26.45" outlineLevel="1" collapsed="1">
      <c r="A1437" s="382"/>
      <c r="B1437" s="403" t="s">
        <v>577</v>
      </c>
      <c r="C1437" s="425" t="s">
        <v>578</v>
      </c>
      <c r="D1437" s="403"/>
      <c r="E1437" s="403"/>
      <c r="F1437" s="443" t="s">
        <v>579</v>
      </c>
      <c r="G1437" s="426">
        <f>SUM(G1438+G1445+G1449+G1454)*0</f>
        <v>0</v>
      </c>
      <c r="H1437" s="427">
        <f>SUM(H1438,H1445,H1449,H1454)</f>
        <v>0</v>
      </c>
      <c r="I1437" s="427">
        <f>SUM(I1438,I1445,I1449,I1454)</f>
        <v>0</v>
      </c>
      <c r="J1437" s="427">
        <f>SUM(J1438,J1445,J1449,J1454)</f>
        <v>0</v>
      </c>
      <c r="K1437" s="427">
        <f>SUM(K1438,K1445,K1449,K1454)</f>
        <v>0</v>
      </c>
      <c r="L1437" s="426">
        <f t="shared" si="454"/>
        <v>0</v>
      </c>
      <c r="M1437" s="427">
        <f>SUM(M1438,M1445,M1449,M1454)</f>
        <v>0</v>
      </c>
      <c r="N1437" s="427">
        <f>SUM(N1438,N1445,N1449,N1454)</f>
        <v>0</v>
      </c>
      <c r="O1437" s="427">
        <f>SUM(O1438,O1445,O1449,O1454)</f>
        <v>0</v>
      </c>
      <c r="P1437" s="427">
        <f>SUM(P1438,P1445,P1449,P1454)</f>
        <v>0</v>
      </c>
      <c r="Q1437" s="382"/>
      <c r="R1437" s="385" t="str">
        <f t="shared" si="455"/>
        <v>T</v>
      </c>
      <c r="S1437" s="389"/>
      <c r="T1437" s="389"/>
      <c r="U1437" s="389"/>
      <c r="V1437" s="389"/>
      <c r="W1437" s="389"/>
      <c r="X1437" s="389"/>
      <c r="Y1437" s="389"/>
      <c r="Z1437" s="389"/>
      <c r="AA1437" s="389"/>
      <c r="AB1437" s="389"/>
      <c r="AC1437" s="389"/>
      <c r="AD1437" s="389"/>
      <c r="AE1437" s="389"/>
      <c r="AF1437" s="389"/>
    </row>
    <row r="1438" spans="1:37" hidden="1" outlineLevel="2" collapsed="1">
      <c r="A1438" s="382"/>
      <c r="B1438" s="405" t="s">
        <v>578</v>
      </c>
      <c r="C1438" s="405" t="s">
        <v>578</v>
      </c>
      <c r="D1438" s="405" t="s">
        <v>18</v>
      </c>
      <c r="E1438" s="404"/>
      <c r="F1438" s="448" t="s">
        <v>506</v>
      </c>
      <c r="G1438" s="462">
        <f>SUM(G1439:G1444)</f>
        <v>6.8312250000000017</v>
      </c>
      <c r="H1438" s="456">
        <f>SUM(H1439:H1444)</f>
        <v>0</v>
      </c>
      <c r="I1438" s="456">
        <f>SUM(I1439:I1444)</f>
        <v>0</v>
      </c>
      <c r="J1438" s="456">
        <f>SUM(J1439:J1444)</f>
        <v>0</v>
      </c>
      <c r="K1438" s="456">
        <f>SUM(K1439:K1444)</f>
        <v>0</v>
      </c>
      <c r="L1438" s="462">
        <f t="shared" si="454"/>
        <v>0</v>
      </c>
      <c r="M1438" s="456">
        <f>SUM(M1439:M1444)</f>
        <v>0</v>
      </c>
      <c r="N1438" s="456">
        <f>SUM(N1439:N1444)</f>
        <v>0</v>
      </c>
      <c r="O1438" s="456">
        <f>SUM(O1439:O1444)</f>
        <v>0</v>
      </c>
      <c r="P1438" s="456">
        <f>SUM(P1439:P1444)</f>
        <v>0</v>
      </c>
      <c r="Q1438" s="382"/>
      <c r="R1438" s="385" t="str">
        <f t="shared" si="455"/>
        <v>T</v>
      </c>
      <c r="S1438" s="389"/>
      <c r="T1438" s="389"/>
      <c r="U1438" s="389"/>
      <c r="V1438" s="389"/>
      <c r="W1438" s="389"/>
      <c r="X1438" s="389"/>
      <c r="Y1438" s="389"/>
      <c r="Z1438" s="389"/>
      <c r="AA1438" s="389"/>
      <c r="AB1438" s="389"/>
      <c r="AC1438" s="389"/>
      <c r="AD1438" s="389"/>
      <c r="AE1438" s="389"/>
      <c r="AF1438" s="389"/>
    </row>
    <row r="1439" spans="1:37" hidden="1" outlineLevel="3">
      <c r="A1439" s="382"/>
      <c r="B1439" s="405" t="s">
        <v>578</v>
      </c>
      <c r="C1439" s="405" t="s">
        <v>578</v>
      </c>
      <c r="D1439" s="405" t="s">
        <v>18</v>
      </c>
      <c r="E1439" s="404" t="s">
        <v>144</v>
      </c>
      <c r="F1439" s="448" t="s">
        <v>334</v>
      </c>
      <c r="G1439" s="462">
        <v>1.5180500000000003</v>
      </c>
      <c r="H1439" s="463">
        <v>0</v>
      </c>
      <c r="I1439" s="463"/>
      <c r="J1439" s="463"/>
      <c r="K1439" s="463"/>
      <c r="L1439" s="462">
        <f t="shared" si="454"/>
        <v>0</v>
      </c>
      <c r="M1439" s="463">
        <v>0</v>
      </c>
      <c r="N1439" s="463"/>
      <c r="O1439" s="463"/>
      <c r="P1439" s="463"/>
      <c r="Q1439" s="382"/>
      <c r="R1439" s="385" t="str">
        <f t="shared" si="455"/>
        <v>T</v>
      </c>
      <c r="S1439" s="389"/>
      <c r="T1439" s="389"/>
      <c r="U1439" s="389"/>
      <c r="V1439" s="389"/>
      <c r="W1439" s="389"/>
      <c r="X1439" s="389"/>
      <c r="Y1439" s="389"/>
      <c r="Z1439" s="389"/>
      <c r="AA1439" s="389"/>
      <c r="AB1439" s="389"/>
      <c r="AC1439" s="389"/>
      <c r="AD1439" s="389"/>
      <c r="AE1439" s="389"/>
      <c r="AF1439" s="389"/>
    </row>
    <row r="1440" spans="1:37" hidden="1" outlineLevel="3">
      <c r="A1440" s="382"/>
      <c r="B1440" s="405" t="s">
        <v>578</v>
      </c>
      <c r="C1440" s="405" t="s">
        <v>578</v>
      </c>
      <c r="D1440" s="405" t="s">
        <v>18</v>
      </c>
      <c r="E1440" s="404" t="s">
        <v>144</v>
      </c>
      <c r="F1440" s="448" t="s">
        <v>32</v>
      </c>
      <c r="G1440" s="462">
        <v>1.5180500000000003</v>
      </c>
      <c r="H1440" s="464"/>
      <c r="I1440" s="463">
        <v>0</v>
      </c>
      <c r="J1440" s="463"/>
      <c r="K1440" s="463"/>
      <c r="L1440" s="462">
        <f t="shared" si="454"/>
        <v>0</v>
      </c>
      <c r="M1440" s="464"/>
      <c r="N1440" s="463">
        <v>0</v>
      </c>
      <c r="O1440" s="463"/>
      <c r="P1440" s="463"/>
      <c r="Q1440" s="382"/>
      <c r="R1440" s="385" t="str">
        <f t="shared" si="455"/>
        <v>T</v>
      </c>
      <c r="S1440" s="389"/>
      <c r="T1440" s="389"/>
      <c r="U1440" s="389"/>
      <c r="V1440" s="389"/>
      <c r="W1440" s="389"/>
      <c r="X1440" s="389"/>
      <c r="Y1440" s="389"/>
      <c r="Z1440" s="389"/>
      <c r="AA1440" s="389"/>
      <c r="AB1440" s="389"/>
      <c r="AC1440" s="389"/>
      <c r="AD1440" s="389"/>
      <c r="AE1440" s="389"/>
      <c r="AF1440" s="389"/>
    </row>
    <row r="1441" spans="1:32" hidden="1" outlineLevel="3">
      <c r="A1441" s="382"/>
      <c r="B1441" s="405" t="s">
        <v>578</v>
      </c>
      <c r="C1441" s="405" t="s">
        <v>578</v>
      </c>
      <c r="D1441" s="405" t="s">
        <v>18</v>
      </c>
      <c r="E1441" s="404" t="s">
        <v>144</v>
      </c>
      <c r="F1441" s="448" t="s">
        <v>454</v>
      </c>
      <c r="G1441" s="462">
        <v>0.75902500000000017</v>
      </c>
      <c r="H1441" s="464"/>
      <c r="I1441" s="463">
        <v>0</v>
      </c>
      <c r="J1441" s="463"/>
      <c r="K1441" s="463"/>
      <c r="L1441" s="462">
        <f t="shared" si="454"/>
        <v>0</v>
      </c>
      <c r="M1441" s="464"/>
      <c r="N1441" s="463">
        <v>0</v>
      </c>
      <c r="O1441" s="463"/>
      <c r="P1441" s="463"/>
      <c r="Q1441" s="382"/>
      <c r="R1441" s="385" t="str">
        <f t="shared" si="455"/>
        <v>T</v>
      </c>
      <c r="S1441" s="389"/>
      <c r="T1441" s="389"/>
      <c r="U1441" s="389"/>
      <c r="V1441" s="389"/>
      <c r="W1441" s="389"/>
      <c r="X1441" s="389"/>
      <c r="Y1441" s="389"/>
      <c r="Z1441" s="389"/>
      <c r="AA1441" s="389"/>
      <c r="AB1441" s="389"/>
      <c r="AC1441" s="389"/>
      <c r="AD1441" s="389"/>
      <c r="AE1441" s="389"/>
      <c r="AF1441" s="389"/>
    </row>
    <row r="1442" spans="1:32" hidden="1" outlineLevel="3">
      <c r="A1442" s="382"/>
      <c r="B1442" s="405" t="s">
        <v>578</v>
      </c>
      <c r="C1442" s="405" t="s">
        <v>578</v>
      </c>
      <c r="D1442" s="405" t="s">
        <v>18</v>
      </c>
      <c r="E1442" s="404" t="s">
        <v>144</v>
      </c>
      <c r="F1442" s="448" t="s">
        <v>455</v>
      </c>
      <c r="G1442" s="462">
        <v>1.5180500000000003</v>
      </c>
      <c r="H1442" s="464"/>
      <c r="I1442" s="463"/>
      <c r="J1442" s="463">
        <v>0</v>
      </c>
      <c r="K1442" s="463"/>
      <c r="L1442" s="462">
        <f t="shared" si="454"/>
        <v>0</v>
      </c>
      <c r="M1442" s="464"/>
      <c r="N1442" s="463"/>
      <c r="O1442" s="463">
        <v>0</v>
      </c>
      <c r="P1442" s="463"/>
      <c r="Q1442" s="382"/>
      <c r="R1442" s="385" t="str">
        <f t="shared" si="455"/>
        <v>T</v>
      </c>
      <c r="S1442" s="389"/>
      <c r="T1442" s="389"/>
      <c r="U1442" s="389"/>
      <c r="V1442" s="389"/>
      <c r="W1442" s="389"/>
      <c r="X1442" s="389"/>
      <c r="Y1442" s="389"/>
      <c r="Z1442" s="389"/>
      <c r="AA1442" s="389"/>
      <c r="AB1442" s="389"/>
      <c r="AC1442" s="389"/>
      <c r="AD1442" s="389"/>
      <c r="AE1442" s="389"/>
      <c r="AF1442" s="389"/>
    </row>
    <row r="1443" spans="1:32" hidden="1" outlineLevel="3">
      <c r="A1443" s="382"/>
      <c r="B1443" s="405" t="s">
        <v>578</v>
      </c>
      <c r="C1443" s="405" t="s">
        <v>578</v>
      </c>
      <c r="D1443" s="405" t="s">
        <v>18</v>
      </c>
      <c r="E1443" s="404" t="s">
        <v>144</v>
      </c>
      <c r="F1443" s="448" t="s">
        <v>335</v>
      </c>
      <c r="G1443" s="462">
        <v>0.75902500000000017</v>
      </c>
      <c r="H1443" s="464"/>
      <c r="I1443" s="463"/>
      <c r="J1443" s="463">
        <v>0</v>
      </c>
      <c r="K1443" s="463"/>
      <c r="L1443" s="462">
        <f t="shared" si="454"/>
        <v>0</v>
      </c>
      <c r="M1443" s="464"/>
      <c r="N1443" s="463"/>
      <c r="O1443" s="463">
        <v>0</v>
      </c>
      <c r="P1443" s="463"/>
      <c r="Q1443" s="382"/>
      <c r="R1443" s="385" t="str">
        <f t="shared" si="455"/>
        <v>T</v>
      </c>
      <c r="S1443" s="389"/>
      <c r="T1443" s="389"/>
      <c r="U1443" s="389"/>
      <c r="V1443" s="389"/>
      <c r="W1443" s="389"/>
      <c r="X1443" s="389"/>
      <c r="Y1443" s="389"/>
      <c r="Z1443" s="389"/>
      <c r="AA1443" s="389"/>
      <c r="AB1443" s="389"/>
      <c r="AC1443" s="389"/>
      <c r="AD1443" s="389"/>
      <c r="AE1443" s="389"/>
      <c r="AF1443" s="389"/>
    </row>
    <row r="1444" spans="1:32" hidden="1" outlineLevel="3">
      <c r="A1444" s="382"/>
      <c r="B1444" s="405" t="s">
        <v>578</v>
      </c>
      <c r="C1444" s="405" t="s">
        <v>578</v>
      </c>
      <c r="D1444" s="405" t="s">
        <v>18</v>
      </c>
      <c r="E1444" s="404" t="s">
        <v>144</v>
      </c>
      <c r="F1444" s="448" t="s">
        <v>197</v>
      </c>
      <c r="G1444" s="462">
        <v>0.75902500000000017</v>
      </c>
      <c r="H1444" s="464"/>
      <c r="I1444" s="463"/>
      <c r="J1444" s="463">
        <v>0</v>
      </c>
      <c r="K1444" s="463"/>
      <c r="L1444" s="462">
        <f t="shared" si="454"/>
        <v>0</v>
      </c>
      <c r="M1444" s="464"/>
      <c r="N1444" s="463"/>
      <c r="O1444" s="463">
        <v>0</v>
      </c>
      <c r="P1444" s="463"/>
      <c r="Q1444" s="382"/>
      <c r="R1444" s="385" t="str">
        <f t="shared" si="455"/>
        <v>T</v>
      </c>
      <c r="S1444" s="389"/>
      <c r="T1444" s="389"/>
      <c r="U1444" s="389"/>
      <c r="V1444" s="389"/>
      <c r="W1444" s="389"/>
      <c r="X1444" s="389"/>
      <c r="Y1444" s="389"/>
      <c r="Z1444" s="389"/>
      <c r="AA1444" s="389"/>
      <c r="AB1444" s="389"/>
      <c r="AC1444" s="389"/>
      <c r="AD1444" s="389"/>
      <c r="AE1444" s="389"/>
      <c r="AF1444" s="389"/>
    </row>
    <row r="1445" spans="1:32" hidden="1" outlineLevel="2" collapsed="1">
      <c r="A1445" s="382"/>
      <c r="B1445" s="405" t="s">
        <v>578</v>
      </c>
      <c r="C1445" s="405" t="s">
        <v>578</v>
      </c>
      <c r="D1445" s="405" t="s">
        <v>26</v>
      </c>
      <c r="E1445" s="405"/>
      <c r="F1445" s="448" t="s">
        <v>470</v>
      </c>
      <c r="G1445" s="462">
        <f>SUM(G1446:G1448)</f>
        <v>1.2858160808031451</v>
      </c>
      <c r="H1445" s="456">
        <f>SUM(H1446:H1448)</f>
        <v>0</v>
      </c>
      <c r="I1445" s="456">
        <f>SUM(I1446:I1448)</f>
        <v>0</v>
      </c>
      <c r="J1445" s="456">
        <f>SUM(J1446:J1448)</f>
        <v>0</v>
      </c>
      <c r="K1445" s="456">
        <f>SUM(K1446:K1448)</f>
        <v>0</v>
      </c>
      <c r="L1445" s="462">
        <f t="shared" si="454"/>
        <v>0</v>
      </c>
      <c r="M1445" s="456">
        <f>SUM(M1446:M1448)</f>
        <v>0</v>
      </c>
      <c r="N1445" s="456">
        <f>SUM(N1446:N1448)</f>
        <v>0</v>
      </c>
      <c r="O1445" s="456">
        <f>SUM(O1446:O1448)</f>
        <v>0</v>
      </c>
      <c r="P1445" s="456">
        <f>SUM(P1446:P1448)</f>
        <v>0</v>
      </c>
      <c r="Q1445" s="382"/>
      <c r="R1445" s="385" t="str">
        <f t="shared" si="455"/>
        <v>T</v>
      </c>
      <c r="S1445" s="389"/>
      <c r="T1445" s="389"/>
      <c r="U1445" s="389"/>
      <c r="V1445" s="389"/>
      <c r="W1445" s="389"/>
      <c r="X1445" s="389"/>
      <c r="Y1445" s="389"/>
      <c r="Z1445" s="389"/>
      <c r="AA1445" s="389"/>
      <c r="AB1445" s="389"/>
      <c r="AC1445" s="389"/>
      <c r="AD1445" s="389"/>
      <c r="AE1445" s="389"/>
      <c r="AF1445" s="389"/>
    </row>
    <row r="1446" spans="1:32" hidden="1" outlineLevel="3">
      <c r="A1446" s="382"/>
      <c r="B1446" s="405" t="s">
        <v>578</v>
      </c>
      <c r="C1446" s="405" t="s">
        <v>578</v>
      </c>
      <c r="D1446" s="405" t="s">
        <v>26</v>
      </c>
      <c r="E1446" s="405" t="s">
        <v>27</v>
      </c>
      <c r="F1446" s="448" t="s">
        <v>32</v>
      </c>
      <c r="G1446" s="462">
        <v>0.48218103030117931</v>
      </c>
      <c r="H1446" s="463"/>
      <c r="I1446" s="463">
        <v>0</v>
      </c>
      <c r="J1446" s="463"/>
      <c r="K1446" s="463"/>
      <c r="L1446" s="462">
        <f t="shared" si="454"/>
        <v>0</v>
      </c>
      <c r="M1446" s="463"/>
      <c r="N1446" s="463">
        <v>0</v>
      </c>
      <c r="O1446" s="463"/>
      <c r="P1446" s="463"/>
      <c r="Q1446" s="382"/>
      <c r="R1446" s="385" t="str">
        <f t="shared" si="455"/>
        <v>T</v>
      </c>
      <c r="S1446" s="389"/>
      <c r="T1446" s="389"/>
      <c r="U1446" s="389"/>
      <c r="V1446" s="389"/>
      <c r="W1446" s="389"/>
      <c r="X1446" s="389"/>
      <c r="Y1446" s="389"/>
      <c r="Z1446" s="389"/>
      <c r="AA1446" s="389"/>
      <c r="AB1446" s="389"/>
      <c r="AC1446" s="389"/>
      <c r="AD1446" s="389"/>
      <c r="AE1446" s="389"/>
      <c r="AF1446" s="389"/>
    </row>
    <row r="1447" spans="1:32" hidden="1" outlineLevel="3">
      <c r="A1447" s="382"/>
      <c r="B1447" s="405" t="s">
        <v>578</v>
      </c>
      <c r="C1447" s="405" t="s">
        <v>578</v>
      </c>
      <c r="D1447" s="405" t="s">
        <v>26</v>
      </c>
      <c r="E1447" s="405" t="s">
        <v>27</v>
      </c>
      <c r="F1447" s="448" t="s">
        <v>34</v>
      </c>
      <c r="G1447" s="462">
        <v>0.64290804040157257</v>
      </c>
      <c r="H1447" s="463"/>
      <c r="I1447" s="463"/>
      <c r="J1447" s="463">
        <v>0</v>
      </c>
      <c r="K1447" s="463"/>
      <c r="L1447" s="462">
        <f t="shared" si="454"/>
        <v>0</v>
      </c>
      <c r="M1447" s="463"/>
      <c r="N1447" s="463"/>
      <c r="O1447" s="463">
        <v>0</v>
      </c>
      <c r="P1447" s="463"/>
      <c r="Q1447" s="382"/>
      <c r="R1447" s="385" t="str">
        <f t="shared" si="455"/>
        <v>T</v>
      </c>
      <c r="S1447" s="389"/>
      <c r="T1447" s="389"/>
      <c r="U1447" s="389"/>
      <c r="V1447" s="389"/>
      <c r="W1447" s="389"/>
      <c r="X1447" s="389"/>
      <c r="Y1447" s="389"/>
      <c r="Z1447" s="389"/>
      <c r="AA1447" s="389"/>
      <c r="AB1447" s="389"/>
      <c r="AC1447" s="389"/>
      <c r="AD1447" s="389"/>
      <c r="AE1447" s="389"/>
      <c r="AF1447" s="389"/>
    </row>
    <row r="1448" spans="1:32" hidden="1" outlineLevel="3">
      <c r="A1448" s="382"/>
      <c r="B1448" s="405" t="s">
        <v>578</v>
      </c>
      <c r="C1448" s="405" t="s">
        <v>578</v>
      </c>
      <c r="D1448" s="405" t="s">
        <v>26</v>
      </c>
      <c r="E1448" s="405" t="s">
        <v>27</v>
      </c>
      <c r="F1448" s="448" t="s">
        <v>197</v>
      </c>
      <c r="G1448" s="462">
        <v>0.16072701010039314</v>
      </c>
      <c r="H1448" s="463"/>
      <c r="I1448" s="463"/>
      <c r="J1448" s="463">
        <v>0</v>
      </c>
      <c r="K1448" s="463"/>
      <c r="L1448" s="462">
        <f t="shared" si="454"/>
        <v>0</v>
      </c>
      <c r="M1448" s="463"/>
      <c r="N1448" s="463"/>
      <c r="O1448" s="463">
        <v>0</v>
      </c>
      <c r="P1448" s="463"/>
      <c r="Q1448" s="382"/>
      <c r="R1448" s="385" t="str">
        <f t="shared" si="455"/>
        <v>T</v>
      </c>
      <c r="S1448" s="389"/>
      <c r="T1448" s="389"/>
      <c r="U1448" s="389"/>
      <c r="V1448" s="389"/>
      <c r="W1448" s="389"/>
      <c r="X1448" s="389"/>
      <c r="Y1448" s="389"/>
      <c r="Z1448" s="389"/>
      <c r="AA1448" s="389"/>
      <c r="AB1448" s="389"/>
      <c r="AC1448" s="389"/>
      <c r="AD1448" s="389"/>
      <c r="AE1448" s="389"/>
      <c r="AF1448" s="389"/>
    </row>
    <row r="1449" spans="1:32" hidden="1" outlineLevel="2" collapsed="1">
      <c r="A1449" s="382"/>
      <c r="B1449" s="405" t="s">
        <v>578</v>
      </c>
      <c r="C1449" s="405" t="s">
        <v>578</v>
      </c>
      <c r="D1449" s="405" t="s">
        <v>28</v>
      </c>
      <c r="E1449" s="405"/>
      <c r="F1449" s="448" t="s">
        <v>507</v>
      </c>
      <c r="G1449" s="462">
        <f>SUM(G1450:G1453)</f>
        <v>0.53676756203338838</v>
      </c>
      <c r="H1449" s="456">
        <f>SUM(H1450:H1453)</f>
        <v>0</v>
      </c>
      <c r="I1449" s="456">
        <f>SUM(I1450:I1453)</f>
        <v>0</v>
      </c>
      <c r="J1449" s="456">
        <f>SUM(J1450:J1453)</f>
        <v>0</v>
      </c>
      <c r="K1449" s="456">
        <f>SUM(K1450:K1453)</f>
        <v>0</v>
      </c>
      <c r="L1449" s="462">
        <f t="shared" si="454"/>
        <v>0</v>
      </c>
      <c r="M1449" s="456">
        <f>SUM(M1450:M1453)</f>
        <v>0</v>
      </c>
      <c r="N1449" s="456">
        <f>SUM(N1450:N1453)</f>
        <v>0</v>
      </c>
      <c r="O1449" s="456">
        <f>SUM(O1450:O1453)</f>
        <v>0</v>
      </c>
      <c r="P1449" s="456">
        <f>SUM(P1450:P1453)</f>
        <v>0</v>
      </c>
      <c r="Q1449" s="382"/>
      <c r="R1449" s="385" t="str">
        <f t="shared" si="455"/>
        <v>T</v>
      </c>
      <c r="S1449" s="389"/>
      <c r="T1449" s="389"/>
      <c r="U1449" s="389"/>
      <c r="V1449" s="389"/>
      <c r="W1449" s="389"/>
      <c r="X1449" s="389"/>
      <c r="Y1449" s="389"/>
      <c r="Z1449" s="389"/>
      <c r="AA1449" s="389"/>
      <c r="AB1449" s="389"/>
      <c r="AC1449" s="389"/>
      <c r="AD1449" s="389"/>
      <c r="AE1449" s="389"/>
      <c r="AF1449" s="389"/>
    </row>
    <row r="1450" spans="1:32" hidden="1" outlineLevel="3">
      <c r="A1450" s="382"/>
      <c r="B1450" s="405" t="s">
        <v>578</v>
      </c>
      <c r="C1450" s="405" t="s">
        <v>578</v>
      </c>
      <c r="D1450" s="405" t="s">
        <v>28</v>
      </c>
      <c r="E1450" s="405" t="s">
        <v>29</v>
      </c>
      <c r="F1450" s="448" t="s">
        <v>32</v>
      </c>
      <c r="G1450" s="462">
        <v>0.17892252067779613</v>
      </c>
      <c r="H1450" s="463"/>
      <c r="I1450" s="463">
        <v>0</v>
      </c>
      <c r="J1450" s="463"/>
      <c r="K1450" s="463"/>
      <c r="L1450" s="462">
        <f t="shared" ref="L1450:L1458" si="456">SUM(M1450:P1450)</f>
        <v>0</v>
      </c>
      <c r="M1450" s="463"/>
      <c r="N1450" s="463">
        <v>0</v>
      </c>
      <c r="O1450" s="463"/>
      <c r="P1450" s="463"/>
      <c r="Q1450" s="382"/>
      <c r="R1450" s="385" t="str">
        <f t="shared" si="455"/>
        <v>T</v>
      </c>
      <c r="S1450" s="389"/>
      <c r="T1450" s="389"/>
      <c r="U1450" s="389"/>
      <c r="V1450" s="389"/>
      <c r="W1450" s="389"/>
      <c r="X1450" s="389"/>
      <c r="Y1450" s="389"/>
      <c r="Z1450" s="389"/>
      <c r="AA1450" s="389"/>
      <c r="AB1450" s="389"/>
      <c r="AC1450" s="389"/>
      <c r="AD1450" s="389"/>
      <c r="AE1450" s="389"/>
      <c r="AF1450" s="389"/>
    </row>
    <row r="1451" spans="1:32" hidden="1" outlineLevel="3">
      <c r="A1451" s="382"/>
      <c r="B1451" s="405" t="s">
        <v>578</v>
      </c>
      <c r="C1451" s="405" t="s">
        <v>578</v>
      </c>
      <c r="D1451" s="405" t="s">
        <v>28</v>
      </c>
      <c r="E1451" s="405" t="s">
        <v>29</v>
      </c>
      <c r="F1451" s="448" t="s">
        <v>33</v>
      </c>
      <c r="G1451" s="462">
        <v>8.9461260338898063E-2</v>
      </c>
      <c r="H1451" s="463"/>
      <c r="I1451" s="463">
        <v>0</v>
      </c>
      <c r="J1451" s="463"/>
      <c r="K1451" s="463"/>
      <c r="L1451" s="462">
        <f t="shared" si="456"/>
        <v>0</v>
      </c>
      <c r="M1451" s="463"/>
      <c r="N1451" s="463">
        <v>0</v>
      </c>
      <c r="O1451" s="463"/>
      <c r="P1451" s="463"/>
      <c r="Q1451" s="382"/>
      <c r="R1451" s="385" t="str">
        <f t="shared" si="455"/>
        <v>T</v>
      </c>
      <c r="S1451" s="389"/>
      <c r="T1451" s="389"/>
      <c r="U1451" s="389"/>
      <c r="V1451" s="389"/>
      <c r="W1451" s="389"/>
      <c r="X1451" s="389"/>
      <c r="Y1451" s="389"/>
      <c r="Z1451" s="389"/>
      <c r="AA1451" s="389"/>
      <c r="AB1451" s="389"/>
      <c r="AC1451" s="389"/>
      <c r="AD1451" s="389"/>
      <c r="AE1451" s="389"/>
      <c r="AF1451" s="389"/>
    </row>
    <row r="1452" spans="1:32" hidden="1" outlineLevel="3">
      <c r="A1452" s="382"/>
      <c r="B1452" s="405" t="s">
        <v>578</v>
      </c>
      <c r="C1452" s="405" t="s">
        <v>578</v>
      </c>
      <c r="D1452" s="405" t="s">
        <v>28</v>
      </c>
      <c r="E1452" s="405" t="s">
        <v>29</v>
      </c>
      <c r="F1452" s="448" t="s">
        <v>34</v>
      </c>
      <c r="G1452" s="462">
        <v>0.17892252067779613</v>
      </c>
      <c r="H1452" s="463"/>
      <c r="I1452" s="463"/>
      <c r="J1452" s="463">
        <v>0</v>
      </c>
      <c r="K1452" s="463"/>
      <c r="L1452" s="462">
        <f t="shared" si="456"/>
        <v>0</v>
      </c>
      <c r="M1452" s="463"/>
      <c r="N1452" s="463"/>
      <c r="O1452" s="463">
        <v>0</v>
      </c>
      <c r="P1452" s="463"/>
      <c r="Q1452" s="382"/>
      <c r="R1452" s="385" t="str">
        <f t="shared" si="455"/>
        <v>T</v>
      </c>
      <c r="S1452" s="389"/>
      <c r="T1452" s="389"/>
      <c r="U1452" s="389"/>
      <c r="V1452" s="389"/>
      <c r="W1452" s="389"/>
      <c r="X1452" s="389"/>
      <c r="Y1452" s="389"/>
      <c r="Z1452" s="389"/>
      <c r="AA1452" s="389"/>
      <c r="AB1452" s="389"/>
      <c r="AC1452" s="389"/>
      <c r="AD1452" s="389"/>
      <c r="AE1452" s="389"/>
      <c r="AF1452" s="389"/>
    </row>
    <row r="1453" spans="1:32" hidden="1" outlineLevel="3">
      <c r="A1453" s="382"/>
      <c r="B1453" s="405" t="s">
        <v>578</v>
      </c>
      <c r="C1453" s="405" t="s">
        <v>578</v>
      </c>
      <c r="D1453" s="405" t="s">
        <v>28</v>
      </c>
      <c r="E1453" s="405" t="s">
        <v>29</v>
      </c>
      <c r="F1453" s="448" t="s">
        <v>197</v>
      </c>
      <c r="G1453" s="462">
        <v>8.9461260338898063E-2</v>
      </c>
      <c r="H1453" s="463"/>
      <c r="I1453" s="463"/>
      <c r="J1453" s="463">
        <v>0</v>
      </c>
      <c r="K1453" s="463"/>
      <c r="L1453" s="462">
        <f t="shared" si="456"/>
        <v>0</v>
      </c>
      <c r="M1453" s="463"/>
      <c r="N1453" s="463"/>
      <c r="O1453" s="463">
        <v>0</v>
      </c>
      <c r="P1453" s="463"/>
      <c r="Q1453" s="382"/>
      <c r="R1453" s="385" t="str">
        <f t="shared" si="455"/>
        <v>T</v>
      </c>
      <c r="S1453" s="389"/>
      <c r="T1453" s="389"/>
      <c r="U1453" s="389"/>
      <c r="V1453" s="389"/>
      <c r="W1453" s="389"/>
      <c r="X1453" s="389"/>
      <c r="Y1453" s="389"/>
      <c r="Z1453" s="389"/>
      <c r="AA1453" s="389"/>
      <c r="AB1453" s="389"/>
      <c r="AC1453" s="389"/>
      <c r="AD1453" s="389"/>
      <c r="AE1453" s="389"/>
      <c r="AF1453" s="389"/>
    </row>
    <row r="1454" spans="1:32" hidden="1" outlineLevel="2" collapsed="1">
      <c r="A1454" s="382"/>
      <c r="B1454" s="405" t="s">
        <v>578</v>
      </c>
      <c r="C1454" s="405" t="s">
        <v>578</v>
      </c>
      <c r="D1454" s="405" t="s">
        <v>64</v>
      </c>
      <c r="E1454" s="405"/>
      <c r="F1454" s="448" t="s">
        <v>507</v>
      </c>
      <c r="G1454" s="462">
        <f>SUM(G1455:G1458)</f>
        <v>0.40030123270286594</v>
      </c>
      <c r="H1454" s="456">
        <f>SUM(H1455:H1458)</f>
        <v>0</v>
      </c>
      <c r="I1454" s="456">
        <f>SUM(I1455:I1458)</f>
        <v>0</v>
      </c>
      <c r="J1454" s="456">
        <f>SUM(J1455:J1458)</f>
        <v>0</v>
      </c>
      <c r="K1454" s="456">
        <f>SUM(K1455:K1458)</f>
        <v>0</v>
      </c>
      <c r="L1454" s="462">
        <f t="shared" si="456"/>
        <v>0</v>
      </c>
      <c r="M1454" s="456">
        <f>SUM(M1455:M1458)</f>
        <v>0</v>
      </c>
      <c r="N1454" s="456">
        <f>SUM(N1455:N1458)</f>
        <v>0</v>
      </c>
      <c r="O1454" s="456">
        <f>SUM(O1455:O1458)</f>
        <v>0</v>
      </c>
      <c r="P1454" s="456">
        <f>SUM(P1455:P1458)</f>
        <v>0</v>
      </c>
      <c r="Q1454" s="382"/>
      <c r="R1454" s="385" t="str">
        <f t="shared" si="455"/>
        <v>T</v>
      </c>
      <c r="S1454" s="389"/>
      <c r="T1454" s="389"/>
      <c r="U1454" s="389"/>
      <c r="V1454" s="389"/>
      <c r="W1454" s="389"/>
      <c r="X1454" s="389"/>
      <c r="Y1454" s="389"/>
      <c r="Z1454" s="389"/>
      <c r="AA1454" s="389"/>
      <c r="AB1454" s="389"/>
      <c r="AC1454" s="389"/>
      <c r="AD1454" s="389"/>
      <c r="AE1454" s="389"/>
      <c r="AF1454" s="389"/>
    </row>
    <row r="1455" spans="1:32" hidden="1" outlineLevel="3">
      <c r="A1455" s="382"/>
      <c r="B1455" s="405" t="s">
        <v>578</v>
      </c>
      <c r="C1455" s="405" t="s">
        <v>578</v>
      </c>
      <c r="D1455" s="405" t="s">
        <v>64</v>
      </c>
      <c r="E1455" s="405" t="s">
        <v>29</v>
      </c>
      <c r="F1455" s="448" t="s">
        <v>32</v>
      </c>
      <c r="G1455" s="462">
        <v>0.15011296226357471</v>
      </c>
      <c r="H1455" s="463"/>
      <c r="I1455" s="463">
        <v>0</v>
      </c>
      <c r="J1455" s="463"/>
      <c r="K1455" s="463"/>
      <c r="L1455" s="462">
        <f t="shared" si="456"/>
        <v>0</v>
      </c>
      <c r="M1455" s="463"/>
      <c r="N1455" s="463">
        <v>0</v>
      </c>
      <c r="O1455" s="463"/>
      <c r="P1455" s="463"/>
      <c r="Q1455" s="382"/>
      <c r="R1455" s="385" t="str">
        <f t="shared" si="455"/>
        <v>T</v>
      </c>
      <c r="S1455" s="389"/>
      <c r="T1455" s="389"/>
      <c r="U1455" s="389"/>
      <c r="V1455" s="389"/>
      <c r="W1455" s="389"/>
      <c r="X1455" s="389"/>
      <c r="Y1455" s="389"/>
      <c r="Z1455" s="389"/>
      <c r="AA1455" s="389"/>
      <c r="AB1455" s="389"/>
      <c r="AC1455" s="389"/>
      <c r="AD1455" s="389"/>
      <c r="AE1455" s="389"/>
      <c r="AF1455" s="389"/>
    </row>
    <row r="1456" spans="1:32" hidden="1" outlineLevel="3">
      <c r="A1456" s="382"/>
      <c r="B1456" s="405" t="s">
        <v>578</v>
      </c>
      <c r="C1456" s="405" t="s">
        <v>578</v>
      </c>
      <c r="D1456" s="405" t="s">
        <v>64</v>
      </c>
      <c r="E1456" s="405" t="s">
        <v>29</v>
      </c>
      <c r="F1456" s="448" t="s">
        <v>33</v>
      </c>
      <c r="G1456" s="462">
        <v>5.0037654087858242E-2</v>
      </c>
      <c r="H1456" s="463"/>
      <c r="I1456" s="463">
        <v>0</v>
      </c>
      <c r="J1456" s="464"/>
      <c r="K1456" s="463"/>
      <c r="L1456" s="462">
        <f t="shared" si="456"/>
        <v>0</v>
      </c>
      <c r="M1456" s="463"/>
      <c r="N1456" s="463">
        <v>0</v>
      </c>
      <c r="O1456" s="464"/>
      <c r="P1456" s="463"/>
      <c r="Q1456" s="382"/>
      <c r="R1456" s="385" t="str">
        <f t="shared" si="455"/>
        <v>T</v>
      </c>
      <c r="S1456" s="389"/>
      <c r="T1456" s="389"/>
      <c r="U1456" s="389"/>
      <c r="V1456" s="389"/>
      <c r="W1456" s="389"/>
      <c r="X1456" s="389"/>
      <c r="Y1456" s="389"/>
      <c r="Z1456" s="389"/>
      <c r="AA1456" s="389"/>
      <c r="AB1456" s="389"/>
      <c r="AC1456" s="389"/>
      <c r="AD1456" s="389"/>
      <c r="AE1456" s="389"/>
      <c r="AF1456" s="389"/>
    </row>
    <row r="1457" spans="1:32" hidden="1" outlineLevel="3">
      <c r="A1457" s="382"/>
      <c r="B1457" s="405" t="s">
        <v>578</v>
      </c>
      <c r="C1457" s="405" t="s">
        <v>578</v>
      </c>
      <c r="D1457" s="405" t="s">
        <v>64</v>
      </c>
      <c r="E1457" s="405" t="s">
        <v>29</v>
      </c>
      <c r="F1457" s="448" t="s">
        <v>34</v>
      </c>
      <c r="G1457" s="462">
        <v>0.15011296226357471</v>
      </c>
      <c r="H1457" s="463"/>
      <c r="I1457" s="463"/>
      <c r="J1457" s="463">
        <v>0</v>
      </c>
      <c r="K1457" s="463"/>
      <c r="L1457" s="462">
        <f t="shared" si="456"/>
        <v>0</v>
      </c>
      <c r="M1457" s="463"/>
      <c r="N1457" s="463"/>
      <c r="O1457" s="463">
        <v>0</v>
      </c>
      <c r="P1457" s="463"/>
      <c r="Q1457" s="382"/>
      <c r="R1457" s="385" t="str">
        <f t="shared" si="455"/>
        <v>T</v>
      </c>
      <c r="S1457" s="389"/>
      <c r="T1457" s="389"/>
      <c r="U1457" s="389"/>
      <c r="V1457" s="389"/>
      <c r="W1457" s="389"/>
      <c r="X1457" s="389"/>
      <c r="Y1457" s="389"/>
      <c r="Z1457" s="389"/>
      <c r="AA1457" s="389"/>
      <c r="AB1457" s="389"/>
      <c r="AC1457" s="389"/>
      <c r="AD1457" s="389"/>
      <c r="AE1457" s="389"/>
      <c r="AF1457" s="389"/>
    </row>
    <row r="1458" spans="1:32" hidden="1" outlineLevel="3">
      <c r="A1458" s="382"/>
      <c r="B1458" s="405" t="s">
        <v>578</v>
      </c>
      <c r="C1458" s="405" t="s">
        <v>578</v>
      </c>
      <c r="D1458" s="405" t="s">
        <v>64</v>
      </c>
      <c r="E1458" s="405" t="s">
        <v>29</v>
      </c>
      <c r="F1458" s="448" t="s">
        <v>197</v>
      </c>
      <c r="G1458" s="462">
        <v>5.0037654087858242E-2</v>
      </c>
      <c r="H1458" s="463"/>
      <c r="I1458" s="463"/>
      <c r="J1458" s="463">
        <v>0</v>
      </c>
      <c r="K1458" s="463"/>
      <c r="L1458" s="462">
        <f t="shared" si="456"/>
        <v>0</v>
      </c>
      <c r="M1458" s="463"/>
      <c r="N1458" s="463"/>
      <c r="O1458" s="463">
        <v>0</v>
      </c>
      <c r="P1458" s="463"/>
      <c r="Q1458" s="382"/>
      <c r="R1458" s="385" t="str">
        <f t="shared" si="455"/>
        <v>T</v>
      </c>
      <c r="S1458" s="389"/>
      <c r="T1458" s="389"/>
      <c r="U1458" s="389"/>
      <c r="V1458" s="389"/>
      <c r="W1458" s="389"/>
      <c r="X1458" s="389"/>
      <c r="Y1458" s="389"/>
      <c r="Z1458" s="389"/>
      <c r="AA1458" s="389"/>
      <c r="AB1458" s="389"/>
      <c r="AC1458" s="389"/>
      <c r="AD1458" s="389"/>
      <c r="AE1458" s="389"/>
      <c r="AF1458" s="389"/>
    </row>
    <row r="1459" spans="1:32" ht="26.45" outlineLevel="1" collapsed="1">
      <c r="A1459" s="382"/>
      <c r="B1459" s="403" t="s">
        <v>580</v>
      </c>
      <c r="C1459" s="403" t="s">
        <v>580</v>
      </c>
      <c r="D1459" s="403"/>
      <c r="E1459" s="403"/>
      <c r="F1459" s="443" t="s">
        <v>350</v>
      </c>
      <c r="G1459" s="426">
        <f>SUM(G1460,G1467,G1471,G1476)*0</f>
        <v>0</v>
      </c>
      <c r="H1459" s="427">
        <f>SUM(H1460,H1467,H1471,H1476)</f>
        <v>0</v>
      </c>
      <c r="I1459" s="427">
        <f>SUM(I1460,I1467,I1471,I1476)</f>
        <v>0</v>
      </c>
      <c r="J1459" s="427">
        <f>SUM(J1460,J1467,J1471,J1476)</f>
        <v>0</v>
      </c>
      <c r="K1459" s="427">
        <f>SUM(K1460,K1467,K1471,K1476)</f>
        <v>0</v>
      </c>
      <c r="L1459" s="426">
        <f t="shared" si="364"/>
        <v>0</v>
      </c>
      <c r="M1459" s="427">
        <f>SUM(M1460,M1467,M1471,M1476)</f>
        <v>0</v>
      </c>
      <c r="N1459" s="427">
        <f>SUM(N1460,N1467,N1471,N1476)</f>
        <v>0</v>
      </c>
      <c r="O1459" s="427">
        <f>SUM(O1460,O1467,O1471,O1476)</f>
        <v>0</v>
      </c>
      <c r="P1459" s="427">
        <f>SUM(P1460,P1467,P1471,P1476)</f>
        <v>0</v>
      </c>
      <c r="Q1459" s="405"/>
      <c r="R1459" s="385" t="str">
        <f t="shared" si="370"/>
        <v>T</v>
      </c>
      <c r="S1459" s="389"/>
      <c r="T1459" s="389"/>
      <c r="U1459" s="389"/>
      <c r="V1459" s="389"/>
      <c r="W1459" s="389"/>
      <c r="X1459" s="389"/>
      <c r="Y1459" s="389"/>
      <c r="Z1459" s="389"/>
      <c r="AA1459" s="389"/>
      <c r="AB1459" s="389"/>
      <c r="AC1459" s="389"/>
      <c r="AD1459" s="389"/>
      <c r="AE1459" s="389"/>
      <c r="AF1459" s="389"/>
    </row>
    <row r="1460" spans="1:32" hidden="1" outlineLevel="2" collapsed="1">
      <c r="A1460" s="382"/>
      <c r="B1460" s="405" t="s">
        <v>580</v>
      </c>
      <c r="C1460" s="404" t="s">
        <v>580</v>
      </c>
      <c r="D1460" s="405" t="s">
        <v>18</v>
      </c>
      <c r="E1460" s="404"/>
      <c r="F1460" s="448" t="s">
        <v>506</v>
      </c>
      <c r="G1460" s="462">
        <f>SUM(G1461:G1466)</f>
        <v>82.800000000000011</v>
      </c>
      <c r="H1460" s="456">
        <f>SUM(H1461:H1466)</f>
        <v>0</v>
      </c>
      <c r="I1460" s="456">
        <f>SUM(I1461:I1466)</f>
        <v>0</v>
      </c>
      <c r="J1460" s="456">
        <f>SUM(J1461:J1466)</f>
        <v>0</v>
      </c>
      <c r="K1460" s="456">
        <f>SUM(K1461:K1466)</f>
        <v>0</v>
      </c>
      <c r="L1460" s="462">
        <f t="shared" si="364"/>
        <v>0</v>
      </c>
      <c r="M1460" s="456">
        <f>SUM(M1461:M1466)</f>
        <v>0</v>
      </c>
      <c r="N1460" s="456">
        <f>SUM(N1461:N1466)</f>
        <v>0</v>
      </c>
      <c r="O1460" s="456">
        <f>SUM(O1461:O1466)</f>
        <v>0</v>
      </c>
      <c r="P1460" s="456">
        <f>SUM(P1461:P1466)</f>
        <v>0</v>
      </c>
      <c r="Q1460" s="382"/>
      <c r="R1460" s="385" t="str">
        <f t="shared" si="370"/>
        <v>T</v>
      </c>
      <c r="S1460" s="389"/>
      <c r="T1460" s="389"/>
      <c r="U1460" s="389"/>
      <c r="V1460" s="389"/>
      <c r="W1460" s="389"/>
      <c r="X1460" s="389"/>
      <c r="Y1460" s="389"/>
      <c r="Z1460" s="389"/>
      <c r="AA1460" s="389"/>
      <c r="AB1460" s="389"/>
      <c r="AC1460" s="389"/>
      <c r="AD1460" s="389"/>
      <c r="AE1460" s="389"/>
      <c r="AF1460" s="389"/>
    </row>
    <row r="1461" spans="1:32" hidden="1" outlineLevel="3">
      <c r="A1461" s="382"/>
      <c r="B1461" s="405" t="s">
        <v>580</v>
      </c>
      <c r="C1461" s="404" t="s">
        <v>580</v>
      </c>
      <c r="D1461" s="405" t="s">
        <v>18</v>
      </c>
      <c r="E1461" s="404"/>
      <c r="F1461" s="448" t="s">
        <v>334</v>
      </c>
      <c r="G1461" s="462">
        <v>18.399999999999999</v>
      </c>
      <c r="H1461" s="463">
        <v>0</v>
      </c>
      <c r="I1461" s="463"/>
      <c r="J1461" s="463"/>
      <c r="K1461" s="463"/>
      <c r="L1461" s="462">
        <f t="shared" si="364"/>
        <v>0</v>
      </c>
      <c r="M1461" s="463">
        <v>0</v>
      </c>
      <c r="N1461" s="463"/>
      <c r="O1461" s="463"/>
      <c r="P1461" s="463"/>
      <c r="Q1461" s="382"/>
      <c r="R1461" s="385" t="str">
        <f t="shared" si="370"/>
        <v>T</v>
      </c>
      <c r="S1461" s="389"/>
      <c r="T1461" s="389"/>
      <c r="U1461" s="389"/>
      <c r="V1461" s="389"/>
      <c r="W1461" s="389"/>
      <c r="X1461" s="389"/>
      <c r="Y1461" s="389"/>
      <c r="Z1461" s="389"/>
      <c r="AA1461" s="389"/>
      <c r="AB1461" s="389"/>
      <c r="AC1461" s="389"/>
      <c r="AD1461" s="389"/>
      <c r="AE1461" s="389"/>
      <c r="AF1461" s="389"/>
    </row>
    <row r="1462" spans="1:32" hidden="1" outlineLevel="3">
      <c r="A1462" s="382"/>
      <c r="B1462" s="405" t="s">
        <v>580</v>
      </c>
      <c r="C1462" s="404" t="s">
        <v>580</v>
      </c>
      <c r="D1462" s="405" t="s">
        <v>18</v>
      </c>
      <c r="E1462" s="404"/>
      <c r="F1462" s="448" t="s">
        <v>32</v>
      </c>
      <c r="G1462" s="462">
        <v>18.399999999999999</v>
      </c>
      <c r="H1462" s="464"/>
      <c r="I1462" s="463">
        <v>0</v>
      </c>
      <c r="J1462" s="463"/>
      <c r="K1462" s="463"/>
      <c r="L1462" s="462">
        <f t="shared" si="364"/>
        <v>0</v>
      </c>
      <c r="M1462" s="464"/>
      <c r="N1462" s="463">
        <v>0</v>
      </c>
      <c r="O1462" s="463"/>
      <c r="P1462" s="463"/>
      <c r="Q1462" s="382"/>
      <c r="R1462" s="385" t="str">
        <f t="shared" si="370"/>
        <v>T</v>
      </c>
      <c r="S1462" s="389"/>
      <c r="T1462" s="389"/>
      <c r="U1462" s="389"/>
      <c r="V1462" s="389"/>
      <c r="W1462" s="389"/>
      <c r="X1462" s="389"/>
      <c r="Y1462" s="389"/>
      <c r="Z1462" s="389"/>
      <c r="AA1462" s="389"/>
      <c r="AB1462" s="389"/>
      <c r="AC1462" s="389"/>
      <c r="AD1462" s="389"/>
      <c r="AE1462" s="389"/>
      <c r="AF1462" s="389"/>
    </row>
    <row r="1463" spans="1:32" hidden="1" outlineLevel="3">
      <c r="A1463" s="382"/>
      <c r="B1463" s="405" t="s">
        <v>580</v>
      </c>
      <c r="C1463" s="404" t="s">
        <v>580</v>
      </c>
      <c r="D1463" s="405" t="s">
        <v>18</v>
      </c>
      <c r="E1463" s="404"/>
      <c r="F1463" s="448" t="s">
        <v>454</v>
      </c>
      <c r="G1463" s="462">
        <v>9.1999999999999993</v>
      </c>
      <c r="H1463" s="464"/>
      <c r="I1463" s="463">
        <v>0</v>
      </c>
      <c r="J1463" s="463"/>
      <c r="K1463" s="463"/>
      <c r="L1463" s="462">
        <f t="shared" si="364"/>
        <v>0</v>
      </c>
      <c r="M1463" s="464"/>
      <c r="N1463" s="463">
        <v>0</v>
      </c>
      <c r="O1463" s="463"/>
      <c r="P1463" s="463"/>
      <c r="Q1463" s="382"/>
      <c r="R1463" s="385" t="str">
        <f t="shared" si="370"/>
        <v>T</v>
      </c>
      <c r="S1463" s="389"/>
      <c r="T1463" s="389"/>
      <c r="U1463" s="389"/>
      <c r="V1463" s="389"/>
      <c r="W1463" s="389"/>
      <c r="X1463" s="389"/>
      <c r="Y1463" s="389"/>
      <c r="Z1463" s="389"/>
      <c r="AA1463" s="389"/>
      <c r="AB1463" s="389"/>
      <c r="AC1463" s="389"/>
      <c r="AD1463" s="389"/>
      <c r="AE1463" s="389"/>
      <c r="AF1463" s="389"/>
    </row>
    <row r="1464" spans="1:32" hidden="1" outlineLevel="3">
      <c r="A1464" s="382"/>
      <c r="B1464" s="405" t="s">
        <v>580</v>
      </c>
      <c r="C1464" s="404" t="s">
        <v>580</v>
      </c>
      <c r="D1464" s="405" t="s">
        <v>18</v>
      </c>
      <c r="E1464" s="404"/>
      <c r="F1464" s="448" t="s">
        <v>455</v>
      </c>
      <c r="G1464" s="462">
        <v>18.399999999999999</v>
      </c>
      <c r="H1464" s="464"/>
      <c r="I1464" s="463"/>
      <c r="J1464" s="463">
        <v>0</v>
      </c>
      <c r="K1464" s="463"/>
      <c r="L1464" s="462">
        <f t="shared" si="364"/>
        <v>0</v>
      </c>
      <c r="M1464" s="464"/>
      <c r="N1464" s="463"/>
      <c r="O1464" s="463">
        <v>0</v>
      </c>
      <c r="P1464" s="463"/>
      <c r="Q1464" s="382"/>
      <c r="R1464" s="385" t="str">
        <f t="shared" si="370"/>
        <v>T</v>
      </c>
      <c r="S1464" s="389"/>
      <c r="T1464" s="389"/>
      <c r="U1464" s="389"/>
      <c r="V1464" s="389"/>
      <c r="W1464" s="389"/>
      <c r="X1464" s="389"/>
      <c r="Y1464" s="389"/>
      <c r="Z1464" s="389"/>
      <c r="AA1464" s="389"/>
      <c r="AB1464" s="389"/>
      <c r="AC1464" s="389"/>
      <c r="AD1464" s="389"/>
      <c r="AE1464" s="389"/>
      <c r="AF1464" s="389"/>
    </row>
    <row r="1465" spans="1:32" hidden="1" outlineLevel="3">
      <c r="A1465" s="382"/>
      <c r="B1465" s="405" t="s">
        <v>580</v>
      </c>
      <c r="C1465" s="404" t="s">
        <v>580</v>
      </c>
      <c r="D1465" s="405" t="s">
        <v>18</v>
      </c>
      <c r="E1465" s="404"/>
      <c r="F1465" s="448" t="s">
        <v>335</v>
      </c>
      <c r="G1465" s="462">
        <v>9.1999999999999993</v>
      </c>
      <c r="H1465" s="464"/>
      <c r="I1465" s="463"/>
      <c r="J1465" s="463">
        <v>0</v>
      </c>
      <c r="K1465" s="463"/>
      <c r="L1465" s="462">
        <f t="shared" si="364"/>
        <v>0</v>
      </c>
      <c r="M1465" s="464"/>
      <c r="N1465" s="463"/>
      <c r="O1465" s="463">
        <v>0</v>
      </c>
      <c r="P1465" s="463"/>
      <c r="Q1465" s="382"/>
      <c r="R1465" s="385" t="str">
        <f t="shared" si="370"/>
        <v>T</v>
      </c>
      <c r="S1465" s="389"/>
      <c r="T1465" s="389"/>
      <c r="U1465" s="389"/>
      <c r="V1465" s="389"/>
      <c r="W1465" s="389"/>
      <c r="X1465" s="389"/>
      <c r="Y1465" s="389"/>
      <c r="Z1465" s="389"/>
      <c r="AA1465" s="389"/>
      <c r="AB1465" s="389"/>
      <c r="AC1465" s="389"/>
      <c r="AD1465" s="389"/>
      <c r="AE1465" s="389"/>
      <c r="AF1465" s="389"/>
    </row>
    <row r="1466" spans="1:32" hidden="1" outlineLevel="3">
      <c r="A1466" s="382"/>
      <c r="B1466" s="405" t="s">
        <v>580</v>
      </c>
      <c r="C1466" s="404" t="s">
        <v>580</v>
      </c>
      <c r="D1466" s="405" t="s">
        <v>18</v>
      </c>
      <c r="E1466" s="404"/>
      <c r="F1466" s="448" t="s">
        <v>197</v>
      </c>
      <c r="G1466" s="462">
        <v>9.1999999999999993</v>
      </c>
      <c r="H1466" s="464"/>
      <c r="I1466" s="463"/>
      <c r="J1466" s="463">
        <v>0</v>
      </c>
      <c r="K1466" s="463"/>
      <c r="L1466" s="462">
        <f t="shared" si="364"/>
        <v>0</v>
      </c>
      <c r="M1466" s="464"/>
      <c r="N1466" s="463"/>
      <c r="O1466" s="463">
        <v>0</v>
      </c>
      <c r="P1466" s="463"/>
      <c r="Q1466" s="382"/>
      <c r="R1466" s="385" t="str">
        <f t="shared" si="370"/>
        <v>T</v>
      </c>
      <c r="S1466" s="389"/>
      <c r="T1466" s="389"/>
      <c r="U1466" s="389"/>
      <c r="V1466" s="389"/>
      <c r="W1466" s="389"/>
      <c r="X1466" s="389"/>
      <c r="Y1466" s="389"/>
      <c r="Z1466" s="389"/>
      <c r="AA1466" s="389"/>
      <c r="AB1466" s="389"/>
      <c r="AC1466" s="389"/>
      <c r="AD1466" s="389"/>
      <c r="AE1466" s="389"/>
      <c r="AF1466" s="389"/>
    </row>
    <row r="1467" spans="1:32" hidden="1" outlineLevel="2" collapsed="1">
      <c r="A1467" s="382"/>
      <c r="B1467" s="405" t="s">
        <v>580</v>
      </c>
      <c r="C1467" s="404" t="s">
        <v>580</v>
      </c>
      <c r="D1467" s="405" t="s">
        <v>26</v>
      </c>
      <c r="E1467" s="405"/>
      <c r="F1467" s="448" t="s">
        <v>470</v>
      </c>
      <c r="G1467" s="462">
        <f>SUM(G1468:G1470)</f>
        <v>15.599999999999998</v>
      </c>
      <c r="H1467" s="456">
        <f>SUM(H1468:H1470)</f>
        <v>0</v>
      </c>
      <c r="I1467" s="456">
        <f>SUM(I1468:I1470)</f>
        <v>0</v>
      </c>
      <c r="J1467" s="456">
        <f>SUM(J1468:J1470)</f>
        <v>0</v>
      </c>
      <c r="K1467" s="456">
        <f>SUM(K1468:K1470)</f>
        <v>0</v>
      </c>
      <c r="L1467" s="462">
        <f t="shared" si="364"/>
        <v>0</v>
      </c>
      <c r="M1467" s="456">
        <f>SUM(M1468:M1470)</f>
        <v>0</v>
      </c>
      <c r="N1467" s="456">
        <f>SUM(N1468:N1470)</f>
        <v>0</v>
      </c>
      <c r="O1467" s="456">
        <f>SUM(O1468:O1470)</f>
        <v>0</v>
      </c>
      <c r="P1467" s="456">
        <f>SUM(P1468:P1470)</f>
        <v>0</v>
      </c>
      <c r="Q1467" s="382"/>
      <c r="R1467" s="385" t="str">
        <f t="shared" si="370"/>
        <v>T</v>
      </c>
      <c r="S1467" s="389"/>
      <c r="T1467" s="389"/>
      <c r="U1467" s="389"/>
      <c r="V1467" s="389"/>
      <c r="W1467" s="389"/>
      <c r="X1467" s="389"/>
      <c r="Y1467" s="389"/>
      <c r="Z1467" s="389"/>
      <c r="AA1467" s="389"/>
      <c r="AB1467" s="389"/>
      <c r="AC1467" s="389"/>
      <c r="AD1467" s="389"/>
      <c r="AE1467" s="389"/>
      <c r="AF1467" s="389"/>
    </row>
    <row r="1468" spans="1:32" hidden="1" outlineLevel="3">
      <c r="A1468" s="382"/>
      <c r="B1468" s="405" t="s">
        <v>580</v>
      </c>
      <c r="C1468" s="404" t="s">
        <v>580</v>
      </c>
      <c r="D1468" s="405" t="s">
        <v>26</v>
      </c>
      <c r="E1468" s="405" t="s">
        <v>27</v>
      </c>
      <c r="F1468" s="448" t="s">
        <v>32</v>
      </c>
      <c r="G1468" s="462">
        <v>5.85</v>
      </c>
      <c r="H1468" s="463"/>
      <c r="I1468" s="463">
        <v>0</v>
      </c>
      <c r="J1468" s="463"/>
      <c r="K1468" s="463"/>
      <c r="L1468" s="462">
        <f t="shared" si="364"/>
        <v>0</v>
      </c>
      <c r="M1468" s="463"/>
      <c r="N1468" s="463">
        <v>0</v>
      </c>
      <c r="O1468" s="463"/>
      <c r="P1468" s="463"/>
      <c r="Q1468" s="382"/>
      <c r="R1468" s="385" t="str">
        <f t="shared" si="370"/>
        <v>T</v>
      </c>
      <c r="S1468" s="389"/>
      <c r="T1468" s="389"/>
      <c r="U1468" s="389"/>
      <c r="V1468" s="389"/>
      <c r="W1468" s="389"/>
      <c r="X1468" s="389"/>
      <c r="Y1468" s="389"/>
      <c r="Z1468" s="389"/>
      <c r="AA1468" s="389"/>
      <c r="AB1468" s="389"/>
      <c r="AC1468" s="389"/>
      <c r="AD1468" s="389"/>
      <c r="AE1468" s="389"/>
      <c r="AF1468" s="389"/>
    </row>
    <row r="1469" spans="1:32" hidden="1" outlineLevel="3">
      <c r="A1469" s="382"/>
      <c r="B1469" s="405" t="s">
        <v>580</v>
      </c>
      <c r="C1469" s="404" t="s">
        <v>580</v>
      </c>
      <c r="D1469" s="405" t="s">
        <v>26</v>
      </c>
      <c r="E1469" s="405" t="s">
        <v>27</v>
      </c>
      <c r="F1469" s="448" t="s">
        <v>34</v>
      </c>
      <c r="G1469" s="457">
        <v>7.8</v>
      </c>
      <c r="H1469" s="456"/>
      <c r="I1469" s="456"/>
      <c r="J1469" s="456">
        <v>0</v>
      </c>
      <c r="K1469" s="456"/>
      <c r="L1469" s="457">
        <f>SUM(M1469:P1469)</f>
        <v>0</v>
      </c>
      <c r="M1469" s="456"/>
      <c r="N1469" s="456"/>
      <c r="O1469" s="456">
        <v>0</v>
      </c>
      <c r="P1469" s="456"/>
      <c r="Q1469" s="382"/>
      <c r="R1469" s="385" t="str">
        <f>IF(SUM(M1469:P1469)=L1469,"T","F")</f>
        <v>T</v>
      </c>
      <c r="S1469" s="389"/>
      <c r="T1469" s="389"/>
      <c r="U1469" s="389"/>
      <c r="V1469" s="389"/>
      <c r="W1469" s="389"/>
      <c r="X1469" s="389"/>
      <c r="Y1469" s="389"/>
      <c r="Z1469" s="389"/>
      <c r="AA1469" s="389"/>
      <c r="AB1469" s="389"/>
      <c r="AC1469" s="389"/>
      <c r="AD1469" s="389"/>
      <c r="AE1469" s="389"/>
      <c r="AF1469" s="389"/>
    </row>
    <row r="1470" spans="1:32" hidden="1" outlineLevel="3">
      <c r="A1470" s="382"/>
      <c r="B1470" s="405" t="s">
        <v>580</v>
      </c>
      <c r="C1470" s="404" t="s">
        <v>580</v>
      </c>
      <c r="D1470" s="405" t="s">
        <v>26</v>
      </c>
      <c r="E1470" s="405" t="s">
        <v>27</v>
      </c>
      <c r="F1470" s="448" t="s">
        <v>197</v>
      </c>
      <c r="G1470" s="462">
        <v>1.95</v>
      </c>
      <c r="H1470" s="463"/>
      <c r="I1470" s="463"/>
      <c r="J1470" s="463">
        <v>0</v>
      </c>
      <c r="K1470" s="463"/>
      <c r="L1470" s="462">
        <f t="shared" si="364"/>
        <v>0</v>
      </c>
      <c r="M1470" s="463"/>
      <c r="N1470" s="463"/>
      <c r="O1470" s="463">
        <v>0</v>
      </c>
      <c r="P1470" s="463"/>
      <c r="Q1470" s="382"/>
      <c r="R1470" s="385" t="str">
        <f t="shared" si="370"/>
        <v>T</v>
      </c>
      <c r="S1470" s="389"/>
      <c r="T1470" s="389"/>
      <c r="U1470" s="389"/>
      <c r="V1470" s="389"/>
      <c r="W1470" s="389"/>
      <c r="X1470" s="389"/>
      <c r="Y1470" s="389"/>
      <c r="Z1470" s="389"/>
      <c r="AA1470" s="389"/>
      <c r="AB1470" s="389"/>
      <c r="AC1470" s="389"/>
      <c r="AD1470" s="389"/>
      <c r="AE1470" s="389"/>
      <c r="AF1470" s="389"/>
    </row>
    <row r="1471" spans="1:32" hidden="1" outlineLevel="2" collapsed="1">
      <c r="A1471" s="382"/>
      <c r="B1471" s="405" t="s">
        <v>580</v>
      </c>
      <c r="C1471" s="404" t="s">
        <v>580</v>
      </c>
      <c r="D1471" s="405" t="s">
        <v>28</v>
      </c>
      <c r="E1471" s="405"/>
      <c r="F1471" s="448" t="s">
        <v>507</v>
      </c>
      <c r="G1471" s="462">
        <f>SUM(G1472:G1475)</f>
        <v>6.52</v>
      </c>
      <c r="H1471" s="456">
        <f>SUM(H1472:H1475)</f>
        <v>0</v>
      </c>
      <c r="I1471" s="456">
        <f>SUM(I1472:I1475)</f>
        <v>0</v>
      </c>
      <c r="J1471" s="456">
        <f>SUM(J1472:J1475)</f>
        <v>0</v>
      </c>
      <c r="K1471" s="456">
        <f>SUM(K1472:K1475)</f>
        <v>0</v>
      </c>
      <c r="L1471" s="462">
        <f t="shared" si="364"/>
        <v>0</v>
      </c>
      <c r="M1471" s="456">
        <f>SUM(M1472:M1475)</f>
        <v>0</v>
      </c>
      <c r="N1471" s="456">
        <f>SUM(N1472:N1475)</f>
        <v>0</v>
      </c>
      <c r="O1471" s="456">
        <f>SUM(O1472:O1475)</f>
        <v>0</v>
      </c>
      <c r="P1471" s="456">
        <f>SUM(P1472:P1475)</f>
        <v>0</v>
      </c>
      <c r="Q1471" s="382"/>
      <c r="R1471" s="385" t="str">
        <f t="shared" si="370"/>
        <v>T</v>
      </c>
      <c r="S1471" s="389"/>
      <c r="T1471" s="389"/>
      <c r="U1471" s="389"/>
      <c r="V1471" s="389"/>
      <c r="W1471" s="389"/>
      <c r="X1471" s="389"/>
      <c r="Y1471" s="389"/>
      <c r="Z1471" s="389"/>
      <c r="AA1471" s="389"/>
      <c r="AB1471" s="389"/>
      <c r="AC1471" s="389"/>
      <c r="AD1471" s="389"/>
      <c r="AE1471" s="389"/>
      <c r="AF1471" s="389"/>
    </row>
    <row r="1472" spans="1:32" hidden="1" outlineLevel="3">
      <c r="A1472" s="382"/>
      <c r="B1472" s="405" t="s">
        <v>580</v>
      </c>
      <c r="C1472" s="404" t="s">
        <v>580</v>
      </c>
      <c r="D1472" s="405" t="s">
        <v>28</v>
      </c>
      <c r="E1472" s="405" t="s">
        <v>29</v>
      </c>
      <c r="F1472" s="448" t="s">
        <v>32</v>
      </c>
      <c r="G1472" s="462">
        <v>2.17</v>
      </c>
      <c r="H1472" s="463"/>
      <c r="I1472" s="463">
        <v>0</v>
      </c>
      <c r="J1472" s="463"/>
      <c r="K1472" s="463"/>
      <c r="L1472" s="462">
        <f t="shared" si="364"/>
        <v>0</v>
      </c>
      <c r="M1472" s="463"/>
      <c r="N1472" s="463">
        <v>0</v>
      </c>
      <c r="O1472" s="463"/>
      <c r="P1472" s="463"/>
      <c r="Q1472" s="382"/>
      <c r="R1472" s="385" t="str">
        <f t="shared" si="370"/>
        <v>T</v>
      </c>
      <c r="S1472" s="389"/>
      <c r="T1472" s="389"/>
      <c r="U1472" s="389"/>
      <c r="V1472" s="389"/>
      <c r="W1472" s="389"/>
      <c r="X1472" s="389"/>
      <c r="Y1472" s="389"/>
      <c r="Z1472" s="389"/>
      <c r="AA1472" s="389"/>
      <c r="AB1472" s="389"/>
      <c r="AC1472" s="389"/>
      <c r="AD1472" s="389"/>
      <c r="AE1472" s="389"/>
      <c r="AF1472" s="389"/>
    </row>
    <row r="1473" spans="1:37" hidden="1" outlineLevel="3">
      <c r="A1473" s="382"/>
      <c r="B1473" s="405" t="s">
        <v>580</v>
      </c>
      <c r="C1473" s="404" t="s">
        <v>580</v>
      </c>
      <c r="D1473" s="405" t="s">
        <v>28</v>
      </c>
      <c r="E1473" s="405" t="s">
        <v>29</v>
      </c>
      <c r="F1473" s="448" t="s">
        <v>33</v>
      </c>
      <c r="G1473" s="462">
        <v>1.0900000000000001</v>
      </c>
      <c r="H1473" s="463"/>
      <c r="I1473" s="463">
        <v>0</v>
      </c>
      <c r="J1473" s="463"/>
      <c r="K1473" s="463"/>
      <c r="L1473" s="462">
        <f t="shared" si="364"/>
        <v>0</v>
      </c>
      <c r="M1473" s="463"/>
      <c r="N1473" s="463">
        <v>0</v>
      </c>
      <c r="O1473" s="463"/>
      <c r="P1473" s="463"/>
      <c r="Q1473" s="382"/>
      <c r="R1473" s="385" t="str">
        <f t="shared" si="370"/>
        <v>T</v>
      </c>
      <c r="S1473" s="389"/>
      <c r="T1473" s="389"/>
      <c r="U1473" s="389"/>
      <c r="V1473" s="389"/>
      <c r="W1473" s="389"/>
      <c r="X1473" s="389"/>
      <c r="Y1473" s="389"/>
      <c r="Z1473" s="389"/>
      <c r="AA1473" s="389"/>
      <c r="AB1473" s="389"/>
      <c r="AC1473" s="389"/>
      <c r="AD1473" s="389"/>
      <c r="AE1473" s="389"/>
      <c r="AF1473" s="389"/>
    </row>
    <row r="1474" spans="1:37" hidden="1" outlineLevel="3">
      <c r="A1474" s="382"/>
      <c r="B1474" s="405" t="s">
        <v>580</v>
      </c>
      <c r="C1474" s="404" t="s">
        <v>580</v>
      </c>
      <c r="D1474" s="405" t="s">
        <v>28</v>
      </c>
      <c r="E1474" s="405" t="s">
        <v>29</v>
      </c>
      <c r="F1474" s="448" t="s">
        <v>34</v>
      </c>
      <c r="G1474" s="462">
        <v>2.17</v>
      </c>
      <c r="H1474" s="463"/>
      <c r="I1474" s="463"/>
      <c r="J1474" s="463">
        <v>0</v>
      </c>
      <c r="K1474" s="463"/>
      <c r="L1474" s="462">
        <f t="shared" si="364"/>
        <v>0</v>
      </c>
      <c r="M1474" s="463"/>
      <c r="N1474" s="463"/>
      <c r="O1474" s="463">
        <v>0</v>
      </c>
      <c r="P1474" s="463"/>
      <c r="Q1474" s="382"/>
      <c r="R1474" s="385" t="str">
        <f t="shared" si="370"/>
        <v>T</v>
      </c>
      <c r="S1474" s="389"/>
      <c r="T1474" s="389"/>
      <c r="U1474" s="389"/>
      <c r="V1474" s="389"/>
      <c r="W1474" s="389"/>
      <c r="X1474" s="389"/>
      <c r="Y1474" s="389"/>
      <c r="Z1474" s="389"/>
      <c r="AA1474" s="389"/>
      <c r="AB1474" s="389"/>
      <c r="AC1474" s="389"/>
      <c r="AD1474" s="389"/>
      <c r="AE1474" s="389"/>
      <c r="AF1474" s="389"/>
    </row>
    <row r="1475" spans="1:37" hidden="1" outlineLevel="3">
      <c r="A1475" s="382"/>
      <c r="B1475" s="405" t="s">
        <v>580</v>
      </c>
      <c r="C1475" s="404" t="s">
        <v>580</v>
      </c>
      <c r="D1475" s="405" t="s">
        <v>28</v>
      </c>
      <c r="E1475" s="405" t="s">
        <v>29</v>
      </c>
      <c r="F1475" s="448" t="s">
        <v>197</v>
      </c>
      <c r="G1475" s="462">
        <v>1.0900000000000001</v>
      </c>
      <c r="H1475" s="463"/>
      <c r="I1475" s="463"/>
      <c r="J1475" s="463">
        <v>0</v>
      </c>
      <c r="K1475" s="463"/>
      <c r="L1475" s="462">
        <f t="shared" si="364"/>
        <v>0</v>
      </c>
      <c r="M1475" s="463"/>
      <c r="N1475" s="463"/>
      <c r="O1475" s="463">
        <v>0</v>
      </c>
      <c r="P1475" s="463"/>
      <c r="Q1475" s="382"/>
      <c r="R1475" s="385" t="str">
        <f t="shared" si="370"/>
        <v>T</v>
      </c>
      <c r="S1475" s="389"/>
      <c r="T1475" s="389"/>
      <c r="U1475" s="389"/>
      <c r="V1475" s="389"/>
      <c r="W1475" s="389"/>
      <c r="X1475" s="389"/>
      <c r="Y1475" s="389"/>
      <c r="Z1475" s="389"/>
      <c r="AA1475" s="389"/>
      <c r="AB1475" s="389"/>
      <c r="AC1475" s="389"/>
      <c r="AD1475" s="389"/>
      <c r="AE1475" s="389"/>
      <c r="AF1475" s="389"/>
    </row>
    <row r="1476" spans="1:37" hidden="1" outlineLevel="2" collapsed="1">
      <c r="A1476" s="382"/>
      <c r="B1476" s="405" t="s">
        <v>580</v>
      </c>
      <c r="C1476" s="404" t="s">
        <v>580</v>
      </c>
      <c r="D1476" s="405" t="s">
        <v>64</v>
      </c>
      <c r="E1476" s="405"/>
      <c r="F1476" s="448" t="s">
        <v>507</v>
      </c>
      <c r="G1476" s="462">
        <f>SUM(G1477:G1480)</f>
        <v>4.8600000000000003</v>
      </c>
      <c r="H1476" s="456">
        <f>SUM(H1477:H1480)</f>
        <v>0</v>
      </c>
      <c r="I1476" s="456">
        <f>SUM(I1477:I1480)</f>
        <v>0</v>
      </c>
      <c r="J1476" s="456">
        <f>SUM(J1477:J1480)</f>
        <v>0</v>
      </c>
      <c r="K1476" s="456">
        <f>SUM(K1477:K1480)</f>
        <v>0</v>
      </c>
      <c r="L1476" s="462">
        <f t="shared" si="364"/>
        <v>0</v>
      </c>
      <c r="M1476" s="456">
        <f>SUM(M1477:M1480)</f>
        <v>0</v>
      </c>
      <c r="N1476" s="456">
        <f>SUM(N1477:N1480)</f>
        <v>0</v>
      </c>
      <c r="O1476" s="456">
        <f>SUM(O1477:O1480)</f>
        <v>0</v>
      </c>
      <c r="P1476" s="456">
        <f>SUM(P1477:P1480)</f>
        <v>0</v>
      </c>
      <c r="Q1476" s="382"/>
      <c r="R1476" s="385" t="str">
        <f t="shared" si="370"/>
        <v>T</v>
      </c>
      <c r="S1476" s="389"/>
      <c r="T1476" s="389"/>
      <c r="U1476" s="389"/>
      <c r="V1476" s="389"/>
      <c r="W1476" s="389"/>
      <c r="X1476" s="389"/>
      <c r="Y1476" s="389"/>
      <c r="Z1476" s="389"/>
      <c r="AA1476" s="389"/>
      <c r="AB1476" s="389"/>
      <c r="AC1476" s="389"/>
      <c r="AD1476" s="389"/>
      <c r="AE1476" s="389"/>
      <c r="AF1476" s="389"/>
    </row>
    <row r="1477" spans="1:37" hidden="1" outlineLevel="3">
      <c r="A1477" s="382"/>
      <c r="B1477" s="405" t="s">
        <v>580</v>
      </c>
      <c r="C1477" s="404" t="s">
        <v>580</v>
      </c>
      <c r="D1477" s="405" t="s">
        <v>64</v>
      </c>
      <c r="E1477" s="405" t="s">
        <v>29</v>
      </c>
      <c r="F1477" s="448" t="s">
        <v>32</v>
      </c>
      <c r="G1477" s="462">
        <v>1.82</v>
      </c>
      <c r="H1477" s="463"/>
      <c r="I1477" s="463">
        <v>0</v>
      </c>
      <c r="J1477" s="463"/>
      <c r="K1477" s="463"/>
      <c r="L1477" s="462">
        <f t="shared" si="364"/>
        <v>0</v>
      </c>
      <c r="M1477" s="463"/>
      <c r="N1477" s="463">
        <v>0</v>
      </c>
      <c r="O1477" s="463"/>
      <c r="P1477" s="463"/>
      <c r="Q1477" s="382"/>
      <c r="R1477" s="385" t="str">
        <f t="shared" si="370"/>
        <v>T</v>
      </c>
      <c r="S1477" s="389"/>
      <c r="T1477" s="389"/>
      <c r="U1477" s="389"/>
      <c r="V1477" s="389"/>
      <c r="W1477" s="389"/>
      <c r="X1477" s="389"/>
      <c r="Y1477" s="389"/>
      <c r="Z1477" s="389"/>
      <c r="AA1477" s="389"/>
      <c r="AB1477" s="389"/>
      <c r="AC1477" s="389"/>
      <c r="AD1477" s="389"/>
      <c r="AE1477" s="389"/>
      <c r="AF1477" s="389"/>
    </row>
    <row r="1478" spans="1:37" hidden="1" outlineLevel="3">
      <c r="A1478" s="382"/>
      <c r="B1478" s="405" t="s">
        <v>580</v>
      </c>
      <c r="C1478" s="404" t="s">
        <v>580</v>
      </c>
      <c r="D1478" s="405" t="s">
        <v>64</v>
      </c>
      <c r="E1478" s="405" t="s">
        <v>29</v>
      </c>
      <c r="F1478" s="448" t="s">
        <v>33</v>
      </c>
      <c r="G1478" s="462">
        <v>0.61</v>
      </c>
      <c r="H1478" s="463"/>
      <c r="I1478" s="463">
        <v>0</v>
      </c>
      <c r="J1478" s="464"/>
      <c r="K1478" s="463"/>
      <c r="L1478" s="462">
        <f t="shared" si="364"/>
        <v>0</v>
      </c>
      <c r="M1478" s="463"/>
      <c r="N1478" s="463">
        <v>0</v>
      </c>
      <c r="O1478" s="464"/>
      <c r="P1478" s="463"/>
      <c r="Q1478" s="382"/>
      <c r="R1478" s="385" t="str">
        <f t="shared" si="370"/>
        <v>T</v>
      </c>
      <c r="S1478" s="389"/>
      <c r="T1478" s="389"/>
      <c r="U1478" s="389"/>
      <c r="V1478" s="389"/>
      <c r="W1478" s="389"/>
      <c r="X1478" s="389"/>
      <c r="Y1478" s="389"/>
      <c r="Z1478" s="389"/>
      <c r="AA1478" s="389"/>
      <c r="AB1478" s="389"/>
      <c r="AC1478" s="389"/>
      <c r="AD1478" s="389"/>
      <c r="AE1478" s="389"/>
      <c r="AF1478" s="389"/>
    </row>
    <row r="1479" spans="1:37" hidden="1" outlineLevel="3">
      <c r="A1479" s="382"/>
      <c r="B1479" s="405" t="s">
        <v>580</v>
      </c>
      <c r="C1479" s="404" t="s">
        <v>580</v>
      </c>
      <c r="D1479" s="405" t="s">
        <v>64</v>
      </c>
      <c r="E1479" s="405" t="s">
        <v>29</v>
      </c>
      <c r="F1479" s="448" t="s">
        <v>34</v>
      </c>
      <c r="G1479" s="462">
        <v>1.82</v>
      </c>
      <c r="H1479" s="463"/>
      <c r="I1479" s="463"/>
      <c r="J1479" s="463">
        <v>0</v>
      </c>
      <c r="K1479" s="463"/>
      <c r="L1479" s="462">
        <f t="shared" si="364"/>
        <v>0</v>
      </c>
      <c r="M1479" s="463"/>
      <c r="N1479" s="463"/>
      <c r="O1479" s="463">
        <v>0</v>
      </c>
      <c r="P1479" s="463"/>
      <c r="Q1479" s="382"/>
      <c r="R1479" s="385" t="str">
        <f t="shared" si="370"/>
        <v>T</v>
      </c>
      <c r="S1479" s="389"/>
      <c r="T1479" s="389"/>
      <c r="U1479" s="389"/>
      <c r="V1479" s="389"/>
      <c r="W1479" s="389"/>
      <c r="X1479" s="389"/>
      <c r="Y1479" s="389"/>
      <c r="Z1479" s="389"/>
      <c r="AA1479" s="389"/>
      <c r="AB1479" s="389"/>
      <c r="AC1479" s="389"/>
      <c r="AD1479" s="389"/>
      <c r="AE1479" s="389"/>
      <c r="AF1479" s="389"/>
    </row>
    <row r="1480" spans="1:37" hidden="1" outlineLevel="3">
      <c r="A1480" s="382"/>
      <c r="B1480" s="405" t="s">
        <v>580</v>
      </c>
      <c r="C1480" s="404" t="s">
        <v>580</v>
      </c>
      <c r="D1480" s="405" t="s">
        <v>64</v>
      </c>
      <c r="E1480" s="405" t="s">
        <v>29</v>
      </c>
      <c r="F1480" s="448" t="s">
        <v>197</v>
      </c>
      <c r="G1480" s="462">
        <v>0.61</v>
      </c>
      <c r="H1480" s="463"/>
      <c r="I1480" s="463"/>
      <c r="J1480" s="463">
        <v>0</v>
      </c>
      <c r="K1480" s="463"/>
      <c r="L1480" s="462">
        <f t="shared" si="364"/>
        <v>0</v>
      </c>
      <c r="M1480" s="463"/>
      <c r="N1480" s="463"/>
      <c r="O1480" s="463">
        <v>0</v>
      </c>
      <c r="P1480" s="463"/>
      <c r="Q1480" s="382"/>
      <c r="R1480" s="385" t="str">
        <f t="shared" si="370"/>
        <v>T</v>
      </c>
      <c r="S1480" s="389"/>
      <c r="T1480" s="389"/>
      <c r="U1480" s="389"/>
      <c r="V1480" s="389"/>
      <c r="W1480" s="389"/>
      <c r="X1480" s="389"/>
      <c r="Y1480" s="389"/>
      <c r="Z1480" s="389"/>
      <c r="AA1480" s="389"/>
      <c r="AB1480" s="389"/>
      <c r="AC1480" s="389"/>
      <c r="AD1480" s="389"/>
      <c r="AE1480" s="389"/>
      <c r="AF1480" s="389"/>
    </row>
    <row r="1481" spans="1:37" outlineLevel="1" collapsed="1">
      <c r="A1481" s="382"/>
      <c r="B1481" s="403" t="s">
        <v>581</v>
      </c>
      <c r="C1481" s="403" t="s">
        <v>581</v>
      </c>
      <c r="D1481" s="403"/>
      <c r="E1481" s="425"/>
      <c r="F1481" s="443" t="s">
        <v>582</v>
      </c>
      <c r="G1481" s="426">
        <f>SUM(G1482:G1486)*0</f>
        <v>0</v>
      </c>
      <c r="H1481" s="427">
        <f>SUM(H1482:H1486)</f>
        <v>0</v>
      </c>
      <c r="I1481" s="427">
        <f>SUM(I1482:I1486)</f>
        <v>0</v>
      </c>
      <c r="J1481" s="427">
        <f>SUM(J1482:J1486)</f>
        <v>0</v>
      </c>
      <c r="K1481" s="427">
        <f>SUM(K1482:K1486)</f>
        <v>0</v>
      </c>
      <c r="L1481" s="426">
        <f t="shared" ref="L1481:L1486" si="457">SUM(M1481:P1481)</f>
        <v>0</v>
      </c>
      <c r="M1481" s="427">
        <f>SUM(M1482:M1486)</f>
        <v>0</v>
      </c>
      <c r="N1481" s="427">
        <f>SUM(N1482:N1486)</f>
        <v>0</v>
      </c>
      <c r="O1481" s="427">
        <f>SUM(O1482:O1486)</f>
        <v>0</v>
      </c>
      <c r="P1481" s="427">
        <f>SUM(P1482:P1486)</f>
        <v>0</v>
      </c>
      <c r="Q1481" s="382"/>
      <c r="R1481" s="385" t="str">
        <f t="shared" ref="R1481:R1486" si="458">IF(SUM(M1481:P1481)=L1481,"T","F")</f>
        <v>T</v>
      </c>
      <c r="S1481" s="389"/>
      <c r="T1481" s="389"/>
      <c r="U1481" s="389"/>
      <c r="V1481" s="389"/>
      <c r="W1481" s="389"/>
      <c r="X1481" s="389"/>
      <c r="Y1481" s="389"/>
      <c r="Z1481" s="389"/>
      <c r="AA1481" s="389"/>
      <c r="AB1481" s="389"/>
      <c r="AC1481" s="389"/>
      <c r="AD1481" s="389"/>
      <c r="AE1481" s="389"/>
      <c r="AF1481" s="389"/>
    </row>
    <row r="1482" spans="1:37" hidden="1" outlineLevel="2">
      <c r="A1482" s="382"/>
      <c r="B1482" s="404" t="s">
        <v>581</v>
      </c>
      <c r="C1482" s="404" t="s">
        <v>581</v>
      </c>
      <c r="D1482" s="405" t="s">
        <v>202</v>
      </c>
      <c r="E1482" s="405"/>
      <c r="F1482" s="448" t="s">
        <v>334</v>
      </c>
      <c r="G1482" s="462">
        <v>0.75</v>
      </c>
      <c r="H1482" s="463">
        <v>0</v>
      </c>
      <c r="I1482" s="463"/>
      <c r="J1482" s="463"/>
      <c r="K1482" s="463"/>
      <c r="L1482" s="462">
        <f t="shared" si="457"/>
        <v>0</v>
      </c>
      <c r="M1482" s="463">
        <v>0</v>
      </c>
      <c r="N1482" s="463"/>
      <c r="O1482" s="463"/>
      <c r="P1482" s="463"/>
      <c r="Q1482" s="382"/>
      <c r="R1482" s="385" t="str">
        <f t="shared" si="458"/>
        <v>T</v>
      </c>
      <c r="S1482" s="389"/>
      <c r="T1482" s="389"/>
      <c r="U1482" s="389"/>
      <c r="V1482" s="389"/>
      <c r="W1482" s="389"/>
      <c r="X1482" s="389"/>
      <c r="Y1482" s="389"/>
      <c r="Z1482" s="389"/>
      <c r="AA1482" s="389"/>
      <c r="AB1482" s="389"/>
      <c r="AC1482" s="389"/>
      <c r="AD1482" s="389"/>
      <c r="AE1482" s="389"/>
      <c r="AF1482" s="389"/>
    </row>
    <row r="1483" spans="1:37" hidden="1" outlineLevel="2">
      <c r="A1483" s="382"/>
      <c r="B1483" s="404" t="s">
        <v>581</v>
      </c>
      <c r="C1483" s="404" t="s">
        <v>581</v>
      </c>
      <c r="D1483" s="405" t="s">
        <v>18</v>
      </c>
      <c r="E1483" s="405"/>
      <c r="F1483" s="448" t="s">
        <v>82</v>
      </c>
      <c r="G1483" s="465" t="s">
        <v>82</v>
      </c>
      <c r="H1483" s="466"/>
      <c r="I1483" s="466"/>
      <c r="J1483" s="466"/>
      <c r="K1483" s="466"/>
      <c r="L1483" s="465">
        <f t="shared" si="457"/>
        <v>0</v>
      </c>
      <c r="M1483" s="466"/>
      <c r="N1483" s="466"/>
      <c r="O1483" s="466"/>
      <c r="P1483" s="466"/>
      <c r="Q1483" s="382"/>
      <c r="R1483" s="385" t="str">
        <f t="shared" si="458"/>
        <v>T</v>
      </c>
      <c r="S1483" s="389"/>
      <c r="T1483" s="389"/>
      <c r="U1483" s="389"/>
      <c r="V1483" s="389"/>
      <c r="W1483" s="389"/>
      <c r="X1483" s="389"/>
      <c r="Y1483" s="389"/>
      <c r="Z1483" s="389"/>
      <c r="AA1483" s="389"/>
      <c r="AB1483" s="389"/>
      <c r="AC1483" s="389"/>
      <c r="AD1483" s="389"/>
      <c r="AE1483" s="389"/>
      <c r="AF1483" s="389"/>
    </row>
    <row r="1484" spans="1:37" hidden="1" outlineLevel="2">
      <c r="A1484" s="382"/>
      <c r="B1484" s="404" t="s">
        <v>581</v>
      </c>
      <c r="C1484" s="404" t="s">
        <v>581</v>
      </c>
      <c r="D1484" s="405" t="s">
        <v>26</v>
      </c>
      <c r="E1484" s="405"/>
      <c r="F1484" s="448" t="s">
        <v>82</v>
      </c>
      <c r="G1484" s="467" t="s">
        <v>82</v>
      </c>
      <c r="H1484" s="468"/>
      <c r="I1484" s="468"/>
      <c r="J1484" s="468"/>
      <c r="K1484" s="468"/>
      <c r="L1484" s="467">
        <f t="shared" si="457"/>
        <v>0</v>
      </c>
      <c r="M1484" s="468"/>
      <c r="N1484" s="468"/>
      <c r="O1484" s="468"/>
      <c r="P1484" s="468"/>
      <c r="Q1484" s="382"/>
      <c r="R1484" s="385" t="str">
        <f t="shared" si="458"/>
        <v>T</v>
      </c>
      <c r="S1484" s="389"/>
      <c r="T1484" s="389"/>
      <c r="U1484" s="389"/>
      <c r="V1484" s="389"/>
      <c r="W1484" s="389"/>
      <c r="X1484" s="389"/>
      <c r="Y1484" s="389"/>
      <c r="Z1484" s="389"/>
      <c r="AA1484" s="389"/>
      <c r="AB1484" s="389"/>
      <c r="AC1484" s="389"/>
      <c r="AD1484" s="389"/>
      <c r="AE1484" s="389"/>
      <c r="AF1484" s="389"/>
    </row>
    <row r="1485" spans="1:37" hidden="1" outlineLevel="2">
      <c r="A1485" s="382"/>
      <c r="B1485" s="404" t="s">
        <v>581</v>
      </c>
      <c r="C1485" s="404" t="s">
        <v>581</v>
      </c>
      <c r="D1485" s="405" t="s">
        <v>28</v>
      </c>
      <c r="E1485" s="405"/>
      <c r="F1485" s="448" t="s">
        <v>82</v>
      </c>
      <c r="G1485" s="467" t="s">
        <v>82</v>
      </c>
      <c r="H1485" s="468"/>
      <c r="I1485" s="468"/>
      <c r="J1485" s="468"/>
      <c r="K1485" s="468"/>
      <c r="L1485" s="467">
        <f t="shared" si="457"/>
        <v>0</v>
      </c>
      <c r="M1485" s="468"/>
      <c r="N1485" s="468"/>
      <c r="O1485" s="468"/>
      <c r="P1485" s="468"/>
      <c r="Q1485" s="382"/>
      <c r="R1485" s="385" t="str">
        <f t="shared" si="458"/>
        <v>T</v>
      </c>
      <c r="S1485" s="389"/>
      <c r="T1485" s="389"/>
      <c r="U1485" s="389"/>
      <c r="V1485" s="389"/>
      <c r="W1485" s="389"/>
      <c r="X1485" s="389"/>
      <c r="Y1485" s="389"/>
      <c r="Z1485" s="389"/>
      <c r="AA1485" s="389"/>
      <c r="AB1485" s="389"/>
      <c r="AC1485" s="389"/>
      <c r="AD1485" s="389"/>
      <c r="AE1485" s="389"/>
      <c r="AF1485" s="389"/>
    </row>
    <row r="1486" spans="1:37" hidden="1" outlineLevel="2">
      <c r="A1486" s="382"/>
      <c r="B1486" s="404" t="s">
        <v>581</v>
      </c>
      <c r="C1486" s="404" t="s">
        <v>581</v>
      </c>
      <c r="D1486" s="405" t="s">
        <v>64</v>
      </c>
      <c r="E1486" s="405"/>
      <c r="F1486" s="448" t="s">
        <v>82</v>
      </c>
      <c r="G1486" s="467" t="s">
        <v>82</v>
      </c>
      <c r="H1486" s="468"/>
      <c r="I1486" s="468"/>
      <c r="J1486" s="468"/>
      <c r="K1486" s="468"/>
      <c r="L1486" s="467">
        <f t="shared" si="457"/>
        <v>0</v>
      </c>
      <c r="M1486" s="468"/>
      <c r="N1486" s="468"/>
      <c r="O1486" s="468"/>
      <c r="P1486" s="468"/>
      <c r="Q1486" s="382"/>
      <c r="R1486" s="385" t="str">
        <f t="shared" si="458"/>
        <v>T</v>
      </c>
      <c r="S1486" s="389"/>
      <c r="T1486" s="389"/>
      <c r="U1486" s="389"/>
      <c r="V1486" s="389"/>
      <c r="W1486" s="389"/>
      <c r="X1486" s="389"/>
      <c r="Y1486" s="389"/>
      <c r="Z1486" s="389"/>
      <c r="AA1486" s="389"/>
      <c r="AB1486" s="389"/>
      <c r="AC1486" s="389"/>
      <c r="AD1486" s="389"/>
      <c r="AE1486" s="389"/>
      <c r="AF1486" s="389"/>
    </row>
    <row r="1487" spans="1:37" outlineLevel="1" collapsed="1">
      <c r="A1487" s="382"/>
      <c r="B1487" s="403" t="s">
        <v>583</v>
      </c>
      <c r="C1487" s="403" t="s">
        <v>584</v>
      </c>
      <c r="D1487" s="403"/>
      <c r="E1487" s="425"/>
      <c r="F1487" s="443" t="s">
        <v>585</v>
      </c>
      <c r="G1487" s="469">
        <f>(G1488+G1495+G1499+G1503+G1508)*0</f>
        <v>0</v>
      </c>
      <c r="H1487" s="427">
        <f>H1488+H1495+H1499+H1503+H1508</f>
        <v>0</v>
      </c>
      <c r="I1487" s="427">
        <f>I1488+I1495+I1499+I1503+I1508</f>
        <v>0</v>
      </c>
      <c r="J1487" s="427">
        <f>J1488+J1495+J1499+J1503+J1508</f>
        <v>0</v>
      </c>
      <c r="K1487" s="427">
        <f>K1488+K1495+K1499+K1503+K1508</f>
        <v>0</v>
      </c>
      <c r="L1487" s="469">
        <f t="shared" si="364"/>
        <v>0</v>
      </c>
      <c r="M1487" s="427">
        <f>M1488+M1495+M1499+M1503+M1508</f>
        <v>0</v>
      </c>
      <c r="N1487" s="427">
        <f>N1488+N1495+N1499+N1503+N1508</f>
        <v>0</v>
      </c>
      <c r="O1487" s="427">
        <f>O1488+O1495+O1499+O1503+O1508</f>
        <v>0</v>
      </c>
      <c r="P1487" s="427">
        <f>P1488+P1495+P1499+P1503+P1508</f>
        <v>0</v>
      </c>
      <c r="Q1487" s="382"/>
      <c r="R1487" s="385" t="str">
        <f t="shared" si="370"/>
        <v>T</v>
      </c>
      <c r="S1487" s="389"/>
      <c r="T1487" s="389"/>
      <c r="U1487" s="389"/>
      <c r="V1487" s="389"/>
      <c r="W1487" s="389"/>
      <c r="X1487" s="389"/>
      <c r="Y1487" s="389"/>
      <c r="Z1487" s="389"/>
      <c r="AA1487" s="389"/>
      <c r="AB1487" s="389"/>
      <c r="AC1487" s="389"/>
      <c r="AD1487" s="389"/>
      <c r="AE1487" s="389"/>
      <c r="AF1487" s="389"/>
    </row>
    <row r="1488" spans="1:37" s="413" customFormat="1" hidden="1" outlineLevel="2" collapsed="1">
      <c r="A1488" s="382"/>
      <c r="B1488" s="404" t="s">
        <v>584</v>
      </c>
      <c r="C1488" s="404" t="s">
        <v>584</v>
      </c>
      <c r="D1488" s="405" t="s">
        <v>202</v>
      </c>
      <c r="E1488" s="405"/>
      <c r="F1488" s="448" t="s">
        <v>574</v>
      </c>
      <c r="G1488" s="457">
        <f>SUM(G1489:G1494)</f>
        <v>8.0100000000000016</v>
      </c>
      <c r="H1488" s="456">
        <f>SUM(H1489:H1494)</f>
        <v>0</v>
      </c>
      <c r="I1488" s="456">
        <f>SUM(I1489:I1494)</f>
        <v>0</v>
      </c>
      <c r="J1488" s="456">
        <f>SUM(J1489:J1494)</f>
        <v>0</v>
      </c>
      <c r="K1488" s="456">
        <f>SUM(K1489:K1494)</f>
        <v>0</v>
      </c>
      <c r="L1488" s="457">
        <f t="shared" si="364"/>
        <v>0</v>
      </c>
      <c r="M1488" s="456">
        <f>SUM(M1489:M1494)</f>
        <v>0</v>
      </c>
      <c r="N1488" s="456">
        <f>SUM(N1489:N1494)</f>
        <v>0</v>
      </c>
      <c r="O1488" s="456">
        <f>SUM(O1489:O1494)</f>
        <v>0</v>
      </c>
      <c r="P1488" s="456">
        <f>SUM(P1489:P1494)</f>
        <v>0</v>
      </c>
      <c r="Q1488" s="382"/>
      <c r="R1488" s="385" t="str">
        <f t="shared" si="370"/>
        <v>T</v>
      </c>
      <c r="S1488" s="389"/>
      <c r="T1488" s="389"/>
      <c r="U1488" s="389"/>
      <c r="V1488" s="389"/>
      <c r="W1488" s="389"/>
      <c r="X1488" s="389"/>
      <c r="Y1488" s="389"/>
      <c r="Z1488" s="389"/>
      <c r="AA1488" s="389"/>
      <c r="AB1488" s="389"/>
      <c r="AC1488" s="389"/>
      <c r="AD1488" s="389"/>
      <c r="AE1488" s="389"/>
      <c r="AF1488" s="389"/>
      <c r="AG1488" s="383"/>
      <c r="AH1488" s="383"/>
      <c r="AI1488" s="383"/>
      <c r="AJ1488" s="383"/>
      <c r="AK1488" s="383"/>
    </row>
    <row r="1489" spans="1:37" hidden="1" outlineLevel="3">
      <c r="A1489" s="382"/>
      <c r="B1489" s="404" t="s">
        <v>584</v>
      </c>
      <c r="C1489" s="404" t="s">
        <v>584</v>
      </c>
      <c r="D1489" s="405" t="s">
        <v>202</v>
      </c>
      <c r="E1489" s="405" t="s">
        <v>29</v>
      </c>
      <c r="F1489" s="448" t="s">
        <v>334</v>
      </c>
      <c r="G1489" s="457">
        <v>1.4100000000000001</v>
      </c>
      <c r="H1489" s="456">
        <v>0</v>
      </c>
      <c r="I1489" s="456"/>
      <c r="J1489" s="456"/>
      <c r="K1489" s="456"/>
      <c r="L1489" s="457">
        <f t="shared" si="364"/>
        <v>0</v>
      </c>
      <c r="M1489" s="456">
        <v>0</v>
      </c>
      <c r="N1489" s="456"/>
      <c r="O1489" s="456"/>
      <c r="P1489" s="456"/>
      <c r="Q1489" s="382"/>
      <c r="R1489" s="385" t="str">
        <f t="shared" si="370"/>
        <v>T</v>
      </c>
      <c r="S1489" s="389"/>
      <c r="T1489" s="389"/>
      <c r="U1489" s="389"/>
      <c r="V1489" s="389"/>
      <c r="W1489" s="389"/>
      <c r="X1489" s="389"/>
      <c r="Y1489" s="389"/>
      <c r="Z1489" s="389"/>
      <c r="AA1489" s="389"/>
      <c r="AB1489" s="389"/>
      <c r="AC1489" s="389"/>
      <c r="AD1489" s="389"/>
      <c r="AE1489" s="389"/>
      <c r="AF1489" s="389"/>
    </row>
    <row r="1490" spans="1:37" hidden="1" outlineLevel="3">
      <c r="A1490" s="382"/>
      <c r="B1490" s="404" t="s">
        <v>584</v>
      </c>
      <c r="C1490" s="404" t="s">
        <v>584</v>
      </c>
      <c r="D1490" s="405" t="s">
        <v>202</v>
      </c>
      <c r="E1490" s="405" t="s">
        <v>29</v>
      </c>
      <c r="F1490" s="448" t="s">
        <v>32</v>
      </c>
      <c r="G1490" s="457">
        <v>1.2600000000000002</v>
      </c>
      <c r="H1490" s="456"/>
      <c r="I1490" s="456">
        <v>0</v>
      </c>
      <c r="J1490" s="456"/>
      <c r="K1490" s="456"/>
      <c r="L1490" s="457">
        <f t="shared" si="364"/>
        <v>0</v>
      </c>
      <c r="M1490" s="456"/>
      <c r="N1490" s="456">
        <v>0</v>
      </c>
      <c r="O1490" s="456"/>
      <c r="P1490" s="456"/>
      <c r="Q1490" s="382"/>
      <c r="R1490" s="385" t="str">
        <f t="shared" si="370"/>
        <v>T</v>
      </c>
      <c r="S1490" s="389"/>
      <c r="T1490" s="389"/>
      <c r="U1490" s="389"/>
      <c r="V1490" s="389"/>
      <c r="W1490" s="389"/>
      <c r="X1490" s="389"/>
      <c r="Y1490" s="389"/>
      <c r="Z1490" s="389"/>
      <c r="AA1490" s="389"/>
      <c r="AB1490" s="389"/>
      <c r="AC1490" s="389"/>
      <c r="AD1490" s="389"/>
      <c r="AE1490" s="389"/>
      <c r="AF1490" s="389"/>
    </row>
    <row r="1491" spans="1:37" hidden="1" outlineLevel="3">
      <c r="A1491" s="382"/>
      <c r="B1491" s="404" t="s">
        <v>584</v>
      </c>
      <c r="C1491" s="404" t="s">
        <v>584</v>
      </c>
      <c r="D1491" s="405" t="s">
        <v>202</v>
      </c>
      <c r="E1491" s="405" t="s">
        <v>29</v>
      </c>
      <c r="F1491" s="448" t="s">
        <v>33</v>
      </c>
      <c r="G1491" s="457">
        <v>1.2600000000000002</v>
      </c>
      <c r="H1491" s="456"/>
      <c r="I1491" s="456">
        <v>0</v>
      </c>
      <c r="J1491" s="456"/>
      <c r="K1491" s="456"/>
      <c r="L1491" s="457">
        <f t="shared" si="364"/>
        <v>0</v>
      </c>
      <c r="M1491" s="456"/>
      <c r="N1491" s="456">
        <v>0</v>
      </c>
      <c r="O1491" s="456"/>
      <c r="P1491" s="456"/>
      <c r="Q1491" s="382"/>
      <c r="R1491" s="385" t="str">
        <f t="shared" si="370"/>
        <v>T</v>
      </c>
      <c r="S1491" s="389"/>
      <c r="T1491" s="389"/>
      <c r="U1491" s="389"/>
      <c r="V1491" s="389"/>
      <c r="W1491" s="389"/>
      <c r="X1491" s="389"/>
      <c r="Y1491" s="389"/>
      <c r="Z1491" s="389"/>
      <c r="AA1491" s="389"/>
      <c r="AB1491" s="389"/>
      <c r="AC1491" s="389"/>
      <c r="AD1491" s="389"/>
      <c r="AE1491" s="389"/>
      <c r="AF1491" s="389"/>
    </row>
    <row r="1492" spans="1:37" hidden="1" outlineLevel="3">
      <c r="A1492" s="382"/>
      <c r="B1492" s="404" t="s">
        <v>584</v>
      </c>
      <c r="C1492" s="404" t="s">
        <v>584</v>
      </c>
      <c r="D1492" s="405" t="s">
        <v>202</v>
      </c>
      <c r="E1492" s="405" t="s">
        <v>29</v>
      </c>
      <c r="F1492" s="448" t="s">
        <v>471</v>
      </c>
      <c r="G1492" s="457">
        <v>1.2600000000000002</v>
      </c>
      <c r="H1492" s="456"/>
      <c r="I1492" s="456"/>
      <c r="J1492" s="456">
        <v>0</v>
      </c>
      <c r="K1492" s="456"/>
      <c r="L1492" s="457">
        <f t="shared" si="364"/>
        <v>0</v>
      </c>
      <c r="M1492" s="456"/>
      <c r="N1492" s="456"/>
      <c r="O1492" s="456">
        <v>0</v>
      </c>
      <c r="P1492" s="456"/>
      <c r="Q1492" s="382"/>
      <c r="R1492" s="385" t="str">
        <f t="shared" si="370"/>
        <v>T</v>
      </c>
      <c r="S1492" s="389"/>
      <c r="T1492" s="389"/>
      <c r="U1492" s="389"/>
      <c r="V1492" s="389"/>
      <c r="W1492" s="389"/>
      <c r="X1492" s="389"/>
      <c r="Y1492" s="389"/>
      <c r="Z1492" s="389"/>
      <c r="AA1492" s="389"/>
      <c r="AB1492" s="389"/>
      <c r="AC1492" s="389"/>
      <c r="AD1492" s="389"/>
      <c r="AE1492" s="389"/>
      <c r="AF1492" s="389"/>
    </row>
    <row r="1493" spans="1:37" hidden="1" outlineLevel="3">
      <c r="A1493" s="382"/>
      <c r="B1493" s="404" t="s">
        <v>584</v>
      </c>
      <c r="C1493" s="404" t="s">
        <v>584</v>
      </c>
      <c r="D1493" s="405" t="s">
        <v>202</v>
      </c>
      <c r="E1493" s="405" t="s">
        <v>29</v>
      </c>
      <c r="F1493" s="448" t="s">
        <v>478</v>
      </c>
      <c r="G1493" s="457">
        <v>1.4100000000000001</v>
      </c>
      <c r="H1493" s="456"/>
      <c r="I1493" s="456"/>
      <c r="J1493" s="456">
        <v>0</v>
      </c>
      <c r="K1493" s="456"/>
      <c r="L1493" s="457">
        <f t="shared" si="364"/>
        <v>0</v>
      </c>
      <c r="M1493" s="456"/>
      <c r="N1493" s="456"/>
      <c r="O1493" s="456">
        <v>0</v>
      </c>
      <c r="P1493" s="456"/>
      <c r="Q1493" s="382"/>
      <c r="R1493" s="385" t="str">
        <f t="shared" si="370"/>
        <v>T</v>
      </c>
      <c r="S1493" s="389"/>
      <c r="T1493" s="389"/>
      <c r="U1493" s="389"/>
      <c r="V1493" s="389"/>
      <c r="W1493" s="389"/>
      <c r="X1493" s="389"/>
      <c r="Y1493" s="389"/>
      <c r="Z1493" s="389"/>
      <c r="AA1493" s="389"/>
      <c r="AB1493" s="389"/>
      <c r="AC1493" s="389"/>
      <c r="AD1493" s="389"/>
      <c r="AE1493" s="389"/>
      <c r="AF1493" s="389"/>
    </row>
    <row r="1494" spans="1:37" hidden="1" outlineLevel="3">
      <c r="A1494" s="382"/>
      <c r="B1494" s="404" t="s">
        <v>584</v>
      </c>
      <c r="C1494" s="404" t="s">
        <v>584</v>
      </c>
      <c r="D1494" s="405" t="s">
        <v>202</v>
      </c>
      <c r="E1494" s="405" t="s">
        <v>29</v>
      </c>
      <c r="F1494" s="448" t="s">
        <v>479</v>
      </c>
      <c r="G1494" s="457">
        <v>1.4100000000000001</v>
      </c>
      <c r="H1494" s="456"/>
      <c r="I1494" s="456"/>
      <c r="J1494" s="456">
        <v>0</v>
      </c>
      <c r="K1494" s="456"/>
      <c r="L1494" s="457">
        <f t="shared" si="364"/>
        <v>0</v>
      </c>
      <c r="M1494" s="456"/>
      <c r="N1494" s="456"/>
      <c r="O1494" s="456">
        <v>0</v>
      </c>
      <c r="P1494" s="456"/>
      <c r="Q1494" s="382"/>
      <c r="R1494" s="385" t="str">
        <f t="shared" si="370"/>
        <v>T</v>
      </c>
      <c r="S1494" s="389"/>
      <c r="T1494" s="389"/>
      <c r="U1494" s="389"/>
      <c r="V1494" s="389"/>
      <c r="W1494" s="389"/>
      <c r="X1494" s="389"/>
      <c r="Y1494" s="389"/>
      <c r="Z1494" s="389"/>
      <c r="AA1494" s="389"/>
      <c r="AB1494" s="389"/>
      <c r="AC1494" s="389"/>
      <c r="AD1494" s="389"/>
      <c r="AE1494" s="389"/>
      <c r="AF1494" s="389"/>
    </row>
    <row r="1495" spans="1:37" s="413" customFormat="1" hidden="1" outlineLevel="2" collapsed="1">
      <c r="A1495" s="382"/>
      <c r="B1495" s="404" t="s">
        <v>584</v>
      </c>
      <c r="C1495" s="404" t="s">
        <v>584</v>
      </c>
      <c r="D1495" s="405" t="s">
        <v>18</v>
      </c>
      <c r="E1495" s="405"/>
      <c r="F1495" s="448" t="s">
        <v>472</v>
      </c>
      <c r="G1495" s="457">
        <f>SUM(G1496:G1498)</f>
        <v>0.45000000000000007</v>
      </c>
      <c r="H1495" s="456">
        <f>SUM(H1496:H1498)</f>
        <v>0</v>
      </c>
      <c r="I1495" s="456">
        <f>SUM(I1496:I1498)</f>
        <v>0</v>
      </c>
      <c r="J1495" s="456">
        <f>SUM(J1496:J1498)</f>
        <v>0</v>
      </c>
      <c r="K1495" s="456">
        <f>SUM(K1496:K1498)</f>
        <v>0</v>
      </c>
      <c r="L1495" s="457">
        <f t="shared" si="364"/>
        <v>0</v>
      </c>
      <c r="M1495" s="456">
        <f>SUM(M1496:M1498)</f>
        <v>0</v>
      </c>
      <c r="N1495" s="456">
        <f>SUM(N1496:N1498)</f>
        <v>0</v>
      </c>
      <c r="O1495" s="456">
        <f>SUM(O1496:O1498)</f>
        <v>0</v>
      </c>
      <c r="P1495" s="456">
        <f>SUM(P1496:P1498)</f>
        <v>0</v>
      </c>
      <c r="Q1495" s="382"/>
      <c r="R1495" s="385" t="str">
        <f t="shared" si="370"/>
        <v>T</v>
      </c>
      <c r="S1495" s="389"/>
      <c r="T1495" s="389"/>
      <c r="U1495" s="389"/>
      <c r="V1495" s="389"/>
      <c r="W1495" s="389"/>
      <c r="X1495" s="389"/>
      <c r="Y1495" s="389"/>
      <c r="Z1495" s="389"/>
      <c r="AA1495" s="389"/>
      <c r="AB1495" s="389"/>
      <c r="AC1495" s="389"/>
      <c r="AD1495" s="389"/>
      <c r="AE1495" s="389"/>
      <c r="AF1495" s="389"/>
      <c r="AG1495" s="383"/>
      <c r="AH1495" s="383"/>
      <c r="AI1495" s="383"/>
      <c r="AJ1495" s="383"/>
      <c r="AK1495" s="383"/>
    </row>
    <row r="1496" spans="1:37" hidden="1" outlineLevel="3">
      <c r="A1496" s="382"/>
      <c r="B1496" s="404" t="s">
        <v>584</v>
      </c>
      <c r="C1496" s="404" t="s">
        <v>584</v>
      </c>
      <c r="D1496" s="405" t="s">
        <v>18</v>
      </c>
      <c r="E1496" s="405" t="s">
        <v>204</v>
      </c>
      <c r="F1496" s="448" t="s">
        <v>32</v>
      </c>
      <c r="G1496" s="457">
        <v>0.15000000000000002</v>
      </c>
      <c r="H1496" s="456"/>
      <c r="I1496" s="456"/>
      <c r="J1496" s="456">
        <v>0</v>
      </c>
      <c r="K1496" s="456"/>
      <c r="L1496" s="457">
        <f t="shared" si="364"/>
        <v>0</v>
      </c>
      <c r="M1496" s="456"/>
      <c r="N1496" s="456"/>
      <c r="O1496" s="456">
        <v>0</v>
      </c>
      <c r="P1496" s="456"/>
      <c r="Q1496" s="382"/>
      <c r="R1496" s="385" t="str">
        <f t="shared" si="370"/>
        <v>T</v>
      </c>
      <c r="S1496" s="389"/>
      <c r="T1496" s="389"/>
      <c r="U1496" s="389"/>
      <c r="V1496" s="389"/>
      <c r="W1496" s="389"/>
      <c r="X1496" s="389"/>
      <c r="Y1496" s="389"/>
      <c r="Z1496" s="389"/>
      <c r="AA1496" s="389"/>
      <c r="AB1496" s="389"/>
      <c r="AC1496" s="389"/>
      <c r="AD1496" s="389"/>
      <c r="AE1496" s="389"/>
      <c r="AF1496" s="389"/>
    </row>
    <row r="1497" spans="1:37" hidden="1" outlineLevel="3">
      <c r="A1497" s="382"/>
      <c r="B1497" s="404" t="s">
        <v>584</v>
      </c>
      <c r="C1497" s="404" t="s">
        <v>584</v>
      </c>
      <c r="D1497" s="405" t="s">
        <v>18</v>
      </c>
      <c r="E1497" s="405" t="s">
        <v>204</v>
      </c>
      <c r="F1497" s="448" t="s">
        <v>33</v>
      </c>
      <c r="G1497" s="457">
        <v>0.15000000000000002</v>
      </c>
      <c r="H1497" s="456"/>
      <c r="I1497" s="456"/>
      <c r="J1497" s="456">
        <v>0</v>
      </c>
      <c r="K1497" s="456"/>
      <c r="L1497" s="457">
        <f t="shared" si="364"/>
        <v>0</v>
      </c>
      <c r="M1497" s="456"/>
      <c r="N1497" s="456"/>
      <c r="O1497" s="456">
        <v>0</v>
      </c>
      <c r="P1497" s="456"/>
      <c r="Q1497" s="382"/>
      <c r="R1497" s="385" t="str">
        <f t="shared" si="370"/>
        <v>T</v>
      </c>
      <c r="S1497" s="389"/>
      <c r="T1497" s="389"/>
      <c r="U1497" s="389"/>
      <c r="V1497" s="389"/>
      <c r="W1497" s="389"/>
      <c r="X1497" s="389"/>
      <c r="Y1497" s="389"/>
      <c r="Z1497" s="389"/>
      <c r="AA1497" s="389"/>
      <c r="AB1497" s="389"/>
      <c r="AC1497" s="389"/>
      <c r="AD1497" s="389"/>
      <c r="AE1497" s="389"/>
      <c r="AF1497" s="389"/>
    </row>
    <row r="1498" spans="1:37" hidden="1" outlineLevel="3">
      <c r="A1498" s="382"/>
      <c r="B1498" s="404" t="s">
        <v>584</v>
      </c>
      <c r="C1498" s="404" t="s">
        <v>584</v>
      </c>
      <c r="D1498" s="405" t="s">
        <v>18</v>
      </c>
      <c r="E1498" s="405" t="s">
        <v>204</v>
      </c>
      <c r="F1498" s="448" t="s">
        <v>34</v>
      </c>
      <c r="G1498" s="457">
        <v>0.15000000000000002</v>
      </c>
      <c r="H1498" s="456"/>
      <c r="I1498" s="456"/>
      <c r="J1498" s="456"/>
      <c r="K1498" s="456">
        <v>0</v>
      </c>
      <c r="L1498" s="457">
        <f t="shared" ref="L1498:L1555" si="459">SUM(M1498:P1498)</f>
        <v>0</v>
      </c>
      <c r="M1498" s="456"/>
      <c r="N1498" s="456"/>
      <c r="O1498" s="456"/>
      <c r="P1498" s="456">
        <v>0</v>
      </c>
      <c r="Q1498" s="382"/>
      <c r="R1498" s="385" t="str">
        <f t="shared" si="370"/>
        <v>T</v>
      </c>
      <c r="S1498" s="389"/>
      <c r="T1498" s="389"/>
      <c r="U1498" s="389"/>
      <c r="V1498" s="389"/>
      <c r="W1498" s="389"/>
      <c r="X1498" s="389"/>
      <c r="Y1498" s="389"/>
      <c r="Z1498" s="389"/>
      <c r="AA1498" s="389"/>
      <c r="AB1498" s="389"/>
      <c r="AC1498" s="389"/>
      <c r="AD1498" s="389"/>
      <c r="AE1498" s="389"/>
      <c r="AF1498" s="389"/>
    </row>
    <row r="1499" spans="1:37" s="413" customFormat="1" hidden="1" outlineLevel="2" collapsed="1">
      <c r="A1499" s="382"/>
      <c r="B1499" s="404" t="s">
        <v>584</v>
      </c>
      <c r="C1499" s="404" t="s">
        <v>584</v>
      </c>
      <c r="D1499" s="405" t="s">
        <v>26</v>
      </c>
      <c r="E1499" s="405"/>
      <c r="F1499" s="448" t="s">
        <v>575</v>
      </c>
      <c r="G1499" s="457">
        <f>SUM(G1500:G1502)</f>
        <v>2.3913600000000002</v>
      </c>
      <c r="H1499" s="456">
        <f>SUM(H1500:H1502)</f>
        <v>0</v>
      </c>
      <c r="I1499" s="456">
        <f>SUM(I1500:I1502)</f>
        <v>0</v>
      </c>
      <c r="J1499" s="456">
        <f>SUM(J1500:J1502)</f>
        <v>0</v>
      </c>
      <c r="K1499" s="456">
        <f>SUM(K1500:K1502)</f>
        <v>0</v>
      </c>
      <c r="L1499" s="457">
        <f t="shared" si="459"/>
        <v>0</v>
      </c>
      <c r="M1499" s="456">
        <f>SUM(M1500:M1502)</f>
        <v>0</v>
      </c>
      <c r="N1499" s="456">
        <f>SUM(N1500:N1502)</f>
        <v>0</v>
      </c>
      <c r="O1499" s="456">
        <f>SUM(O1500:O1502)</f>
        <v>0</v>
      </c>
      <c r="P1499" s="456">
        <f>SUM(P1500:P1502)</f>
        <v>0</v>
      </c>
      <c r="Q1499" s="382"/>
      <c r="R1499" s="385" t="str">
        <f t="shared" si="370"/>
        <v>T</v>
      </c>
      <c r="S1499" s="389"/>
      <c r="T1499" s="389"/>
      <c r="U1499" s="389"/>
      <c r="V1499" s="389"/>
      <c r="W1499" s="389"/>
      <c r="X1499" s="389"/>
      <c r="Y1499" s="389"/>
      <c r="Z1499" s="389"/>
      <c r="AA1499" s="389"/>
      <c r="AB1499" s="389"/>
      <c r="AC1499" s="389"/>
      <c r="AD1499" s="389"/>
      <c r="AE1499" s="389"/>
      <c r="AF1499" s="389"/>
      <c r="AG1499" s="383"/>
      <c r="AH1499" s="383"/>
      <c r="AI1499" s="383"/>
      <c r="AJ1499" s="383"/>
      <c r="AK1499" s="383"/>
    </row>
    <row r="1500" spans="1:37" hidden="1" outlineLevel="3">
      <c r="A1500" s="382"/>
      <c r="B1500" s="404" t="s">
        <v>584</v>
      </c>
      <c r="C1500" s="404" t="s">
        <v>584</v>
      </c>
      <c r="D1500" s="405" t="s">
        <v>26</v>
      </c>
      <c r="E1500" s="405" t="s">
        <v>27</v>
      </c>
      <c r="F1500" s="448" t="s">
        <v>32</v>
      </c>
      <c r="G1500" s="457">
        <v>0.59784000000000004</v>
      </c>
      <c r="H1500" s="456"/>
      <c r="I1500" s="456">
        <v>0</v>
      </c>
      <c r="J1500" s="456"/>
      <c r="K1500" s="456"/>
      <c r="L1500" s="457">
        <f t="shared" si="459"/>
        <v>0</v>
      </c>
      <c r="M1500" s="456"/>
      <c r="N1500" s="456">
        <v>0</v>
      </c>
      <c r="O1500" s="456"/>
      <c r="P1500" s="456"/>
      <c r="Q1500" s="382"/>
      <c r="R1500" s="385" t="str">
        <f t="shared" si="370"/>
        <v>T</v>
      </c>
      <c r="S1500" s="389"/>
      <c r="T1500" s="389"/>
      <c r="U1500" s="389"/>
      <c r="V1500" s="389"/>
      <c r="W1500" s="389"/>
      <c r="X1500" s="389"/>
      <c r="Y1500" s="389"/>
      <c r="Z1500" s="389"/>
      <c r="AA1500" s="389"/>
      <c r="AB1500" s="389"/>
      <c r="AC1500" s="389"/>
      <c r="AD1500" s="389"/>
      <c r="AE1500" s="389"/>
      <c r="AF1500" s="389"/>
    </row>
    <row r="1501" spans="1:37" hidden="1" outlineLevel="3">
      <c r="A1501" s="382"/>
      <c r="B1501" s="404" t="s">
        <v>584</v>
      </c>
      <c r="C1501" s="404" t="s">
        <v>584</v>
      </c>
      <c r="D1501" s="405" t="s">
        <v>26</v>
      </c>
      <c r="E1501" s="405" t="s">
        <v>27</v>
      </c>
      <c r="F1501" s="448" t="s">
        <v>34</v>
      </c>
      <c r="G1501" s="457">
        <v>1.1956800000000001</v>
      </c>
      <c r="H1501" s="456"/>
      <c r="I1501" s="456"/>
      <c r="J1501" s="456">
        <v>0</v>
      </c>
      <c r="K1501" s="456"/>
      <c r="L1501" s="457">
        <f t="shared" si="459"/>
        <v>0</v>
      </c>
      <c r="M1501" s="456"/>
      <c r="N1501" s="456"/>
      <c r="O1501" s="456">
        <v>0</v>
      </c>
      <c r="P1501" s="456"/>
      <c r="Q1501" s="382"/>
      <c r="R1501" s="385" t="str">
        <f t="shared" si="370"/>
        <v>T</v>
      </c>
      <c r="S1501" s="389"/>
      <c r="T1501" s="389"/>
      <c r="U1501" s="389"/>
      <c r="V1501" s="389"/>
      <c r="W1501" s="389"/>
      <c r="X1501" s="389"/>
      <c r="Y1501" s="389"/>
      <c r="Z1501" s="389"/>
      <c r="AA1501" s="389"/>
      <c r="AB1501" s="389"/>
      <c r="AC1501" s="389"/>
      <c r="AD1501" s="389"/>
      <c r="AE1501" s="389"/>
      <c r="AF1501" s="389"/>
    </row>
    <row r="1502" spans="1:37" hidden="1" outlineLevel="3">
      <c r="A1502" s="382"/>
      <c r="B1502" s="404" t="s">
        <v>584</v>
      </c>
      <c r="C1502" s="404" t="s">
        <v>584</v>
      </c>
      <c r="D1502" s="405" t="s">
        <v>26</v>
      </c>
      <c r="E1502" s="405" t="s">
        <v>27</v>
      </c>
      <c r="F1502" s="448" t="s">
        <v>471</v>
      </c>
      <c r="G1502" s="457">
        <v>0.59784000000000004</v>
      </c>
      <c r="H1502" s="456"/>
      <c r="I1502" s="456"/>
      <c r="J1502" s="456">
        <v>0</v>
      </c>
      <c r="K1502" s="456"/>
      <c r="L1502" s="457">
        <f t="shared" si="459"/>
        <v>0</v>
      </c>
      <c r="M1502" s="456"/>
      <c r="N1502" s="456"/>
      <c r="O1502" s="456">
        <v>0</v>
      </c>
      <c r="P1502" s="456"/>
      <c r="Q1502" s="382"/>
      <c r="R1502" s="385" t="str">
        <f t="shared" si="370"/>
        <v>T</v>
      </c>
      <c r="S1502" s="389"/>
      <c r="T1502" s="389"/>
      <c r="U1502" s="389"/>
      <c r="V1502" s="389"/>
      <c r="W1502" s="389"/>
      <c r="X1502" s="389"/>
      <c r="Y1502" s="389"/>
      <c r="Z1502" s="389"/>
      <c r="AA1502" s="389"/>
      <c r="AB1502" s="389"/>
      <c r="AC1502" s="389"/>
      <c r="AD1502" s="389"/>
      <c r="AE1502" s="389"/>
      <c r="AF1502" s="389"/>
    </row>
    <row r="1503" spans="1:37" s="413" customFormat="1" hidden="1" outlineLevel="2" collapsed="1">
      <c r="A1503" s="382"/>
      <c r="B1503" s="404" t="s">
        <v>584</v>
      </c>
      <c r="C1503" s="404" t="s">
        <v>584</v>
      </c>
      <c r="D1503" s="405" t="s">
        <v>28</v>
      </c>
      <c r="E1503" s="405"/>
      <c r="F1503" s="448" t="s">
        <v>576</v>
      </c>
      <c r="G1503" s="457">
        <f>SUM(G1504:G1507)</f>
        <v>0.99828000000000006</v>
      </c>
      <c r="H1503" s="456">
        <f>SUM(H1504:H1507)</f>
        <v>0</v>
      </c>
      <c r="I1503" s="456">
        <f>SUM(I1504:I1507)</f>
        <v>0</v>
      </c>
      <c r="J1503" s="456">
        <f>SUM(J1504:J1507)</f>
        <v>0</v>
      </c>
      <c r="K1503" s="456">
        <f>SUM(K1504:K1507)</f>
        <v>0</v>
      </c>
      <c r="L1503" s="457">
        <f t="shared" si="459"/>
        <v>0</v>
      </c>
      <c r="M1503" s="456">
        <f>SUM(M1504:M1507)</f>
        <v>0</v>
      </c>
      <c r="N1503" s="456">
        <f>SUM(N1504:N1507)</f>
        <v>0</v>
      </c>
      <c r="O1503" s="456">
        <f>SUM(O1504:O1507)</f>
        <v>0</v>
      </c>
      <c r="P1503" s="456">
        <f>SUM(P1504:P1507)</f>
        <v>0</v>
      </c>
      <c r="Q1503" s="382"/>
      <c r="R1503" s="385" t="str">
        <f t="shared" si="370"/>
        <v>T</v>
      </c>
      <c r="S1503" s="389"/>
      <c r="T1503" s="389"/>
      <c r="U1503" s="389"/>
      <c r="V1503" s="389"/>
      <c r="W1503" s="389"/>
      <c r="X1503" s="389"/>
      <c r="Y1503" s="389"/>
      <c r="Z1503" s="389"/>
      <c r="AA1503" s="389"/>
      <c r="AB1503" s="389"/>
      <c r="AC1503" s="389"/>
      <c r="AD1503" s="389"/>
      <c r="AE1503" s="389"/>
      <c r="AF1503" s="389"/>
      <c r="AG1503" s="383"/>
      <c r="AH1503" s="383"/>
      <c r="AI1503" s="383"/>
      <c r="AJ1503" s="383"/>
      <c r="AK1503" s="383"/>
    </row>
    <row r="1504" spans="1:37" hidden="1" outlineLevel="3">
      <c r="A1504" s="382"/>
      <c r="B1504" s="404" t="s">
        <v>584</v>
      </c>
      <c r="C1504" s="404" t="s">
        <v>584</v>
      </c>
      <c r="D1504" s="405" t="s">
        <v>28</v>
      </c>
      <c r="E1504" s="405" t="s">
        <v>29</v>
      </c>
      <c r="F1504" s="448" t="s">
        <v>32</v>
      </c>
      <c r="G1504" s="457">
        <v>0.16638</v>
      </c>
      <c r="H1504" s="456"/>
      <c r="I1504" s="456">
        <v>0</v>
      </c>
      <c r="J1504" s="456"/>
      <c r="K1504" s="456"/>
      <c r="L1504" s="457">
        <f t="shared" si="459"/>
        <v>0</v>
      </c>
      <c r="M1504" s="456"/>
      <c r="N1504" s="456">
        <v>0</v>
      </c>
      <c r="O1504" s="456"/>
      <c r="P1504" s="456"/>
      <c r="Q1504" s="382"/>
      <c r="R1504" s="385" t="str">
        <f t="shared" si="370"/>
        <v>T</v>
      </c>
      <c r="S1504" s="389"/>
      <c r="T1504" s="389"/>
      <c r="U1504" s="389"/>
      <c r="V1504" s="389"/>
      <c r="W1504" s="389"/>
      <c r="X1504" s="389"/>
      <c r="Y1504" s="389"/>
      <c r="Z1504" s="389"/>
      <c r="AA1504" s="389"/>
      <c r="AB1504" s="389"/>
      <c r="AC1504" s="389"/>
      <c r="AD1504" s="389"/>
      <c r="AE1504" s="389"/>
      <c r="AF1504" s="389"/>
    </row>
    <row r="1505" spans="1:37" hidden="1" outlineLevel="3">
      <c r="A1505" s="382"/>
      <c r="B1505" s="404" t="s">
        <v>584</v>
      </c>
      <c r="C1505" s="404" t="s">
        <v>584</v>
      </c>
      <c r="D1505" s="405" t="s">
        <v>28</v>
      </c>
      <c r="E1505" s="405" t="s">
        <v>29</v>
      </c>
      <c r="F1505" s="448" t="s">
        <v>33</v>
      </c>
      <c r="G1505" s="457">
        <v>0.33276</v>
      </c>
      <c r="H1505" s="456"/>
      <c r="I1505" s="456">
        <v>0</v>
      </c>
      <c r="J1505" s="456"/>
      <c r="K1505" s="456"/>
      <c r="L1505" s="457">
        <f t="shared" si="459"/>
        <v>0</v>
      </c>
      <c r="M1505" s="456"/>
      <c r="N1505" s="456">
        <v>0</v>
      </c>
      <c r="O1505" s="456"/>
      <c r="P1505" s="456"/>
      <c r="Q1505" s="382"/>
      <c r="R1505" s="385" t="str">
        <f t="shared" si="370"/>
        <v>T</v>
      </c>
      <c r="S1505" s="389"/>
      <c r="T1505" s="389"/>
      <c r="U1505" s="389"/>
      <c r="V1505" s="389"/>
      <c r="W1505" s="389"/>
      <c r="X1505" s="389"/>
      <c r="Y1505" s="389"/>
      <c r="Z1505" s="389"/>
      <c r="AA1505" s="389"/>
      <c r="AB1505" s="389"/>
      <c r="AC1505" s="389"/>
      <c r="AD1505" s="389"/>
      <c r="AE1505" s="389"/>
      <c r="AF1505" s="389"/>
    </row>
    <row r="1506" spans="1:37" hidden="1" outlineLevel="3">
      <c r="A1506" s="382"/>
      <c r="B1506" s="404" t="s">
        <v>584</v>
      </c>
      <c r="C1506" s="404" t="s">
        <v>584</v>
      </c>
      <c r="D1506" s="405" t="s">
        <v>28</v>
      </c>
      <c r="E1506" s="405" t="s">
        <v>29</v>
      </c>
      <c r="F1506" s="448" t="s">
        <v>34</v>
      </c>
      <c r="G1506" s="457">
        <v>0.33276</v>
      </c>
      <c r="H1506" s="456"/>
      <c r="I1506" s="456"/>
      <c r="J1506" s="456">
        <v>0</v>
      </c>
      <c r="K1506" s="456"/>
      <c r="L1506" s="457">
        <f t="shared" si="459"/>
        <v>0</v>
      </c>
      <c r="M1506" s="456"/>
      <c r="N1506" s="456"/>
      <c r="O1506" s="456">
        <v>0</v>
      </c>
      <c r="P1506" s="456"/>
      <c r="Q1506" s="382"/>
      <c r="R1506" s="385" t="str">
        <f t="shared" si="370"/>
        <v>T</v>
      </c>
      <c r="S1506" s="389"/>
      <c r="T1506" s="389"/>
      <c r="U1506" s="389"/>
      <c r="V1506" s="389"/>
      <c r="W1506" s="389"/>
      <c r="X1506" s="389"/>
      <c r="Y1506" s="389"/>
      <c r="Z1506" s="389"/>
      <c r="AA1506" s="389"/>
      <c r="AB1506" s="389"/>
      <c r="AC1506" s="389"/>
      <c r="AD1506" s="389"/>
      <c r="AE1506" s="389"/>
      <c r="AF1506" s="389"/>
    </row>
    <row r="1507" spans="1:37" hidden="1" outlineLevel="3">
      <c r="A1507" s="382"/>
      <c r="B1507" s="404" t="s">
        <v>584</v>
      </c>
      <c r="C1507" s="404" t="s">
        <v>584</v>
      </c>
      <c r="D1507" s="405" t="s">
        <v>28</v>
      </c>
      <c r="E1507" s="405" t="s">
        <v>29</v>
      </c>
      <c r="F1507" s="448" t="s">
        <v>471</v>
      </c>
      <c r="G1507" s="457">
        <v>0.16638</v>
      </c>
      <c r="H1507" s="456"/>
      <c r="I1507" s="456"/>
      <c r="J1507" s="456">
        <v>0</v>
      </c>
      <c r="K1507" s="456"/>
      <c r="L1507" s="457">
        <f t="shared" si="459"/>
        <v>0</v>
      </c>
      <c r="M1507" s="456"/>
      <c r="N1507" s="456"/>
      <c r="O1507" s="456">
        <v>0</v>
      </c>
      <c r="P1507" s="456"/>
      <c r="Q1507" s="382"/>
      <c r="R1507" s="385" t="str">
        <f t="shared" si="370"/>
        <v>T</v>
      </c>
      <c r="S1507" s="389"/>
      <c r="T1507" s="389"/>
      <c r="U1507" s="389"/>
      <c r="V1507" s="389"/>
      <c r="W1507" s="389"/>
      <c r="X1507" s="389"/>
      <c r="Y1507" s="389"/>
      <c r="Z1507" s="389"/>
      <c r="AA1507" s="389"/>
      <c r="AB1507" s="389"/>
      <c r="AC1507" s="389"/>
      <c r="AD1507" s="389"/>
      <c r="AE1507" s="389"/>
      <c r="AF1507" s="389"/>
    </row>
    <row r="1508" spans="1:37" s="413" customFormat="1" hidden="1" outlineLevel="2" collapsed="1">
      <c r="A1508" s="382"/>
      <c r="B1508" s="404" t="s">
        <v>584</v>
      </c>
      <c r="C1508" s="404" t="s">
        <v>584</v>
      </c>
      <c r="D1508" s="405" t="s">
        <v>64</v>
      </c>
      <c r="E1508" s="405"/>
      <c r="F1508" s="448" t="s">
        <v>576</v>
      </c>
      <c r="G1508" s="457">
        <f>+SUM(G1509:G1513)</f>
        <v>0.74448000000000003</v>
      </c>
      <c r="H1508" s="456">
        <f>SUM(H1509:H1513)</f>
        <v>0</v>
      </c>
      <c r="I1508" s="456">
        <f>SUM(I1509:I1513)</f>
        <v>0</v>
      </c>
      <c r="J1508" s="456">
        <f>SUM(J1509:J1513)</f>
        <v>0</v>
      </c>
      <c r="K1508" s="456">
        <f>SUM(K1509:K1513)</f>
        <v>0</v>
      </c>
      <c r="L1508" s="457">
        <f t="shared" si="459"/>
        <v>0</v>
      </c>
      <c r="M1508" s="456">
        <f>SUM(M1509:M1513)</f>
        <v>0</v>
      </c>
      <c r="N1508" s="456">
        <f>SUM(N1509:N1513)</f>
        <v>0</v>
      </c>
      <c r="O1508" s="456">
        <f>SUM(O1509:O1513)</f>
        <v>0</v>
      </c>
      <c r="P1508" s="456">
        <f>SUM(P1509:P1513)</f>
        <v>0</v>
      </c>
      <c r="Q1508" s="382"/>
      <c r="R1508" s="385" t="str">
        <f t="shared" si="370"/>
        <v>T</v>
      </c>
      <c r="S1508" s="389"/>
      <c r="T1508" s="389"/>
      <c r="U1508" s="389"/>
      <c r="V1508" s="389"/>
      <c r="W1508" s="389"/>
      <c r="X1508" s="389"/>
      <c r="Y1508" s="389"/>
      <c r="Z1508" s="389"/>
      <c r="AA1508" s="389"/>
      <c r="AB1508" s="389"/>
      <c r="AC1508" s="389"/>
      <c r="AD1508" s="389"/>
      <c r="AE1508" s="389"/>
      <c r="AF1508" s="389"/>
      <c r="AG1508" s="383"/>
      <c r="AH1508" s="383"/>
      <c r="AI1508" s="383"/>
      <c r="AJ1508" s="383"/>
      <c r="AK1508" s="383"/>
    </row>
    <row r="1509" spans="1:37" hidden="1" outlineLevel="3">
      <c r="A1509" s="382"/>
      <c r="B1509" s="404" t="s">
        <v>584</v>
      </c>
      <c r="C1509" s="404" t="s">
        <v>584</v>
      </c>
      <c r="D1509" s="405" t="s">
        <v>64</v>
      </c>
      <c r="E1509" s="405" t="s">
        <v>29</v>
      </c>
      <c r="F1509" s="448" t="s">
        <v>32</v>
      </c>
      <c r="G1509" s="457">
        <v>0.18612000000000001</v>
      </c>
      <c r="H1509" s="456"/>
      <c r="I1509" s="456">
        <v>0</v>
      </c>
      <c r="J1509" s="456"/>
      <c r="K1509" s="456"/>
      <c r="L1509" s="457">
        <f t="shared" si="459"/>
        <v>0</v>
      </c>
      <c r="M1509" s="456"/>
      <c r="N1509" s="456">
        <v>0</v>
      </c>
      <c r="O1509" s="456"/>
      <c r="P1509" s="456"/>
      <c r="Q1509" s="382"/>
      <c r="R1509" s="385" t="str">
        <f t="shared" si="370"/>
        <v>T</v>
      </c>
      <c r="S1509" s="389"/>
      <c r="T1509" s="389"/>
      <c r="U1509" s="389"/>
      <c r="V1509" s="389"/>
      <c r="W1509" s="389"/>
      <c r="X1509" s="389"/>
      <c r="Y1509" s="389"/>
      <c r="Z1509" s="389"/>
      <c r="AA1509" s="389"/>
      <c r="AB1509" s="389"/>
      <c r="AC1509" s="389"/>
      <c r="AD1509" s="389"/>
      <c r="AE1509" s="389"/>
      <c r="AF1509" s="389"/>
    </row>
    <row r="1510" spans="1:37" hidden="1" outlineLevel="3">
      <c r="A1510" s="382"/>
      <c r="B1510" s="404" t="s">
        <v>584</v>
      </c>
      <c r="C1510" s="404" t="s">
        <v>584</v>
      </c>
      <c r="D1510" s="405" t="s">
        <v>64</v>
      </c>
      <c r="E1510" s="405" t="s">
        <v>29</v>
      </c>
      <c r="F1510" s="448" t="s">
        <v>33</v>
      </c>
      <c r="G1510" s="457">
        <v>0.27917999999999998</v>
      </c>
      <c r="H1510" s="456"/>
      <c r="I1510" s="456">
        <v>0</v>
      </c>
      <c r="J1510" s="456"/>
      <c r="K1510" s="456"/>
      <c r="L1510" s="457">
        <f t="shared" si="459"/>
        <v>0</v>
      </c>
      <c r="M1510" s="456"/>
      <c r="N1510" s="456">
        <v>0</v>
      </c>
      <c r="O1510" s="456"/>
      <c r="P1510" s="456"/>
      <c r="Q1510" s="382"/>
      <c r="R1510" s="385" t="str">
        <f t="shared" si="370"/>
        <v>T</v>
      </c>
      <c r="S1510" s="389"/>
      <c r="T1510" s="389"/>
      <c r="U1510" s="389"/>
      <c r="V1510" s="389"/>
      <c r="W1510" s="389"/>
      <c r="X1510" s="389"/>
      <c r="Y1510" s="389"/>
      <c r="Z1510" s="389"/>
      <c r="AA1510" s="389"/>
      <c r="AB1510" s="389"/>
      <c r="AC1510" s="389"/>
      <c r="AD1510" s="389"/>
      <c r="AE1510" s="389"/>
      <c r="AF1510" s="389"/>
    </row>
    <row r="1511" spans="1:37" hidden="1" outlineLevel="3">
      <c r="A1511" s="382"/>
      <c r="B1511" s="404" t="s">
        <v>584</v>
      </c>
      <c r="C1511" s="404" t="s">
        <v>584</v>
      </c>
      <c r="D1511" s="405" t="s">
        <v>64</v>
      </c>
      <c r="E1511" s="405" t="s">
        <v>29</v>
      </c>
      <c r="F1511" s="448" t="s">
        <v>34</v>
      </c>
      <c r="G1511" s="457">
        <v>9.3060000000000004E-2</v>
      </c>
      <c r="H1511" s="456"/>
      <c r="I1511" s="456"/>
      <c r="J1511" s="456">
        <v>0</v>
      </c>
      <c r="K1511" s="456"/>
      <c r="L1511" s="457">
        <f t="shared" si="459"/>
        <v>0</v>
      </c>
      <c r="M1511" s="456"/>
      <c r="N1511" s="456"/>
      <c r="O1511" s="456">
        <v>0</v>
      </c>
      <c r="P1511" s="456"/>
      <c r="Q1511" s="382"/>
      <c r="R1511" s="385" t="str">
        <f t="shared" si="370"/>
        <v>T</v>
      </c>
      <c r="S1511" s="389"/>
      <c r="T1511" s="389"/>
      <c r="U1511" s="389"/>
      <c r="V1511" s="389"/>
      <c r="W1511" s="389"/>
      <c r="X1511" s="389"/>
      <c r="Y1511" s="389"/>
      <c r="Z1511" s="389"/>
      <c r="AA1511" s="389"/>
      <c r="AB1511" s="389"/>
      <c r="AC1511" s="389"/>
      <c r="AD1511" s="389"/>
      <c r="AE1511" s="389"/>
      <c r="AF1511" s="389"/>
    </row>
    <row r="1512" spans="1:37" hidden="1" outlineLevel="3">
      <c r="A1512" s="382"/>
      <c r="B1512" s="404" t="s">
        <v>584</v>
      </c>
      <c r="C1512" s="404" t="s">
        <v>584</v>
      </c>
      <c r="D1512" s="405" t="s">
        <v>64</v>
      </c>
      <c r="E1512" s="405" t="s">
        <v>29</v>
      </c>
      <c r="F1512" s="448" t="s">
        <v>471</v>
      </c>
      <c r="G1512" s="457">
        <v>9.3060000000000004E-2</v>
      </c>
      <c r="H1512" s="456"/>
      <c r="I1512" s="456"/>
      <c r="J1512" s="456">
        <v>0</v>
      </c>
      <c r="K1512" s="456"/>
      <c r="L1512" s="457">
        <f t="shared" si="459"/>
        <v>0</v>
      </c>
      <c r="M1512" s="456"/>
      <c r="N1512" s="456"/>
      <c r="O1512" s="456">
        <v>0</v>
      </c>
      <c r="P1512" s="456"/>
      <c r="Q1512" s="382"/>
      <c r="R1512" s="385" t="str">
        <f t="shared" si="370"/>
        <v>T</v>
      </c>
      <c r="S1512" s="389"/>
      <c r="T1512" s="389"/>
      <c r="U1512" s="389"/>
      <c r="V1512" s="389"/>
      <c r="W1512" s="389"/>
      <c r="X1512" s="389"/>
      <c r="Y1512" s="389"/>
      <c r="Z1512" s="389"/>
      <c r="AA1512" s="389"/>
      <c r="AB1512" s="389"/>
      <c r="AC1512" s="389"/>
      <c r="AD1512" s="389"/>
      <c r="AE1512" s="389"/>
      <c r="AF1512" s="389"/>
    </row>
    <row r="1513" spans="1:37" hidden="1" outlineLevel="3" collapsed="1">
      <c r="A1513" s="382"/>
      <c r="B1513" s="404" t="s">
        <v>584</v>
      </c>
      <c r="C1513" s="404" t="s">
        <v>584</v>
      </c>
      <c r="D1513" s="405" t="s">
        <v>64</v>
      </c>
      <c r="E1513" s="405" t="s">
        <v>29</v>
      </c>
      <c r="F1513" s="448" t="s">
        <v>335</v>
      </c>
      <c r="G1513" s="457">
        <v>9.3060000000000004E-2</v>
      </c>
      <c r="H1513" s="456"/>
      <c r="I1513" s="456"/>
      <c r="J1513" s="456">
        <v>0</v>
      </c>
      <c r="K1513" s="456"/>
      <c r="L1513" s="457">
        <f t="shared" si="459"/>
        <v>0</v>
      </c>
      <c r="M1513" s="456"/>
      <c r="N1513" s="456"/>
      <c r="O1513" s="456">
        <v>0</v>
      </c>
      <c r="P1513" s="456"/>
      <c r="Q1513" s="382"/>
      <c r="R1513" s="385" t="str">
        <f t="shared" si="370"/>
        <v>T</v>
      </c>
      <c r="S1513" s="389"/>
      <c r="T1513" s="389"/>
      <c r="U1513" s="389"/>
      <c r="V1513" s="389"/>
      <c r="W1513" s="389"/>
      <c r="X1513" s="389"/>
      <c r="Y1513" s="389"/>
      <c r="Z1513" s="389"/>
      <c r="AA1513" s="389"/>
      <c r="AB1513" s="389"/>
      <c r="AC1513" s="389"/>
      <c r="AD1513" s="389"/>
      <c r="AE1513" s="389"/>
      <c r="AF1513" s="389"/>
    </row>
    <row r="1514" spans="1:37" outlineLevel="1" collapsed="1">
      <c r="A1514" s="382"/>
      <c r="B1514" s="403" t="s">
        <v>586</v>
      </c>
      <c r="C1514" s="403" t="s">
        <v>587</v>
      </c>
      <c r="D1514" s="403"/>
      <c r="E1514" s="403"/>
      <c r="F1514" s="443" t="s">
        <v>585</v>
      </c>
      <c r="G1514" s="426">
        <f>(G1515+G1517+G1518+G1519)*0</f>
        <v>0</v>
      </c>
      <c r="H1514" s="470">
        <f>H1515+H1517+H1518+H1519</f>
        <v>0</v>
      </c>
      <c r="I1514" s="470">
        <f>I1515+I1517+I1518+I1519</f>
        <v>0</v>
      </c>
      <c r="J1514" s="470">
        <f>J1515+J1517+J1518+J1519</f>
        <v>0</v>
      </c>
      <c r="K1514" s="470">
        <f>K1515+K1517+K1518+K1519</f>
        <v>0</v>
      </c>
      <c r="L1514" s="426">
        <f t="shared" si="459"/>
        <v>0</v>
      </c>
      <c r="M1514" s="470">
        <f>M1515+M1517+M1518+M1519</f>
        <v>0</v>
      </c>
      <c r="N1514" s="470">
        <f>N1515+N1517+N1518+N1519</f>
        <v>0</v>
      </c>
      <c r="O1514" s="470">
        <f>O1515+O1517+O1518+O1519</f>
        <v>0</v>
      </c>
      <c r="P1514" s="470">
        <f>P1515+P1517+P1518+P1519</f>
        <v>0</v>
      </c>
      <c r="Q1514" s="382"/>
      <c r="R1514" s="385" t="str">
        <f t="shared" si="370"/>
        <v>T</v>
      </c>
      <c r="S1514" s="389"/>
      <c r="T1514" s="389"/>
      <c r="U1514" s="389"/>
      <c r="V1514" s="389"/>
      <c r="W1514" s="389"/>
      <c r="X1514" s="389"/>
      <c r="Y1514" s="389"/>
      <c r="Z1514" s="389"/>
      <c r="AA1514" s="389"/>
      <c r="AB1514" s="389"/>
      <c r="AC1514" s="389"/>
      <c r="AD1514" s="389"/>
      <c r="AE1514" s="389"/>
      <c r="AF1514" s="389"/>
    </row>
    <row r="1515" spans="1:37" hidden="1" outlineLevel="2">
      <c r="A1515" s="382"/>
      <c r="B1515" s="404" t="s">
        <v>586</v>
      </c>
      <c r="C1515" s="404" t="s">
        <v>586</v>
      </c>
      <c r="D1515" s="405" t="s">
        <v>18</v>
      </c>
      <c r="E1515" s="404"/>
      <c r="F1515" s="448" t="s">
        <v>588</v>
      </c>
      <c r="G1515" s="462">
        <f>SUM(G1516)</f>
        <v>2.2799999999999998</v>
      </c>
      <c r="H1515" s="463">
        <f>SUM(H1516)</f>
        <v>0</v>
      </c>
      <c r="I1515" s="463">
        <f>SUM(I1516)</f>
        <v>0</v>
      </c>
      <c r="J1515" s="463">
        <f>SUM(J1516)</f>
        <v>0</v>
      </c>
      <c r="K1515" s="463">
        <f>SUM(K1516)</f>
        <v>0</v>
      </c>
      <c r="L1515" s="462">
        <f t="shared" si="459"/>
        <v>0</v>
      </c>
      <c r="M1515" s="463">
        <f>SUM(M1516)</f>
        <v>0</v>
      </c>
      <c r="N1515" s="463">
        <f>SUM(N1516)</f>
        <v>0</v>
      </c>
      <c r="O1515" s="463">
        <f>SUM(O1516)</f>
        <v>0</v>
      </c>
      <c r="P1515" s="463">
        <f>SUM(P1516)</f>
        <v>0</v>
      </c>
      <c r="Q1515" s="382"/>
      <c r="R1515" s="385" t="str">
        <f t="shared" si="370"/>
        <v>T</v>
      </c>
      <c r="S1515" s="389"/>
      <c r="T1515" s="389"/>
      <c r="U1515" s="389"/>
      <c r="V1515" s="389"/>
      <c r="W1515" s="389"/>
      <c r="X1515" s="389"/>
      <c r="Y1515" s="389"/>
      <c r="Z1515" s="389"/>
      <c r="AA1515" s="389"/>
      <c r="AB1515" s="389"/>
      <c r="AC1515" s="389"/>
      <c r="AD1515" s="389"/>
      <c r="AE1515" s="389"/>
      <c r="AF1515" s="389"/>
    </row>
    <row r="1516" spans="1:37" hidden="1" outlineLevel="2">
      <c r="A1516" s="382"/>
      <c r="B1516" s="404" t="s">
        <v>586</v>
      </c>
      <c r="C1516" s="404" t="s">
        <v>586</v>
      </c>
      <c r="D1516" s="405" t="s">
        <v>18</v>
      </c>
      <c r="E1516" s="404"/>
      <c r="F1516" s="448" t="s">
        <v>334</v>
      </c>
      <c r="G1516" s="462">
        <v>2.2799999999999998</v>
      </c>
      <c r="H1516" s="463"/>
      <c r="I1516" s="463">
        <v>0</v>
      </c>
      <c r="J1516" s="463"/>
      <c r="K1516" s="463"/>
      <c r="L1516" s="462">
        <f t="shared" si="459"/>
        <v>0</v>
      </c>
      <c r="M1516" s="463"/>
      <c r="N1516" s="463">
        <v>0</v>
      </c>
      <c r="O1516" s="463"/>
      <c r="P1516" s="463"/>
      <c r="Q1516" s="382"/>
      <c r="R1516" s="385" t="str">
        <f t="shared" si="370"/>
        <v>T</v>
      </c>
      <c r="S1516" s="389"/>
      <c r="T1516" s="389"/>
      <c r="U1516" s="389"/>
      <c r="V1516" s="389"/>
      <c r="W1516" s="389"/>
      <c r="X1516" s="389"/>
      <c r="Y1516" s="389"/>
      <c r="Z1516" s="389"/>
      <c r="AA1516" s="389"/>
      <c r="AB1516" s="389"/>
      <c r="AC1516" s="389"/>
      <c r="AD1516" s="389"/>
      <c r="AE1516" s="389"/>
      <c r="AF1516" s="389"/>
    </row>
    <row r="1517" spans="1:37" hidden="1" outlineLevel="2">
      <c r="A1517" s="382"/>
      <c r="B1517" s="405" t="s">
        <v>26</v>
      </c>
      <c r="C1517" s="404" t="s">
        <v>586</v>
      </c>
      <c r="D1517" s="405"/>
      <c r="E1517" s="405"/>
      <c r="F1517" s="448"/>
      <c r="G1517" s="457"/>
      <c r="H1517" s="463"/>
      <c r="I1517" s="463"/>
      <c r="J1517" s="463"/>
      <c r="K1517" s="463"/>
      <c r="L1517" s="457">
        <f t="shared" si="459"/>
        <v>0</v>
      </c>
      <c r="M1517" s="463"/>
      <c r="N1517" s="463"/>
      <c r="O1517" s="463"/>
      <c r="P1517" s="463"/>
      <c r="Q1517" s="382"/>
      <c r="R1517" s="385" t="str">
        <f t="shared" si="370"/>
        <v>T</v>
      </c>
      <c r="S1517" s="389"/>
      <c r="T1517" s="389"/>
      <c r="U1517" s="389"/>
      <c r="V1517" s="389"/>
      <c r="W1517" s="389"/>
      <c r="X1517" s="389"/>
      <c r="Y1517" s="389"/>
      <c r="Z1517" s="389"/>
      <c r="AA1517" s="389"/>
      <c r="AB1517" s="389"/>
      <c r="AC1517" s="389"/>
      <c r="AD1517" s="389"/>
      <c r="AE1517" s="389"/>
      <c r="AF1517" s="389"/>
    </row>
    <row r="1518" spans="1:37" hidden="1" outlineLevel="2">
      <c r="A1518" s="382"/>
      <c r="B1518" s="405" t="s">
        <v>28</v>
      </c>
      <c r="C1518" s="404" t="s">
        <v>586</v>
      </c>
      <c r="D1518" s="405"/>
      <c r="E1518" s="405"/>
      <c r="F1518" s="448"/>
      <c r="G1518" s="462"/>
      <c r="H1518" s="463"/>
      <c r="I1518" s="463"/>
      <c r="J1518" s="463"/>
      <c r="K1518" s="463"/>
      <c r="L1518" s="462">
        <f t="shared" si="459"/>
        <v>0</v>
      </c>
      <c r="M1518" s="463"/>
      <c r="N1518" s="463"/>
      <c r="O1518" s="463"/>
      <c r="P1518" s="463"/>
      <c r="Q1518" s="382"/>
      <c r="R1518" s="385" t="str">
        <f t="shared" si="370"/>
        <v>T</v>
      </c>
      <c r="S1518" s="389"/>
      <c r="T1518" s="389"/>
      <c r="U1518" s="389"/>
      <c r="V1518" s="389"/>
      <c r="W1518" s="389"/>
      <c r="X1518" s="389"/>
      <c r="Y1518" s="389"/>
      <c r="Z1518" s="389"/>
      <c r="AA1518" s="389"/>
      <c r="AB1518" s="389"/>
      <c r="AC1518" s="389"/>
      <c r="AD1518" s="389"/>
      <c r="AE1518" s="389"/>
      <c r="AF1518" s="389"/>
    </row>
    <row r="1519" spans="1:37" hidden="1" outlineLevel="2">
      <c r="A1519" s="382"/>
      <c r="B1519" s="405" t="s">
        <v>64</v>
      </c>
      <c r="C1519" s="404" t="s">
        <v>586</v>
      </c>
      <c r="D1519" s="405"/>
      <c r="E1519" s="405"/>
      <c r="F1519" s="448"/>
      <c r="G1519" s="462"/>
      <c r="H1519" s="463"/>
      <c r="I1519" s="463"/>
      <c r="J1519" s="463"/>
      <c r="K1519" s="463"/>
      <c r="L1519" s="462">
        <f t="shared" si="459"/>
        <v>0</v>
      </c>
      <c r="M1519" s="463"/>
      <c r="N1519" s="463"/>
      <c r="O1519" s="463"/>
      <c r="P1519" s="463"/>
      <c r="Q1519" s="382"/>
      <c r="R1519" s="385" t="str">
        <f t="shared" ref="R1519:R1576" si="460">IF(SUM(M1519:P1519)=L1519,"T","F")</f>
        <v>T</v>
      </c>
      <c r="S1519" s="389"/>
      <c r="T1519" s="389"/>
      <c r="U1519" s="389"/>
      <c r="V1519" s="389"/>
      <c r="W1519" s="389"/>
      <c r="X1519" s="389"/>
      <c r="Y1519" s="389"/>
      <c r="Z1519" s="389"/>
      <c r="AA1519" s="389"/>
      <c r="AB1519" s="389"/>
      <c r="AC1519" s="389"/>
      <c r="AD1519" s="389"/>
      <c r="AE1519" s="389"/>
      <c r="AF1519" s="389"/>
    </row>
    <row r="1520" spans="1:37" outlineLevel="1" collapsed="1">
      <c r="A1520" s="382"/>
      <c r="B1520" s="403" t="s">
        <v>589</v>
      </c>
      <c r="C1520" s="403" t="s">
        <v>589</v>
      </c>
      <c r="D1520" s="403"/>
      <c r="E1520" s="425" t="s">
        <v>29</v>
      </c>
      <c r="F1520" s="443" t="s">
        <v>585</v>
      </c>
      <c r="G1520" s="426">
        <f>(G1521+G1523+G1524+G1525)*0</f>
        <v>0</v>
      </c>
      <c r="H1520" s="470">
        <f>H1521+H1523+H1524+H1525</f>
        <v>0</v>
      </c>
      <c r="I1520" s="470">
        <f>I1521+I1523+I1524+I1525</f>
        <v>0</v>
      </c>
      <c r="J1520" s="470">
        <f>J1521+J1523+J1524+J1525</f>
        <v>0</v>
      </c>
      <c r="K1520" s="470">
        <f>K1521+K1523+K1524+K1525</f>
        <v>0</v>
      </c>
      <c r="L1520" s="426">
        <f t="shared" si="459"/>
        <v>0</v>
      </c>
      <c r="M1520" s="470">
        <f>M1521+M1523+M1524+M1525</f>
        <v>0</v>
      </c>
      <c r="N1520" s="470">
        <f>N1521+N1523+N1524+N1525</f>
        <v>0</v>
      </c>
      <c r="O1520" s="470">
        <f>O1521+O1523+O1524+O1525</f>
        <v>0</v>
      </c>
      <c r="P1520" s="470">
        <f>P1521+P1523+P1524+P1525</f>
        <v>0</v>
      </c>
      <c r="Q1520" s="382"/>
      <c r="R1520" s="385" t="str">
        <f t="shared" si="460"/>
        <v>T</v>
      </c>
      <c r="S1520" s="389"/>
      <c r="T1520" s="389"/>
      <c r="U1520" s="389"/>
      <c r="V1520" s="389"/>
      <c r="W1520" s="389"/>
      <c r="X1520" s="389"/>
      <c r="Y1520" s="389"/>
      <c r="Z1520" s="389"/>
      <c r="AA1520" s="389"/>
      <c r="AB1520" s="389"/>
      <c r="AC1520" s="389"/>
      <c r="AD1520" s="389"/>
      <c r="AE1520" s="389"/>
      <c r="AF1520" s="389"/>
    </row>
    <row r="1521" spans="1:32" hidden="1" outlineLevel="2">
      <c r="A1521" s="382"/>
      <c r="B1521" s="404" t="s">
        <v>589</v>
      </c>
      <c r="C1521" s="404" t="s">
        <v>589</v>
      </c>
      <c r="D1521" s="404" t="s">
        <v>202</v>
      </c>
      <c r="E1521" s="405"/>
      <c r="F1521" s="448" t="s">
        <v>588</v>
      </c>
      <c r="G1521" s="462">
        <f>SUM(G1522)</f>
        <v>9.36</v>
      </c>
      <c r="H1521" s="463">
        <f>SUM(H1522)</f>
        <v>0</v>
      </c>
      <c r="I1521" s="463">
        <f>SUM(I1522)</f>
        <v>0</v>
      </c>
      <c r="J1521" s="463">
        <f>SUM(J1522)</f>
        <v>0</v>
      </c>
      <c r="K1521" s="463">
        <f>SUM(K1522)</f>
        <v>0</v>
      </c>
      <c r="L1521" s="462">
        <f t="shared" si="459"/>
        <v>0</v>
      </c>
      <c r="M1521" s="463">
        <f>SUM(M1522)</f>
        <v>0</v>
      </c>
      <c r="N1521" s="463">
        <f>SUM(N1522)</f>
        <v>0</v>
      </c>
      <c r="O1521" s="463">
        <f>SUM(O1522)</f>
        <v>0</v>
      </c>
      <c r="P1521" s="463">
        <f>SUM(P1522)</f>
        <v>0</v>
      </c>
      <c r="Q1521" s="382"/>
      <c r="R1521" s="385" t="str">
        <f t="shared" si="460"/>
        <v>T</v>
      </c>
      <c r="S1521" s="389"/>
      <c r="T1521" s="389"/>
      <c r="U1521" s="389"/>
      <c r="V1521" s="389"/>
      <c r="W1521" s="389"/>
      <c r="X1521" s="389"/>
      <c r="Y1521" s="389"/>
      <c r="Z1521" s="389"/>
      <c r="AA1521" s="389"/>
      <c r="AB1521" s="389"/>
      <c r="AC1521" s="389"/>
      <c r="AD1521" s="389"/>
      <c r="AE1521" s="389"/>
      <c r="AF1521" s="389"/>
    </row>
    <row r="1522" spans="1:32" hidden="1" outlineLevel="2">
      <c r="A1522" s="382"/>
      <c r="B1522" s="404" t="s">
        <v>589</v>
      </c>
      <c r="C1522" s="404" t="s">
        <v>589</v>
      </c>
      <c r="D1522" s="404" t="s">
        <v>202</v>
      </c>
      <c r="E1522" s="405"/>
      <c r="F1522" s="448" t="s">
        <v>334</v>
      </c>
      <c r="G1522" s="462">
        <v>9.36</v>
      </c>
      <c r="H1522" s="463"/>
      <c r="I1522" s="463">
        <v>0</v>
      </c>
      <c r="J1522" s="463"/>
      <c r="K1522" s="463"/>
      <c r="L1522" s="462">
        <f t="shared" si="459"/>
        <v>0</v>
      </c>
      <c r="M1522" s="463"/>
      <c r="N1522" s="463">
        <v>0</v>
      </c>
      <c r="O1522" s="463"/>
      <c r="P1522" s="463"/>
      <c r="Q1522" s="382"/>
      <c r="R1522" s="385" t="str">
        <f t="shared" si="460"/>
        <v>T</v>
      </c>
      <c r="S1522" s="389"/>
      <c r="T1522" s="389"/>
      <c r="U1522" s="389"/>
      <c r="V1522" s="389"/>
      <c r="W1522" s="389"/>
      <c r="X1522" s="389"/>
      <c r="Y1522" s="389"/>
      <c r="Z1522" s="389"/>
      <c r="AA1522" s="389"/>
      <c r="AB1522" s="389"/>
      <c r="AC1522" s="389"/>
      <c r="AD1522" s="389"/>
      <c r="AE1522" s="389"/>
      <c r="AF1522" s="389"/>
    </row>
    <row r="1523" spans="1:32" hidden="1" outlineLevel="2">
      <c r="A1523" s="382"/>
      <c r="B1523" s="404" t="s">
        <v>589</v>
      </c>
      <c r="C1523" s="404" t="s">
        <v>589</v>
      </c>
      <c r="D1523" s="405" t="s">
        <v>26</v>
      </c>
      <c r="E1523" s="405"/>
      <c r="F1523" s="448"/>
      <c r="G1523" s="462"/>
      <c r="H1523" s="463"/>
      <c r="I1523" s="463"/>
      <c r="J1523" s="463"/>
      <c r="K1523" s="463"/>
      <c r="L1523" s="462">
        <f t="shared" si="459"/>
        <v>0</v>
      </c>
      <c r="M1523" s="463"/>
      <c r="N1523" s="463"/>
      <c r="O1523" s="463"/>
      <c r="P1523" s="463"/>
      <c r="Q1523" s="382"/>
      <c r="R1523" s="385" t="str">
        <f t="shared" si="460"/>
        <v>T</v>
      </c>
      <c r="S1523" s="389"/>
      <c r="T1523" s="389"/>
      <c r="U1523" s="389"/>
      <c r="V1523" s="389"/>
      <c r="W1523" s="389"/>
      <c r="X1523" s="389"/>
      <c r="Y1523" s="389"/>
      <c r="Z1523" s="389"/>
      <c r="AA1523" s="389"/>
      <c r="AB1523" s="389"/>
      <c r="AC1523" s="389"/>
      <c r="AD1523" s="389"/>
      <c r="AE1523" s="389"/>
      <c r="AF1523" s="389"/>
    </row>
    <row r="1524" spans="1:32" hidden="1" outlineLevel="2">
      <c r="A1524" s="382"/>
      <c r="B1524" s="404" t="s">
        <v>589</v>
      </c>
      <c r="C1524" s="404" t="s">
        <v>589</v>
      </c>
      <c r="D1524" s="405" t="s">
        <v>28</v>
      </c>
      <c r="E1524" s="405"/>
      <c r="F1524" s="448"/>
      <c r="G1524" s="462"/>
      <c r="H1524" s="463"/>
      <c r="I1524" s="463"/>
      <c r="J1524" s="463"/>
      <c r="K1524" s="463"/>
      <c r="L1524" s="462">
        <f t="shared" si="459"/>
        <v>0</v>
      </c>
      <c r="M1524" s="463"/>
      <c r="N1524" s="463"/>
      <c r="O1524" s="463"/>
      <c r="P1524" s="463"/>
      <c r="Q1524" s="382"/>
      <c r="R1524" s="385" t="str">
        <f t="shared" si="460"/>
        <v>T</v>
      </c>
      <c r="S1524" s="389"/>
      <c r="T1524" s="389"/>
      <c r="U1524" s="389"/>
      <c r="V1524" s="389"/>
      <c r="W1524" s="389"/>
      <c r="X1524" s="389"/>
      <c r="Y1524" s="389"/>
      <c r="Z1524" s="389"/>
      <c r="AA1524" s="389"/>
      <c r="AB1524" s="389"/>
      <c r="AC1524" s="389"/>
      <c r="AD1524" s="389"/>
      <c r="AE1524" s="389"/>
      <c r="AF1524" s="389"/>
    </row>
    <row r="1525" spans="1:32" hidden="1" outlineLevel="2">
      <c r="A1525" s="382"/>
      <c r="B1525" s="404" t="s">
        <v>589</v>
      </c>
      <c r="C1525" s="404" t="s">
        <v>589</v>
      </c>
      <c r="D1525" s="405" t="s">
        <v>64</v>
      </c>
      <c r="E1525" s="405"/>
      <c r="F1525" s="448"/>
      <c r="G1525" s="462"/>
      <c r="H1525" s="463"/>
      <c r="I1525" s="463"/>
      <c r="J1525" s="463"/>
      <c r="K1525" s="463"/>
      <c r="L1525" s="462">
        <f t="shared" si="459"/>
        <v>0</v>
      </c>
      <c r="M1525" s="463"/>
      <c r="N1525" s="463"/>
      <c r="O1525" s="463"/>
      <c r="P1525" s="463"/>
      <c r="Q1525" s="382"/>
      <c r="R1525" s="385" t="str">
        <f t="shared" si="460"/>
        <v>T</v>
      </c>
      <c r="S1525" s="389"/>
      <c r="T1525" s="389"/>
      <c r="U1525" s="389"/>
      <c r="V1525" s="389"/>
      <c r="W1525" s="389"/>
      <c r="X1525" s="389"/>
      <c r="Y1525" s="389"/>
      <c r="Z1525" s="389"/>
      <c r="AA1525" s="389"/>
      <c r="AB1525" s="389"/>
      <c r="AC1525" s="389"/>
      <c r="AD1525" s="389"/>
      <c r="AE1525" s="389"/>
      <c r="AF1525" s="389"/>
    </row>
    <row r="1526" spans="1:32" outlineLevel="1" collapsed="1">
      <c r="A1526" s="382"/>
      <c r="B1526" s="403" t="s">
        <v>590</v>
      </c>
      <c r="C1526" s="403" t="s">
        <v>590</v>
      </c>
      <c r="D1526" s="403"/>
      <c r="E1526" s="425" t="s">
        <v>29</v>
      </c>
      <c r="F1526" s="443" t="s">
        <v>585</v>
      </c>
      <c r="G1526" s="426">
        <f>(G1527+G1529+G1530+G1531)*0</f>
        <v>0</v>
      </c>
      <c r="H1526" s="470">
        <f>H1527+H1529+H1530+H1531</f>
        <v>0</v>
      </c>
      <c r="I1526" s="470">
        <f>I1527+I1529+I1530+I1531</f>
        <v>0</v>
      </c>
      <c r="J1526" s="470">
        <f>J1527+J1529+J1530+J1531</f>
        <v>0</v>
      </c>
      <c r="K1526" s="470">
        <f>K1527+K1529+K1530+K1531</f>
        <v>0</v>
      </c>
      <c r="L1526" s="426">
        <f t="shared" si="459"/>
        <v>0</v>
      </c>
      <c r="M1526" s="470">
        <f>M1527+M1529+M1530+M1531</f>
        <v>0</v>
      </c>
      <c r="N1526" s="470">
        <f>N1527+N1529+N1530+N1531</f>
        <v>0</v>
      </c>
      <c r="O1526" s="470">
        <f>O1527+O1529+O1530+O1531</f>
        <v>0</v>
      </c>
      <c r="P1526" s="470">
        <f>P1527+P1529+P1530+P1531</f>
        <v>0</v>
      </c>
      <c r="Q1526" s="382"/>
      <c r="R1526" s="385" t="str">
        <f t="shared" si="460"/>
        <v>T</v>
      </c>
      <c r="S1526" s="389"/>
      <c r="T1526" s="389"/>
      <c r="U1526" s="389"/>
      <c r="V1526" s="389"/>
      <c r="W1526" s="389"/>
      <c r="X1526" s="389"/>
      <c r="Y1526" s="389"/>
      <c r="Z1526" s="389"/>
      <c r="AA1526" s="389"/>
      <c r="AB1526" s="389"/>
      <c r="AC1526" s="389"/>
      <c r="AD1526" s="389"/>
      <c r="AE1526" s="389"/>
      <c r="AF1526" s="389"/>
    </row>
    <row r="1527" spans="1:32" hidden="1" outlineLevel="2">
      <c r="A1527" s="382"/>
      <c r="B1527" s="404" t="s">
        <v>590</v>
      </c>
      <c r="C1527" s="404" t="s">
        <v>590</v>
      </c>
      <c r="D1527" s="405" t="s">
        <v>18</v>
      </c>
      <c r="E1527" s="405"/>
      <c r="F1527" s="448" t="s">
        <v>588</v>
      </c>
      <c r="G1527" s="462">
        <f>SUM(G1528)</f>
        <v>0.8</v>
      </c>
      <c r="H1527" s="463">
        <f>SUM(H1528)</f>
        <v>0</v>
      </c>
      <c r="I1527" s="463">
        <f>SUM(I1528)</f>
        <v>0</v>
      </c>
      <c r="J1527" s="463">
        <f>SUM(J1528)</f>
        <v>0</v>
      </c>
      <c r="K1527" s="463">
        <f>SUM(K1528)</f>
        <v>0</v>
      </c>
      <c r="L1527" s="462">
        <f t="shared" si="459"/>
        <v>0</v>
      </c>
      <c r="M1527" s="463">
        <f>SUM(M1528)</f>
        <v>0</v>
      </c>
      <c r="N1527" s="463">
        <f>SUM(N1528)</f>
        <v>0</v>
      </c>
      <c r="O1527" s="463">
        <f>SUM(O1528)</f>
        <v>0</v>
      </c>
      <c r="P1527" s="463">
        <f>SUM(P1528)</f>
        <v>0</v>
      </c>
      <c r="Q1527" s="382"/>
      <c r="R1527" s="385" t="str">
        <f t="shared" si="460"/>
        <v>T</v>
      </c>
      <c r="S1527" s="389"/>
      <c r="T1527" s="389"/>
      <c r="U1527" s="389"/>
      <c r="V1527" s="389"/>
      <c r="W1527" s="389"/>
      <c r="X1527" s="389"/>
      <c r="Y1527" s="389"/>
      <c r="Z1527" s="389"/>
      <c r="AA1527" s="389"/>
      <c r="AB1527" s="389"/>
      <c r="AC1527" s="389"/>
      <c r="AD1527" s="389"/>
      <c r="AE1527" s="389"/>
      <c r="AF1527" s="389"/>
    </row>
    <row r="1528" spans="1:32" hidden="1" outlineLevel="2">
      <c r="A1528" s="382"/>
      <c r="B1528" s="404" t="s">
        <v>590</v>
      </c>
      <c r="C1528" s="404" t="s">
        <v>590</v>
      </c>
      <c r="D1528" s="405" t="s">
        <v>18</v>
      </c>
      <c r="E1528" s="405"/>
      <c r="F1528" s="448" t="s">
        <v>334</v>
      </c>
      <c r="G1528" s="462">
        <v>0.8</v>
      </c>
      <c r="H1528" s="463"/>
      <c r="I1528" s="463">
        <v>0</v>
      </c>
      <c r="J1528" s="463"/>
      <c r="K1528" s="463"/>
      <c r="L1528" s="462">
        <f t="shared" si="459"/>
        <v>0</v>
      </c>
      <c r="M1528" s="463"/>
      <c r="N1528" s="463">
        <v>0</v>
      </c>
      <c r="O1528" s="463"/>
      <c r="P1528" s="463"/>
      <c r="Q1528" s="382"/>
      <c r="R1528" s="385" t="str">
        <f t="shared" si="460"/>
        <v>T</v>
      </c>
      <c r="S1528" s="389"/>
      <c r="T1528" s="389"/>
      <c r="U1528" s="389"/>
      <c r="V1528" s="389"/>
      <c r="W1528" s="389"/>
      <c r="X1528" s="389"/>
      <c r="Y1528" s="389"/>
      <c r="Z1528" s="389"/>
      <c r="AA1528" s="389"/>
      <c r="AB1528" s="389"/>
      <c r="AC1528" s="389"/>
      <c r="AD1528" s="389"/>
      <c r="AE1528" s="389"/>
      <c r="AF1528" s="389"/>
    </row>
    <row r="1529" spans="1:32" hidden="1" outlineLevel="2">
      <c r="A1529" s="382"/>
      <c r="B1529" s="405" t="s">
        <v>26</v>
      </c>
      <c r="C1529" s="404" t="s">
        <v>590</v>
      </c>
      <c r="D1529" s="405"/>
      <c r="E1529" s="405"/>
      <c r="F1529" s="448"/>
      <c r="G1529" s="462"/>
      <c r="H1529" s="463"/>
      <c r="I1529" s="463"/>
      <c r="J1529" s="463"/>
      <c r="K1529" s="463"/>
      <c r="L1529" s="462">
        <f t="shared" si="459"/>
        <v>0</v>
      </c>
      <c r="M1529" s="463"/>
      <c r="N1529" s="463"/>
      <c r="O1529" s="463"/>
      <c r="P1529" s="463"/>
      <c r="Q1529" s="382"/>
      <c r="R1529" s="385" t="str">
        <f t="shared" si="460"/>
        <v>T</v>
      </c>
      <c r="S1529" s="389"/>
      <c r="T1529" s="389"/>
      <c r="U1529" s="389"/>
      <c r="V1529" s="389"/>
      <c r="W1529" s="389"/>
      <c r="X1529" s="389"/>
      <c r="Y1529" s="389"/>
      <c r="Z1529" s="389"/>
      <c r="AA1529" s="389"/>
      <c r="AB1529" s="389"/>
      <c r="AC1529" s="389"/>
      <c r="AD1529" s="389"/>
      <c r="AE1529" s="389"/>
      <c r="AF1529" s="389"/>
    </row>
    <row r="1530" spans="1:32" hidden="1" outlineLevel="2">
      <c r="A1530" s="382"/>
      <c r="B1530" s="405" t="s">
        <v>28</v>
      </c>
      <c r="C1530" s="404" t="s">
        <v>590</v>
      </c>
      <c r="D1530" s="405"/>
      <c r="E1530" s="405"/>
      <c r="F1530" s="448"/>
      <c r="G1530" s="462"/>
      <c r="H1530" s="463"/>
      <c r="I1530" s="463"/>
      <c r="J1530" s="463"/>
      <c r="K1530" s="463"/>
      <c r="L1530" s="462">
        <f t="shared" si="459"/>
        <v>0</v>
      </c>
      <c r="M1530" s="463"/>
      <c r="N1530" s="463"/>
      <c r="O1530" s="463"/>
      <c r="P1530" s="463"/>
      <c r="Q1530" s="382"/>
      <c r="R1530" s="385" t="str">
        <f t="shared" si="460"/>
        <v>T</v>
      </c>
      <c r="S1530" s="389"/>
      <c r="T1530" s="389"/>
      <c r="U1530" s="389"/>
      <c r="V1530" s="389"/>
      <c r="W1530" s="389"/>
      <c r="X1530" s="389"/>
      <c r="Y1530" s="389"/>
      <c r="Z1530" s="389"/>
      <c r="AA1530" s="389"/>
      <c r="AB1530" s="389"/>
      <c r="AC1530" s="389"/>
      <c r="AD1530" s="389"/>
      <c r="AE1530" s="389"/>
      <c r="AF1530" s="389"/>
    </row>
    <row r="1531" spans="1:32" hidden="1" outlineLevel="2">
      <c r="A1531" s="382"/>
      <c r="B1531" s="405" t="s">
        <v>64</v>
      </c>
      <c r="C1531" s="404" t="s">
        <v>590</v>
      </c>
      <c r="D1531" s="405"/>
      <c r="E1531" s="405"/>
      <c r="F1531" s="448"/>
      <c r="G1531" s="462"/>
      <c r="H1531" s="463"/>
      <c r="I1531" s="463"/>
      <c r="J1531" s="463"/>
      <c r="K1531" s="463"/>
      <c r="L1531" s="462">
        <f t="shared" si="459"/>
        <v>0</v>
      </c>
      <c r="M1531" s="463"/>
      <c r="N1531" s="463"/>
      <c r="O1531" s="463"/>
      <c r="P1531" s="463"/>
      <c r="Q1531" s="382"/>
      <c r="R1531" s="385" t="str">
        <f t="shared" si="460"/>
        <v>T</v>
      </c>
      <c r="S1531" s="389"/>
      <c r="T1531" s="389"/>
      <c r="U1531" s="389"/>
      <c r="V1531" s="389"/>
      <c r="W1531" s="389"/>
      <c r="X1531" s="389"/>
      <c r="Y1531" s="389"/>
      <c r="Z1531" s="389"/>
      <c r="AA1531" s="389"/>
      <c r="AB1531" s="389"/>
      <c r="AC1531" s="389"/>
      <c r="AD1531" s="389"/>
      <c r="AE1531" s="389"/>
      <c r="AF1531" s="389"/>
    </row>
    <row r="1532" spans="1:32" outlineLevel="1" collapsed="1">
      <c r="A1532" s="382"/>
      <c r="B1532" s="403" t="s">
        <v>591</v>
      </c>
      <c r="C1532" s="403" t="s">
        <v>592</v>
      </c>
      <c r="D1532" s="403"/>
      <c r="E1532" s="425" t="s">
        <v>29</v>
      </c>
      <c r="F1532" s="443" t="s">
        <v>585</v>
      </c>
      <c r="G1532" s="426">
        <f>(G1533+G1535+G1536+G1537)*0</f>
        <v>0</v>
      </c>
      <c r="H1532" s="470">
        <f>H1533+H1535+H1536+H1537</f>
        <v>0</v>
      </c>
      <c r="I1532" s="470">
        <f>I1533+I1535+I1536+I1537</f>
        <v>0</v>
      </c>
      <c r="J1532" s="470">
        <f>J1533+J1535+J1536+J1537</f>
        <v>0</v>
      </c>
      <c r="K1532" s="470">
        <f>K1533+K1535+K1536+K1537</f>
        <v>0</v>
      </c>
      <c r="L1532" s="426">
        <f t="shared" si="459"/>
        <v>0</v>
      </c>
      <c r="M1532" s="470">
        <f>M1533+M1535+M1536+M1537</f>
        <v>0</v>
      </c>
      <c r="N1532" s="470">
        <f>N1533+N1535+N1536+N1537</f>
        <v>0</v>
      </c>
      <c r="O1532" s="470">
        <f>O1533+O1535+O1536+O1537</f>
        <v>0</v>
      </c>
      <c r="P1532" s="470">
        <f>P1533+P1535+P1536+P1537</f>
        <v>0</v>
      </c>
      <c r="Q1532" s="382"/>
      <c r="R1532" s="385" t="str">
        <f t="shared" si="460"/>
        <v>T</v>
      </c>
      <c r="S1532" s="389"/>
      <c r="T1532" s="389"/>
      <c r="U1532" s="389"/>
      <c r="V1532" s="389"/>
      <c r="W1532" s="389"/>
      <c r="X1532" s="389"/>
      <c r="Y1532" s="389"/>
      <c r="Z1532" s="389"/>
      <c r="AA1532" s="389"/>
      <c r="AB1532" s="389"/>
      <c r="AC1532" s="389"/>
      <c r="AD1532" s="389"/>
      <c r="AE1532" s="389"/>
      <c r="AF1532" s="389"/>
    </row>
    <row r="1533" spans="1:32" hidden="1" outlineLevel="2">
      <c r="A1533" s="382"/>
      <c r="B1533" s="404" t="s">
        <v>592</v>
      </c>
      <c r="C1533" s="404" t="s">
        <v>592</v>
      </c>
      <c r="D1533" s="405" t="s">
        <v>202</v>
      </c>
      <c r="E1533" s="405"/>
      <c r="F1533" s="448" t="s">
        <v>588</v>
      </c>
      <c r="G1533" s="462">
        <f>SUM(G1534)</f>
        <v>0.89</v>
      </c>
      <c r="H1533" s="463">
        <f>SUM(H1534)</f>
        <v>0</v>
      </c>
      <c r="I1533" s="463">
        <f>SUM(I1534)</f>
        <v>0</v>
      </c>
      <c r="J1533" s="463">
        <f>SUM(J1534)</f>
        <v>0</v>
      </c>
      <c r="K1533" s="463">
        <f>SUM(K1534)</f>
        <v>0</v>
      </c>
      <c r="L1533" s="462">
        <f t="shared" si="459"/>
        <v>0</v>
      </c>
      <c r="M1533" s="463">
        <f>SUM(M1534)</f>
        <v>0</v>
      </c>
      <c r="N1533" s="463">
        <f>SUM(N1534)</f>
        <v>0</v>
      </c>
      <c r="O1533" s="463">
        <f>SUM(O1534)</f>
        <v>0</v>
      </c>
      <c r="P1533" s="463">
        <f>SUM(P1534)</f>
        <v>0</v>
      </c>
      <c r="Q1533" s="382"/>
      <c r="R1533" s="385" t="str">
        <f t="shared" si="460"/>
        <v>T</v>
      </c>
      <c r="S1533" s="389"/>
      <c r="T1533" s="389"/>
      <c r="U1533" s="389"/>
      <c r="V1533" s="389"/>
      <c r="W1533" s="389"/>
      <c r="X1533" s="389"/>
      <c r="Y1533" s="389"/>
      <c r="Z1533" s="389"/>
      <c r="AA1533" s="389"/>
      <c r="AB1533" s="389"/>
      <c r="AC1533" s="389"/>
      <c r="AD1533" s="389"/>
      <c r="AE1533" s="389"/>
      <c r="AF1533" s="389"/>
    </row>
    <row r="1534" spans="1:32" hidden="1" outlineLevel="2">
      <c r="A1534" s="382"/>
      <c r="B1534" s="404" t="s">
        <v>592</v>
      </c>
      <c r="C1534" s="404" t="s">
        <v>592</v>
      </c>
      <c r="D1534" s="405" t="s">
        <v>202</v>
      </c>
      <c r="E1534" s="405"/>
      <c r="F1534" s="448" t="s">
        <v>334</v>
      </c>
      <c r="G1534" s="462">
        <v>0.89</v>
      </c>
      <c r="H1534" s="463"/>
      <c r="I1534" s="463">
        <v>0</v>
      </c>
      <c r="J1534" s="463"/>
      <c r="K1534" s="463"/>
      <c r="L1534" s="462">
        <f t="shared" si="459"/>
        <v>0</v>
      </c>
      <c r="M1534" s="463"/>
      <c r="N1534" s="463">
        <v>0</v>
      </c>
      <c r="O1534" s="463"/>
      <c r="P1534" s="463"/>
      <c r="Q1534" s="382"/>
      <c r="R1534" s="385" t="str">
        <f t="shared" si="460"/>
        <v>T</v>
      </c>
      <c r="S1534" s="389"/>
      <c r="T1534" s="389"/>
      <c r="U1534" s="389"/>
      <c r="V1534" s="389"/>
      <c r="W1534" s="389"/>
      <c r="X1534" s="389"/>
      <c r="Y1534" s="389"/>
      <c r="Z1534" s="389"/>
      <c r="AA1534" s="389"/>
      <c r="AB1534" s="389"/>
      <c r="AC1534" s="389"/>
      <c r="AD1534" s="389"/>
      <c r="AE1534" s="389"/>
      <c r="AF1534" s="389"/>
    </row>
    <row r="1535" spans="1:32" hidden="1" outlineLevel="2">
      <c r="A1535" s="382"/>
      <c r="B1535" s="404" t="s">
        <v>592</v>
      </c>
      <c r="C1535" s="404" t="s">
        <v>592</v>
      </c>
      <c r="D1535" s="405"/>
      <c r="E1535" s="405"/>
      <c r="F1535" s="448"/>
      <c r="G1535" s="462"/>
      <c r="H1535" s="463"/>
      <c r="I1535" s="463"/>
      <c r="J1535" s="463"/>
      <c r="K1535" s="463"/>
      <c r="L1535" s="462">
        <f t="shared" si="459"/>
        <v>0</v>
      </c>
      <c r="M1535" s="463"/>
      <c r="N1535" s="463"/>
      <c r="O1535" s="463"/>
      <c r="P1535" s="463"/>
      <c r="Q1535" s="382"/>
      <c r="R1535" s="385" t="str">
        <f t="shared" si="460"/>
        <v>T</v>
      </c>
      <c r="S1535" s="389"/>
      <c r="T1535" s="389"/>
      <c r="U1535" s="389"/>
      <c r="V1535" s="389"/>
      <c r="W1535" s="389"/>
      <c r="X1535" s="389"/>
      <c r="Y1535" s="389"/>
      <c r="Z1535" s="389"/>
      <c r="AA1535" s="389"/>
      <c r="AB1535" s="389"/>
      <c r="AC1535" s="389"/>
      <c r="AD1535" s="389"/>
      <c r="AE1535" s="389"/>
      <c r="AF1535" s="389"/>
    </row>
    <row r="1536" spans="1:32" hidden="1" outlineLevel="2">
      <c r="A1536" s="382"/>
      <c r="B1536" s="404" t="s">
        <v>592</v>
      </c>
      <c r="C1536" s="404" t="s">
        <v>592</v>
      </c>
      <c r="D1536" s="405"/>
      <c r="E1536" s="405"/>
      <c r="F1536" s="448"/>
      <c r="G1536" s="462"/>
      <c r="H1536" s="463"/>
      <c r="I1536" s="463"/>
      <c r="J1536" s="463"/>
      <c r="K1536" s="463"/>
      <c r="L1536" s="462">
        <f t="shared" si="459"/>
        <v>0</v>
      </c>
      <c r="M1536" s="463"/>
      <c r="N1536" s="463"/>
      <c r="O1536" s="463"/>
      <c r="P1536" s="463"/>
      <c r="Q1536" s="382"/>
      <c r="R1536" s="385" t="str">
        <f t="shared" si="460"/>
        <v>T</v>
      </c>
      <c r="S1536" s="389"/>
      <c r="T1536" s="389"/>
      <c r="U1536" s="389"/>
      <c r="V1536" s="389"/>
      <c r="W1536" s="389"/>
      <c r="X1536" s="389"/>
      <c r="Y1536" s="389"/>
      <c r="Z1536" s="389"/>
      <c r="AA1536" s="389"/>
      <c r="AB1536" s="389"/>
      <c r="AC1536" s="389"/>
      <c r="AD1536" s="389"/>
      <c r="AE1536" s="389"/>
      <c r="AF1536" s="389"/>
    </row>
    <row r="1537" spans="1:37" hidden="1" outlineLevel="2" collapsed="1">
      <c r="A1537" s="382"/>
      <c r="B1537" s="404" t="s">
        <v>592</v>
      </c>
      <c r="C1537" s="404" t="s">
        <v>592</v>
      </c>
      <c r="D1537" s="405"/>
      <c r="E1537" s="405"/>
      <c r="F1537" s="448"/>
      <c r="G1537" s="462"/>
      <c r="H1537" s="463"/>
      <c r="I1537" s="463"/>
      <c r="J1537" s="463"/>
      <c r="K1537" s="463"/>
      <c r="L1537" s="462">
        <f t="shared" si="459"/>
        <v>0</v>
      </c>
      <c r="M1537" s="463"/>
      <c r="N1537" s="463"/>
      <c r="O1537" s="463"/>
      <c r="P1537" s="463"/>
      <c r="Q1537" s="382"/>
      <c r="R1537" s="385" t="str">
        <f t="shared" si="460"/>
        <v>T</v>
      </c>
      <c r="S1537" s="389"/>
      <c r="T1537" s="389"/>
      <c r="U1537" s="389"/>
      <c r="V1537" s="389"/>
      <c r="W1537" s="389"/>
      <c r="X1537" s="389"/>
      <c r="Y1537" s="389"/>
      <c r="Z1537" s="389"/>
      <c r="AA1537" s="389"/>
      <c r="AB1537" s="389"/>
      <c r="AC1537" s="389"/>
      <c r="AD1537" s="389"/>
      <c r="AE1537" s="389"/>
      <c r="AF1537" s="389"/>
    </row>
    <row r="1538" spans="1:37" hidden="1" outlineLevel="3">
      <c r="A1538" s="382"/>
      <c r="B1538" s="404" t="s">
        <v>593</v>
      </c>
      <c r="C1538" s="404" t="s">
        <v>593</v>
      </c>
      <c r="D1538" s="405" t="s">
        <v>64</v>
      </c>
      <c r="E1538" s="405" t="s">
        <v>29</v>
      </c>
      <c r="F1538" s="448" t="s">
        <v>32</v>
      </c>
      <c r="G1538" s="457">
        <v>6.0719999999999996E-2</v>
      </c>
      <c r="H1538" s="456"/>
      <c r="I1538" s="456"/>
      <c r="J1538" s="456"/>
      <c r="K1538" s="456"/>
      <c r="L1538" s="457">
        <f t="shared" si="459"/>
        <v>0</v>
      </c>
      <c r="M1538" s="456"/>
      <c r="N1538" s="456"/>
      <c r="O1538" s="456"/>
      <c r="P1538" s="456"/>
      <c r="Q1538" s="382"/>
      <c r="R1538" s="385" t="str">
        <f t="shared" si="460"/>
        <v>T</v>
      </c>
      <c r="S1538" s="389"/>
      <c r="T1538" s="389"/>
      <c r="U1538" s="389"/>
      <c r="V1538" s="389"/>
      <c r="W1538" s="389"/>
      <c r="X1538" s="389"/>
      <c r="Y1538" s="389"/>
      <c r="Z1538" s="389"/>
      <c r="AA1538" s="389"/>
      <c r="AB1538" s="389"/>
      <c r="AC1538" s="389"/>
      <c r="AD1538" s="389"/>
      <c r="AE1538" s="389"/>
      <c r="AF1538" s="389"/>
    </row>
    <row r="1539" spans="1:37" hidden="1" outlineLevel="3">
      <c r="A1539" s="382"/>
      <c r="B1539" s="404" t="s">
        <v>593</v>
      </c>
      <c r="C1539" s="404" t="s">
        <v>593</v>
      </c>
      <c r="D1539" s="405" t="s">
        <v>64</v>
      </c>
      <c r="E1539" s="405" t="s">
        <v>29</v>
      </c>
      <c r="F1539" s="448" t="s">
        <v>33</v>
      </c>
      <c r="G1539" s="457">
        <v>9.1079999999999994E-2</v>
      </c>
      <c r="H1539" s="456"/>
      <c r="I1539" s="456"/>
      <c r="J1539" s="456"/>
      <c r="K1539" s="456"/>
      <c r="L1539" s="457">
        <f t="shared" si="459"/>
        <v>0</v>
      </c>
      <c r="M1539" s="456"/>
      <c r="N1539" s="456"/>
      <c r="O1539" s="456"/>
      <c r="P1539" s="456"/>
      <c r="Q1539" s="382"/>
      <c r="R1539" s="385" t="str">
        <f t="shared" si="460"/>
        <v>T</v>
      </c>
      <c r="S1539" s="389"/>
      <c r="T1539" s="389"/>
      <c r="U1539" s="389"/>
      <c r="V1539" s="389"/>
      <c r="W1539" s="389"/>
      <c r="X1539" s="389"/>
      <c r="Y1539" s="389"/>
      <c r="Z1539" s="389"/>
      <c r="AA1539" s="389"/>
      <c r="AB1539" s="389"/>
      <c r="AC1539" s="389"/>
      <c r="AD1539" s="389"/>
      <c r="AE1539" s="389"/>
      <c r="AF1539" s="389"/>
    </row>
    <row r="1540" spans="1:37" hidden="1" outlineLevel="3">
      <c r="A1540" s="382"/>
      <c r="B1540" s="404" t="s">
        <v>593</v>
      </c>
      <c r="C1540" s="404" t="s">
        <v>593</v>
      </c>
      <c r="D1540" s="405" t="s">
        <v>64</v>
      </c>
      <c r="E1540" s="405" t="s">
        <v>29</v>
      </c>
      <c r="F1540" s="448" t="s">
        <v>34</v>
      </c>
      <c r="G1540" s="457">
        <v>3.0359999999999998E-2</v>
      </c>
      <c r="H1540" s="456"/>
      <c r="I1540" s="456"/>
      <c r="J1540" s="456"/>
      <c r="K1540" s="456"/>
      <c r="L1540" s="457">
        <f t="shared" si="459"/>
        <v>0</v>
      </c>
      <c r="M1540" s="456"/>
      <c r="N1540" s="456"/>
      <c r="O1540" s="456"/>
      <c r="P1540" s="456"/>
      <c r="Q1540" s="382"/>
      <c r="R1540" s="385" t="str">
        <f t="shared" si="460"/>
        <v>T</v>
      </c>
      <c r="S1540" s="389"/>
      <c r="T1540" s="389"/>
      <c r="U1540" s="389"/>
      <c r="V1540" s="389"/>
      <c r="W1540" s="389"/>
      <c r="X1540" s="389"/>
      <c r="Y1540" s="389"/>
      <c r="Z1540" s="389"/>
      <c r="AA1540" s="389"/>
      <c r="AB1540" s="389"/>
      <c r="AC1540" s="389"/>
      <c r="AD1540" s="389"/>
      <c r="AE1540" s="389"/>
      <c r="AF1540" s="389"/>
    </row>
    <row r="1541" spans="1:37" hidden="1" outlineLevel="3">
      <c r="A1541" s="382"/>
      <c r="B1541" s="404" t="s">
        <v>593</v>
      </c>
      <c r="C1541" s="404" t="s">
        <v>593</v>
      </c>
      <c r="D1541" s="405" t="s">
        <v>64</v>
      </c>
      <c r="E1541" s="405" t="s">
        <v>29</v>
      </c>
      <c r="F1541" s="448" t="s">
        <v>471</v>
      </c>
      <c r="G1541" s="457">
        <v>3.0359999999999998E-2</v>
      </c>
      <c r="H1541" s="456"/>
      <c r="I1541" s="456"/>
      <c r="J1541" s="456"/>
      <c r="K1541" s="456"/>
      <c r="L1541" s="457">
        <f t="shared" si="459"/>
        <v>0</v>
      </c>
      <c r="M1541" s="456"/>
      <c r="N1541" s="456"/>
      <c r="O1541" s="456"/>
      <c r="P1541" s="456"/>
      <c r="Q1541" s="382"/>
      <c r="R1541" s="385" t="str">
        <f t="shared" si="460"/>
        <v>T</v>
      </c>
      <c r="S1541" s="389"/>
      <c r="T1541" s="389"/>
      <c r="U1541" s="389"/>
      <c r="V1541" s="389"/>
      <c r="W1541" s="389"/>
      <c r="X1541" s="389"/>
      <c r="Y1541" s="389"/>
      <c r="Z1541" s="389"/>
      <c r="AA1541" s="389"/>
      <c r="AB1541" s="389"/>
      <c r="AC1541" s="389"/>
      <c r="AD1541" s="389"/>
      <c r="AE1541" s="389"/>
      <c r="AF1541" s="389"/>
    </row>
    <row r="1542" spans="1:37" hidden="1" outlineLevel="3" collapsed="1">
      <c r="A1542" s="382"/>
      <c r="B1542" s="404" t="s">
        <v>593</v>
      </c>
      <c r="C1542" s="404" t="s">
        <v>593</v>
      </c>
      <c r="D1542" s="405" t="s">
        <v>64</v>
      </c>
      <c r="E1542" s="405" t="s">
        <v>29</v>
      </c>
      <c r="F1542" s="448" t="s">
        <v>335</v>
      </c>
      <c r="G1542" s="457">
        <v>3.0359999999999998E-2</v>
      </c>
      <c r="H1542" s="456"/>
      <c r="I1542" s="456"/>
      <c r="J1542" s="456"/>
      <c r="K1542" s="456"/>
      <c r="L1542" s="457">
        <f t="shared" si="459"/>
        <v>0</v>
      </c>
      <c r="M1542" s="456"/>
      <c r="N1542" s="456"/>
      <c r="O1542" s="456"/>
      <c r="P1542" s="456"/>
      <c r="Q1542" s="382"/>
      <c r="R1542" s="385" t="str">
        <f t="shared" si="460"/>
        <v>T</v>
      </c>
      <c r="S1542" s="389"/>
      <c r="T1542" s="389"/>
      <c r="U1542" s="389"/>
      <c r="V1542" s="389"/>
      <c r="W1542" s="389"/>
      <c r="X1542" s="389"/>
      <c r="Y1542" s="389"/>
      <c r="Z1542" s="389"/>
      <c r="AA1542" s="389"/>
      <c r="AB1542" s="389"/>
      <c r="AC1542" s="389"/>
      <c r="AD1542" s="389"/>
      <c r="AE1542" s="389"/>
      <c r="AF1542" s="389"/>
    </row>
    <row r="1543" spans="1:37" outlineLevel="1" collapsed="1">
      <c r="A1543" s="382"/>
      <c r="B1543" s="403" t="s">
        <v>594</v>
      </c>
      <c r="C1543" s="403" t="s">
        <v>595</v>
      </c>
      <c r="D1543" s="403"/>
      <c r="E1543" s="425" t="s">
        <v>29</v>
      </c>
      <c r="F1543" s="443" t="s">
        <v>582</v>
      </c>
      <c r="G1543" s="469">
        <f>SUM(G1544:G1548)*0</f>
        <v>0</v>
      </c>
      <c r="H1543" s="470">
        <f>SUM(H1544:H1548)</f>
        <v>0</v>
      </c>
      <c r="I1543" s="470">
        <f>SUM(I1544:I1548)</f>
        <v>0</v>
      </c>
      <c r="J1543" s="470">
        <f>SUM(J1544:J1548)</f>
        <v>0</v>
      </c>
      <c r="K1543" s="470">
        <f>SUM(K1544:K1548)</f>
        <v>0</v>
      </c>
      <c r="L1543" s="469">
        <f t="shared" si="459"/>
        <v>0</v>
      </c>
      <c r="M1543" s="470">
        <f>SUM(M1544:M1548)</f>
        <v>0</v>
      </c>
      <c r="N1543" s="470">
        <f>SUM(N1544:N1548)</f>
        <v>0</v>
      </c>
      <c r="O1543" s="470">
        <f>SUM(O1544:O1548)</f>
        <v>0</v>
      </c>
      <c r="P1543" s="470">
        <f>SUM(P1544:P1548)</f>
        <v>0</v>
      </c>
      <c r="Q1543" s="382"/>
      <c r="R1543" s="385" t="str">
        <f t="shared" si="460"/>
        <v>T</v>
      </c>
      <c r="S1543" s="389"/>
      <c r="T1543" s="389"/>
      <c r="U1543" s="389"/>
      <c r="V1543" s="389"/>
      <c r="W1543" s="389"/>
      <c r="X1543" s="389"/>
      <c r="Y1543" s="389"/>
      <c r="Z1543" s="389"/>
      <c r="AA1543" s="389"/>
      <c r="AB1543" s="389"/>
      <c r="AC1543" s="389"/>
      <c r="AD1543" s="389"/>
      <c r="AE1543" s="389"/>
      <c r="AF1543" s="389"/>
    </row>
    <row r="1544" spans="1:37" hidden="1" outlineLevel="2">
      <c r="A1544" s="382"/>
      <c r="B1544" s="404" t="s">
        <v>594</v>
      </c>
      <c r="C1544" s="404" t="s">
        <v>595</v>
      </c>
      <c r="D1544" s="405" t="s">
        <v>202</v>
      </c>
      <c r="E1544" s="405"/>
      <c r="F1544" s="448" t="s">
        <v>334</v>
      </c>
      <c r="G1544" s="457">
        <v>1.9291893637499997</v>
      </c>
      <c r="H1544" s="456">
        <v>0</v>
      </c>
      <c r="I1544" s="456"/>
      <c r="J1544" s="456"/>
      <c r="K1544" s="456"/>
      <c r="L1544" s="457">
        <f t="shared" si="459"/>
        <v>0</v>
      </c>
      <c r="M1544" s="456">
        <v>0</v>
      </c>
      <c r="N1544" s="456"/>
      <c r="O1544" s="456"/>
      <c r="P1544" s="456"/>
      <c r="Q1544" s="382"/>
      <c r="R1544" s="385" t="str">
        <f t="shared" si="460"/>
        <v>T</v>
      </c>
      <c r="S1544" s="389"/>
      <c r="T1544" s="389"/>
      <c r="U1544" s="389"/>
      <c r="V1544" s="389"/>
      <c r="W1544" s="389"/>
      <c r="X1544" s="389"/>
      <c r="Y1544" s="389"/>
      <c r="Z1544" s="389"/>
      <c r="AA1544" s="389"/>
      <c r="AB1544" s="389"/>
      <c r="AC1544" s="389"/>
      <c r="AD1544" s="389"/>
      <c r="AE1544" s="389"/>
      <c r="AF1544" s="389"/>
    </row>
    <row r="1545" spans="1:37" hidden="1" outlineLevel="2">
      <c r="A1545" s="382"/>
      <c r="B1545" s="404" t="s">
        <v>594</v>
      </c>
      <c r="C1545" s="404" t="s">
        <v>595</v>
      </c>
      <c r="D1545" s="405" t="s">
        <v>18</v>
      </c>
      <c r="E1545" s="405"/>
      <c r="F1545" s="448" t="s">
        <v>82</v>
      </c>
      <c r="G1545" s="465" t="s">
        <v>82</v>
      </c>
      <c r="H1545" s="466"/>
      <c r="I1545" s="466"/>
      <c r="J1545" s="466"/>
      <c r="K1545" s="466"/>
      <c r="L1545" s="465">
        <f t="shared" si="459"/>
        <v>0</v>
      </c>
      <c r="M1545" s="466"/>
      <c r="N1545" s="466"/>
      <c r="O1545" s="466"/>
      <c r="P1545" s="466"/>
      <c r="Q1545" s="382"/>
      <c r="R1545" s="385" t="str">
        <f t="shared" si="460"/>
        <v>T</v>
      </c>
      <c r="S1545" s="389"/>
      <c r="T1545" s="389"/>
      <c r="U1545" s="389"/>
      <c r="V1545" s="389"/>
      <c r="W1545" s="389"/>
      <c r="X1545" s="389"/>
      <c r="Y1545" s="389"/>
      <c r="Z1545" s="389"/>
      <c r="AA1545" s="389"/>
      <c r="AB1545" s="389"/>
      <c r="AC1545" s="389"/>
      <c r="AD1545" s="389"/>
      <c r="AE1545" s="389"/>
      <c r="AF1545" s="389"/>
    </row>
    <row r="1546" spans="1:37" hidden="1" outlineLevel="2">
      <c r="A1546" s="382"/>
      <c r="B1546" s="404" t="s">
        <v>594</v>
      </c>
      <c r="C1546" s="404" t="s">
        <v>595</v>
      </c>
      <c r="D1546" s="405" t="s">
        <v>26</v>
      </c>
      <c r="E1546" s="405"/>
      <c r="F1546" s="448" t="s">
        <v>82</v>
      </c>
      <c r="G1546" s="465" t="s">
        <v>82</v>
      </c>
      <c r="H1546" s="466"/>
      <c r="I1546" s="466"/>
      <c r="J1546" s="466"/>
      <c r="K1546" s="466"/>
      <c r="L1546" s="465">
        <f t="shared" si="459"/>
        <v>0</v>
      </c>
      <c r="M1546" s="466"/>
      <c r="N1546" s="466"/>
      <c r="O1546" s="466"/>
      <c r="P1546" s="466"/>
      <c r="Q1546" s="382"/>
      <c r="R1546" s="385" t="str">
        <f t="shared" si="460"/>
        <v>T</v>
      </c>
      <c r="S1546" s="389"/>
      <c r="T1546" s="389"/>
      <c r="U1546" s="389"/>
      <c r="V1546" s="389"/>
      <c r="W1546" s="389"/>
      <c r="X1546" s="389"/>
      <c r="Y1546" s="389"/>
      <c r="Z1546" s="389"/>
      <c r="AA1546" s="389"/>
      <c r="AB1546" s="389"/>
      <c r="AC1546" s="389"/>
      <c r="AD1546" s="389"/>
      <c r="AE1546" s="389"/>
      <c r="AF1546" s="389"/>
    </row>
    <row r="1547" spans="1:37" hidden="1" outlineLevel="2">
      <c r="A1547" s="382"/>
      <c r="B1547" s="404" t="s">
        <v>594</v>
      </c>
      <c r="C1547" s="404" t="s">
        <v>595</v>
      </c>
      <c r="D1547" s="405" t="s">
        <v>28</v>
      </c>
      <c r="E1547" s="405"/>
      <c r="F1547" s="448" t="s">
        <v>82</v>
      </c>
      <c r="G1547" s="465" t="s">
        <v>82</v>
      </c>
      <c r="H1547" s="466"/>
      <c r="I1547" s="466"/>
      <c r="J1547" s="466"/>
      <c r="K1547" s="466"/>
      <c r="L1547" s="465">
        <f t="shared" si="459"/>
        <v>0</v>
      </c>
      <c r="M1547" s="466"/>
      <c r="N1547" s="466"/>
      <c r="O1547" s="466"/>
      <c r="P1547" s="466"/>
      <c r="Q1547" s="382"/>
      <c r="R1547" s="385" t="str">
        <f t="shared" si="460"/>
        <v>T</v>
      </c>
      <c r="S1547" s="389"/>
      <c r="T1547" s="389"/>
      <c r="U1547" s="389"/>
      <c r="V1547" s="389"/>
      <c r="W1547" s="389"/>
      <c r="X1547" s="389"/>
      <c r="Y1547" s="389"/>
      <c r="Z1547" s="389"/>
      <c r="AA1547" s="389"/>
      <c r="AB1547" s="389"/>
      <c r="AC1547" s="389"/>
      <c r="AD1547" s="389"/>
      <c r="AE1547" s="389"/>
      <c r="AF1547" s="389"/>
    </row>
    <row r="1548" spans="1:37" hidden="1" outlineLevel="2">
      <c r="A1548" s="382"/>
      <c r="B1548" s="404" t="s">
        <v>594</v>
      </c>
      <c r="C1548" s="404" t="s">
        <v>595</v>
      </c>
      <c r="D1548" s="405" t="s">
        <v>64</v>
      </c>
      <c r="E1548" s="405"/>
      <c r="F1548" s="448" t="s">
        <v>82</v>
      </c>
      <c r="G1548" s="465" t="s">
        <v>82</v>
      </c>
      <c r="H1548" s="466"/>
      <c r="I1548" s="466"/>
      <c r="J1548" s="466"/>
      <c r="K1548" s="466"/>
      <c r="L1548" s="465">
        <f t="shared" si="459"/>
        <v>0</v>
      </c>
      <c r="M1548" s="466"/>
      <c r="N1548" s="466"/>
      <c r="O1548" s="466"/>
      <c r="P1548" s="466"/>
      <c r="Q1548" s="382"/>
      <c r="R1548" s="385" t="str">
        <f t="shared" si="460"/>
        <v>T</v>
      </c>
      <c r="S1548" s="389"/>
      <c r="T1548" s="389"/>
      <c r="U1548" s="389"/>
      <c r="V1548" s="389"/>
      <c r="W1548" s="389"/>
      <c r="X1548" s="389"/>
      <c r="Y1548" s="389"/>
      <c r="Z1548" s="389"/>
      <c r="AA1548" s="389"/>
      <c r="AB1548" s="389"/>
      <c r="AC1548" s="389"/>
      <c r="AD1548" s="389"/>
      <c r="AE1548" s="389"/>
      <c r="AF1548" s="389"/>
    </row>
    <row r="1549" spans="1:37" outlineLevel="1" collapsed="1">
      <c r="A1549" s="382"/>
      <c r="B1549" s="403" t="s">
        <v>321</v>
      </c>
      <c r="C1549" s="403" t="s">
        <v>321</v>
      </c>
      <c r="D1549" s="403"/>
      <c r="E1549" s="425" t="s">
        <v>29</v>
      </c>
      <c r="F1549" s="443" t="s">
        <v>596</v>
      </c>
      <c r="G1549" s="426">
        <f>(G1550+G1557+G1561+G1565+G1570)*0</f>
        <v>0</v>
      </c>
      <c r="H1549" s="427">
        <f>H1550+H1557+H1561+H1565+H1570</f>
        <v>0</v>
      </c>
      <c r="I1549" s="427">
        <f>I1550+I1557+I1561+I1565+I1570</f>
        <v>0</v>
      </c>
      <c r="J1549" s="427">
        <f>J1550+J1557+J1561+J1565+J1570</f>
        <v>0</v>
      </c>
      <c r="K1549" s="427">
        <f>K1550+K1557+K1561+K1565+K1570</f>
        <v>0</v>
      </c>
      <c r="L1549" s="426">
        <f t="shared" si="459"/>
        <v>0</v>
      </c>
      <c r="M1549" s="427">
        <f>M1550+M1557+M1561+M1565+M1570</f>
        <v>0</v>
      </c>
      <c r="N1549" s="427">
        <f>N1550+N1557+N1561+N1565+N1570</f>
        <v>0</v>
      </c>
      <c r="O1549" s="427">
        <f>O1550+O1557+O1561+O1565+O1570</f>
        <v>0</v>
      </c>
      <c r="P1549" s="427">
        <f>P1550+P1557+P1561+P1565+P1570</f>
        <v>0</v>
      </c>
      <c r="Q1549" s="382"/>
      <c r="R1549" s="385" t="str">
        <f t="shared" si="460"/>
        <v>T</v>
      </c>
      <c r="S1549" s="389"/>
      <c r="T1549" s="389"/>
      <c r="U1549" s="389"/>
      <c r="V1549" s="389"/>
      <c r="W1549" s="389"/>
      <c r="X1549" s="389"/>
      <c r="Y1549" s="389"/>
      <c r="Z1549" s="389"/>
      <c r="AA1549" s="389"/>
      <c r="AB1549" s="389"/>
      <c r="AC1549" s="389"/>
      <c r="AD1549" s="389"/>
      <c r="AE1549" s="389"/>
      <c r="AF1549" s="389"/>
    </row>
    <row r="1550" spans="1:37" s="413" customFormat="1" hidden="1" outlineLevel="2" collapsed="1">
      <c r="A1550" s="419"/>
      <c r="B1550" s="404" t="s">
        <v>321</v>
      </c>
      <c r="C1550" s="404" t="s">
        <v>321</v>
      </c>
      <c r="D1550" s="405" t="s">
        <v>202</v>
      </c>
      <c r="E1550" s="405"/>
      <c r="F1550" s="448" t="s">
        <v>574</v>
      </c>
      <c r="G1550" s="457">
        <f>SUM(G1551:G1556)</f>
        <v>0.30473457458112602</v>
      </c>
      <c r="H1550" s="456">
        <f>SUM(H1551:H1556)</f>
        <v>0</v>
      </c>
      <c r="I1550" s="456">
        <f>SUM(I1551:I1556)</f>
        <v>0</v>
      </c>
      <c r="J1550" s="456">
        <f>SUM(J1551:J1556)</f>
        <v>0</v>
      </c>
      <c r="K1550" s="456">
        <f>SUM(K1551:K1556)</f>
        <v>0</v>
      </c>
      <c r="L1550" s="457">
        <f t="shared" si="459"/>
        <v>0</v>
      </c>
      <c r="M1550" s="456">
        <f>SUM(M1551:M1556)</f>
        <v>0</v>
      </c>
      <c r="N1550" s="456">
        <f>SUM(N1551:N1556)</f>
        <v>0</v>
      </c>
      <c r="O1550" s="456">
        <f>SUM(O1551:O1556)</f>
        <v>0</v>
      </c>
      <c r="P1550" s="456">
        <f>SUM(P1551:P1556)</f>
        <v>0</v>
      </c>
      <c r="Q1550" s="382"/>
      <c r="R1550" s="385" t="str">
        <f t="shared" si="460"/>
        <v>T</v>
      </c>
      <c r="S1550" s="389"/>
      <c r="T1550" s="389"/>
      <c r="U1550" s="389"/>
      <c r="V1550" s="389"/>
      <c r="W1550" s="389"/>
      <c r="X1550" s="389"/>
      <c r="Y1550" s="389"/>
      <c r="Z1550" s="389"/>
      <c r="AA1550" s="389"/>
      <c r="AB1550" s="389"/>
      <c r="AC1550" s="389"/>
      <c r="AD1550" s="389"/>
      <c r="AE1550" s="389"/>
      <c r="AF1550" s="389"/>
      <c r="AG1550" s="383"/>
      <c r="AH1550" s="383"/>
      <c r="AI1550" s="383"/>
      <c r="AJ1550" s="383"/>
      <c r="AK1550" s="383"/>
    </row>
    <row r="1551" spans="1:37" hidden="1" outlineLevel="3">
      <c r="A1551" s="382"/>
      <c r="B1551" s="404" t="s">
        <v>321</v>
      </c>
      <c r="C1551" s="404" t="s">
        <v>321</v>
      </c>
      <c r="D1551" s="405" t="s">
        <v>202</v>
      </c>
      <c r="E1551" s="405" t="s">
        <v>29</v>
      </c>
      <c r="F1551" s="448" t="s">
        <v>334</v>
      </c>
      <c r="G1551" s="457">
        <v>0.30473457458112602</v>
      </c>
      <c r="H1551" s="456">
        <v>0</v>
      </c>
      <c r="I1551" s="456"/>
      <c r="J1551" s="456"/>
      <c r="K1551" s="456"/>
      <c r="L1551" s="457">
        <f t="shared" si="459"/>
        <v>0</v>
      </c>
      <c r="M1551" s="456">
        <v>0</v>
      </c>
      <c r="N1551" s="456"/>
      <c r="O1551" s="456"/>
      <c r="P1551" s="456"/>
      <c r="Q1551" s="382"/>
      <c r="R1551" s="385" t="str">
        <f t="shared" si="460"/>
        <v>T</v>
      </c>
      <c r="S1551" s="389"/>
      <c r="T1551" s="389"/>
      <c r="U1551" s="389"/>
      <c r="V1551" s="389"/>
      <c r="W1551" s="389"/>
      <c r="X1551" s="389"/>
      <c r="Y1551" s="389"/>
      <c r="Z1551" s="389"/>
      <c r="AA1551" s="389"/>
      <c r="AB1551" s="389"/>
      <c r="AC1551" s="389"/>
      <c r="AD1551" s="389"/>
      <c r="AE1551" s="389"/>
      <c r="AF1551" s="389"/>
    </row>
    <row r="1552" spans="1:37" hidden="1" outlineLevel="3">
      <c r="A1552" s="382"/>
      <c r="B1552" s="404" t="s">
        <v>321</v>
      </c>
      <c r="C1552" s="404" t="s">
        <v>321</v>
      </c>
      <c r="D1552" s="405" t="s">
        <v>202</v>
      </c>
      <c r="E1552" s="405" t="s">
        <v>29</v>
      </c>
      <c r="F1552" s="448" t="s">
        <v>32</v>
      </c>
      <c r="G1552" s="457"/>
      <c r="H1552" s="456"/>
      <c r="I1552" s="456"/>
      <c r="J1552" s="456"/>
      <c r="K1552" s="456"/>
      <c r="L1552" s="457">
        <f t="shared" si="459"/>
        <v>0</v>
      </c>
      <c r="M1552" s="456"/>
      <c r="N1552" s="456"/>
      <c r="O1552" s="456"/>
      <c r="P1552" s="456"/>
      <c r="Q1552" s="382"/>
      <c r="R1552" s="385" t="str">
        <f t="shared" si="460"/>
        <v>T</v>
      </c>
      <c r="S1552" s="389"/>
      <c r="T1552" s="389"/>
      <c r="U1552" s="389"/>
      <c r="V1552" s="389"/>
      <c r="W1552" s="389"/>
      <c r="X1552" s="389"/>
      <c r="Y1552" s="389"/>
      <c r="Z1552" s="389"/>
      <c r="AA1552" s="389"/>
      <c r="AB1552" s="389"/>
      <c r="AC1552" s="389"/>
      <c r="AD1552" s="389"/>
      <c r="AE1552" s="389"/>
      <c r="AF1552" s="389"/>
    </row>
    <row r="1553" spans="1:37" hidden="1" outlineLevel="3">
      <c r="A1553" s="382"/>
      <c r="B1553" s="404" t="s">
        <v>321</v>
      </c>
      <c r="C1553" s="404" t="s">
        <v>321</v>
      </c>
      <c r="D1553" s="405" t="s">
        <v>202</v>
      </c>
      <c r="E1553" s="405" t="s">
        <v>29</v>
      </c>
      <c r="F1553" s="448" t="s">
        <v>33</v>
      </c>
      <c r="G1553" s="457"/>
      <c r="H1553" s="456"/>
      <c r="I1553" s="456"/>
      <c r="J1553" s="456"/>
      <c r="K1553" s="456"/>
      <c r="L1553" s="457">
        <f t="shared" si="459"/>
        <v>0</v>
      </c>
      <c r="M1553" s="456"/>
      <c r="N1553" s="456"/>
      <c r="O1553" s="456"/>
      <c r="P1553" s="456"/>
      <c r="Q1553" s="382"/>
      <c r="R1553" s="385" t="str">
        <f t="shared" si="460"/>
        <v>T</v>
      </c>
      <c r="S1553" s="389"/>
      <c r="T1553" s="389"/>
      <c r="U1553" s="389"/>
      <c r="V1553" s="389"/>
      <c r="W1553" s="389"/>
      <c r="X1553" s="389"/>
      <c r="Y1553" s="389"/>
      <c r="Z1553" s="389"/>
      <c r="AA1553" s="389"/>
      <c r="AB1553" s="389"/>
      <c r="AC1553" s="389"/>
      <c r="AD1553" s="389"/>
      <c r="AE1553" s="389"/>
      <c r="AF1553" s="389"/>
    </row>
    <row r="1554" spans="1:37" hidden="1" outlineLevel="3">
      <c r="A1554" s="382"/>
      <c r="B1554" s="404" t="s">
        <v>321</v>
      </c>
      <c r="C1554" s="404" t="s">
        <v>321</v>
      </c>
      <c r="D1554" s="405" t="s">
        <v>202</v>
      </c>
      <c r="E1554" s="405" t="s">
        <v>29</v>
      </c>
      <c r="F1554" s="448" t="s">
        <v>471</v>
      </c>
      <c r="G1554" s="457"/>
      <c r="H1554" s="456"/>
      <c r="I1554" s="456"/>
      <c r="J1554" s="456"/>
      <c r="K1554" s="456"/>
      <c r="L1554" s="457">
        <f t="shared" si="459"/>
        <v>0</v>
      </c>
      <c r="M1554" s="456"/>
      <c r="N1554" s="456"/>
      <c r="O1554" s="456"/>
      <c r="P1554" s="456"/>
      <c r="Q1554" s="382"/>
      <c r="R1554" s="385" t="str">
        <f t="shared" si="460"/>
        <v>T</v>
      </c>
      <c r="S1554" s="389"/>
      <c r="T1554" s="389"/>
      <c r="U1554" s="389"/>
      <c r="V1554" s="389"/>
      <c r="W1554" s="389"/>
      <c r="X1554" s="389"/>
      <c r="Y1554" s="389"/>
      <c r="Z1554" s="389"/>
      <c r="AA1554" s="389"/>
      <c r="AB1554" s="389"/>
      <c r="AC1554" s="389"/>
      <c r="AD1554" s="389"/>
      <c r="AE1554" s="389"/>
      <c r="AF1554" s="389"/>
    </row>
    <row r="1555" spans="1:37" hidden="1" outlineLevel="3">
      <c r="A1555" s="382"/>
      <c r="B1555" s="404" t="s">
        <v>321</v>
      </c>
      <c r="C1555" s="404" t="s">
        <v>321</v>
      </c>
      <c r="D1555" s="405" t="s">
        <v>202</v>
      </c>
      <c r="E1555" s="405" t="s">
        <v>29</v>
      </c>
      <c r="F1555" s="448" t="s">
        <v>478</v>
      </c>
      <c r="G1555" s="457"/>
      <c r="H1555" s="456"/>
      <c r="I1555" s="456"/>
      <c r="J1555" s="456"/>
      <c r="K1555" s="456"/>
      <c r="L1555" s="457">
        <f t="shared" si="459"/>
        <v>0</v>
      </c>
      <c r="M1555" s="456"/>
      <c r="N1555" s="456"/>
      <c r="O1555" s="456"/>
      <c r="P1555" s="456"/>
      <c r="Q1555" s="382"/>
      <c r="R1555" s="385" t="str">
        <f t="shared" si="460"/>
        <v>T</v>
      </c>
      <c r="S1555" s="389"/>
      <c r="T1555" s="389"/>
      <c r="U1555" s="389"/>
      <c r="V1555" s="389"/>
      <c r="W1555" s="389"/>
      <c r="X1555" s="389"/>
      <c r="Y1555" s="389"/>
      <c r="Z1555" s="389"/>
      <c r="AA1555" s="389"/>
      <c r="AB1555" s="389"/>
      <c r="AC1555" s="389"/>
      <c r="AD1555" s="389"/>
      <c r="AE1555" s="389"/>
      <c r="AF1555" s="389"/>
    </row>
    <row r="1556" spans="1:37" hidden="1" outlineLevel="3">
      <c r="A1556" s="382"/>
      <c r="B1556" s="404" t="s">
        <v>321</v>
      </c>
      <c r="C1556" s="404" t="s">
        <v>321</v>
      </c>
      <c r="D1556" s="405" t="s">
        <v>202</v>
      </c>
      <c r="E1556" s="405" t="s">
        <v>29</v>
      </c>
      <c r="F1556" s="448" t="s">
        <v>479</v>
      </c>
      <c r="G1556" s="457"/>
      <c r="H1556" s="456"/>
      <c r="I1556" s="456"/>
      <c r="J1556" s="456"/>
      <c r="K1556" s="456"/>
      <c r="L1556" s="457">
        <f t="shared" ref="L1556:L1589" si="461">SUM(M1556:P1556)</f>
        <v>0</v>
      </c>
      <c r="M1556" s="456"/>
      <c r="N1556" s="456"/>
      <c r="O1556" s="456"/>
      <c r="P1556" s="456"/>
      <c r="Q1556" s="382"/>
      <c r="R1556" s="385" t="str">
        <f t="shared" si="460"/>
        <v>T</v>
      </c>
      <c r="S1556" s="389"/>
      <c r="T1556" s="389"/>
      <c r="U1556" s="389"/>
      <c r="V1556" s="389"/>
      <c r="W1556" s="389"/>
      <c r="X1556" s="389"/>
      <c r="Y1556" s="389"/>
      <c r="Z1556" s="389"/>
      <c r="AA1556" s="389"/>
      <c r="AB1556" s="389"/>
      <c r="AC1556" s="389"/>
      <c r="AD1556" s="389"/>
      <c r="AE1556" s="389"/>
      <c r="AF1556" s="389"/>
    </row>
    <row r="1557" spans="1:37" s="413" customFormat="1" hidden="1" outlineLevel="2" collapsed="1">
      <c r="A1557" s="419"/>
      <c r="B1557" s="404" t="s">
        <v>321</v>
      </c>
      <c r="C1557" s="404" t="s">
        <v>321</v>
      </c>
      <c r="D1557" s="405" t="s">
        <v>18</v>
      </c>
      <c r="E1557" s="405"/>
      <c r="F1557" s="448"/>
      <c r="G1557" s="457">
        <f>SUM(G1558:G1560)</f>
        <v>0</v>
      </c>
      <c r="H1557" s="456">
        <f>SUM(H1558:H1560)</f>
        <v>0</v>
      </c>
      <c r="I1557" s="456">
        <f>SUM(I1558:I1560)</f>
        <v>0</v>
      </c>
      <c r="J1557" s="456">
        <f>SUM(J1558:J1560)</f>
        <v>0</v>
      </c>
      <c r="K1557" s="456">
        <f>SUM(K1558:K1560)</f>
        <v>0</v>
      </c>
      <c r="L1557" s="457">
        <f t="shared" si="461"/>
        <v>0</v>
      </c>
      <c r="M1557" s="456">
        <f>SUM(M1558:M1560)</f>
        <v>0</v>
      </c>
      <c r="N1557" s="456">
        <f>SUM(N1558:N1560)</f>
        <v>0</v>
      </c>
      <c r="O1557" s="456">
        <f>SUM(O1558:O1560)</f>
        <v>0</v>
      </c>
      <c r="P1557" s="456">
        <f>SUM(P1558:P1560)</f>
        <v>0</v>
      </c>
      <c r="Q1557" s="382"/>
      <c r="R1557" s="385" t="str">
        <f t="shared" si="460"/>
        <v>T</v>
      </c>
      <c r="S1557" s="389"/>
      <c r="T1557" s="389"/>
      <c r="U1557" s="389"/>
      <c r="V1557" s="389"/>
      <c r="W1557" s="389"/>
      <c r="X1557" s="389"/>
      <c r="Y1557" s="389"/>
      <c r="Z1557" s="389"/>
      <c r="AA1557" s="389"/>
      <c r="AB1557" s="389"/>
      <c r="AC1557" s="389"/>
      <c r="AD1557" s="389"/>
      <c r="AE1557" s="389"/>
      <c r="AF1557" s="389"/>
      <c r="AG1557" s="383"/>
      <c r="AH1557" s="383"/>
      <c r="AI1557" s="383"/>
      <c r="AJ1557" s="383"/>
      <c r="AK1557" s="383"/>
    </row>
    <row r="1558" spans="1:37" hidden="1" outlineLevel="3">
      <c r="A1558" s="382"/>
      <c r="B1558" s="404" t="s">
        <v>321</v>
      </c>
      <c r="C1558" s="404" t="s">
        <v>321</v>
      </c>
      <c r="D1558" s="405" t="s">
        <v>18</v>
      </c>
      <c r="E1558" s="405" t="s">
        <v>204</v>
      </c>
      <c r="F1558" s="448" t="s">
        <v>32</v>
      </c>
      <c r="G1558" s="457"/>
      <c r="H1558" s="456"/>
      <c r="I1558" s="456"/>
      <c r="J1558" s="456"/>
      <c r="K1558" s="456"/>
      <c r="L1558" s="457">
        <f t="shared" si="461"/>
        <v>0</v>
      </c>
      <c r="M1558" s="456"/>
      <c r="N1558" s="456"/>
      <c r="O1558" s="456"/>
      <c r="P1558" s="456"/>
      <c r="Q1558" s="382"/>
      <c r="R1558" s="385" t="str">
        <f t="shared" si="460"/>
        <v>T</v>
      </c>
      <c r="S1558" s="389"/>
      <c r="T1558" s="389"/>
      <c r="U1558" s="389"/>
      <c r="V1558" s="389"/>
      <c r="W1558" s="389"/>
      <c r="X1558" s="389"/>
      <c r="Y1558" s="389"/>
      <c r="Z1558" s="389"/>
      <c r="AA1558" s="389"/>
      <c r="AB1558" s="389"/>
      <c r="AC1558" s="389"/>
      <c r="AD1558" s="389"/>
      <c r="AE1558" s="389"/>
      <c r="AF1558" s="389"/>
    </row>
    <row r="1559" spans="1:37" hidden="1" outlineLevel="3">
      <c r="A1559" s="382"/>
      <c r="B1559" s="404" t="s">
        <v>321</v>
      </c>
      <c r="C1559" s="404" t="s">
        <v>321</v>
      </c>
      <c r="D1559" s="405" t="s">
        <v>18</v>
      </c>
      <c r="E1559" s="405" t="s">
        <v>204</v>
      </c>
      <c r="F1559" s="448" t="s">
        <v>33</v>
      </c>
      <c r="G1559" s="457"/>
      <c r="H1559" s="456"/>
      <c r="I1559" s="456"/>
      <c r="J1559" s="456"/>
      <c r="K1559" s="456"/>
      <c r="L1559" s="457">
        <f t="shared" si="461"/>
        <v>0</v>
      </c>
      <c r="M1559" s="456"/>
      <c r="N1559" s="456"/>
      <c r="O1559" s="456"/>
      <c r="P1559" s="456"/>
      <c r="Q1559" s="382"/>
      <c r="R1559" s="385" t="str">
        <f t="shared" si="460"/>
        <v>T</v>
      </c>
      <c r="S1559" s="389"/>
      <c r="T1559" s="389"/>
      <c r="U1559" s="389"/>
      <c r="V1559" s="389"/>
      <c r="W1559" s="389"/>
      <c r="X1559" s="389"/>
      <c r="Y1559" s="389"/>
      <c r="Z1559" s="389"/>
      <c r="AA1559" s="389"/>
      <c r="AB1559" s="389"/>
      <c r="AC1559" s="389"/>
      <c r="AD1559" s="389"/>
      <c r="AE1559" s="389"/>
      <c r="AF1559" s="389"/>
    </row>
    <row r="1560" spans="1:37" hidden="1" outlineLevel="3">
      <c r="A1560" s="382"/>
      <c r="B1560" s="404" t="s">
        <v>321</v>
      </c>
      <c r="C1560" s="404" t="s">
        <v>321</v>
      </c>
      <c r="D1560" s="405" t="s">
        <v>18</v>
      </c>
      <c r="E1560" s="405" t="s">
        <v>204</v>
      </c>
      <c r="F1560" s="448" t="s">
        <v>34</v>
      </c>
      <c r="G1560" s="457"/>
      <c r="H1560" s="456"/>
      <c r="I1560" s="456"/>
      <c r="J1560" s="456"/>
      <c r="K1560" s="456"/>
      <c r="L1560" s="457">
        <f t="shared" si="461"/>
        <v>0</v>
      </c>
      <c r="M1560" s="456"/>
      <c r="N1560" s="456"/>
      <c r="O1560" s="456"/>
      <c r="P1560" s="456"/>
      <c r="Q1560" s="382"/>
      <c r="R1560" s="385" t="str">
        <f t="shared" si="460"/>
        <v>T</v>
      </c>
      <c r="S1560" s="389"/>
      <c r="T1560" s="389"/>
      <c r="U1560" s="389"/>
      <c r="V1560" s="389"/>
      <c r="W1560" s="389"/>
      <c r="X1560" s="389"/>
      <c r="Y1560" s="389"/>
      <c r="Z1560" s="389"/>
      <c r="AA1560" s="389"/>
      <c r="AB1560" s="389"/>
      <c r="AC1560" s="389"/>
      <c r="AD1560" s="389"/>
      <c r="AE1560" s="389"/>
      <c r="AF1560" s="389"/>
    </row>
    <row r="1561" spans="1:37" s="413" customFormat="1" hidden="1" outlineLevel="2" collapsed="1">
      <c r="A1561" s="419"/>
      <c r="B1561" s="404" t="s">
        <v>321</v>
      </c>
      <c r="C1561" s="404" t="s">
        <v>321</v>
      </c>
      <c r="D1561" s="405" t="s">
        <v>26</v>
      </c>
      <c r="E1561" s="405"/>
      <c r="F1561" s="448"/>
      <c r="G1561" s="457">
        <f>SUM(G1562:G1564)</f>
        <v>0</v>
      </c>
      <c r="H1561" s="456">
        <f>SUM(H1562:H1564)</f>
        <v>0</v>
      </c>
      <c r="I1561" s="456">
        <f>SUM(I1562:I1564)</f>
        <v>0</v>
      </c>
      <c r="J1561" s="456">
        <f>SUM(J1562:J1564)</f>
        <v>0</v>
      </c>
      <c r="K1561" s="456">
        <f>SUM(K1562:K1564)</f>
        <v>0</v>
      </c>
      <c r="L1561" s="457">
        <f t="shared" si="461"/>
        <v>0</v>
      </c>
      <c r="M1561" s="456">
        <f>SUM(M1562:M1564)</f>
        <v>0</v>
      </c>
      <c r="N1561" s="456">
        <f>SUM(N1562:N1564)</f>
        <v>0</v>
      </c>
      <c r="O1561" s="456">
        <f>SUM(O1562:O1564)</f>
        <v>0</v>
      </c>
      <c r="P1561" s="456">
        <f>SUM(P1562:P1564)</f>
        <v>0</v>
      </c>
      <c r="Q1561" s="382"/>
      <c r="R1561" s="385" t="str">
        <f t="shared" si="460"/>
        <v>T</v>
      </c>
      <c r="S1561" s="389"/>
      <c r="T1561" s="389"/>
      <c r="U1561" s="389"/>
      <c r="V1561" s="389"/>
      <c r="W1561" s="389"/>
      <c r="X1561" s="389"/>
      <c r="Y1561" s="389"/>
      <c r="Z1561" s="389"/>
      <c r="AA1561" s="389"/>
      <c r="AB1561" s="389"/>
      <c r="AC1561" s="389"/>
      <c r="AD1561" s="389"/>
      <c r="AE1561" s="389"/>
      <c r="AF1561" s="389"/>
      <c r="AG1561" s="383"/>
      <c r="AH1561" s="383"/>
      <c r="AI1561" s="383"/>
      <c r="AJ1561" s="383"/>
      <c r="AK1561" s="383"/>
    </row>
    <row r="1562" spans="1:37" hidden="1" outlineLevel="3">
      <c r="A1562" s="382"/>
      <c r="B1562" s="404" t="s">
        <v>321</v>
      </c>
      <c r="C1562" s="404" t="s">
        <v>321</v>
      </c>
      <c r="D1562" s="405" t="s">
        <v>26</v>
      </c>
      <c r="E1562" s="405" t="s">
        <v>27</v>
      </c>
      <c r="F1562" s="448" t="s">
        <v>32</v>
      </c>
      <c r="G1562" s="457"/>
      <c r="H1562" s="456"/>
      <c r="I1562" s="456"/>
      <c r="J1562" s="456"/>
      <c r="K1562" s="456"/>
      <c r="L1562" s="457">
        <f t="shared" si="461"/>
        <v>0</v>
      </c>
      <c r="M1562" s="456"/>
      <c r="N1562" s="456"/>
      <c r="O1562" s="456"/>
      <c r="P1562" s="456"/>
      <c r="Q1562" s="382"/>
      <c r="R1562" s="385" t="str">
        <f t="shared" si="460"/>
        <v>T</v>
      </c>
      <c r="S1562" s="389"/>
      <c r="T1562" s="389"/>
      <c r="U1562" s="389"/>
      <c r="V1562" s="389"/>
      <c r="W1562" s="389"/>
      <c r="X1562" s="389"/>
      <c r="Y1562" s="389"/>
      <c r="Z1562" s="389"/>
      <c r="AA1562" s="389"/>
      <c r="AB1562" s="389"/>
      <c r="AC1562" s="389"/>
      <c r="AD1562" s="389"/>
      <c r="AE1562" s="389"/>
      <c r="AF1562" s="389"/>
    </row>
    <row r="1563" spans="1:37" hidden="1" outlineLevel="3">
      <c r="A1563" s="382"/>
      <c r="B1563" s="404" t="s">
        <v>321</v>
      </c>
      <c r="C1563" s="404" t="s">
        <v>321</v>
      </c>
      <c r="D1563" s="405" t="s">
        <v>26</v>
      </c>
      <c r="E1563" s="405" t="s">
        <v>27</v>
      </c>
      <c r="F1563" s="448" t="s">
        <v>34</v>
      </c>
      <c r="G1563" s="457"/>
      <c r="H1563" s="456"/>
      <c r="I1563" s="456"/>
      <c r="J1563" s="456"/>
      <c r="K1563" s="456"/>
      <c r="L1563" s="457">
        <f t="shared" si="461"/>
        <v>0</v>
      </c>
      <c r="M1563" s="456"/>
      <c r="N1563" s="456"/>
      <c r="O1563" s="456"/>
      <c r="P1563" s="456"/>
      <c r="Q1563" s="382"/>
      <c r="R1563" s="385" t="str">
        <f t="shared" si="460"/>
        <v>T</v>
      </c>
      <c r="S1563" s="389"/>
      <c r="T1563" s="389"/>
      <c r="U1563" s="389"/>
      <c r="V1563" s="389"/>
      <c r="W1563" s="389"/>
      <c r="X1563" s="389"/>
      <c r="Y1563" s="389"/>
      <c r="Z1563" s="389"/>
      <c r="AA1563" s="389"/>
      <c r="AB1563" s="389"/>
      <c r="AC1563" s="389"/>
      <c r="AD1563" s="389"/>
      <c r="AE1563" s="389"/>
      <c r="AF1563" s="389"/>
    </row>
    <row r="1564" spans="1:37" hidden="1" outlineLevel="3">
      <c r="A1564" s="382"/>
      <c r="B1564" s="404" t="s">
        <v>321</v>
      </c>
      <c r="C1564" s="404" t="s">
        <v>321</v>
      </c>
      <c r="D1564" s="405" t="s">
        <v>26</v>
      </c>
      <c r="E1564" s="405" t="s">
        <v>27</v>
      </c>
      <c r="F1564" s="448" t="s">
        <v>471</v>
      </c>
      <c r="G1564" s="457"/>
      <c r="H1564" s="456"/>
      <c r="I1564" s="456"/>
      <c r="J1564" s="456"/>
      <c r="K1564" s="456"/>
      <c r="L1564" s="457">
        <f t="shared" si="461"/>
        <v>0</v>
      </c>
      <c r="M1564" s="456"/>
      <c r="N1564" s="456"/>
      <c r="O1564" s="456"/>
      <c r="P1564" s="456"/>
      <c r="Q1564" s="382"/>
      <c r="R1564" s="385" t="str">
        <f t="shared" si="460"/>
        <v>T</v>
      </c>
      <c r="S1564" s="389"/>
      <c r="T1564" s="389"/>
      <c r="U1564" s="389"/>
      <c r="V1564" s="389"/>
      <c r="W1564" s="389"/>
      <c r="X1564" s="389"/>
      <c r="Y1564" s="389"/>
      <c r="Z1564" s="389"/>
      <c r="AA1564" s="389"/>
      <c r="AB1564" s="389"/>
      <c r="AC1564" s="389"/>
      <c r="AD1564" s="389"/>
      <c r="AE1564" s="389"/>
      <c r="AF1564" s="389"/>
    </row>
    <row r="1565" spans="1:37" s="413" customFormat="1" hidden="1" outlineLevel="2" collapsed="1">
      <c r="A1565" s="419"/>
      <c r="B1565" s="404" t="s">
        <v>321</v>
      </c>
      <c r="C1565" s="404" t="s">
        <v>321</v>
      </c>
      <c r="D1565" s="405" t="s">
        <v>28</v>
      </c>
      <c r="E1565" s="405"/>
      <c r="F1565" s="448"/>
      <c r="G1565" s="457">
        <f>SUM(G1566:G1569)</f>
        <v>0</v>
      </c>
      <c r="H1565" s="456">
        <f>SUM(H1566:H1569)</f>
        <v>0</v>
      </c>
      <c r="I1565" s="456">
        <f>SUM(I1566:I1569)</f>
        <v>0</v>
      </c>
      <c r="J1565" s="456">
        <f>SUM(J1566:J1569)</f>
        <v>0</v>
      </c>
      <c r="K1565" s="456">
        <f>SUM(K1566:K1569)</f>
        <v>0</v>
      </c>
      <c r="L1565" s="457">
        <f t="shared" si="461"/>
        <v>0</v>
      </c>
      <c r="M1565" s="456">
        <f>SUM(M1566:M1569)</f>
        <v>0</v>
      </c>
      <c r="N1565" s="456">
        <f>SUM(N1566:N1569)</f>
        <v>0</v>
      </c>
      <c r="O1565" s="456">
        <f>SUM(O1566:O1569)</f>
        <v>0</v>
      </c>
      <c r="P1565" s="456">
        <f>SUM(P1566:P1569)</f>
        <v>0</v>
      </c>
      <c r="Q1565" s="382"/>
      <c r="R1565" s="385" t="str">
        <f t="shared" si="460"/>
        <v>T</v>
      </c>
      <c r="S1565" s="389"/>
      <c r="T1565" s="389"/>
      <c r="U1565" s="389"/>
      <c r="V1565" s="389"/>
      <c r="W1565" s="389"/>
      <c r="X1565" s="389"/>
      <c r="Y1565" s="389"/>
      <c r="Z1565" s="389"/>
      <c r="AA1565" s="389"/>
      <c r="AB1565" s="389"/>
      <c r="AC1565" s="389"/>
      <c r="AD1565" s="389"/>
      <c r="AE1565" s="389"/>
      <c r="AF1565" s="389"/>
      <c r="AG1565" s="383"/>
      <c r="AH1565" s="383"/>
      <c r="AI1565" s="383"/>
      <c r="AJ1565" s="383"/>
      <c r="AK1565" s="383"/>
    </row>
    <row r="1566" spans="1:37" hidden="1" outlineLevel="3">
      <c r="A1566" s="382"/>
      <c r="B1566" s="404" t="s">
        <v>321</v>
      </c>
      <c r="C1566" s="404" t="s">
        <v>321</v>
      </c>
      <c r="D1566" s="405" t="s">
        <v>28</v>
      </c>
      <c r="E1566" s="405" t="s">
        <v>29</v>
      </c>
      <c r="F1566" s="448" t="s">
        <v>32</v>
      </c>
      <c r="G1566" s="457"/>
      <c r="H1566" s="456"/>
      <c r="I1566" s="456"/>
      <c r="J1566" s="456"/>
      <c r="K1566" s="456"/>
      <c r="L1566" s="457">
        <f t="shared" si="461"/>
        <v>0</v>
      </c>
      <c r="M1566" s="456"/>
      <c r="N1566" s="456"/>
      <c r="O1566" s="456"/>
      <c r="P1566" s="456"/>
      <c r="Q1566" s="382"/>
      <c r="R1566" s="385" t="str">
        <f t="shared" si="460"/>
        <v>T</v>
      </c>
      <c r="S1566" s="389"/>
      <c r="T1566" s="389"/>
      <c r="U1566" s="389"/>
      <c r="V1566" s="389"/>
      <c r="W1566" s="389"/>
      <c r="X1566" s="389"/>
      <c r="Y1566" s="389"/>
      <c r="Z1566" s="389"/>
      <c r="AA1566" s="389"/>
      <c r="AB1566" s="389"/>
      <c r="AC1566" s="389"/>
      <c r="AD1566" s="389"/>
      <c r="AE1566" s="389"/>
      <c r="AF1566" s="389"/>
    </row>
    <row r="1567" spans="1:37" hidden="1" outlineLevel="3">
      <c r="A1567" s="382"/>
      <c r="B1567" s="404" t="s">
        <v>321</v>
      </c>
      <c r="C1567" s="404" t="s">
        <v>321</v>
      </c>
      <c r="D1567" s="405" t="s">
        <v>28</v>
      </c>
      <c r="E1567" s="405" t="s">
        <v>29</v>
      </c>
      <c r="F1567" s="448" t="s">
        <v>33</v>
      </c>
      <c r="G1567" s="457"/>
      <c r="H1567" s="456"/>
      <c r="I1567" s="456"/>
      <c r="J1567" s="456"/>
      <c r="K1567" s="456"/>
      <c r="L1567" s="457">
        <f t="shared" si="461"/>
        <v>0</v>
      </c>
      <c r="M1567" s="456"/>
      <c r="N1567" s="456"/>
      <c r="O1567" s="456"/>
      <c r="P1567" s="456"/>
      <c r="Q1567" s="382"/>
      <c r="R1567" s="385" t="str">
        <f t="shared" si="460"/>
        <v>T</v>
      </c>
      <c r="S1567" s="389"/>
      <c r="T1567" s="389"/>
      <c r="U1567" s="389"/>
      <c r="V1567" s="389"/>
      <c r="W1567" s="389"/>
      <c r="X1567" s="389"/>
      <c r="Y1567" s="389"/>
      <c r="Z1567" s="389"/>
      <c r="AA1567" s="389"/>
      <c r="AB1567" s="389"/>
      <c r="AC1567" s="389"/>
      <c r="AD1567" s="389"/>
      <c r="AE1567" s="389"/>
      <c r="AF1567" s="389"/>
    </row>
    <row r="1568" spans="1:37" hidden="1" outlineLevel="3">
      <c r="A1568" s="382"/>
      <c r="B1568" s="404" t="s">
        <v>321</v>
      </c>
      <c r="C1568" s="404" t="s">
        <v>321</v>
      </c>
      <c r="D1568" s="405" t="s">
        <v>28</v>
      </c>
      <c r="E1568" s="405" t="s">
        <v>29</v>
      </c>
      <c r="F1568" s="448" t="s">
        <v>34</v>
      </c>
      <c r="G1568" s="457"/>
      <c r="H1568" s="456"/>
      <c r="I1568" s="456"/>
      <c r="J1568" s="456"/>
      <c r="K1568" s="456"/>
      <c r="L1568" s="457">
        <f t="shared" si="461"/>
        <v>0</v>
      </c>
      <c r="M1568" s="456"/>
      <c r="N1568" s="456"/>
      <c r="O1568" s="456"/>
      <c r="P1568" s="456"/>
      <c r="Q1568" s="382"/>
      <c r="R1568" s="385" t="str">
        <f t="shared" si="460"/>
        <v>T</v>
      </c>
      <c r="S1568" s="389"/>
      <c r="T1568" s="389"/>
      <c r="U1568" s="389"/>
      <c r="V1568" s="389"/>
      <c r="W1568" s="389"/>
      <c r="X1568" s="389"/>
      <c r="Y1568" s="389"/>
      <c r="Z1568" s="389"/>
      <c r="AA1568" s="389"/>
      <c r="AB1568" s="389"/>
      <c r="AC1568" s="389"/>
      <c r="AD1568" s="389"/>
      <c r="AE1568" s="389"/>
      <c r="AF1568" s="389"/>
    </row>
    <row r="1569" spans="1:37" hidden="1" outlineLevel="3">
      <c r="A1569" s="382"/>
      <c r="B1569" s="404" t="s">
        <v>321</v>
      </c>
      <c r="C1569" s="404" t="s">
        <v>321</v>
      </c>
      <c r="D1569" s="405" t="s">
        <v>28</v>
      </c>
      <c r="E1569" s="405" t="s">
        <v>29</v>
      </c>
      <c r="F1569" s="448" t="s">
        <v>471</v>
      </c>
      <c r="G1569" s="457"/>
      <c r="H1569" s="456"/>
      <c r="I1569" s="456"/>
      <c r="J1569" s="456"/>
      <c r="K1569" s="456"/>
      <c r="L1569" s="457">
        <f t="shared" si="461"/>
        <v>0</v>
      </c>
      <c r="M1569" s="456"/>
      <c r="N1569" s="456"/>
      <c r="O1569" s="456"/>
      <c r="P1569" s="456"/>
      <c r="Q1569" s="382"/>
      <c r="R1569" s="385" t="str">
        <f t="shared" si="460"/>
        <v>T</v>
      </c>
      <c r="S1569" s="389"/>
      <c r="T1569" s="389"/>
      <c r="U1569" s="389"/>
      <c r="V1569" s="389"/>
      <c r="W1569" s="389"/>
      <c r="X1569" s="389"/>
      <c r="Y1569" s="389"/>
      <c r="Z1569" s="389"/>
      <c r="AA1569" s="389"/>
      <c r="AB1569" s="389"/>
      <c r="AC1569" s="389"/>
      <c r="AD1569" s="389"/>
      <c r="AE1569" s="389"/>
      <c r="AF1569" s="389"/>
    </row>
    <row r="1570" spans="1:37" s="413" customFormat="1" hidden="1" outlineLevel="2" collapsed="1">
      <c r="A1570" s="419"/>
      <c r="B1570" s="404" t="s">
        <v>321</v>
      </c>
      <c r="C1570" s="404" t="s">
        <v>321</v>
      </c>
      <c r="D1570" s="405" t="s">
        <v>64</v>
      </c>
      <c r="E1570" s="405"/>
      <c r="F1570" s="448"/>
      <c r="G1570" s="457">
        <f>+SUM(G1571:G1575)</f>
        <v>0</v>
      </c>
      <c r="H1570" s="456">
        <f>SUM(H1571:H1575)</f>
        <v>0</v>
      </c>
      <c r="I1570" s="456">
        <f>SUM(I1571:I1575)</f>
        <v>0</v>
      </c>
      <c r="J1570" s="456">
        <f>SUM(J1571:J1575)</f>
        <v>0</v>
      </c>
      <c r="K1570" s="456">
        <f>SUM(K1571:K1575)</f>
        <v>0</v>
      </c>
      <c r="L1570" s="457">
        <f t="shared" si="461"/>
        <v>0</v>
      </c>
      <c r="M1570" s="456">
        <f>SUM(M1571:M1575)</f>
        <v>0</v>
      </c>
      <c r="N1570" s="456">
        <f>SUM(N1571:N1575)</f>
        <v>0</v>
      </c>
      <c r="O1570" s="456">
        <f>SUM(O1571:O1575)</f>
        <v>0</v>
      </c>
      <c r="P1570" s="456">
        <f>SUM(P1571:P1575)</f>
        <v>0</v>
      </c>
      <c r="Q1570" s="382"/>
      <c r="R1570" s="385" t="str">
        <f t="shared" si="460"/>
        <v>T</v>
      </c>
      <c r="S1570" s="389"/>
      <c r="T1570" s="389"/>
      <c r="U1570" s="389"/>
      <c r="V1570" s="389"/>
      <c r="W1570" s="389"/>
      <c r="X1570" s="389"/>
      <c r="Y1570" s="389"/>
      <c r="Z1570" s="389"/>
      <c r="AA1570" s="389"/>
      <c r="AB1570" s="389"/>
      <c r="AC1570" s="389"/>
      <c r="AD1570" s="389"/>
      <c r="AE1570" s="389"/>
      <c r="AF1570" s="389"/>
      <c r="AG1570" s="383"/>
      <c r="AH1570" s="383"/>
      <c r="AI1570" s="383"/>
      <c r="AJ1570" s="383"/>
      <c r="AK1570" s="383"/>
    </row>
    <row r="1571" spans="1:37" hidden="1" outlineLevel="3">
      <c r="A1571" s="382"/>
      <c r="B1571" s="404" t="s">
        <v>321</v>
      </c>
      <c r="C1571" s="404" t="s">
        <v>321</v>
      </c>
      <c r="D1571" s="405" t="s">
        <v>64</v>
      </c>
      <c r="E1571" s="405" t="s">
        <v>29</v>
      </c>
      <c r="F1571" s="448" t="s">
        <v>32</v>
      </c>
      <c r="G1571" s="457"/>
      <c r="H1571" s="456"/>
      <c r="I1571" s="456"/>
      <c r="J1571" s="456"/>
      <c r="K1571" s="456"/>
      <c r="L1571" s="457">
        <f t="shared" si="461"/>
        <v>0</v>
      </c>
      <c r="M1571" s="456"/>
      <c r="N1571" s="456"/>
      <c r="O1571" s="456"/>
      <c r="P1571" s="456"/>
      <c r="Q1571" s="382"/>
      <c r="R1571" s="385" t="str">
        <f t="shared" si="460"/>
        <v>T</v>
      </c>
      <c r="S1571" s="389"/>
      <c r="T1571" s="389"/>
      <c r="U1571" s="389"/>
      <c r="V1571" s="389"/>
      <c r="W1571" s="389"/>
      <c r="X1571" s="389"/>
      <c r="Y1571" s="389"/>
      <c r="Z1571" s="389"/>
      <c r="AA1571" s="389"/>
      <c r="AB1571" s="389"/>
      <c r="AC1571" s="389"/>
      <c r="AD1571" s="389"/>
      <c r="AE1571" s="389"/>
      <c r="AF1571" s="389"/>
    </row>
    <row r="1572" spans="1:37" hidden="1" outlineLevel="3">
      <c r="A1572" s="382"/>
      <c r="B1572" s="404" t="s">
        <v>321</v>
      </c>
      <c r="C1572" s="404" t="s">
        <v>321</v>
      </c>
      <c r="D1572" s="405" t="s">
        <v>64</v>
      </c>
      <c r="E1572" s="405" t="s">
        <v>29</v>
      </c>
      <c r="F1572" s="448" t="s">
        <v>33</v>
      </c>
      <c r="G1572" s="457"/>
      <c r="H1572" s="456"/>
      <c r="I1572" s="456"/>
      <c r="J1572" s="456"/>
      <c r="K1572" s="456"/>
      <c r="L1572" s="457">
        <f t="shared" si="461"/>
        <v>0</v>
      </c>
      <c r="M1572" s="456"/>
      <c r="N1572" s="456"/>
      <c r="O1572" s="456"/>
      <c r="P1572" s="456"/>
      <c r="Q1572" s="382"/>
      <c r="R1572" s="385" t="str">
        <f t="shared" si="460"/>
        <v>T</v>
      </c>
      <c r="S1572" s="389"/>
      <c r="T1572" s="389"/>
      <c r="U1572" s="389"/>
      <c r="V1572" s="389"/>
      <c r="W1572" s="389"/>
      <c r="X1572" s="389"/>
      <c r="Y1572" s="389"/>
      <c r="Z1572" s="389"/>
      <c r="AA1572" s="389"/>
      <c r="AB1572" s="389"/>
      <c r="AC1572" s="389"/>
      <c r="AD1572" s="389"/>
      <c r="AE1572" s="389"/>
      <c r="AF1572" s="389"/>
    </row>
    <row r="1573" spans="1:37" hidden="1" outlineLevel="3">
      <c r="A1573" s="382"/>
      <c r="B1573" s="404" t="s">
        <v>321</v>
      </c>
      <c r="C1573" s="404" t="s">
        <v>321</v>
      </c>
      <c r="D1573" s="405" t="s">
        <v>64</v>
      </c>
      <c r="E1573" s="405" t="s">
        <v>29</v>
      </c>
      <c r="F1573" s="448" t="s">
        <v>34</v>
      </c>
      <c r="G1573" s="457"/>
      <c r="H1573" s="456"/>
      <c r="I1573" s="456"/>
      <c r="J1573" s="456"/>
      <c r="K1573" s="456"/>
      <c r="L1573" s="457">
        <f t="shared" si="461"/>
        <v>0</v>
      </c>
      <c r="M1573" s="456"/>
      <c r="N1573" s="456"/>
      <c r="O1573" s="456"/>
      <c r="P1573" s="456"/>
      <c r="Q1573" s="382"/>
      <c r="R1573" s="385" t="str">
        <f t="shared" si="460"/>
        <v>T</v>
      </c>
      <c r="S1573" s="389"/>
      <c r="T1573" s="389"/>
      <c r="U1573" s="389"/>
      <c r="V1573" s="389"/>
      <c r="W1573" s="389"/>
      <c r="X1573" s="389"/>
      <c r="Y1573" s="389"/>
      <c r="Z1573" s="389"/>
      <c r="AA1573" s="389"/>
      <c r="AB1573" s="389"/>
      <c r="AC1573" s="389"/>
      <c r="AD1573" s="389"/>
      <c r="AE1573" s="389"/>
      <c r="AF1573" s="389"/>
    </row>
    <row r="1574" spans="1:37" hidden="1" outlineLevel="3">
      <c r="A1574" s="382"/>
      <c r="B1574" s="404" t="s">
        <v>321</v>
      </c>
      <c r="C1574" s="404" t="s">
        <v>321</v>
      </c>
      <c r="D1574" s="405" t="s">
        <v>64</v>
      </c>
      <c r="E1574" s="405" t="s">
        <v>29</v>
      </c>
      <c r="F1574" s="448" t="s">
        <v>471</v>
      </c>
      <c r="G1574" s="457"/>
      <c r="H1574" s="456"/>
      <c r="I1574" s="456"/>
      <c r="J1574" s="456"/>
      <c r="K1574" s="456"/>
      <c r="L1574" s="457">
        <f t="shared" si="461"/>
        <v>0</v>
      </c>
      <c r="M1574" s="456"/>
      <c r="N1574" s="456"/>
      <c r="O1574" s="456"/>
      <c r="P1574" s="456"/>
      <c r="Q1574" s="382"/>
      <c r="R1574" s="385" t="str">
        <f t="shared" si="460"/>
        <v>T</v>
      </c>
      <c r="S1574" s="389"/>
      <c r="T1574" s="389"/>
      <c r="U1574" s="389"/>
      <c r="V1574" s="389"/>
      <c r="W1574" s="389"/>
      <c r="X1574" s="389"/>
      <c r="Y1574" s="389"/>
      <c r="Z1574" s="389"/>
      <c r="AA1574" s="389"/>
      <c r="AB1574" s="389"/>
      <c r="AC1574" s="389"/>
      <c r="AD1574" s="389"/>
      <c r="AE1574" s="389"/>
      <c r="AF1574" s="389"/>
    </row>
    <row r="1575" spans="1:37" hidden="1" outlineLevel="3" collapsed="1">
      <c r="A1575" s="382"/>
      <c r="B1575" s="404" t="s">
        <v>321</v>
      </c>
      <c r="C1575" s="404" t="s">
        <v>321</v>
      </c>
      <c r="D1575" s="405" t="s">
        <v>64</v>
      </c>
      <c r="E1575" s="405" t="s">
        <v>29</v>
      </c>
      <c r="F1575" s="448" t="s">
        <v>335</v>
      </c>
      <c r="G1575" s="457"/>
      <c r="H1575" s="456"/>
      <c r="I1575" s="456"/>
      <c r="J1575" s="456"/>
      <c r="K1575" s="456"/>
      <c r="L1575" s="457">
        <f t="shared" si="461"/>
        <v>0</v>
      </c>
      <c r="M1575" s="456"/>
      <c r="N1575" s="456"/>
      <c r="O1575" s="456"/>
      <c r="P1575" s="456"/>
      <c r="Q1575" s="382"/>
      <c r="R1575" s="385" t="str">
        <f t="shared" si="460"/>
        <v>T</v>
      </c>
      <c r="S1575" s="389"/>
      <c r="T1575" s="389"/>
      <c r="U1575" s="389"/>
      <c r="V1575" s="389"/>
      <c r="W1575" s="389"/>
      <c r="X1575" s="389"/>
      <c r="Y1575" s="389"/>
      <c r="Z1575" s="389"/>
      <c r="AA1575" s="389"/>
      <c r="AB1575" s="389"/>
      <c r="AC1575" s="389"/>
      <c r="AD1575" s="389"/>
      <c r="AE1575" s="389"/>
      <c r="AF1575" s="389"/>
    </row>
    <row r="1576" spans="1:37" outlineLevel="1" collapsed="1">
      <c r="A1576" s="382"/>
      <c r="B1576" s="403" t="s">
        <v>597</v>
      </c>
      <c r="C1576" s="403" t="s">
        <v>597</v>
      </c>
      <c r="D1576" s="403"/>
      <c r="E1576" s="403" t="s">
        <v>286</v>
      </c>
      <c r="F1576" s="443" t="s">
        <v>598</v>
      </c>
      <c r="G1576" s="426">
        <f>SUM(G1577:G1580)</f>
        <v>0</v>
      </c>
      <c r="H1576" s="427">
        <f>SUM(H1577,H1578,H1579,H1580)</f>
        <v>0</v>
      </c>
      <c r="I1576" s="427">
        <f>SUM(I1577,I1578,I1579,I1580)</f>
        <v>0</v>
      </c>
      <c r="J1576" s="427">
        <f>SUM(J1577,J1578,J1579,J1580)</f>
        <v>0</v>
      </c>
      <c r="K1576" s="427">
        <f>SUM(K1577,K1578,K1579,K1580)</f>
        <v>0</v>
      </c>
      <c r="L1576" s="426">
        <f t="shared" si="461"/>
        <v>0</v>
      </c>
      <c r="M1576" s="427">
        <f>SUM(M1577,M1578,M1579,M1580)</f>
        <v>0</v>
      </c>
      <c r="N1576" s="427">
        <f>SUM(N1577,N1578,N1579,N1580)</f>
        <v>0</v>
      </c>
      <c r="O1576" s="427">
        <f>SUM(O1577,O1578,O1579,O1580)</f>
        <v>0</v>
      </c>
      <c r="P1576" s="427">
        <f>SUM(P1577,P1578,P1579,P1580)</f>
        <v>0</v>
      </c>
      <c r="Q1576" s="382"/>
      <c r="R1576" s="385" t="str">
        <f t="shared" si="460"/>
        <v>T</v>
      </c>
      <c r="S1576" s="389"/>
      <c r="T1576" s="389"/>
      <c r="U1576" s="389"/>
      <c r="V1576" s="389"/>
      <c r="W1576" s="389"/>
      <c r="X1576" s="389"/>
      <c r="Y1576" s="389"/>
      <c r="Z1576" s="389"/>
      <c r="AA1576" s="389"/>
      <c r="AB1576" s="389"/>
      <c r="AC1576" s="389"/>
      <c r="AD1576" s="389"/>
      <c r="AE1576" s="389"/>
      <c r="AF1576" s="389"/>
    </row>
    <row r="1577" spans="1:37" hidden="1" outlineLevel="2">
      <c r="A1577" s="382"/>
      <c r="B1577" s="405" t="s">
        <v>18</v>
      </c>
      <c r="C1577" s="404" t="s">
        <v>599</v>
      </c>
      <c r="D1577" s="405"/>
      <c r="E1577" s="404"/>
      <c r="F1577" s="448"/>
      <c r="G1577" s="462"/>
      <c r="H1577" s="463"/>
      <c r="I1577" s="463"/>
      <c r="J1577" s="463"/>
      <c r="K1577" s="463"/>
      <c r="L1577" s="462">
        <f t="shared" si="461"/>
        <v>0</v>
      </c>
      <c r="M1577" s="463"/>
      <c r="N1577" s="463"/>
      <c r="O1577" s="463"/>
      <c r="P1577" s="463"/>
      <c r="Q1577" s="382"/>
      <c r="R1577" s="385" t="str">
        <f t="shared" ref="R1577:R1610" si="462">IF(SUM(M1577:P1577)=L1577,"T","F")</f>
        <v>T</v>
      </c>
      <c r="S1577" s="389"/>
      <c r="T1577" s="389"/>
      <c r="U1577" s="389"/>
      <c r="V1577" s="389"/>
      <c r="W1577" s="389"/>
      <c r="X1577" s="389"/>
      <c r="Y1577" s="389"/>
      <c r="Z1577" s="389"/>
      <c r="AA1577" s="389"/>
      <c r="AB1577" s="389"/>
      <c r="AC1577" s="389"/>
      <c r="AD1577" s="389"/>
      <c r="AE1577" s="389"/>
      <c r="AF1577" s="389"/>
    </row>
    <row r="1578" spans="1:37" hidden="1" outlineLevel="2">
      <c r="A1578" s="382"/>
      <c r="B1578" s="405" t="s">
        <v>26</v>
      </c>
      <c r="C1578" s="404" t="s">
        <v>599</v>
      </c>
      <c r="D1578" s="405"/>
      <c r="E1578" s="405"/>
      <c r="F1578" s="448"/>
      <c r="G1578" s="462"/>
      <c r="H1578" s="463"/>
      <c r="I1578" s="463"/>
      <c r="J1578" s="463"/>
      <c r="K1578" s="463"/>
      <c r="L1578" s="462">
        <f t="shared" si="461"/>
        <v>0</v>
      </c>
      <c r="M1578" s="463"/>
      <c r="N1578" s="463"/>
      <c r="O1578" s="463"/>
      <c r="P1578" s="463"/>
      <c r="Q1578" s="382"/>
      <c r="R1578" s="385" t="str">
        <f t="shared" si="462"/>
        <v>T</v>
      </c>
      <c r="S1578" s="389"/>
      <c r="T1578" s="389"/>
      <c r="U1578" s="389"/>
      <c r="V1578" s="389"/>
      <c r="W1578" s="389"/>
      <c r="X1578" s="389"/>
      <c r="Y1578" s="389"/>
      <c r="Z1578" s="389"/>
      <c r="AA1578" s="389"/>
      <c r="AB1578" s="389"/>
      <c r="AC1578" s="389"/>
      <c r="AD1578" s="389"/>
      <c r="AE1578" s="389"/>
      <c r="AF1578" s="389"/>
    </row>
    <row r="1579" spans="1:37" hidden="1" outlineLevel="2">
      <c r="A1579" s="382"/>
      <c r="B1579" s="405" t="s">
        <v>28</v>
      </c>
      <c r="C1579" s="404" t="s">
        <v>599</v>
      </c>
      <c r="D1579" s="405"/>
      <c r="E1579" s="405"/>
      <c r="F1579" s="448"/>
      <c r="G1579" s="462"/>
      <c r="H1579" s="463"/>
      <c r="I1579" s="463"/>
      <c r="J1579" s="463"/>
      <c r="K1579" s="463"/>
      <c r="L1579" s="462">
        <f t="shared" si="461"/>
        <v>0</v>
      </c>
      <c r="M1579" s="463"/>
      <c r="N1579" s="463"/>
      <c r="O1579" s="463"/>
      <c r="P1579" s="463"/>
      <c r="Q1579" s="382"/>
      <c r="R1579" s="385" t="str">
        <f t="shared" si="462"/>
        <v>T</v>
      </c>
      <c r="S1579" s="389"/>
      <c r="T1579" s="389"/>
      <c r="U1579" s="389"/>
      <c r="V1579" s="389"/>
      <c r="W1579" s="389"/>
      <c r="X1579" s="389"/>
      <c r="Y1579" s="389"/>
      <c r="Z1579" s="389"/>
      <c r="AA1579" s="389"/>
      <c r="AB1579" s="389"/>
      <c r="AC1579" s="389"/>
      <c r="AD1579" s="389"/>
      <c r="AE1579" s="389"/>
      <c r="AF1579" s="389"/>
    </row>
    <row r="1580" spans="1:37" hidden="1" outlineLevel="2">
      <c r="A1580" s="382"/>
      <c r="B1580" s="405" t="s">
        <v>64</v>
      </c>
      <c r="C1580" s="404" t="s">
        <v>599</v>
      </c>
      <c r="D1580" s="405"/>
      <c r="E1580" s="405"/>
      <c r="F1580" s="448"/>
      <c r="G1580" s="462"/>
      <c r="H1580" s="463"/>
      <c r="I1580" s="463"/>
      <c r="J1580" s="463"/>
      <c r="K1580" s="463"/>
      <c r="L1580" s="462">
        <f t="shared" si="461"/>
        <v>0</v>
      </c>
      <c r="M1580" s="463"/>
      <c r="N1580" s="463"/>
      <c r="O1580" s="463"/>
      <c r="P1580" s="463"/>
      <c r="Q1580" s="382"/>
      <c r="R1580" s="385" t="str">
        <f t="shared" si="462"/>
        <v>T</v>
      </c>
      <c r="S1580" s="389"/>
      <c r="T1580" s="389"/>
      <c r="U1580" s="389"/>
      <c r="V1580" s="389"/>
      <c r="W1580" s="389"/>
      <c r="X1580" s="389"/>
      <c r="Y1580" s="389"/>
      <c r="Z1580" s="389"/>
      <c r="AA1580" s="389"/>
      <c r="AB1580" s="389"/>
      <c r="AC1580" s="389"/>
      <c r="AD1580" s="389"/>
      <c r="AE1580" s="389"/>
      <c r="AF1580" s="389"/>
    </row>
    <row r="1581" spans="1:37" outlineLevel="1" collapsed="1">
      <c r="A1581" s="382"/>
      <c r="B1581" s="403" t="s">
        <v>600</v>
      </c>
      <c r="C1581" s="403" t="s">
        <v>601</v>
      </c>
      <c r="D1581" s="425"/>
      <c r="E1581" s="425" t="s">
        <v>602</v>
      </c>
      <c r="F1581" s="443" t="s">
        <v>603</v>
      </c>
      <c r="G1581" s="469">
        <f>SUM(G1582+G1585+G1588+G1590)</f>
        <v>0</v>
      </c>
      <c r="H1581" s="427">
        <f>SUM(H1582+H1590+H1595+H1602)</f>
        <v>0</v>
      </c>
      <c r="I1581" s="427">
        <f>SUM(I1582+I1590+I1595+I1602)</f>
        <v>0</v>
      </c>
      <c r="J1581" s="427">
        <f>SUM(J1582+J1590+J1595+J1602)</f>
        <v>0</v>
      </c>
      <c r="K1581" s="427">
        <f>SUM(K1582+K1590+K1595+K1602)</f>
        <v>0</v>
      </c>
      <c r="L1581" s="469">
        <f t="shared" si="461"/>
        <v>0</v>
      </c>
      <c r="M1581" s="427">
        <f>SUM(M1582+M1590+M1595+M1602)</f>
        <v>0</v>
      </c>
      <c r="N1581" s="427">
        <f>SUM(N1582+N1590+N1595+N1602)</f>
        <v>0</v>
      </c>
      <c r="O1581" s="427">
        <f>SUM(O1582+O1590+O1595+O1602)</f>
        <v>0</v>
      </c>
      <c r="P1581" s="427">
        <f>SUM(P1582+P1590+P1595+P1602)</f>
        <v>0</v>
      </c>
      <c r="Q1581" s="382"/>
      <c r="R1581" s="385" t="str">
        <f t="shared" si="462"/>
        <v>T</v>
      </c>
      <c r="S1581" s="389"/>
      <c r="T1581" s="389"/>
      <c r="U1581" s="389"/>
      <c r="V1581" s="389"/>
      <c r="W1581" s="389"/>
      <c r="X1581" s="389"/>
      <c r="Y1581" s="389"/>
      <c r="Z1581" s="389"/>
      <c r="AA1581" s="389"/>
      <c r="AB1581" s="389"/>
      <c r="AC1581" s="389"/>
      <c r="AD1581" s="389"/>
      <c r="AE1581" s="389"/>
      <c r="AF1581" s="389"/>
    </row>
    <row r="1582" spans="1:37" hidden="1" outlineLevel="2" collapsed="1">
      <c r="A1582" s="382"/>
      <c r="B1582" s="404" t="s">
        <v>604</v>
      </c>
      <c r="C1582" s="404" t="s">
        <v>601</v>
      </c>
      <c r="D1582" s="405" t="s">
        <v>18</v>
      </c>
      <c r="E1582" s="405"/>
      <c r="F1582" s="448" t="s">
        <v>87</v>
      </c>
      <c r="G1582" s="457">
        <f>SUM(G1583:G1589)</f>
        <v>0</v>
      </c>
      <c r="H1582" s="456">
        <f>SUM(H1583:H1589)</f>
        <v>0</v>
      </c>
      <c r="I1582" s="456">
        <f>SUM(I1583:I1589)</f>
        <v>0</v>
      </c>
      <c r="J1582" s="456">
        <f>SUM(J1583:J1589)</f>
        <v>0</v>
      </c>
      <c r="K1582" s="456">
        <f>SUM(K1583:K1589)</f>
        <v>0</v>
      </c>
      <c r="L1582" s="457">
        <f t="shared" si="461"/>
        <v>0</v>
      </c>
      <c r="M1582" s="456">
        <f>SUM(M1583:M1589)</f>
        <v>0</v>
      </c>
      <c r="N1582" s="456">
        <f>SUM(N1583:N1589)</f>
        <v>0</v>
      </c>
      <c r="O1582" s="456">
        <f>SUM(O1583:O1589)</f>
        <v>0</v>
      </c>
      <c r="P1582" s="456">
        <f>SUM(P1583:P1589)</f>
        <v>0</v>
      </c>
      <c r="Q1582" s="382"/>
      <c r="R1582" s="385" t="str">
        <f t="shared" si="462"/>
        <v>T</v>
      </c>
      <c r="S1582" s="389"/>
      <c r="T1582" s="389"/>
      <c r="U1582" s="389"/>
      <c r="V1582" s="389"/>
      <c r="W1582" s="389"/>
      <c r="X1582" s="389"/>
      <c r="Y1582" s="389"/>
      <c r="Z1582" s="389"/>
      <c r="AA1582" s="389"/>
      <c r="AB1582" s="389"/>
      <c r="AC1582" s="389"/>
      <c r="AD1582" s="389"/>
      <c r="AE1582" s="389"/>
      <c r="AF1582" s="389"/>
    </row>
    <row r="1583" spans="1:37" hidden="1" outlineLevel="3">
      <c r="A1583" s="382"/>
      <c r="B1583" s="404" t="s">
        <v>604</v>
      </c>
      <c r="C1583" s="404" t="s">
        <v>601</v>
      </c>
      <c r="D1583" s="405" t="s">
        <v>18</v>
      </c>
      <c r="E1583" s="405" t="s">
        <v>602</v>
      </c>
      <c r="F1583" s="448" t="s">
        <v>278</v>
      </c>
      <c r="G1583" s="457"/>
      <c r="H1583" s="456">
        <v>0</v>
      </c>
      <c r="I1583" s="456"/>
      <c r="J1583" s="456"/>
      <c r="K1583" s="456"/>
      <c r="L1583" s="457">
        <f t="shared" si="461"/>
        <v>0</v>
      </c>
      <c r="M1583" s="456">
        <v>0</v>
      </c>
      <c r="N1583" s="456"/>
      <c r="O1583" s="456"/>
      <c r="P1583" s="456"/>
      <c r="Q1583" s="382"/>
      <c r="R1583" s="385" t="str">
        <f t="shared" si="462"/>
        <v>T</v>
      </c>
      <c r="S1583" s="389"/>
      <c r="T1583" s="389"/>
      <c r="U1583" s="389"/>
      <c r="V1583" s="389"/>
      <c r="W1583" s="389"/>
      <c r="X1583" s="389"/>
      <c r="Y1583" s="389"/>
      <c r="Z1583" s="389"/>
      <c r="AA1583" s="389"/>
      <c r="AB1583" s="389"/>
      <c r="AC1583" s="389"/>
      <c r="AD1583" s="389"/>
      <c r="AE1583" s="389"/>
      <c r="AF1583" s="389"/>
    </row>
    <row r="1584" spans="1:37" hidden="1" outlineLevel="3">
      <c r="A1584" s="382"/>
      <c r="B1584" s="404" t="s">
        <v>604</v>
      </c>
      <c r="C1584" s="404" t="s">
        <v>601</v>
      </c>
      <c r="D1584" s="405" t="s">
        <v>18</v>
      </c>
      <c r="E1584" s="405" t="s">
        <v>602</v>
      </c>
      <c r="F1584" s="448" t="s">
        <v>279</v>
      </c>
      <c r="G1584" s="457"/>
      <c r="H1584" s="456">
        <v>0</v>
      </c>
      <c r="I1584" s="456"/>
      <c r="J1584" s="456"/>
      <c r="K1584" s="456"/>
      <c r="L1584" s="457">
        <f t="shared" si="461"/>
        <v>0</v>
      </c>
      <c r="M1584" s="456">
        <v>0</v>
      </c>
      <c r="N1584" s="456"/>
      <c r="O1584" s="456"/>
      <c r="P1584" s="456"/>
      <c r="Q1584" s="382"/>
      <c r="R1584" s="385" t="str">
        <f t="shared" si="462"/>
        <v>T</v>
      </c>
      <c r="S1584" s="389"/>
      <c r="T1584" s="389"/>
      <c r="U1584" s="389"/>
      <c r="V1584" s="389"/>
      <c r="W1584" s="389"/>
      <c r="X1584" s="389"/>
      <c r="Y1584" s="389"/>
      <c r="Z1584" s="389"/>
      <c r="AA1584" s="389"/>
      <c r="AB1584" s="389"/>
      <c r="AC1584" s="389"/>
      <c r="AD1584" s="389"/>
      <c r="AE1584" s="389"/>
      <c r="AF1584" s="389"/>
    </row>
    <row r="1585" spans="1:32" hidden="1" outlineLevel="3">
      <c r="A1585" s="382"/>
      <c r="B1585" s="404" t="s">
        <v>604</v>
      </c>
      <c r="C1585" s="404" t="s">
        <v>601</v>
      </c>
      <c r="D1585" s="405" t="s">
        <v>18</v>
      </c>
      <c r="E1585" s="405" t="s">
        <v>602</v>
      </c>
      <c r="F1585" s="448" t="s">
        <v>33</v>
      </c>
      <c r="G1585" s="457"/>
      <c r="H1585" s="456"/>
      <c r="I1585" s="456">
        <v>0</v>
      </c>
      <c r="J1585" s="456"/>
      <c r="K1585" s="456"/>
      <c r="L1585" s="457">
        <f t="shared" si="461"/>
        <v>0</v>
      </c>
      <c r="M1585" s="456"/>
      <c r="N1585" s="456">
        <v>0</v>
      </c>
      <c r="O1585" s="456"/>
      <c r="P1585" s="456"/>
      <c r="Q1585" s="382"/>
      <c r="R1585" s="385" t="str">
        <f t="shared" si="462"/>
        <v>T</v>
      </c>
      <c r="S1585" s="389"/>
      <c r="T1585" s="389"/>
      <c r="U1585" s="389"/>
      <c r="V1585" s="389"/>
      <c r="W1585" s="389"/>
      <c r="X1585" s="389"/>
      <c r="Y1585" s="389"/>
      <c r="Z1585" s="389"/>
      <c r="AA1585" s="389"/>
      <c r="AB1585" s="389"/>
      <c r="AC1585" s="389"/>
      <c r="AD1585" s="389"/>
      <c r="AE1585" s="389"/>
      <c r="AF1585" s="389"/>
    </row>
    <row r="1586" spans="1:32" hidden="1" outlineLevel="3">
      <c r="A1586" s="382"/>
      <c r="B1586" s="404" t="s">
        <v>604</v>
      </c>
      <c r="C1586" s="404" t="s">
        <v>601</v>
      </c>
      <c r="D1586" s="405" t="s">
        <v>18</v>
      </c>
      <c r="E1586" s="405" t="s">
        <v>602</v>
      </c>
      <c r="F1586" s="448" t="s">
        <v>280</v>
      </c>
      <c r="G1586" s="457"/>
      <c r="H1586" s="456"/>
      <c r="I1586" s="456">
        <v>0</v>
      </c>
      <c r="J1586" s="456"/>
      <c r="K1586" s="456"/>
      <c r="L1586" s="457">
        <f t="shared" si="461"/>
        <v>0</v>
      </c>
      <c r="M1586" s="456"/>
      <c r="N1586" s="456">
        <v>0</v>
      </c>
      <c r="O1586" s="456"/>
      <c r="P1586" s="456"/>
      <c r="Q1586" s="382"/>
      <c r="R1586" s="385" t="str">
        <f t="shared" si="462"/>
        <v>T</v>
      </c>
      <c r="S1586" s="389"/>
      <c r="T1586" s="389"/>
      <c r="U1586" s="389"/>
      <c r="V1586" s="389"/>
      <c r="W1586" s="389"/>
      <c r="X1586" s="389"/>
      <c r="Y1586" s="389"/>
      <c r="Z1586" s="389"/>
      <c r="AA1586" s="389"/>
      <c r="AB1586" s="389"/>
      <c r="AC1586" s="389"/>
      <c r="AD1586" s="389"/>
      <c r="AE1586" s="389"/>
      <c r="AF1586" s="389"/>
    </row>
    <row r="1587" spans="1:32" hidden="1" outlineLevel="3">
      <c r="A1587" s="382"/>
      <c r="B1587" s="404" t="s">
        <v>604</v>
      </c>
      <c r="C1587" s="404" t="s">
        <v>601</v>
      </c>
      <c r="D1587" s="405" t="s">
        <v>18</v>
      </c>
      <c r="E1587" s="405" t="s">
        <v>602</v>
      </c>
      <c r="F1587" s="448" t="s">
        <v>281</v>
      </c>
      <c r="G1587" s="457"/>
      <c r="H1587" s="456"/>
      <c r="I1587" s="456"/>
      <c r="J1587" s="456">
        <v>0</v>
      </c>
      <c r="K1587" s="456"/>
      <c r="L1587" s="457">
        <f t="shared" si="461"/>
        <v>0</v>
      </c>
      <c r="M1587" s="456"/>
      <c r="N1587" s="456"/>
      <c r="O1587" s="456">
        <v>0</v>
      </c>
      <c r="P1587" s="456"/>
      <c r="Q1587" s="382"/>
      <c r="R1587" s="385" t="str">
        <f t="shared" si="462"/>
        <v>T</v>
      </c>
      <c r="S1587" s="389"/>
      <c r="T1587" s="389"/>
      <c r="U1587" s="389"/>
      <c r="V1587" s="389"/>
      <c r="W1587" s="389"/>
      <c r="X1587" s="389"/>
      <c r="Y1587" s="389"/>
      <c r="Z1587" s="389"/>
      <c r="AA1587" s="389"/>
      <c r="AB1587" s="389"/>
      <c r="AC1587" s="389"/>
      <c r="AD1587" s="389"/>
      <c r="AE1587" s="389"/>
      <c r="AF1587" s="389"/>
    </row>
    <row r="1588" spans="1:32" hidden="1" outlineLevel="3">
      <c r="A1588" s="382"/>
      <c r="B1588" s="404" t="s">
        <v>604</v>
      </c>
      <c r="C1588" s="404" t="s">
        <v>601</v>
      </c>
      <c r="D1588" s="405" t="s">
        <v>18</v>
      </c>
      <c r="E1588" s="405" t="s">
        <v>602</v>
      </c>
      <c r="F1588" s="448" t="s">
        <v>287</v>
      </c>
      <c r="G1588" s="457"/>
      <c r="H1588" s="456"/>
      <c r="I1588" s="456"/>
      <c r="J1588" s="456">
        <v>0</v>
      </c>
      <c r="K1588" s="456"/>
      <c r="L1588" s="457">
        <f t="shared" si="461"/>
        <v>0</v>
      </c>
      <c r="M1588" s="456"/>
      <c r="N1588" s="456"/>
      <c r="O1588" s="456">
        <v>0</v>
      </c>
      <c r="P1588" s="456"/>
      <c r="Q1588" s="382"/>
      <c r="R1588" s="385" t="str">
        <f t="shared" si="462"/>
        <v>T</v>
      </c>
      <c r="S1588" s="389"/>
      <c r="T1588" s="389"/>
      <c r="U1588" s="389"/>
      <c r="V1588" s="389"/>
      <c r="W1588" s="389"/>
      <c r="X1588" s="389"/>
      <c r="Y1588" s="389"/>
      <c r="Z1588" s="389"/>
      <c r="AA1588" s="389"/>
      <c r="AB1588" s="389"/>
      <c r="AC1588" s="389"/>
      <c r="AD1588" s="389"/>
      <c r="AE1588" s="389"/>
      <c r="AF1588" s="389"/>
    </row>
    <row r="1589" spans="1:32" hidden="1" outlineLevel="3">
      <c r="A1589" s="382"/>
      <c r="B1589" s="404" t="s">
        <v>604</v>
      </c>
      <c r="C1589" s="404" t="s">
        <v>601</v>
      </c>
      <c r="D1589" s="405" t="s">
        <v>18</v>
      </c>
      <c r="E1589" s="405" t="s">
        <v>602</v>
      </c>
      <c r="F1589" s="448" t="s">
        <v>284</v>
      </c>
      <c r="G1589" s="457"/>
      <c r="H1589" s="456"/>
      <c r="I1589" s="456"/>
      <c r="J1589" s="456"/>
      <c r="K1589" s="456">
        <v>0</v>
      </c>
      <c r="L1589" s="457">
        <f t="shared" si="461"/>
        <v>0</v>
      </c>
      <c r="M1589" s="456"/>
      <c r="N1589" s="456"/>
      <c r="O1589" s="456"/>
      <c r="P1589" s="456">
        <v>0</v>
      </c>
      <c r="Q1589" s="382"/>
      <c r="R1589" s="385" t="str">
        <f t="shared" si="462"/>
        <v>T</v>
      </c>
      <c r="S1589" s="389"/>
      <c r="T1589" s="389"/>
      <c r="U1589" s="389"/>
      <c r="V1589" s="389"/>
      <c r="W1589" s="389"/>
      <c r="X1589" s="389"/>
      <c r="Y1589" s="389"/>
      <c r="Z1589" s="389"/>
      <c r="AA1589" s="389"/>
      <c r="AB1589" s="389"/>
      <c r="AC1589" s="389"/>
      <c r="AD1589" s="389"/>
      <c r="AE1589" s="389"/>
      <c r="AF1589" s="389"/>
    </row>
    <row r="1590" spans="1:32" hidden="1" outlineLevel="2" collapsed="1">
      <c r="A1590" s="382"/>
      <c r="B1590" s="404" t="s">
        <v>604</v>
      </c>
      <c r="C1590" s="404" t="s">
        <v>601</v>
      </c>
      <c r="D1590" s="405" t="s">
        <v>26</v>
      </c>
      <c r="E1590" s="405"/>
      <c r="F1590" s="448" t="s">
        <v>87</v>
      </c>
      <c r="G1590" s="457">
        <f>SUM(G1591:G1594)</f>
        <v>0</v>
      </c>
      <c r="H1590" s="456">
        <f>SUM(H1591:H1594)</f>
        <v>0</v>
      </c>
      <c r="I1590" s="456">
        <f>SUM(I1591:I1594)</f>
        <v>0</v>
      </c>
      <c r="J1590" s="456">
        <f>SUM(J1591:J1594)</f>
        <v>0</v>
      </c>
      <c r="K1590" s="456">
        <f>SUM(K1591:K1594)</f>
        <v>0</v>
      </c>
      <c r="L1590" s="457">
        <f t="shared" ref="L1590:L1636" si="463">SUM(M1590:P1590)</f>
        <v>0</v>
      </c>
      <c r="M1590" s="456">
        <f>SUM(M1591:M1594)</f>
        <v>0</v>
      </c>
      <c r="N1590" s="456">
        <f>SUM(N1591:N1594)</f>
        <v>0</v>
      </c>
      <c r="O1590" s="456">
        <f>SUM(O1591:O1594)</f>
        <v>0</v>
      </c>
      <c r="P1590" s="456">
        <f>SUM(P1591:P1594)</f>
        <v>0</v>
      </c>
      <c r="Q1590" s="382"/>
      <c r="R1590" s="385" t="str">
        <f t="shared" si="462"/>
        <v>T</v>
      </c>
      <c r="S1590" s="389"/>
      <c r="T1590" s="389"/>
      <c r="U1590" s="389"/>
      <c r="V1590" s="389"/>
      <c r="W1590" s="389"/>
      <c r="X1590" s="389"/>
      <c r="Y1590" s="389"/>
      <c r="Z1590" s="389"/>
      <c r="AA1590" s="389"/>
      <c r="AB1590" s="389"/>
      <c r="AC1590" s="389"/>
      <c r="AD1590" s="389"/>
      <c r="AE1590" s="389"/>
      <c r="AF1590" s="389"/>
    </row>
    <row r="1591" spans="1:32" hidden="1" outlineLevel="3">
      <c r="A1591" s="382"/>
      <c r="B1591" s="404" t="s">
        <v>604</v>
      </c>
      <c r="C1591" s="404" t="s">
        <v>601</v>
      </c>
      <c r="D1591" s="405" t="s">
        <v>26</v>
      </c>
      <c r="E1591" s="405" t="s">
        <v>27</v>
      </c>
      <c r="F1591" s="448" t="s">
        <v>279</v>
      </c>
      <c r="G1591" s="457"/>
      <c r="H1591" s="456">
        <v>0</v>
      </c>
      <c r="I1591" s="456"/>
      <c r="J1591" s="456"/>
      <c r="K1591" s="456"/>
      <c r="L1591" s="457">
        <f t="shared" si="463"/>
        <v>0</v>
      </c>
      <c r="M1591" s="456">
        <v>0</v>
      </c>
      <c r="N1591" s="456"/>
      <c r="O1591" s="456"/>
      <c r="P1591" s="456"/>
      <c r="Q1591" s="382"/>
      <c r="R1591" s="385" t="str">
        <f t="shared" si="462"/>
        <v>T</v>
      </c>
      <c r="S1591" s="389"/>
      <c r="T1591" s="389"/>
      <c r="U1591" s="389"/>
      <c r="V1591" s="389"/>
      <c r="W1591" s="389"/>
      <c r="X1591" s="389"/>
      <c r="Y1591" s="389"/>
      <c r="Z1591" s="389"/>
      <c r="AA1591" s="389"/>
      <c r="AB1591" s="389"/>
      <c r="AC1591" s="389"/>
      <c r="AD1591" s="389"/>
      <c r="AE1591" s="389"/>
      <c r="AF1591" s="389"/>
    </row>
    <row r="1592" spans="1:32" hidden="1" outlineLevel="3">
      <c r="A1592" s="382"/>
      <c r="B1592" s="404" t="s">
        <v>604</v>
      </c>
      <c r="C1592" s="404" t="s">
        <v>601</v>
      </c>
      <c r="D1592" s="405" t="s">
        <v>26</v>
      </c>
      <c r="E1592" s="405" t="s">
        <v>27</v>
      </c>
      <c r="F1592" s="448" t="s">
        <v>280</v>
      </c>
      <c r="G1592" s="457"/>
      <c r="H1592" s="456"/>
      <c r="I1592" s="456">
        <v>0</v>
      </c>
      <c r="J1592" s="456"/>
      <c r="K1592" s="456"/>
      <c r="L1592" s="457">
        <f t="shared" si="463"/>
        <v>0</v>
      </c>
      <c r="M1592" s="456"/>
      <c r="N1592" s="456">
        <v>0</v>
      </c>
      <c r="O1592" s="456"/>
      <c r="P1592" s="456"/>
      <c r="Q1592" s="382"/>
      <c r="R1592" s="385" t="str">
        <f t="shared" si="462"/>
        <v>T</v>
      </c>
      <c r="S1592" s="389"/>
      <c r="T1592" s="389"/>
      <c r="U1592" s="389"/>
      <c r="V1592" s="389"/>
      <c r="W1592" s="389"/>
      <c r="X1592" s="389"/>
      <c r="Y1592" s="389"/>
      <c r="Z1592" s="389"/>
      <c r="AA1592" s="389"/>
      <c r="AB1592" s="389"/>
      <c r="AC1592" s="389"/>
      <c r="AD1592" s="389"/>
      <c r="AE1592" s="389"/>
      <c r="AF1592" s="389"/>
    </row>
    <row r="1593" spans="1:32" hidden="1" outlineLevel="3">
      <c r="A1593" s="382"/>
      <c r="B1593" s="404" t="s">
        <v>604</v>
      </c>
      <c r="C1593" s="404" t="s">
        <v>601</v>
      </c>
      <c r="D1593" s="405" t="s">
        <v>26</v>
      </c>
      <c r="E1593" s="405" t="s">
        <v>27</v>
      </c>
      <c r="F1593" s="448" t="s">
        <v>281</v>
      </c>
      <c r="G1593" s="457"/>
      <c r="H1593" s="456"/>
      <c r="I1593" s="456"/>
      <c r="J1593" s="456">
        <v>0</v>
      </c>
      <c r="K1593" s="456"/>
      <c r="L1593" s="457">
        <f t="shared" si="463"/>
        <v>0</v>
      </c>
      <c r="M1593" s="456"/>
      <c r="N1593" s="456"/>
      <c r="O1593" s="456">
        <v>0</v>
      </c>
      <c r="P1593" s="456"/>
      <c r="Q1593" s="382"/>
      <c r="R1593" s="385" t="str">
        <f t="shared" si="462"/>
        <v>T</v>
      </c>
      <c r="S1593" s="389"/>
      <c r="T1593" s="389"/>
      <c r="U1593" s="389"/>
      <c r="V1593" s="389"/>
      <c r="W1593" s="389"/>
      <c r="X1593" s="389"/>
      <c r="Y1593" s="389"/>
      <c r="Z1593" s="389"/>
      <c r="AA1593" s="389"/>
      <c r="AB1593" s="389"/>
      <c r="AC1593" s="389"/>
      <c r="AD1593" s="389"/>
      <c r="AE1593" s="389"/>
      <c r="AF1593" s="389"/>
    </row>
    <row r="1594" spans="1:32" hidden="1" outlineLevel="3">
      <c r="A1594" s="382"/>
      <c r="B1594" s="404" t="s">
        <v>604</v>
      </c>
      <c r="C1594" s="404" t="s">
        <v>601</v>
      </c>
      <c r="D1594" s="405" t="s">
        <v>26</v>
      </c>
      <c r="E1594" s="405" t="s">
        <v>27</v>
      </c>
      <c r="F1594" s="448" t="s">
        <v>287</v>
      </c>
      <c r="G1594" s="457"/>
      <c r="H1594" s="456"/>
      <c r="I1594" s="456"/>
      <c r="J1594" s="456">
        <v>0</v>
      </c>
      <c r="K1594" s="456"/>
      <c r="L1594" s="457">
        <f t="shared" si="463"/>
        <v>0</v>
      </c>
      <c r="M1594" s="456"/>
      <c r="N1594" s="456"/>
      <c r="O1594" s="456">
        <v>0</v>
      </c>
      <c r="P1594" s="456"/>
      <c r="Q1594" s="382"/>
      <c r="R1594" s="385" t="str">
        <f t="shared" si="462"/>
        <v>T</v>
      </c>
      <c r="S1594" s="389"/>
      <c r="T1594" s="389"/>
      <c r="U1594" s="389"/>
      <c r="V1594" s="389"/>
      <c r="W1594" s="389"/>
      <c r="X1594" s="389"/>
      <c r="Y1594" s="389"/>
      <c r="Z1594" s="389"/>
      <c r="AA1594" s="389"/>
      <c r="AB1594" s="389"/>
      <c r="AC1594" s="389"/>
      <c r="AD1594" s="389"/>
      <c r="AE1594" s="389"/>
      <c r="AF1594" s="389"/>
    </row>
    <row r="1595" spans="1:32" hidden="1" outlineLevel="2" collapsed="1">
      <c r="A1595" s="382"/>
      <c r="B1595" s="404" t="s">
        <v>604</v>
      </c>
      <c r="C1595" s="404" t="s">
        <v>601</v>
      </c>
      <c r="D1595" s="405" t="s">
        <v>28</v>
      </c>
      <c r="E1595" s="405"/>
      <c r="F1595" s="448" t="s">
        <v>87</v>
      </c>
      <c r="G1595" s="457">
        <f>SUM(G1596:G1601)</f>
        <v>0</v>
      </c>
      <c r="H1595" s="456">
        <f>SUM(H1596:H1601)</f>
        <v>0</v>
      </c>
      <c r="I1595" s="456">
        <f>SUM(I1596:I1601)</f>
        <v>0</v>
      </c>
      <c r="J1595" s="456">
        <f>SUM(J1596:J1601)</f>
        <v>0</v>
      </c>
      <c r="K1595" s="456">
        <f>SUM(K1596:K1601)</f>
        <v>0</v>
      </c>
      <c r="L1595" s="457">
        <f>SUM(M1595:P1595)</f>
        <v>0</v>
      </c>
      <c r="M1595" s="456">
        <f>SUM(M1596:M1601)</f>
        <v>0</v>
      </c>
      <c r="N1595" s="456">
        <f>SUM(N1596:N1601)</f>
        <v>0</v>
      </c>
      <c r="O1595" s="456">
        <f>SUM(O1596:O1601)</f>
        <v>0</v>
      </c>
      <c r="P1595" s="456">
        <f>SUM(P1596:P1601)</f>
        <v>0</v>
      </c>
      <c r="Q1595" s="382"/>
      <c r="R1595" s="385" t="str">
        <f t="shared" si="462"/>
        <v>T</v>
      </c>
      <c r="S1595" s="389"/>
      <c r="T1595" s="389"/>
      <c r="U1595" s="389"/>
      <c r="V1595" s="389"/>
      <c r="W1595" s="389"/>
      <c r="X1595" s="389"/>
      <c r="Y1595" s="389"/>
      <c r="Z1595" s="389"/>
      <c r="AA1595" s="389"/>
      <c r="AB1595" s="389"/>
      <c r="AC1595" s="389"/>
      <c r="AD1595" s="389"/>
      <c r="AE1595" s="389"/>
      <c r="AF1595" s="389"/>
    </row>
    <row r="1596" spans="1:32" hidden="1" outlineLevel="3">
      <c r="A1596" s="382"/>
      <c r="B1596" s="404" t="s">
        <v>604</v>
      </c>
      <c r="C1596" s="404" t="s">
        <v>601</v>
      </c>
      <c r="D1596" s="405" t="s">
        <v>28</v>
      </c>
      <c r="E1596" s="405" t="s">
        <v>29</v>
      </c>
      <c r="F1596" s="448" t="s">
        <v>279</v>
      </c>
      <c r="G1596" s="457"/>
      <c r="H1596" s="456">
        <v>0</v>
      </c>
      <c r="I1596" s="456"/>
      <c r="J1596" s="456"/>
      <c r="K1596" s="456"/>
      <c r="L1596" s="457">
        <f t="shared" si="463"/>
        <v>0</v>
      </c>
      <c r="M1596" s="456">
        <v>0</v>
      </c>
      <c r="N1596" s="456"/>
      <c r="O1596" s="456"/>
      <c r="P1596" s="456"/>
      <c r="Q1596" s="382"/>
      <c r="R1596" s="385" t="str">
        <f t="shared" si="462"/>
        <v>T</v>
      </c>
      <c r="S1596" s="389"/>
      <c r="T1596" s="389"/>
      <c r="U1596" s="389"/>
      <c r="V1596" s="389"/>
      <c r="W1596" s="389"/>
      <c r="X1596" s="389"/>
      <c r="Y1596" s="389"/>
      <c r="Z1596" s="389"/>
      <c r="AA1596" s="389"/>
      <c r="AB1596" s="389"/>
      <c r="AC1596" s="389"/>
      <c r="AD1596" s="389"/>
      <c r="AE1596" s="389"/>
      <c r="AF1596" s="389"/>
    </row>
    <row r="1597" spans="1:32" hidden="1" outlineLevel="3">
      <c r="A1597" s="382"/>
      <c r="B1597" s="404" t="s">
        <v>604</v>
      </c>
      <c r="C1597" s="404" t="s">
        <v>601</v>
      </c>
      <c r="D1597" s="405" t="s">
        <v>28</v>
      </c>
      <c r="E1597" s="405" t="s">
        <v>29</v>
      </c>
      <c r="F1597" s="448" t="s">
        <v>33</v>
      </c>
      <c r="G1597" s="457"/>
      <c r="H1597" s="456"/>
      <c r="I1597" s="456">
        <v>0</v>
      </c>
      <c r="J1597" s="456"/>
      <c r="K1597" s="456"/>
      <c r="L1597" s="457">
        <f t="shared" si="463"/>
        <v>0</v>
      </c>
      <c r="M1597" s="456"/>
      <c r="N1597" s="456">
        <v>0</v>
      </c>
      <c r="O1597" s="456"/>
      <c r="P1597" s="456"/>
      <c r="Q1597" s="382"/>
      <c r="R1597" s="385" t="str">
        <f t="shared" si="462"/>
        <v>T</v>
      </c>
      <c r="S1597" s="389"/>
      <c r="T1597" s="389"/>
      <c r="U1597" s="389"/>
      <c r="V1597" s="389"/>
      <c r="W1597" s="389"/>
      <c r="X1597" s="389"/>
      <c r="Y1597" s="389"/>
      <c r="Z1597" s="389"/>
      <c r="AA1597" s="389"/>
      <c r="AB1597" s="389"/>
      <c r="AC1597" s="389"/>
      <c r="AD1597" s="389"/>
      <c r="AE1597" s="389"/>
      <c r="AF1597" s="389"/>
    </row>
    <row r="1598" spans="1:32" hidden="1" outlineLevel="3">
      <c r="A1598" s="382"/>
      <c r="B1598" s="404" t="s">
        <v>604</v>
      </c>
      <c r="C1598" s="404" t="s">
        <v>601</v>
      </c>
      <c r="D1598" s="405" t="s">
        <v>28</v>
      </c>
      <c r="E1598" s="405" t="s">
        <v>29</v>
      </c>
      <c r="F1598" s="448" t="s">
        <v>280</v>
      </c>
      <c r="G1598" s="457"/>
      <c r="H1598" s="464"/>
      <c r="I1598" s="456">
        <v>0</v>
      </c>
      <c r="J1598" s="456"/>
      <c r="K1598" s="456"/>
      <c r="L1598" s="457">
        <f t="shared" si="463"/>
        <v>0</v>
      </c>
      <c r="M1598" s="464"/>
      <c r="N1598" s="456">
        <v>0</v>
      </c>
      <c r="O1598" s="456"/>
      <c r="P1598" s="456"/>
      <c r="Q1598" s="382"/>
      <c r="R1598" s="385" t="str">
        <f t="shared" si="462"/>
        <v>T</v>
      </c>
      <c r="S1598" s="389"/>
      <c r="T1598" s="389"/>
      <c r="U1598" s="389"/>
      <c r="V1598" s="389"/>
      <c r="W1598" s="389"/>
      <c r="X1598" s="389"/>
      <c r="Y1598" s="389"/>
      <c r="Z1598" s="389"/>
      <c r="AA1598" s="389"/>
      <c r="AB1598" s="389"/>
      <c r="AC1598" s="389"/>
      <c r="AD1598" s="389"/>
      <c r="AE1598" s="389"/>
      <c r="AF1598" s="389"/>
    </row>
    <row r="1599" spans="1:32" hidden="1" outlineLevel="3">
      <c r="A1599" s="382"/>
      <c r="B1599" s="404" t="s">
        <v>604</v>
      </c>
      <c r="C1599" s="404" t="s">
        <v>601</v>
      </c>
      <c r="D1599" s="405" t="s">
        <v>28</v>
      </c>
      <c r="E1599" s="405" t="s">
        <v>29</v>
      </c>
      <c r="F1599" s="448" t="s">
        <v>281</v>
      </c>
      <c r="G1599" s="457"/>
      <c r="H1599" s="456"/>
      <c r="I1599" s="464"/>
      <c r="J1599" s="456">
        <v>0</v>
      </c>
      <c r="K1599" s="456"/>
      <c r="L1599" s="457">
        <f t="shared" si="463"/>
        <v>0</v>
      </c>
      <c r="M1599" s="456"/>
      <c r="N1599" s="464"/>
      <c r="O1599" s="456">
        <v>0</v>
      </c>
      <c r="P1599" s="456"/>
      <c r="Q1599" s="382"/>
      <c r="R1599" s="385" t="str">
        <f t="shared" si="462"/>
        <v>T</v>
      </c>
      <c r="S1599" s="389"/>
      <c r="T1599" s="389"/>
      <c r="U1599" s="389"/>
      <c r="V1599" s="389"/>
      <c r="W1599" s="389"/>
      <c r="X1599" s="389"/>
      <c r="Y1599" s="389"/>
      <c r="Z1599" s="389"/>
      <c r="AA1599" s="389"/>
      <c r="AB1599" s="389"/>
      <c r="AC1599" s="389"/>
      <c r="AD1599" s="389"/>
      <c r="AE1599" s="389"/>
      <c r="AF1599" s="389"/>
    </row>
    <row r="1600" spans="1:32" hidden="1" outlineLevel="3">
      <c r="A1600" s="382"/>
      <c r="B1600" s="404" t="s">
        <v>604</v>
      </c>
      <c r="C1600" s="404" t="s">
        <v>601</v>
      </c>
      <c r="D1600" s="405" t="s">
        <v>28</v>
      </c>
      <c r="E1600" s="405" t="s">
        <v>29</v>
      </c>
      <c r="F1600" s="448" t="s">
        <v>287</v>
      </c>
      <c r="G1600" s="457"/>
      <c r="H1600" s="456"/>
      <c r="I1600" s="464"/>
      <c r="J1600" s="456">
        <v>0</v>
      </c>
      <c r="K1600" s="456"/>
      <c r="L1600" s="457">
        <f t="shared" si="463"/>
        <v>0</v>
      </c>
      <c r="M1600" s="456"/>
      <c r="N1600" s="464"/>
      <c r="O1600" s="456">
        <v>0</v>
      </c>
      <c r="P1600" s="456"/>
      <c r="Q1600" s="382"/>
      <c r="R1600" s="385" t="str">
        <f t="shared" si="462"/>
        <v>T</v>
      </c>
      <c r="S1600" s="389"/>
      <c r="T1600" s="389"/>
      <c r="U1600" s="389"/>
      <c r="V1600" s="389"/>
      <c r="W1600" s="389"/>
      <c r="X1600" s="389"/>
      <c r="Y1600" s="389"/>
      <c r="Z1600" s="389"/>
      <c r="AA1600" s="389"/>
      <c r="AB1600" s="389"/>
      <c r="AC1600" s="389"/>
      <c r="AD1600" s="389"/>
      <c r="AE1600" s="389"/>
      <c r="AF1600" s="389"/>
    </row>
    <row r="1601" spans="1:32" hidden="1" outlineLevel="3">
      <c r="A1601" s="382"/>
      <c r="B1601" s="404" t="s">
        <v>604</v>
      </c>
      <c r="C1601" s="404" t="s">
        <v>601</v>
      </c>
      <c r="D1601" s="405" t="s">
        <v>28</v>
      </c>
      <c r="E1601" s="405" t="s">
        <v>29</v>
      </c>
      <c r="F1601" s="448" t="s">
        <v>284</v>
      </c>
      <c r="G1601" s="457"/>
      <c r="H1601" s="456"/>
      <c r="I1601" s="464"/>
      <c r="J1601" s="456"/>
      <c r="K1601" s="456">
        <v>0</v>
      </c>
      <c r="L1601" s="457">
        <f t="shared" si="463"/>
        <v>0</v>
      </c>
      <c r="M1601" s="456"/>
      <c r="N1601" s="464"/>
      <c r="O1601" s="456"/>
      <c r="P1601" s="456">
        <v>0</v>
      </c>
      <c r="Q1601" s="382"/>
      <c r="R1601" s="385" t="str">
        <f t="shared" si="462"/>
        <v>T</v>
      </c>
      <c r="S1601" s="389"/>
      <c r="T1601" s="389"/>
      <c r="U1601" s="389"/>
      <c r="V1601" s="389"/>
      <c r="W1601" s="389"/>
      <c r="X1601" s="389"/>
      <c r="Y1601" s="389"/>
      <c r="Z1601" s="389"/>
      <c r="AA1601" s="389"/>
      <c r="AB1601" s="389"/>
      <c r="AC1601" s="389"/>
      <c r="AD1601" s="389"/>
      <c r="AE1601" s="389"/>
      <c r="AF1601" s="389"/>
    </row>
    <row r="1602" spans="1:32" hidden="1" outlineLevel="2" collapsed="1">
      <c r="A1602" s="382"/>
      <c r="B1602" s="404" t="s">
        <v>604</v>
      </c>
      <c r="C1602" s="404" t="s">
        <v>601</v>
      </c>
      <c r="D1602" s="405" t="s">
        <v>64</v>
      </c>
      <c r="E1602" s="405"/>
      <c r="F1602" s="448" t="s">
        <v>87</v>
      </c>
      <c r="G1602" s="457">
        <f>SUM(G1603:G1606)</f>
        <v>0</v>
      </c>
      <c r="H1602" s="456">
        <f>SUM(H1603:H1606)</f>
        <v>0</v>
      </c>
      <c r="I1602" s="456">
        <f>SUM(I1603:I1606)</f>
        <v>0</v>
      </c>
      <c r="J1602" s="456">
        <f>SUM(J1603:J1606)</f>
        <v>0</v>
      </c>
      <c r="K1602" s="456">
        <f>SUM(K1603:K1606)</f>
        <v>0</v>
      </c>
      <c r="L1602" s="457">
        <f t="shared" si="463"/>
        <v>0</v>
      </c>
      <c r="M1602" s="456">
        <f>SUM(M1603:M1606)</f>
        <v>0</v>
      </c>
      <c r="N1602" s="456">
        <f>SUM(N1603:N1606)</f>
        <v>0</v>
      </c>
      <c r="O1602" s="456">
        <f>SUM(O1603:O1606)</f>
        <v>0</v>
      </c>
      <c r="P1602" s="456">
        <f>SUM(P1603:P1606)</f>
        <v>0</v>
      </c>
      <c r="Q1602" s="382"/>
      <c r="R1602" s="385" t="str">
        <f t="shared" si="462"/>
        <v>T</v>
      </c>
      <c r="S1602" s="389"/>
      <c r="T1602" s="389"/>
      <c r="U1602" s="389"/>
      <c r="V1602" s="389"/>
      <c r="W1602" s="389"/>
      <c r="X1602" s="389"/>
      <c r="Y1602" s="389"/>
      <c r="Z1602" s="389"/>
      <c r="AA1602" s="389"/>
      <c r="AB1602" s="389"/>
      <c r="AC1602" s="389"/>
      <c r="AD1602" s="389"/>
      <c r="AE1602" s="389"/>
      <c r="AF1602" s="389"/>
    </row>
    <row r="1603" spans="1:32" hidden="1" outlineLevel="3">
      <c r="A1603" s="382"/>
      <c r="B1603" s="404" t="s">
        <v>604</v>
      </c>
      <c r="C1603" s="404" t="s">
        <v>601</v>
      </c>
      <c r="D1603" s="405" t="s">
        <v>64</v>
      </c>
      <c r="E1603" s="405" t="s">
        <v>29</v>
      </c>
      <c r="F1603" s="448" t="s">
        <v>279</v>
      </c>
      <c r="G1603" s="457"/>
      <c r="H1603" s="456">
        <f>SUM(H1604:H1606)</f>
        <v>0</v>
      </c>
      <c r="I1603" s="456"/>
      <c r="J1603" s="456"/>
      <c r="K1603" s="456"/>
      <c r="L1603" s="457">
        <f t="shared" si="463"/>
        <v>0</v>
      </c>
      <c r="M1603" s="456">
        <f>SUM(M1604:M1606)</f>
        <v>0</v>
      </c>
      <c r="N1603" s="456"/>
      <c r="O1603" s="456"/>
      <c r="P1603" s="456"/>
      <c r="Q1603" s="382"/>
      <c r="R1603" s="385" t="str">
        <f t="shared" si="462"/>
        <v>T</v>
      </c>
      <c r="S1603" s="389"/>
      <c r="T1603" s="389"/>
      <c r="U1603" s="389"/>
      <c r="V1603" s="389"/>
      <c r="W1603" s="389"/>
      <c r="X1603" s="389"/>
      <c r="Y1603" s="389"/>
      <c r="Z1603" s="389"/>
      <c r="AA1603" s="389"/>
      <c r="AB1603" s="389"/>
      <c r="AC1603" s="389"/>
      <c r="AD1603" s="389"/>
      <c r="AE1603" s="389"/>
      <c r="AF1603" s="389"/>
    </row>
    <row r="1604" spans="1:32" hidden="1" outlineLevel="3">
      <c r="A1604" s="382"/>
      <c r="B1604" s="404" t="s">
        <v>604</v>
      </c>
      <c r="C1604" s="404" t="s">
        <v>601</v>
      </c>
      <c r="D1604" s="405" t="s">
        <v>64</v>
      </c>
      <c r="E1604" s="405" t="s">
        <v>29</v>
      </c>
      <c r="F1604" s="448" t="s">
        <v>33</v>
      </c>
      <c r="G1604" s="457"/>
      <c r="H1604" s="456"/>
      <c r="I1604" s="456">
        <v>0</v>
      </c>
      <c r="J1604" s="456"/>
      <c r="K1604" s="456"/>
      <c r="L1604" s="457">
        <f t="shared" si="463"/>
        <v>0</v>
      </c>
      <c r="M1604" s="456"/>
      <c r="N1604" s="456">
        <v>0</v>
      </c>
      <c r="O1604" s="456"/>
      <c r="P1604" s="456"/>
      <c r="Q1604" s="382"/>
      <c r="R1604" s="385" t="str">
        <f t="shared" si="462"/>
        <v>T</v>
      </c>
      <c r="S1604" s="389"/>
      <c r="T1604" s="389"/>
      <c r="U1604" s="389"/>
      <c r="V1604" s="389"/>
      <c r="W1604" s="389"/>
      <c r="X1604" s="389"/>
      <c r="Y1604" s="389"/>
      <c r="Z1604" s="389"/>
      <c r="AA1604" s="389"/>
      <c r="AB1604" s="389"/>
      <c r="AC1604" s="389"/>
      <c r="AD1604" s="389"/>
      <c r="AE1604" s="389"/>
      <c r="AF1604" s="389"/>
    </row>
    <row r="1605" spans="1:32" hidden="1" outlineLevel="3">
      <c r="A1605" s="382"/>
      <c r="B1605" s="404" t="s">
        <v>604</v>
      </c>
      <c r="C1605" s="404" t="s">
        <v>601</v>
      </c>
      <c r="D1605" s="405" t="s">
        <v>64</v>
      </c>
      <c r="E1605" s="405" t="s">
        <v>29</v>
      </c>
      <c r="F1605" s="448" t="s">
        <v>280</v>
      </c>
      <c r="G1605" s="457"/>
      <c r="H1605" s="464"/>
      <c r="I1605" s="456"/>
      <c r="J1605" s="456">
        <v>0</v>
      </c>
      <c r="K1605" s="456"/>
      <c r="L1605" s="457">
        <f t="shared" si="463"/>
        <v>0</v>
      </c>
      <c r="M1605" s="464"/>
      <c r="N1605" s="456"/>
      <c r="O1605" s="456">
        <v>0</v>
      </c>
      <c r="P1605" s="456"/>
      <c r="Q1605" s="382"/>
      <c r="R1605" s="385" t="str">
        <f t="shared" si="462"/>
        <v>T</v>
      </c>
      <c r="S1605" s="389"/>
      <c r="T1605" s="389"/>
      <c r="U1605" s="389"/>
      <c r="V1605" s="389"/>
      <c r="W1605" s="389"/>
      <c r="X1605" s="389"/>
      <c r="Y1605" s="389"/>
      <c r="Z1605" s="389"/>
      <c r="AA1605" s="389"/>
      <c r="AB1605" s="389"/>
      <c r="AC1605" s="389"/>
      <c r="AD1605" s="389"/>
      <c r="AE1605" s="389"/>
      <c r="AF1605" s="389"/>
    </row>
    <row r="1606" spans="1:32" hidden="1" outlineLevel="3">
      <c r="A1606" s="382"/>
      <c r="B1606" s="404" t="s">
        <v>604</v>
      </c>
      <c r="C1606" s="404" t="s">
        <v>601</v>
      </c>
      <c r="D1606" s="405" t="s">
        <v>64</v>
      </c>
      <c r="E1606" s="405" t="s">
        <v>29</v>
      </c>
      <c r="F1606" s="448" t="s">
        <v>287</v>
      </c>
      <c r="G1606" s="457"/>
      <c r="H1606" s="456"/>
      <c r="I1606" s="464"/>
      <c r="J1606" s="456">
        <v>0</v>
      </c>
      <c r="K1606" s="456"/>
      <c r="L1606" s="457">
        <f t="shared" si="463"/>
        <v>0</v>
      </c>
      <c r="M1606" s="456"/>
      <c r="N1606" s="464"/>
      <c r="O1606" s="456">
        <v>0</v>
      </c>
      <c r="P1606" s="456"/>
      <c r="Q1606" s="382"/>
      <c r="R1606" s="385" t="str">
        <f t="shared" si="462"/>
        <v>T</v>
      </c>
      <c r="S1606" s="389"/>
      <c r="T1606" s="389"/>
      <c r="U1606" s="389"/>
      <c r="V1606" s="389"/>
      <c r="W1606" s="389"/>
      <c r="X1606" s="389"/>
      <c r="Y1606" s="389"/>
      <c r="Z1606" s="389"/>
      <c r="AA1606" s="389"/>
      <c r="AB1606" s="389"/>
      <c r="AC1606" s="389"/>
      <c r="AD1606" s="389"/>
      <c r="AE1606" s="389"/>
      <c r="AF1606" s="389"/>
    </row>
    <row r="1607" spans="1:32" outlineLevel="1" collapsed="1">
      <c r="A1607" s="382"/>
      <c r="B1607" s="403" t="s">
        <v>605</v>
      </c>
      <c r="C1607" s="403" t="s">
        <v>606</v>
      </c>
      <c r="D1607" s="425"/>
      <c r="E1607" s="403" t="s">
        <v>72</v>
      </c>
      <c r="F1607" s="443" t="s">
        <v>607</v>
      </c>
      <c r="G1607" s="469">
        <f>SUM(G1608:G1636)</f>
        <v>0</v>
      </c>
      <c r="H1607" s="470">
        <f>H1608+H1617+H1623+H1631</f>
        <v>0</v>
      </c>
      <c r="I1607" s="470">
        <f>I1608+I1617+I1623+I1631</f>
        <v>0</v>
      </c>
      <c r="J1607" s="470">
        <f>J1608+J1617+J1623+J1631</f>
        <v>0</v>
      </c>
      <c r="K1607" s="470">
        <f>K1608+K1617+K1623+K1631</f>
        <v>0</v>
      </c>
      <c r="L1607" s="469">
        <f t="shared" si="463"/>
        <v>0</v>
      </c>
      <c r="M1607" s="470">
        <f>M1608+M1617+M1623+M1631</f>
        <v>0</v>
      </c>
      <c r="N1607" s="470">
        <f>N1608+N1617+N1623+N1631</f>
        <v>0</v>
      </c>
      <c r="O1607" s="470">
        <f>O1608+O1617+O1623+O1631</f>
        <v>0</v>
      </c>
      <c r="P1607" s="470">
        <f>P1608+P1617+P1623+P1631</f>
        <v>0</v>
      </c>
      <c r="Q1607" s="382"/>
      <c r="R1607" s="385" t="str">
        <f t="shared" si="462"/>
        <v>T</v>
      </c>
      <c r="S1607" s="389"/>
      <c r="T1607" s="389"/>
      <c r="U1607" s="389"/>
      <c r="V1607" s="389"/>
      <c r="W1607" s="389"/>
      <c r="X1607" s="389"/>
      <c r="Y1607" s="389"/>
      <c r="Z1607" s="389"/>
      <c r="AA1607" s="389"/>
      <c r="AB1607" s="389"/>
      <c r="AC1607" s="389"/>
      <c r="AD1607" s="389"/>
      <c r="AE1607" s="389"/>
      <c r="AF1607" s="389"/>
    </row>
    <row r="1608" spans="1:32" hidden="1" outlineLevel="2" collapsed="1">
      <c r="A1608" s="382"/>
      <c r="B1608" s="382" t="s">
        <v>605</v>
      </c>
      <c r="C1608" s="386" t="s">
        <v>606</v>
      </c>
      <c r="D1608" s="382" t="s">
        <v>18</v>
      </c>
      <c r="E1608" s="386"/>
      <c r="F1608" s="440" t="s">
        <v>607</v>
      </c>
      <c r="G1608" s="469">
        <f t="shared" ref="G1608:G1631" si="464">SUM(G1609:G1637)</f>
        <v>0</v>
      </c>
      <c r="H1608" s="409">
        <f>SUM(H1609:H1616)</f>
        <v>0</v>
      </c>
      <c r="I1608" s="409">
        <f>SUM(I1609:I1616)</f>
        <v>0</v>
      </c>
      <c r="J1608" s="409">
        <f>SUM(J1609:J1616)</f>
        <v>0</v>
      </c>
      <c r="K1608" s="409">
        <f>SUM(K1609:K1616)</f>
        <v>0</v>
      </c>
      <c r="L1608" s="469">
        <f t="shared" si="463"/>
        <v>0</v>
      </c>
      <c r="M1608" s="409">
        <f>SUM(M1609:M1616)</f>
        <v>0</v>
      </c>
      <c r="N1608" s="409">
        <f>SUM(N1609:N1616)</f>
        <v>0</v>
      </c>
      <c r="O1608" s="409">
        <f>SUM(O1609:O1616)</f>
        <v>0</v>
      </c>
      <c r="P1608" s="409">
        <f>SUM(P1609:P1616)</f>
        <v>0</v>
      </c>
      <c r="Q1608" s="382"/>
      <c r="R1608" s="385" t="str">
        <f t="shared" si="462"/>
        <v>T</v>
      </c>
      <c r="S1608" s="389"/>
      <c r="T1608" s="389"/>
      <c r="U1608" s="389"/>
      <c r="V1608" s="389"/>
      <c r="W1608" s="389"/>
      <c r="X1608" s="389"/>
      <c r="Y1608" s="389"/>
      <c r="Z1608" s="389"/>
      <c r="AA1608" s="389"/>
      <c r="AB1608" s="389"/>
      <c r="AC1608" s="389"/>
      <c r="AD1608" s="389"/>
      <c r="AE1608" s="389"/>
      <c r="AF1608" s="389"/>
    </row>
    <row r="1609" spans="1:32" hidden="1" outlineLevel="3">
      <c r="A1609" s="382"/>
      <c r="B1609" s="382" t="s">
        <v>605</v>
      </c>
      <c r="C1609" s="386" t="s">
        <v>606</v>
      </c>
      <c r="D1609" s="382" t="s">
        <v>18</v>
      </c>
      <c r="E1609" s="386" t="s">
        <v>72</v>
      </c>
      <c r="F1609" s="440" t="s">
        <v>278</v>
      </c>
      <c r="G1609" s="469">
        <f t="shared" si="464"/>
        <v>0</v>
      </c>
      <c r="H1609" s="409">
        <v>0</v>
      </c>
      <c r="I1609" s="409"/>
      <c r="J1609" s="409"/>
      <c r="K1609" s="409"/>
      <c r="L1609" s="469">
        <f t="shared" si="463"/>
        <v>0</v>
      </c>
      <c r="M1609" s="409">
        <v>0</v>
      </c>
      <c r="N1609" s="409"/>
      <c r="O1609" s="409"/>
      <c r="P1609" s="409"/>
      <c r="Q1609" s="382"/>
      <c r="R1609" s="385" t="str">
        <f t="shared" si="462"/>
        <v>T</v>
      </c>
      <c r="S1609" s="389"/>
      <c r="T1609" s="389"/>
      <c r="U1609" s="389"/>
      <c r="V1609" s="389"/>
      <c r="W1609" s="389"/>
      <c r="X1609" s="389"/>
      <c r="Y1609" s="389"/>
      <c r="Z1609" s="389"/>
      <c r="AA1609" s="389"/>
      <c r="AB1609" s="389"/>
      <c r="AC1609" s="389"/>
      <c r="AD1609" s="389"/>
      <c r="AE1609" s="389"/>
      <c r="AF1609" s="389"/>
    </row>
    <row r="1610" spans="1:32" hidden="1" outlineLevel="3">
      <c r="A1610" s="382"/>
      <c r="B1610" s="382" t="s">
        <v>605</v>
      </c>
      <c r="C1610" s="386" t="s">
        <v>606</v>
      </c>
      <c r="D1610" s="382" t="s">
        <v>18</v>
      </c>
      <c r="E1610" s="386" t="s">
        <v>72</v>
      </c>
      <c r="F1610" s="440" t="s">
        <v>279</v>
      </c>
      <c r="G1610" s="469">
        <f t="shared" si="464"/>
        <v>0</v>
      </c>
      <c r="H1610" s="409">
        <v>0</v>
      </c>
      <c r="I1610" s="409"/>
      <c r="J1610" s="409"/>
      <c r="K1610" s="409"/>
      <c r="L1610" s="469">
        <f t="shared" si="463"/>
        <v>0</v>
      </c>
      <c r="M1610" s="409">
        <v>0</v>
      </c>
      <c r="N1610" s="409"/>
      <c r="O1610" s="409"/>
      <c r="P1610" s="409"/>
      <c r="Q1610" s="382"/>
      <c r="R1610" s="385" t="str">
        <f t="shared" si="462"/>
        <v>T</v>
      </c>
      <c r="S1610" s="389"/>
      <c r="T1610" s="389"/>
      <c r="U1610" s="389"/>
      <c r="V1610" s="389"/>
      <c r="W1610" s="389"/>
      <c r="X1610" s="389"/>
      <c r="Y1610" s="389"/>
      <c r="Z1610" s="389"/>
      <c r="AA1610" s="389"/>
      <c r="AB1610" s="389"/>
      <c r="AC1610" s="389"/>
      <c r="AD1610" s="389"/>
      <c r="AE1610" s="389"/>
      <c r="AF1610" s="389"/>
    </row>
    <row r="1611" spans="1:32" hidden="1" outlineLevel="3">
      <c r="A1611" s="382"/>
      <c r="B1611" s="382" t="s">
        <v>605</v>
      </c>
      <c r="C1611" s="386" t="s">
        <v>606</v>
      </c>
      <c r="D1611" s="382" t="s">
        <v>18</v>
      </c>
      <c r="E1611" s="386" t="s">
        <v>72</v>
      </c>
      <c r="F1611" s="440" t="s">
        <v>33</v>
      </c>
      <c r="G1611" s="469">
        <f t="shared" si="464"/>
        <v>0</v>
      </c>
      <c r="H1611" s="409"/>
      <c r="I1611" s="409">
        <v>0</v>
      </c>
      <c r="J1611" s="409"/>
      <c r="K1611" s="409"/>
      <c r="L1611" s="469">
        <f t="shared" si="463"/>
        <v>0</v>
      </c>
      <c r="M1611" s="409"/>
      <c r="N1611" s="409">
        <v>0</v>
      </c>
      <c r="O1611" s="409"/>
      <c r="P1611" s="409"/>
      <c r="Q1611" s="382"/>
      <c r="R1611" s="385" t="str">
        <f t="shared" ref="R1611:R1636" si="465">IF(SUM(M1611:P1611)=L1611,"T","F")</f>
        <v>T</v>
      </c>
      <c r="S1611" s="389"/>
      <c r="T1611" s="389"/>
      <c r="U1611" s="389"/>
      <c r="V1611" s="389"/>
      <c r="W1611" s="389"/>
      <c r="X1611" s="389"/>
      <c r="Y1611" s="389"/>
      <c r="Z1611" s="389"/>
      <c r="AA1611" s="389"/>
      <c r="AB1611" s="389"/>
      <c r="AC1611" s="389"/>
      <c r="AD1611" s="389"/>
      <c r="AE1611" s="389"/>
      <c r="AF1611" s="389"/>
    </row>
    <row r="1612" spans="1:32" hidden="1" outlineLevel="3">
      <c r="A1612" s="382"/>
      <c r="B1612" s="382" t="s">
        <v>605</v>
      </c>
      <c r="C1612" s="386" t="s">
        <v>606</v>
      </c>
      <c r="D1612" s="382" t="s">
        <v>18</v>
      </c>
      <c r="E1612" s="386" t="s">
        <v>72</v>
      </c>
      <c r="F1612" s="440" t="s">
        <v>280</v>
      </c>
      <c r="G1612" s="469">
        <f t="shared" si="464"/>
        <v>0</v>
      </c>
      <c r="H1612" s="409"/>
      <c r="I1612" s="409">
        <v>0</v>
      </c>
      <c r="J1612" s="409"/>
      <c r="K1612" s="409"/>
      <c r="L1612" s="469">
        <f t="shared" si="463"/>
        <v>0</v>
      </c>
      <c r="M1612" s="409"/>
      <c r="N1612" s="409">
        <v>0</v>
      </c>
      <c r="O1612" s="409"/>
      <c r="P1612" s="409"/>
      <c r="Q1612" s="382"/>
      <c r="R1612" s="385" t="str">
        <f t="shared" si="465"/>
        <v>T</v>
      </c>
      <c r="S1612" s="389"/>
      <c r="T1612" s="389"/>
      <c r="U1612" s="389"/>
      <c r="V1612" s="389"/>
      <c r="W1612" s="389"/>
      <c r="X1612" s="389"/>
      <c r="Y1612" s="389"/>
      <c r="Z1612" s="389"/>
      <c r="AA1612" s="389"/>
      <c r="AB1612" s="389"/>
      <c r="AC1612" s="389"/>
      <c r="AD1612" s="389"/>
      <c r="AE1612" s="389"/>
      <c r="AF1612" s="389"/>
    </row>
    <row r="1613" spans="1:32" hidden="1" outlineLevel="3">
      <c r="A1613" s="382"/>
      <c r="B1613" s="382" t="s">
        <v>605</v>
      </c>
      <c r="C1613" s="386" t="s">
        <v>606</v>
      </c>
      <c r="D1613" s="382" t="s">
        <v>18</v>
      </c>
      <c r="E1613" s="386" t="s">
        <v>72</v>
      </c>
      <c r="F1613" s="440" t="s">
        <v>281</v>
      </c>
      <c r="G1613" s="469">
        <f t="shared" si="464"/>
        <v>0</v>
      </c>
      <c r="H1613" s="409"/>
      <c r="I1613" s="409"/>
      <c r="J1613" s="409">
        <v>0</v>
      </c>
      <c r="K1613" s="409"/>
      <c r="L1613" s="469">
        <f t="shared" si="463"/>
        <v>0</v>
      </c>
      <c r="M1613" s="409"/>
      <c r="N1613" s="409"/>
      <c r="O1613" s="409">
        <v>0</v>
      </c>
      <c r="P1613" s="409"/>
      <c r="Q1613" s="382"/>
      <c r="R1613" s="385" t="str">
        <f t="shared" si="465"/>
        <v>T</v>
      </c>
      <c r="S1613" s="389"/>
      <c r="T1613" s="389"/>
      <c r="U1613" s="389"/>
      <c r="V1613" s="389"/>
      <c r="W1613" s="389"/>
      <c r="X1613" s="389"/>
      <c r="Y1613" s="389"/>
      <c r="Z1613" s="389"/>
      <c r="AA1613" s="389"/>
      <c r="AB1613" s="389"/>
      <c r="AC1613" s="389"/>
      <c r="AD1613" s="389"/>
      <c r="AE1613" s="389"/>
      <c r="AF1613" s="389"/>
    </row>
    <row r="1614" spans="1:32" hidden="1" outlineLevel="3">
      <c r="A1614" s="382"/>
      <c r="B1614" s="382" t="s">
        <v>605</v>
      </c>
      <c r="C1614" s="386" t="s">
        <v>606</v>
      </c>
      <c r="D1614" s="382" t="s">
        <v>18</v>
      </c>
      <c r="E1614" s="386" t="s">
        <v>72</v>
      </c>
      <c r="F1614" s="440" t="s">
        <v>282</v>
      </c>
      <c r="G1614" s="469">
        <f t="shared" si="464"/>
        <v>0</v>
      </c>
      <c r="H1614" s="409"/>
      <c r="I1614" s="409"/>
      <c r="J1614" s="409">
        <v>0</v>
      </c>
      <c r="K1614" s="409"/>
      <c r="L1614" s="469">
        <f t="shared" si="463"/>
        <v>0</v>
      </c>
      <c r="M1614" s="409"/>
      <c r="N1614" s="409"/>
      <c r="O1614" s="409">
        <v>0</v>
      </c>
      <c r="P1614" s="409"/>
      <c r="Q1614" s="382"/>
      <c r="R1614" s="385" t="str">
        <f t="shared" si="465"/>
        <v>T</v>
      </c>
      <c r="S1614" s="389"/>
      <c r="T1614" s="389"/>
      <c r="U1614" s="389"/>
      <c r="V1614" s="389"/>
      <c r="W1614" s="389"/>
      <c r="X1614" s="389"/>
      <c r="Y1614" s="389"/>
      <c r="Z1614" s="389"/>
      <c r="AA1614" s="389"/>
      <c r="AB1614" s="389"/>
      <c r="AC1614" s="389"/>
      <c r="AD1614" s="389"/>
      <c r="AE1614" s="389"/>
      <c r="AF1614" s="389"/>
    </row>
    <row r="1615" spans="1:32" hidden="1" outlineLevel="3">
      <c r="A1615" s="382"/>
      <c r="B1615" s="382" t="s">
        <v>605</v>
      </c>
      <c r="C1615" s="386" t="s">
        <v>606</v>
      </c>
      <c r="D1615" s="382" t="s">
        <v>18</v>
      </c>
      <c r="E1615" s="386" t="s">
        <v>72</v>
      </c>
      <c r="F1615" s="440" t="s">
        <v>283</v>
      </c>
      <c r="G1615" s="469">
        <f t="shared" si="464"/>
        <v>0</v>
      </c>
      <c r="H1615" s="409"/>
      <c r="I1615" s="409"/>
      <c r="J1615" s="409"/>
      <c r="K1615" s="409">
        <v>0</v>
      </c>
      <c r="L1615" s="469">
        <f t="shared" si="463"/>
        <v>0</v>
      </c>
      <c r="M1615" s="409"/>
      <c r="N1615" s="409"/>
      <c r="O1615" s="409"/>
      <c r="P1615" s="409">
        <v>0</v>
      </c>
      <c r="Q1615" s="382"/>
      <c r="R1615" s="385" t="str">
        <f t="shared" si="465"/>
        <v>T</v>
      </c>
      <c r="S1615" s="389"/>
      <c r="T1615" s="389"/>
      <c r="U1615" s="389"/>
      <c r="V1615" s="389"/>
      <c r="W1615" s="389"/>
      <c r="X1615" s="389"/>
      <c r="Y1615" s="389"/>
      <c r="Z1615" s="389"/>
      <c r="AA1615" s="389"/>
      <c r="AB1615" s="389"/>
      <c r="AC1615" s="389"/>
      <c r="AD1615" s="389"/>
      <c r="AE1615" s="389"/>
      <c r="AF1615" s="389"/>
    </row>
    <row r="1616" spans="1:32" hidden="1" outlineLevel="3">
      <c r="A1616" s="382"/>
      <c r="B1616" s="382" t="s">
        <v>605</v>
      </c>
      <c r="C1616" s="386" t="s">
        <v>606</v>
      </c>
      <c r="D1616" s="382" t="s">
        <v>18</v>
      </c>
      <c r="E1616" s="386" t="s">
        <v>72</v>
      </c>
      <c r="F1616" s="440" t="s">
        <v>284</v>
      </c>
      <c r="G1616" s="469">
        <f t="shared" si="464"/>
        <v>0</v>
      </c>
      <c r="H1616" s="409"/>
      <c r="I1616" s="409"/>
      <c r="J1616" s="409"/>
      <c r="K1616" s="409">
        <v>0</v>
      </c>
      <c r="L1616" s="469">
        <f t="shared" si="463"/>
        <v>0</v>
      </c>
      <c r="M1616" s="409"/>
      <c r="N1616" s="409"/>
      <c r="O1616" s="409"/>
      <c r="P1616" s="409">
        <v>0</v>
      </c>
      <c r="Q1616" s="382"/>
      <c r="R1616" s="385" t="str">
        <f t="shared" si="465"/>
        <v>T</v>
      </c>
      <c r="S1616" s="389"/>
      <c r="T1616" s="389"/>
      <c r="U1616" s="389"/>
      <c r="V1616" s="389"/>
      <c r="W1616" s="389"/>
      <c r="X1616" s="389"/>
      <c r="Y1616" s="389"/>
      <c r="Z1616" s="389"/>
      <c r="AA1616" s="389"/>
      <c r="AB1616" s="389"/>
      <c r="AC1616" s="389"/>
      <c r="AD1616" s="389"/>
      <c r="AE1616" s="389"/>
      <c r="AF1616" s="389"/>
    </row>
    <row r="1617" spans="1:32" hidden="1" outlineLevel="2" collapsed="1">
      <c r="A1617" s="382"/>
      <c r="B1617" s="382" t="s">
        <v>605</v>
      </c>
      <c r="C1617" s="386" t="s">
        <v>606</v>
      </c>
      <c r="D1617" s="382" t="s">
        <v>26</v>
      </c>
      <c r="E1617" s="382"/>
      <c r="F1617" s="440" t="s">
        <v>607</v>
      </c>
      <c r="G1617" s="469">
        <f t="shared" si="464"/>
        <v>0</v>
      </c>
      <c r="H1617" s="409">
        <f>SUM(H1618:H1622)</f>
        <v>0</v>
      </c>
      <c r="I1617" s="409">
        <f>SUM(I1618:I1622)</f>
        <v>0</v>
      </c>
      <c r="J1617" s="409">
        <f>SUM(J1618:J1622)</f>
        <v>0</v>
      </c>
      <c r="K1617" s="409">
        <f>SUM(K1618:K1622)</f>
        <v>0</v>
      </c>
      <c r="L1617" s="469">
        <f t="shared" si="463"/>
        <v>0</v>
      </c>
      <c r="M1617" s="409">
        <f>SUM(M1618:M1622)</f>
        <v>0</v>
      </c>
      <c r="N1617" s="409">
        <f>SUM(N1618:N1622)</f>
        <v>0</v>
      </c>
      <c r="O1617" s="409">
        <f>SUM(O1618:O1622)</f>
        <v>0</v>
      </c>
      <c r="P1617" s="409">
        <f>SUM(P1618:P1622)</f>
        <v>0</v>
      </c>
      <c r="Q1617" s="382"/>
      <c r="R1617" s="385" t="str">
        <f t="shared" si="465"/>
        <v>T</v>
      </c>
      <c r="S1617" s="389"/>
      <c r="T1617" s="389"/>
      <c r="U1617" s="389"/>
      <c r="V1617" s="389"/>
      <c r="W1617" s="389"/>
      <c r="X1617" s="389"/>
      <c r="Y1617" s="389"/>
      <c r="Z1617" s="389"/>
      <c r="AA1617" s="389"/>
      <c r="AB1617" s="389"/>
      <c r="AC1617" s="389"/>
      <c r="AD1617" s="389"/>
      <c r="AE1617" s="389"/>
      <c r="AF1617" s="389"/>
    </row>
    <row r="1618" spans="1:32" hidden="1" outlineLevel="3">
      <c r="A1618" s="382"/>
      <c r="B1618" s="382" t="s">
        <v>605</v>
      </c>
      <c r="C1618" s="386" t="s">
        <v>606</v>
      </c>
      <c r="D1618" s="382" t="s">
        <v>26</v>
      </c>
      <c r="E1618" s="382" t="s">
        <v>27</v>
      </c>
      <c r="F1618" s="440" t="s">
        <v>279</v>
      </c>
      <c r="G1618" s="469">
        <f t="shared" si="464"/>
        <v>0</v>
      </c>
      <c r="H1618" s="409">
        <v>0</v>
      </c>
      <c r="I1618" s="409"/>
      <c r="J1618" s="409"/>
      <c r="K1618" s="409"/>
      <c r="L1618" s="469">
        <f t="shared" si="463"/>
        <v>0</v>
      </c>
      <c r="M1618" s="409">
        <v>0</v>
      </c>
      <c r="N1618" s="409"/>
      <c r="O1618" s="409"/>
      <c r="P1618" s="409"/>
      <c r="Q1618" s="382"/>
      <c r="R1618" s="385" t="str">
        <f t="shared" si="465"/>
        <v>T</v>
      </c>
      <c r="S1618" s="389"/>
      <c r="T1618" s="389"/>
      <c r="U1618" s="389"/>
      <c r="V1618" s="389"/>
      <c r="W1618" s="389"/>
      <c r="X1618" s="389"/>
      <c r="Y1618" s="389"/>
      <c r="Z1618" s="389"/>
      <c r="AA1618" s="389"/>
      <c r="AB1618" s="389"/>
      <c r="AC1618" s="389"/>
      <c r="AD1618" s="389"/>
      <c r="AE1618" s="389"/>
      <c r="AF1618" s="389"/>
    </row>
    <row r="1619" spans="1:32" hidden="1" outlineLevel="3">
      <c r="A1619" s="382"/>
      <c r="B1619" s="382" t="s">
        <v>605</v>
      </c>
      <c r="C1619" s="386" t="s">
        <v>606</v>
      </c>
      <c r="D1619" s="382" t="s">
        <v>26</v>
      </c>
      <c r="E1619" s="382" t="s">
        <v>27</v>
      </c>
      <c r="F1619" s="440" t="s">
        <v>280</v>
      </c>
      <c r="G1619" s="469">
        <f t="shared" si="464"/>
        <v>0</v>
      </c>
      <c r="H1619" s="409"/>
      <c r="I1619" s="409">
        <v>0</v>
      </c>
      <c r="J1619" s="409"/>
      <c r="K1619" s="409"/>
      <c r="L1619" s="469">
        <f t="shared" si="463"/>
        <v>0</v>
      </c>
      <c r="M1619" s="409"/>
      <c r="N1619" s="409">
        <v>0</v>
      </c>
      <c r="O1619" s="409"/>
      <c r="P1619" s="409"/>
      <c r="Q1619" s="382"/>
      <c r="R1619" s="385" t="str">
        <f t="shared" si="465"/>
        <v>T</v>
      </c>
      <c r="S1619" s="389"/>
      <c r="T1619" s="389"/>
      <c r="U1619" s="389"/>
      <c r="V1619" s="389"/>
      <c r="W1619" s="389"/>
      <c r="X1619" s="389"/>
      <c r="Y1619" s="389"/>
      <c r="Z1619" s="389"/>
      <c r="AA1619" s="389"/>
      <c r="AB1619" s="389"/>
      <c r="AC1619" s="389"/>
      <c r="AD1619" s="389"/>
      <c r="AE1619" s="389"/>
      <c r="AF1619" s="389"/>
    </row>
    <row r="1620" spans="1:32" hidden="1" outlineLevel="3">
      <c r="A1620" s="382"/>
      <c r="B1620" s="382" t="s">
        <v>605</v>
      </c>
      <c r="C1620" s="386" t="s">
        <v>606</v>
      </c>
      <c r="D1620" s="382" t="s">
        <v>26</v>
      </c>
      <c r="E1620" s="382" t="s">
        <v>27</v>
      </c>
      <c r="F1620" s="440" t="s">
        <v>281</v>
      </c>
      <c r="G1620" s="469">
        <f t="shared" si="464"/>
        <v>0</v>
      </c>
      <c r="H1620" s="409"/>
      <c r="I1620" s="409"/>
      <c r="J1620" s="409">
        <v>0</v>
      </c>
      <c r="K1620" s="409"/>
      <c r="L1620" s="469">
        <f t="shared" si="463"/>
        <v>0</v>
      </c>
      <c r="M1620" s="409"/>
      <c r="N1620" s="409"/>
      <c r="O1620" s="409">
        <v>0</v>
      </c>
      <c r="P1620" s="409"/>
      <c r="Q1620" s="382"/>
      <c r="R1620" s="385" t="str">
        <f t="shared" si="465"/>
        <v>T</v>
      </c>
      <c r="S1620" s="389"/>
      <c r="T1620" s="389"/>
      <c r="U1620" s="389"/>
      <c r="V1620" s="389"/>
      <c r="W1620" s="389"/>
      <c r="X1620" s="389"/>
      <c r="Y1620" s="389"/>
      <c r="Z1620" s="389"/>
      <c r="AA1620" s="389"/>
      <c r="AB1620" s="389"/>
      <c r="AC1620" s="389"/>
      <c r="AD1620" s="389"/>
      <c r="AE1620" s="389"/>
      <c r="AF1620" s="389"/>
    </row>
    <row r="1621" spans="1:32" hidden="1" outlineLevel="3">
      <c r="A1621" s="382"/>
      <c r="B1621" s="382" t="s">
        <v>605</v>
      </c>
      <c r="C1621" s="386" t="s">
        <v>606</v>
      </c>
      <c r="D1621" s="382" t="s">
        <v>26</v>
      </c>
      <c r="E1621" s="382" t="s">
        <v>27</v>
      </c>
      <c r="F1621" s="440" t="s">
        <v>282</v>
      </c>
      <c r="G1621" s="469">
        <f t="shared" si="464"/>
        <v>0</v>
      </c>
      <c r="H1621" s="409"/>
      <c r="I1621" s="409"/>
      <c r="J1621" s="409">
        <v>0</v>
      </c>
      <c r="K1621" s="409"/>
      <c r="L1621" s="469">
        <f t="shared" si="463"/>
        <v>0</v>
      </c>
      <c r="M1621" s="409"/>
      <c r="N1621" s="409"/>
      <c r="O1621" s="409">
        <v>0</v>
      </c>
      <c r="P1621" s="409"/>
      <c r="Q1621" s="382"/>
      <c r="R1621" s="385" t="str">
        <f t="shared" si="465"/>
        <v>T</v>
      </c>
      <c r="S1621" s="389"/>
      <c r="T1621" s="389"/>
      <c r="U1621" s="389"/>
      <c r="V1621" s="389"/>
      <c r="W1621" s="389"/>
      <c r="X1621" s="389"/>
      <c r="Y1621" s="389"/>
      <c r="Z1621" s="389"/>
      <c r="AA1621" s="389"/>
      <c r="AB1621" s="389"/>
      <c r="AC1621" s="389"/>
      <c r="AD1621" s="389"/>
      <c r="AE1621" s="389"/>
      <c r="AF1621" s="389"/>
    </row>
    <row r="1622" spans="1:32" hidden="1" outlineLevel="3">
      <c r="A1622" s="382"/>
      <c r="B1622" s="382" t="s">
        <v>605</v>
      </c>
      <c r="C1622" s="386" t="s">
        <v>606</v>
      </c>
      <c r="D1622" s="382" t="s">
        <v>26</v>
      </c>
      <c r="E1622" s="382" t="s">
        <v>27</v>
      </c>
      <c r="F1622" s="440" t="s">
        <v>283</v>
      </c>
      <c r="G1622" s="469">
        <f t="shared" si="464"/>
        <v>0</v>
      </c>
      <c r="H1622" s="409"/>
      <c r="I1622" s="409"/>
      <c r="J1622" s="409"/>
      <c r="K1622" s="409">
        <v>0</v>
      </c>
      <c r="L1622" s="469">
        <f t="shared" si="463"/>
        <v>0</v>
      </c>
      <c r="M1622" s="409"/>
      <c r="N1622" s="409"/>
      <c r="O1622" s="409"/>
      <c r="P1622" s="409">
        <v>0</v>
      </c>
      <c r="Q1622" s="382"/>
      <c r="R1622" s="385" t="str">
        <f t="shared" si="465"/>
        <v>T</v>
      </c>
      <c r="S1622" s="389"/>
      <c r="T1622" s="389"/>
      <c r="U1622" s="389"/>
      <c r="V1622" s="389"/>
      <c r="W1622" s="389"/>
      <c r="X1622" s="389"/>
      <c r="Y1622" s="389"/>
      <c r="Z1622" s="389"/>
      <c r="AA1622" s="389"/>
      <c r="AB1622" s="389"/>
      <c r="AC1622" s="389"/>
      <c r="AD1622" s="389"/>
      <c r="AE1622" s="389"/>
      <c r="AF1622" s="389"/>
    </row>
    <row r="1623" spans="1:32" hidden="1" outlineLevel="2" collapsed="1">
      <c r="A1623" s="382"/>
      <c r="B1623" s="382" t="s">
        <v>605</v>
      </c>
      <c r="C1623" s="386" t="s">
        <v>606</v>
      </c>
      <c r="D1623" s="382" t="s">
        <v>28</v>
      </c>
      <c r="E1623" s="382"/>
      <c r="F1623" s="440" t="s">
        <v>607</v>
      </c>
      <c r="G1623" s="469">
        <f t="shared" si="464"/>
        <v>0</v>
      </c>
      <c r="H1623" s="409">
        <f>SUM(H1624:H1630)</f>
        <v>0</v>
      </c>
      <c r="I1623" s="409">
        <f>SUM(I1624:I1630)</f>
        <v>0</v>
      </c>
      <c r="J1623" s="409">
        <f>SUM(J1624:J1630)</f>
        <v>0</v>
      </c>
      <c r="K1623" s="409">
        <f>SUM(K1624:K1630)</f>
        <v>0</v>
      </c>
      <c r="L1623" s="469">
        <f t="shared" si="463"/>
        <v>0</v>
      </c>
      <c r="M1623" s="409">
        <f>SUM(M1624:M1630)</f>
        <v>0</v>
      </c>
      <c r="N1623" s="409">
        <f>SUM(N1624:N1630)</f>
        <v>0</v>
      </c>
      <c r="O1623" s="409">
        <f>SUM(O1624:O1630)</f>
        <v>0</v>
      </c>
      <c r="P1623" s="409">
        <f>SUM(P1624:P1630)</f>
        <v>0</v>
      </c>
      <c r="Q1623" s="382"/>
      <c r="R1623" s="385" t="str">
        <f t="shared" si="465"/>
        <v>T</v>
      </c>
      <c r="S1623" s="389"/>
      <c r="T1623" s="389"/>
      <c r="U1623" s="389"/>
      <c r="V1623" s="389"/>
      <c r="W1623" s="389"/>
      <c r="X1623" s="389"/>
      <c r="Y1623" s="389"/>
      <c r="Z1623" s="389"/>
      <c r="AA1623" s="389"/>
      <c r="AB1623" s="389"/>
      <c r="AC1623" s="389"/>
      <c r="AD1623" s="389"/>
      <c r="AE1623" s="389"/>
      <c r="AF1623" s="389"/>
    </row>
    <row r="1624" spans="1:32" hidden="1" outlineLevel="3">
      <c r="A1624" s="382"/>
      <c r="B1624" s="382" t="s">
        <v>605</v>
      </c>
      <c r="C1624" s="386" t="s">
        <v>606</v>
      </c>
      <c r="D1624" s="382" t="s">
        <v>28</v>
      </c>
      <c r="E1624" s="382" t="s">
        <v>29</v>
      </c>
      <c r="F1624" s="440" t="s">
        <v>279</v>
      </c>
      <c r="G1624" s="469">
        <f t="shared" si="464"/>
        <v>0</v>
      </c>
      <c r="H1624" s="409">
        <v>0</v>
      </c>
      <c r="I1624" s="409"/>
      <c r="J1624" s="409"/>
      <c r="K1624" s="409"/>
      <c r="L1624" s="469">
        <f t="shared" si="463"/>
        <v>0</v>
      </c>
      <c r="M1624" s="409">
        <v>0</v>
      </c>
      <c r="N1624" s="409"/>
      <c r="O1624" s="409"/>
      <c r="P1624" s="409"/>
      <c r="Q1624" s="382"/>
      <c r="R1624" s="385" t="str">
        <f t="shared" si="465"/>
        <v>T</v>
      </c>
      <c r="S1624" s="389"/>
      <c r="T1624" s="389"/>
      <c r="U1624" s="389"/>
      <c r="V1624" s="389"/>
      <c r="W1624" s="389"/>
      <c r="X1624" s="389"/>
      <c r="Y1624" s="389"/>
      <c r="Z1624" s="389"/>
      <c r="AA1624" s="389"/>
      <c r="AB1624" s="389"/>
      <c r="AC1624" s="389"/>
      <c r="AD1624" s="389"/>
      <c r="AE1624" s="389"/>
      <c r="AF1624" s="389"/>
    </row>
    <row r="1625" spans="1:32" hidden="1" outlineLevel="3">
      <c r="A1625" s="382"/>
      <c r="B1625" s="382" t="s">
        <v>605</v>
      </c>
      <c r="C1625" s="386" t="s">
        <v>606</v>
      </c>
      <c r="D1625" s="382" t="s">
        <v>28</v>
      </c>
      <c r="E1625" s="382" t="s">
        <v>29</v>
      </c>
      <c r="F1625" s="440" t="s">
        <v>33</v>
      </c>
      <c r="G1625" s="469">
        <f t="shared" si="464"/>
        <v>0</v>
      </c>
      <c r="H1625" s="409"/>
      <c r="I1625" s="409">
        <v>0</v>
      </c>
      <c r="J1625" s="409"/>
      <c r="K1625" s="409"/>
      <c r="L1625" s="469">
        <f t="shared" si="463"/>
        <v>0</v>
      </c>
      <c r="M1625" s="409"/>
      <c r="N1625" s="409">
        <v>0</v>
      </c>
      <c r="O1625" s="409"/>
      <c r="P1625" s="409"/>
      <c r="Q1625" s="382"/>
      <c r="R1625" s="385" t="str">
        <f t="shared" si="465"/>
        <v>T</v>
      </c>
      <c r="S1625" s="389"/>
      <c r="T1625" s="389"/>
      <c r="U1625" s="389"/>
      <c r="V1625" s="389"/>
      <c r="W1625" s="389"/>
      <c r="X1625" s="389"/>
      <c r="Y1625" s="389"/>
      <c r="Z1625" s="389"/>
      <c r="AA1625" s="389"/>
      <c r="AB1625" s="389"/>
      <c r="AC1625" s="389"/>
      <c r="AD1625" s="389"/>
      <c r="AE1625" s="389"/>
      <c r="AF1625" s="389"/>
    </row>
    <row r="1626" spans="1:32" hidden="1" outlineLevel="3">
      <c r="A1626" s="382"/>
      <c r="B1626" s="382" t="s">
        <v>605</v>
      </c>
      <c r="C1626" s="386" t="s">
        <v>606</v>
      </c>
      <c r="D1626" s="382" t="s">
        <v>28</v>
      </c>
      <c r="E1626" s="382" t="s">
        <v>29</v>
      </c>
      <c r="F1626" s="440" t="s">
        <v>280</v>
      </c>
      <c r="G1626" s="469">
        <f t="shared" si="464"/>
        <v>0</v>
      </c>
      <c r="H1626" s="409"/>
      <c r="I1626" s="409">
        <v>0</v>
      </c>
      <c r="J1626" s="409"/>
      <c r="K1626" s="409"/>
      <c r="L1626" s="469">
        <f t="shared" si="463"/>
        <v>0</v>
      </c>
      <c r="M1626" s="409"/>
      <c r="N1626" s="409">
        <v>0</v>
      </c>
      <c r="O1626" s="409"/>
      <c r="P1626" s="409"/>
      <c r="Q1626" s="382"/>
      <c r="R1626" s="385" t="str">
        <f t="shared" si="465"/>
        <v>T</v>
      </c>
      <c r="S1626" s="389"/>
      <c r="T1626" s="389"/>
      <c r="U1626" s="389"/>
      <c r="V1626" s="389"/>
      <c r="W1626" s="389"/>
      <c r="X1626" s="389"/>
      <c r="Y1626" s="389"/>
      <c r="Z1626" s="389"/>
      <c r="AA1626" s="389"/>
      <c r="AB1626" s="389"/>
      <c r="AC1626" s="389"/>
      <c r="AD1626" s="389"/>
      <c r="AE1626" s="389"/>
      <c r="AF1626" s="389"/>
    </row>
    <row r="1627" spans="1:32" hidden="1" outlineLevel="3">
      <c r="A1627" s="382"/>
      <c r="B1627" s="382" t="s">
        <v>605</v>
      </c>
      <c r="C1627" s="386" t="s">
        <v>606</v>
      </c>
      <c r="D1627" s="382" t="s">
        <v>28</v>
      </c>
      <c r="E1627" s="382" t="s">
        <v>29</v>
      </c>
      <c r="F1627" s="440" t="s">
        <v>281</v>
      </c>
      <c r="G1627" s="469">
        <f t="shared" si="464"/>
        <v>0</v>
      </c>
      <c r="H1627" s="409"/>
      <c r="I1627" s="409"/>
      <c r="J1627" s="409">
        <v>0</v>
      </c>
      <c r="K1627" s="409"/>
      <c r="L1627" s="469">
        <f t="shared" si="463"/>
        <v>0</v>
      </c>
      <c r="M1627" s="409"/>
      <c r="N1627" s="409"/>
      <c r="O1627" s="409">
        <v>0</v>
      </c>
      <c r="P1627" s="409"/>
      <c r="Q1627" s="382"/>
      <c r="R1627" s="385" t="str">
        <f t="shared" si="465"/>
        <v>T</v>
      </c>
      <c r="S1627" s="389"/>
      <c r="T1627" s="389"/>
      <c r="U1627" s="389"/>
      <c r="V1627" s="389"/>
      <c r="W1627" s="389"/>
      <c r="X1627" s="389"/>
      <c r="Y1627" s="389"/>
      <c r="Z1627" s="389"/>
      <c r="AA1627" s="389"/>
      <c r="AB1627" s="389"/>
      <c r="AC1627" s="389"/>
      <c r="AD1627" s="389"/>
      <c r="AE1627" s="389"/>
      <c r="AF1627" s="389"/>
    </row>
    <row r="1628" spans="1:32" hidden="1" outlineLevel="3">
      <c r="A1628" s="382"/>
      <c r="B1628" s="382" t="s">
        <v>605</v>
      </c>
      <c r="C1628" s="386" t="s">
        <v>606</v>
      </c>
      <c r="D1628" s="382" t="s">
        <v>28</v>
      </c>
      <c r="E1628" s="382" t="s">
        <v>29</v>
      </c>
      <c r="F1628" s="440" t="s">
        <v>282</v>
      </c>
      <c r="G1628" s="469">
        <f t="shared" si="464"/>
        <v>0</v>
      </c>
      <c r="H1628" s="409"/>
      <c r="I1628" s="409"/>
      <c r="J1628" s="409">
        <v>0</v>
      </c>
      <c r="K1628" s="409"/>
      <c r="L1628" s="469">
        <f t="shared" si="463"/>
        <v>0</v>
      </c>
      <c r="M1628" s="409"/>
      <c r="N1628" s="409"/>
      <c r="O1628" s="409">
        <v>0</v>
      </c>
      <c r="P1628" s="409"/>
      <c r="Q1628" s="382"/>
      <c r="R1628" s="385" t="str">
        <f t="shared" si="465"/>
        <v>T</v>
      </c>
      <c r="S1628" s="389"/>
      <c r="T1628" s="389"/>
      <c r="U1628" s="389"/>
      <c r="V1628" s="389"/>
      <c r="W1628" s="389"/>
      <c r="X1628" s="389"/>
      <c r="Y1628" s="389"/>
      <c r="Z1628" s="389"/>
      <c r="AA1628" s="389"/>
      <c r="AB1628" s="389"/>
      <c r="AC1628" s="389"/>
      <c r="AD1628" s="389"/>
      <c r="AE1628" s="389"/>
      <c r="AF1628" s="389"/>
    </row>
    <row r="1629" spans="1:32" hidden="1" outlineLevel="3">
      <c r="A1629" s="382"/>
      <c r="B1629" s="382" t="s">
        <v>605</v>
      </c>
      <c r="C1629" s="386" t="s">
        <v>606</v>
      </c>
      <c r="D1629" s="382" t="s">
        <v>28</v>
      </c>
      <c r="E1629" s="382" t="s">
        <v>29</v>
      </c>
      <c r="F1629" s="440" t="s">
        <v>283</v>
      </c>
      <c r="G1629" s="469">
        <f t="shared" si="464"/>
        <v>0</v>
      </c>
      <c r="H1629" s="409"/>
      <c r="I1629" s="409"/>
      <c r="J1629" s="409"/>
      <c r="K1629" s="409">
        <v>0</v>
      </c>
      <c r="L1629" s="469">
        <f t="shared" si="463"/>
        <v>0</v>
      </c>
      <c r="M1629" s="409"/>
      <c r="N1629" s="409"/>
      <c r="O1629" s="409"/>
      <c r="P1629" s="409">
        <v>0</v>
      </c>
      <c r="Q1629" s="382"/>
      <c r="R1629" s="385" t="str">
        <f t="shared" si="465"/>
        <v>T</v>
      </c>
      <c r="S1629" s="389"/>
      <c r="T1629" s="389"/>
      <c r="U1629" s="389"/>
      <c r="V1629" s="389"/>
      <c r="W1629" s="389"/>
      <c r="X1629" s="389"/>
      <c r="Y1629" s="389"/>
      <c r="Z1629" s="389"/>
      <c r="AA1629" s="389"/>
      <c r="AB1629" s="389"/>
      <c r="AC1629" s="389"/>
      <c r="AD1629" s="389"/>
      <c r="AE1629" s="389"/>
      <c r="AF1629" s="389"/>
    </row>
    <row r="1630" spans="1:32" hidden="1" outlineLevel="3">
      <c r="A1630" s="382"/>
      <c r="B1630" s="382" t="s">
        <v>605</v>
      </c>
      <c r="C1630" s="386" t="s">
        <v>606</v>
      </c>
      <c r="D1630" s="382" t="s">
        <v>28</v>
      </c>
      <c r="E1630" s="382" t="s">
        <v>29</v>
      </c>
      <c r="F1630" s="440" t="s">
        <v>284</v>
      </c>
      <c r="G1630" s="469">
        <f t="shared" si="464"/>
        <v>0</v>
      </c>
      <c r="H1630" s="409"/>
      <c r="I1630" s="409"/>
      <c r="J1630" s="409"/>
      <c r="K1630" s="409">
        <v>0</v>
      </c>
      <c r="L1630" s="469">
        <f t="shared" si="463"/>
        <v>0</v>
      </c>
      <c r="M1630" s="409"/>
      <c r="N1630" s="409"/>
      <c r="O1630" s="409"/>
      <c r="P1630" s="409">
        <v>0</v>
      </c>
      <c r="Q1630" s="382"/>
      <c r="R1630" s="385" t="str">
        <f t="shared" si="465"/>
        <v>T</v>
      </c>
      <c r="S1630" s="389"/>
      <c r="T1630" s="389"/>
      <c r="U1630" s="389"/>
      <c r="V1630" s="389"/>
      <c r="W1630" s="389"/>
      <c r="X1630" s="389"/>
      <c r="Y1630" s="389"/>
      <c r="Z1630" s="389"/>
      <c r="AA1630" s="389"/>
      <c r="AB1630" s="389"/>
      <c r="AC1630" s="389"/>
      <c r="AD1630" s="389"/>
      <c r="AE1630" s="389"/>
      <c r="AF1630" s="389"/>
    </row>
    <row r="1631" spans="1:32" hidden="1" outlineLevel="2" collapsed="1">
      <c r="A1631" s="382"/>
      <c r="B1631" s="382" t="s">
        <v>605</v>
      </c>
      <c r="C1631" s="386" t="s">
        <v>606</v>
      </c>
      <c r="D1631" s="382" t="s">
        <v>64</v>
      </c>
      <c r="E1631" s="382"/>
      <c r="F1631" s="440" t="s">
        <v>87</v>
      </c>
      <c r="G1631" s="469">
        <f t="shared" si="464"/>
        <v>0</v>
      </c>
      <c r="H1631" s="409">
        <f>SUM(H1632:H1636)</f>
        <v>0</v>
      </c>
      <c r="I1631" s="409">
        <f>SUM(I1632:I1636)</f>
        <v>0</v>
      </c>
      <c r="J1631" s="409">
        <f>SUM(J1632:J1636)</f>
        <v>0</v>
      </c>
      <c r="K1631" s="409">
        <f>SUM(K1632:K1636)</f>
        <v>0</v>
      </c>
      <c r="L1631" s="469">
        <f t="shared" si="463"/>
        <v>0</v>
      </c>
      <c r="M1631" s="409">
        <f>SUM(M1632:M1636)</f>
        <v>0</v>
      </c>
      <c r="N1631" s="409">
        <f>SUM(N1632:N1636)</f>
        <v>0</v>
      </c>
      <c r="O1631" s="409">
        <f>SUM(O1632:O1636)</f>
        <v>0</v>
      </c>
      <c r="P1631" s="409">
        <f>SUM(P1632:P1636)</f>
        <v>0</v>
      </c>
      <c r="Q1631" s="382"/>
      <c r="R1631" s="385" t="str">
        <f t="shared" si="465"/>
        <v>T</v>
      </c>
      <c r="S1631" s="389"/>
      <c r="T1631" s="389"/>
      <c r="U1631" s="389"/>
      <c r="V1631" s="389"/>
      <c r="W1631" s="389"/>
      <c r="X1631" s="389"/>
      <c r="Y1631" s="389"/>
      <c r="Z1631" s="389"/>
      <c r="AA1631" s="389"/>
      <c r="AB1631" s="389"/>
      <c r="AC1631" s="389"/>
      <c r="AD1631" s="389"/>
      <c r="AE1631" s="389"/>
      <c r="AF1631" s="389"/>
    </row>
    <row r="1632" spans="1:32" hidden="1" outlineLevel="2">
      <c r="A1632" s="382"/>
      <c r="B1632" s="382" t="s">
        <v>605</v>
      </c>
      <c r="C1632" s="386" t="s">
        <v>606</v>
      </c>
      <c r="D1632" s="382" t="s">
        <v>64</v>
      </c>
      <c r="E1632" s="382" t="s">
        <v>29</v>
      </c>
      <c r="F1632" s="440" t="s">
        <v>279</v>
      </c>
      <c r="G1632" s="411"/>
      <c r="H1632" s="409">
        <v>0</v>
      </c>
      <c r="I1632" s="409"/>
      <c r="J1632" s="409"/>
      <c r="K1632" s="409"/>
      <c r="L1632" s="411">
        <f t="shared" si="463"/>
        <v>0</v>
      </c>
      <c r="M1632" s="409">
        <v>0</v>
      </c>
      <c r="N1632" s="409"/>
      <c r="O1632" s="409"/>
      <c r="P1632" s="409"/>
      <c r="Q1632" s="382"/>
      <c r="R1632" s="385" t="str">
        <f t="shared" si="465"/>
        <v>T</v>
      </c>
      <c r="S1632" s="389"/>
      <c r="T1632" s="389"/>
      <c r="U1632" s="389"/>
      <c r="V1632" s="389"/>
      <c r="W1632" s="389"/>
      <c r="X1632" s="389"/>
      <c r="Y1632" s="389"/>
      <c r="Z1632" s="389"/>
      <c r="AA1632" s="389"/>
      <c r="AB1632" s="389"/>
      <c r="AC1632" s="389"/>
      <c r="AD1632" s="389"/>
      <c r="AE1632" s="389"/>
      <c r="AF1632" s="389"/>
    </row>
    <row r="1633" spans="1:32" hidden="1" outlineLevel="2">
      <c r="A1633" s="382"/>
      <c r="B1633" s="382" t="s">
        <v>605</v>
      </c>
      <c r="C1633" s="386" t="s">
        <v>606</v>
      </c>
      <c r="D1633" s="382" t="s">
        <v>64</v>
      </c>
      <c r="E1633" s="382" t="s">
        <v>29</v>
      </c>
      <c r="F1633" s="440" t="s">
        <v>33</v>
      </c>
      <c r="G1633" s="411"/>
      <c r="H1633" s="409"/>
      <c r="I1633" s="409">
        <v>0</v>
      </c>
      <c r="J1633" s="409"/>
      <c r="K1633" s="409"/>
      <c r="L1633" s="411">
        <f t="shared" si="463"/>
        <v>0</v>
      </c>
      <c r="M1633" s="409"/>
      <c r="N1633" s="409">
        <v>0</v>
      </c>
      <c r="O1633" s="409"/>
      <c r="P1633" s="409"/>
      <c r="Q1633" s="382"/>
      <c r="R1633" s="385" t="str">
        <f t="shared" si="465"/>
        <v>T</v>
      </c>
      <c r="S1633" s="389"/>
      <c r="T1633" s="389"/>
      <c r="U1633" s="389"/>
      <c r="V1633" s="389"/>
      <c r="W1633" s="389"/>
      <c r="X1633" s="389"/>
      <c r="Y1633" s="389"/>
      <c r="Z1633" s="389"/>
      <c r="AA1633" s="389"/>
      <c r="AB1633" s="389"/>
      <c r="AC1633" s="389"/>
      <c r="AD1633" s="389"/>
      <c r="AE1633" s="389"/>
      <c r="AF1633" s="389"/>
    </row>
    <row r="1634" spans="1:32" hidden="1" outlineLevel="2">
      <c r="A1634" s="382"/>
      <c r="B1634" s="382" t="s">
        <v>605</v>
      </c>
      <c r="C1634" s="386" t="s">
        <v>606</v>
      </c>
      <c r="D1634" s="382" t="s">
        <v>64</v>
      </c>
      <c r="E1634" s="382" t="s">
        <v>29</v>
      </c>
      <c r="F1634" s="440" t="s">
        <v>280</v>
      </c>
      <c r="G1634" s="411"/>
      <c r="H1634" s="409"/>
      <c r="I1634" s="409">
        <v>0</v>
      </c>
      <c r="J1634" s="409"/>
      <c r="K1634" s="409"/>
      <c r="L1634" s="411">
        <f t="shared" si="463"/>
        <v>0</v>
      </c>
      <c r="M1634" s="409"/>
      <c r="N1634" s="409">
        <v>0</v>
      </c>
      <c r="O1634" s="409"/>
      <c r="P1634" s="409"/>
      <c r="Q1634" s="382"/>
      <c r="R1634" s="385" t="str">
        <f t="shared" si="465"/>
        <v>T</v>
      </c>
      <c r="S1634" s="389"/>
      <c r="T1634" s="389"/>
      <c r="U1634" s="389"/>
      <c r="V1634" s="389"/>
      <c r="W1634" s="389"/>
      <c r="X1634" s="389"/>
      <c r="Y1634" s="389"/>
      <c r="Z1634" s="389"/>
      <c r="AA1634" s="389"/>
      <c r="AB1634" s="389"/>
      <c r="AC1634" s="389"/>
      <c r="AD1634" s="389"/>
      <c r="AE1634" s="389"/>
      <c r="AF1634" s="389"/>
    </row>
    <row r="1635" spans="1:32" hidden="1" outlineLevel="2">
      <c r="A1635" s="382"/>
      <c r="B1635" s="382" t="s">
        <v>605</v>
      </c>
      <c r="C1635" s="386" t="s">
        <v>606</v>
      </c>
      <c r="D1635" s="382" t="s">
        <v>64</v>
      </c>
      <c r="E1635" s="382" t="s">
        <v>29</v>
      </c>
      <c r="F1635" s="440" t="s">
        <v>282</v>
      </c>
      <c r="G1635" s="411"/>
      <c r="H1635" s="409"/>
      <c r="I1635" s="409"/>
      <c r="J1635" s="409">
        <v>0</v>
      </c>
      <c r="K1635" s="409"/>
      <c r="L1635" s="411">
        <f t="shared" si="463"/>
        <v>0</v>
      </c>
      <c r="M1635" s="409"/>
      <c r="N1635" s="409"/>
      <c r="O1635" s="409">
        <v>0</v>
      </c>
      <c r="P1635" s="409"/>
      <c r="Q1635" s="382"/>
      <c r="R1635" s="385" t="str">
        <f t="shared" si="465"/>
        <v>T</v>
      </c>
      <c r="S1635" s="389"/>
      <c r="T1635" s="389"/>
      <c r="U1635" s="389"/>
      <c r="V1635" s="389"/>
      <c r="W1635" s="389"/>
      <c r="X1635" s="389"/>
      <c r="Y1635" s="389"/>
      <c r="Z1635" s="389"/>
      <c r="AA1635" s="389"/>
      <c r="AB1635" s="389"/>
      <c r="AC1635" s="389"/>
      <c r="AD1635" s="389"/>
      <c r="AE1635" s="389"/>
      <c r="AF1635" s="389"/>
    </row>
    <row r="1636" spans="1:32" hidden="1" outlineLevel="2">
      <c r="A1636" s="382"/>
      <c r="B1636" s="382" t="s">
        <v>605</v>
      </c>
      <c r="C1636" s="386" t="s">
        <v>606</v>
      </c>
      <c r="D1636" s="382" t="s">
        <v>64</v>
      </c>
      <c r="E1636" s="382" t="s">
        <v>29</v>
      </c>
      <c r="F1636" s="440" t="s">
        <v>283</v>
      </c>
      <c r="G1636" s="411"/>
      <c r="H1636" s="409"/>
      <c r="I1636" s="409"/>
      <c r="J1636" s="409"/>
      <c r="K1636" s="409">
        <v>0</v>
      </c>
      <c r="L1636" s="411">
        <f t="shared" si="463"/>
        <v>0</v>
      </c>
      <c r="M1636" s="409"/>
      <c r="N1636" s="409"/>
      <c r="O1636" s="409"/>
      <c r="P1636" s="409">
        <v>0</v>
      </c>
      <c r="Q1636" s="382"/>
      <c r="R1636" s="385" t="str">
        <f t="shared" si="465"/>
        <v>T</v>
      </c>
      <c r="S1636" s="389"/>
      <c r="T1636" s="389"/>
      <c r="U1636" s="389"/>
      <c r="V1636" s="389"/>
      <c r="W1636" s="389"/>
      <c r="X1636" s="389"/>
      <c r="Y1636" s="389"/>
      <c r="Z1636" s="389"/>
      <c r="AA1636" s="389"/>
      <c r="AB1636" s="389"/>
      <c r="AC1636" s="389"/>
      <c r="AD1636" s="389"/>
      <c r="AE1636" s="389"/>
      <c r="AF1636" s="389"/>
    </row>
    <row r="1639" spans="1:32">
      <c r="H1639" s="389"/>
      <c r="I1639" s="389"/>
      <c r="J1639" s="389"/>
      <c r="K1639" s="389"/>
    </row>
    <row r="1640" spans="1:32">
      <c r="H1640" s="544"/>
      <c r="I1640" s="544"/>
      <c r="J1640" s="544"/>
      <c r="K1640" s="544"/>
    </row>
    <row r="1642" spans="1:32">
      <c r="I1642" s="548"/>
      <c r="J1642" s="548"/>
      <c r="K1642" s="548"/>
    </row>
    <row r="1643" spans="1:32">
      <c r="H1643" s="389"/>
      <c r="I1643" s="389"/>
      <c r="J1643" s="389"/>
      <c r="K1643" s="389"/>
    </row>
    <row r="1644" spans="1:32">
      <c r="H1644" s="389"/>
      <c r="I1644" s="389"/>
      <c r="J1644" s="389"/>
      <c r="K1644" s="389"/>
    </row>
  </sheetData>
  <autoFilter ref="A5:AK1637" xr:uid="{25E166A6-C630-4B04-85AE-3B4522A0FD1E}"/>
  <phoneticPr fontId="6" type="noConversion"/>
  <printOptions gridLines="1"/>
  <pageMargins left="0.23622047244094491" right="0.23622047244094491" top="0.74803149606299213" bottom="0.74803149606299213" header="0.31496062992125984" footer="0.31496062992125984"/>
  <pageSetup paperSize="8" scale="4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3FD6-EF5F-486D-890F-8D10F379A878}">
  <sheetPr codeName="Sheet5">
    <outlinePr summaryBelow="0" summaryRight="0"/>
  </sheetPr>
  <dimension ref="A1:R1939"/>
  <sheetViews>
    <sheetView zoomScale="94" workbookViewId="0">
      <pane xSplit="3" ySplit="9" topLeftCell="D10" activePane="bottomRight" state="frozen"/>
      <selection pane="bottomRight" activeCell="E804" sqref="E804"/>
      <selection pane="bottomLeft" activeCell="E804" sqref="E804"/>
      <selection pane="topRight" activeCell="E804" sqref="E804"/>
    </sheetView>
  </sheetViews>
  <sheetFormatPr defaultRowHeight="13.15" outlineLevelRow="2" outlineLevelCol="1"/>
  <cols>
    <col min="1" max="1" width="0.42578125" customWidth="1"/>
    <col min="2" max="2" width="14.42578125" style="477" bestFit="1" customWidth="1"/>
    <col min="3" max="3" width="0.42578125" style="383" customWidth="1"/>
    <col min="4" max="4" width="15.42578125" style="476" bestFit="1" customWidth="1"/>
    <col min="5" max="5" width="0.42578125" customWidth="1"/>
    <col min="6" max="6" width="13.42578125" style="476" bestFit="1" customWidth="1"/>
    <col min="7" max="7" width="0.42578125" customWidth="1"/>
    <col min="8" max="8" width="13.42578125" style="476" bestFit="1" customWidth="1"/>
    <col min="9" max="12" width="8.5703125" style="476" customWidth="1" outlineLevel="1"/>
    <col min="13" max="13" width="0.42578125" style="476" customWidth="1"/>
    <col min="14" max="14" width="14.42578125" style="476" bestFit="1" customWidth="1"/>
    <col min="15" max="15" width="9.5703125" style="476" customWidth="1" outlineLevel="1"/>
    <col min="16" max="16" width="10.5703125" style="476" customWidth="1" outlineLevel="1"/>
    <col min="17" max="17" width="8.5703125" style="476" customWidth="1" outlineLevel="1"/>
    <col min="18" max="18" width="9.42578125" style="476" customWidth="1" outlineLevel="1"/>
  </cols>
  <sheetData>
    <row r="1" spans="1:18" ht="2.25" customHeight="1">
      <c r="M1" s="478"/>
    </row>
    <row r="2" spans="1:18" ht="2.25" customHeight="1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  <c r="N2" s="481"/>
      <c r="O2" s="481"/>
      <c r="P2" s="481"/>
      <c r="Q2" s="481"/>
      <c r="R2" s="481"/>
    </row>
    <row r="3" spans="1:18" ht="2.25" customHeight="1">
      <c r="A3" s="480"/>
      <c r="B3" s="483"/>
      <c r="C3" s="392"/>
      <c r="D3" s="484"/>
      <c r="E3" s="480"/>
      <c r="F3" s="484"/>
      <c r="G3" s="480"/>
      <c r="H3" s="484"/>
      <c r="I3" s="484"/>
      <c r="J3" s="484"/>
      <c r="K3" s="484"/>
      <c r="L3" s="484"/>
      <c r="M3" s="482"/>
      <c r="N3" s="484"/>
      <c r="O3" s="484"/>
      <c r="P3" s="484"/>
      <c r="Q3" s="484"/>
      <c r="R3" s="484"/>
    </row>
    <row r="4" spans="1:18" ht="15">
      <c r="A4" s="480"/>
      <c r="B4" s="485" t="s">
        <v>11</v>
      </c>
      <c r="C4" s="486"/>
      <c r="D4" s="485" t="s">
        <v>8</v>
      </c>
      <c r="E4" s="486"/>
      <c r="F4" s="485" t="s">
        <v>9</v>
      </c>
      <c r="G4" s="486"/>
      <c r="H4" s="485" t="s">
        <v>608</v>
      </c>
      <c r="I4" s="485" t="s">
        <v>2</v>
      </c>
      <c r="J4" s="485" t="s">
        <v>3</v>
      </c>
      <c r="K4" s="485" t="s">
        <v>4</v>
      </c>
      <c r="L4" s="485" t="s">
        <v>5</v>
      </c>
      <c r="M4" s="482"/>
      <c r="N4" s="485" t="s">
        <v>609</v>
      </c>
      <c r="O4" s="485" t="s">
        <v>2</v>
      </c>
      <c r="P4" s="485" t="s">
        <v>3</v>
      </c>
      <c r="Q4" s="485" t="s">
        <v>4</v>
      </c>
      <c r="R4" s="485" t="s">
        <v>5</v>
      </c>
    </row>
    <row r="5" spans="1:18" ht="2.25" customHeight="1">
      <c r="A5" s="480"/>
      <c r="B5" s="487"/>
      <c r="C5" s="488"/>
      <c r="D5" s="487"/>
      <c r="E5" s="488"/>
      <c r="F5" s="487"/>
      <c r="G5" s="488"/>
      <c r="H5" s="487"/>
      <c r="I5" s="487"/>
      <c r="J5" s="487"/>
      <c r="K5" s="487"/>
      <c r="L5" s="487"/>
      <c r="M5" s="482"/>
      <c r="N5" s="487"/>
      <c r="O5" s="487"/>
      <c r="P5" s="487"/>
      <c r="Q5" s="487"/>
      <c r="R5" s="487"/>
    </row>
    <row r="6" spans="1:18" ht="2.25" customHeight="1">
      <c r="A6" s="480"/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2"/>
      <c r="N6" s="481"/>
      <c r="O6" s="481"/>
      <c r="P6" s="481"/>
      <c r="Q6" s="481"/>
      <c r="R6" s="481"/>
    </row>
    <row r="7" spans="1:18" ht="2.25" customHeight="1">
      <c r="A7" s="480"/>
      <c r="B7" s="487"/>
      <c r="C7" s="488"/>
      <c r="D7" s="487"/>
      <c r="E7" s="488"/>
      <c r="F7" s="487"/>
      <c r="G7" s="488"/>
      <c r="H7" s="487"/>
      <c r="I7" s="487"/>
      <c r="J7" s="487"/>
      <c r="K7" s="487"/>
      <c r="L7" s="487"/>
      <c r="M7" s="482"/>
      <c r="N7" s="487"/>
      <c r="O7" s="487"/>
      <c r="P7" s="487"/>
      <c r="Q7" s="487"/>
      <c r="R7" s="487"/>
    </row>
    <row r="8" spans="1:18">
      <c r="A8" s="480"/>
      <c r="B8" s="1" t="s">
        <v>610</v>
      </c>
      <c r="C8" s="1"/>
      <c r="D8" s="1"/>
      <c r="E8" s="1"/>
      <c r="F8" s="1"/>
      <c r="G8" s="489"/>
      <c r="H8" s="490">
        <f>SUM(I8+J8+K8+L8)</f>
        <v>1143</v>
      </c>
      <c r="I8" s="490">
        <f>SUM(I10+I19+I62+I100+I110+I124+I140+I147+I155)</f>
        <v>403</v>
      </c>
      <c r="J8" s="490">
        <f>SUM(J10+J19+J62+J100+J110+J124+J140+J147+J155)</f>
        <v>235</v>
      </c>
      <c r="K8" s="490">
        <f>SUM(K10+K19+K62+K100+K110+K124+K140+K147+K155)</f>
        <v>275</v>
      </c>
      <c r="L8" s="490">
        <f>SUM(L10+L19+L62+L100+L110+L124+L140+L147+L155)</f>
        <v>230</v>
      </c>
      <c r="M8" s="482"/>
      <c r="N8" s="528">
        <f>SUM(O8+P8+Q8+R8)</f>
        <v>287.21484429926801</v>
      </c>
      <c r="O8" s="513">
        <f>SUM(O10+O19+O62+O100+O110+O124+O140+O147+O155)</f>
        <v>115.81945399322629</v>
      </c>
      <c r="P8" s="513">
        <f>SUM(P10+P19+P62+P100+P110+P124+P140+P147+P155)</f>
        <v>60.026290745500148</v>
      </c>
      <c r="Q8" s="513">
        <f>SUM(Q10+Q19+Q62+Q100+Q110+Q124+Q140+Q147+Q155)</f>
        <v>56.528405896760333</v>
      </c>
      <c r="R8" s="513">
        <f>SUM(R10+R19+R62+R100+R110+R124+R140+R147+R155)</f>
        <v>54.840693663781209</v>
      </c>
    </row>
    <row r="9" spans="1:18" ht="2.25" customHeight="1" outlineLevel="1">
      <c r="A9" s="480"/>
      <c r="B9" s="491"/>
      <c r="C9" s="491"/>
      <c r="D9" s="491"/>
      <c r="E9" s="491"/>
      <c r="F9" s="491"/>
      <c r="G9" s="492"/>
      <c r="H9" s="493"/>
      <c r="I9" s="493"/>
      <c r="J9" s="493"/>
      <c r="K9" s="493"/>
      <c r="L9" s="493"/>
      <c r="M9" s="482"/>
      <c r="N9" s="491"/>
      <c r="O9" s="491"/>
      <c r="P9" s="491"/>
      <c r="Q9" s="491"/>
      <c r="R9" s="491"/>
    </row>
    <row r="10" spans="1:18" outlineLevel="1">
      <c r="A10" s="480"/>
      <c r="B10" s="494" t="s">
        <v>20</v>
      </c>
      <c r="C10" s="495"/>
      <c r="D10" s="496"/>
      <c r="E10" s="497"/>
      <c r="F10" s="496"/>
      <c r="G10" s="497"/>
      <c r="H10" s="498">
        <f>SUM(I10:L10)</f>
        <v>60</v>
      </c>
      <c r="I10" s="498">
        <f>SUM(I12:I17)</f>
        <v>45</v>
      </c>
      <c r="J10" s="498">
        <f>SUM(J12:J17)</f>
        <v>7</v>
      </c>
      <c r="K10" s="498">
        <f>SUM(K12:K17)</f>
        <v>5</v>
      </c>
      <c r="L10" s="498">
        <f>SUM(L12:L17)</f>
        <v>3</v>
      </c>
      <c r="M10" s="482"/>
      <c r="N10" s="512">
        <f>SUM(O10:R10)</f>
        <v>39.65077187019795</v>
      </c>
      <c r="O10" s="512">
        <f>SUM(O12:O17)</f>
        <v>12.655551378481437</v>
      </c>
      <c r="P10" s="512">
        <f>SUM(P12:P17)</f>
        <v>6.5577204917165135</v>
      </c>
      <c r="Q10" s="512">
        <f>SUM(Q12:Q17)</f>
        <v>8.83</v>
      </c>
      <c r="R10" s="512">
        <f>SUM(R12:R17)</f>
        <v>11.6075</v>
      </c>
    </row>
    <row r="11" spans="1:18" ht="2.25" customHeight="1" outlineLevel="2" collapsed="1">
      <c r="A11" s="480"/>
      <c r="B11" s="499"/>
      <c r="C11" s="500"/>
      <c r="D11" s="484"/>
      <c r="E11" s="480"/>
      <c r="F11" s="484"/>
      <c r="G11" s="480"/>
      <c r="H11" s="501"/>
      <c r="I11" s="501"/>
      <c r="J11" s="501"/>
      <c r="K11" s="501"/>
      <c r="L11" s="501"/>
      <c r="M11" s="482"/>
      <c r="N11" s="501"/>
      <c r="O11" s="501"/>
      <c r="P11" s="501"/>
      <c r="Q11" s="501"/>
      <c r="R11" s="501"/>
    </row>
    <row r="12" spans="1:18" outlineLevel="2">
      <c r="A12" s="480"/>
      <c r="B12" s="483" t="s">
        <v>20</v>
      </c>
      <c r="C12" s="502"/>
      <c r="D12" s="483" t="s">
        <v>15</v>
      </c>
      <c r="E12" s="392"/>
      <c r="F12" s="382" t="s">
        <v>19</v>
      </c>
      <c r="G12" s="392"/>
      <c r="H12" s="484">
        <f>SUM(I12:L12)</f>
        <v>2</v>
      </c>
      <c r="I12" s="484">
        <f>SUMIFS('Goals 2026'!M:M,'Goals 2026'!B:B,Smry!D12,'Goals 2026'!C:C,Smry!F12,'Goals 2026'!E:E,Smry!$B$10)</f>
        <v>2</v>
      </c>
      <c r="J12" s="484">
        <f>SUMIFS('Goals 2026'!N:N,'Goals 2026'!B:B,Smry!D12,'Goals 2026'!C:C,Smry!F12,'Goals 2026'!E:E,Smry!$B$10)</f>
        <v>0</v>
      </c>
      <c r="K12" s="484">
        <f>SUMIFS('Goals 2026'!O:O,'Goals 2026'!B:B,Smry!D12,'Goals 2026'!C:C,Smry!F12,'Goals 2026'!E:E,Smry!$B$10)</f>
        <v>0</v>
      </c>
      <c r="L12" s="484">
        <f>SUMIFS('Goals 2026'!P:P,'Goals 2026'!B:B,Smry!D12,'Goals 2026'!C:C,Smry!F12,'Goals 2026'!E:E,Smry!$B$10)</f>
        <v>0</v>
      </c>
      <c r="M12" s="482"/>
      <c r="N12" s="510">
        <f t="shared" ref="N12:N16" si="0">SUM(O12:R12)</f>
        <v>0.31537703586000004</v>
      </c>
      <c r="O12" s="511">
        <f>SUMIFS('Goals 2026'!H:H,'Goals 2026'!B:B,Smry!D12,'Goals 2026'!C:C,Smry!F12,'Goals 2026'!E:E,Smry!$B$10)</f>
        <v>0.31537703586000004</v>
      </c>
      <c r="P12" s="511">
        <f>SUMIFS('Goals 2026'!I:I,'Goals 2026'!B:B,Smry!D12,'Goals 2026'!C:C,Smry!F12,'Goals 2026'!E:E,Smry!$B$10)</f>
        <v>0</v>
      </c>
      <c r="Q12" s="484">
        <f>SUMIFS('Goals 2026'!J:J,'Goals 2026'!B:B,Smry!D12,'Goals 2026'!C:C,Smry!F12,'Goals 2026'!E:E,Smry!$B$10)</f>
        <v>0</v>
      </c>
      <c r="R12" s="484">
        <f>SUMIFS('Goals 2026'!K:K,'Goals 2026'!B:B,Smry!D12,'Goals 2026'!C:C,Smry!F12,'Goals 2026'!E:E,Smry!$B$10)</f>
        <v>0</v>
      </c>
    </row>
    <row r="13" spans="1:18" outlineLevel="2">
      <c r="A13" s="480"/>
      <c r="B13" s="483" t="s">
        <v>20</v>
      </c>
      <c r="C13" s="502"/>
      <c r="D13" s="483" t="s">
        <v>15</v>
      </c>
      <c r="E13" s="392"/>
      <c r="F13" s="483" t="s">
        <v>23</v>
      </c>
      <c r="G13" s="392"/>
      <c r="H13" s="484">
        <f t="shared" ref="H13:H14" si="1">SUM(I13:L13)</f>
        <v>2</v>
      </c>
      <c r="I13" s="484">
        <f>SUMIFS('Goals 2026'!M:M,'Goals 2026'!B:B,Smry!D13,'Goals 2026'!C:C,Smry!F13,'Goals 2026'!E:E,Smry!$B$10)</f>
        <v>2</v>
      </c>
      <c r="J13" s="484">
        <f>SUMIFS('Goals 2026'!N:N,'Goals 2026'!B:B,Smry!D13,'Goals 2026'!C:C,Smry!F13,'Goals 2026'!E:E,Smry!$B$10)</f>
        <v>0</v>
      </c>
      <c r="K13" s="484">
        <f>SUMIFS('Goals 2026'!O:O,'Goals 2026'!B:B,Smry!D13,'Goals 2026'!C:C,Smry!F13,'Goals 2026'!E:E,Smry!$B$10)</f>
        <v>0</v>
      </c>
      <c r="L13" s="484">
        <f>SUMIFS('Goals 2026'!P:P,'Goals 2026'!B:B,Smry!D13,'Goals 2026'!C:C,Smry!F13,'Goals 2026'!E:E,Smry!$B$10)</f>
        <v>0</v>
      </c>
      <c r="M13" s="482"/>
      <c r="N13" s="510">
        <f t="shared" si="0"/>
        <v>8.1654546317853002E-2</v>
      </c>
      <c r="O13" s="511">
        <f>SUMIFS('Goals 2026'!H:H,'Goals 2026'!B:B,Smry!D13,'Goals 2026'!C:C,Smry!F13,'Goals 2026'!E:E,Smry!$B$10)</f>
        <v>8.1654546317853002E-2</v>
      </c>
      <c r="P13" s="511">
        <f>SUMIFS('Goals 2026'!I:I,'Goals 2026'!B:B,Smry!D13,'Goals 2026'!C:C,Smry!F13,'Goals 2026'!E:E,Smry!$B$10)</f>
        <v>0</v>
      </c>
      <c r="Q13" s="484">
        <f>SUMIFS('Goals 2026'!J:J,'Goals 2026'!B:B,Smry!D13,'Goals 2026'!C:C,Smry!F13,'Goals 2026'!E:E,Smry!$B$10)</f>
        <v>0</v>
      </c>
      <c r="R13" s="484">
        <f>SUMIFS('Goals 2026'!K:K,'Goals 2026'!B:B,Smry!D13,'Goals 2026'!C:C,Smry!F13,'Goals 2026'!E:E,Smry!$B$10)</f>
        <v>0</v>
      </c>
    </row>
    <row r="14" spans="1:18" outlineLevel="2">
      <c r="A14" s="480"/>
      <c r="B14" s="483" t="s">
        <v>20</v>
      </c>
      <c r="C14" s="502"/>
      <c r="D14" s="483" t="s">
        <v>15</v>
      </c>
      <c r="E14" s="392"/>
      <c r="F14" s="483" t="s">
        <v>30</v>
      </c>
      <c r="G14" s="392"/>
      <c r="H14" s="484">
        <f t="shared" si="1"/>
        <v>19</v>
      </c>
      <c r="I14" s="484">
        <f>SUMIFS('Goals 2026'!M:M,'Goals 2026'!B:B,Smry!D14,'Goals 2026'!C:C,Smry!F14,'Goals 2026'!E:E,Smry!$B$10)</f>
        <v>15</v>
      </c>
      <c r="J14" s="484">
        <f>SUMIFS('Goals 2026'!N:N,'Goals 2026'!B:B,Smry!D14,'Goals 2026'!C:C,Smry!F14,'Goals 2026'!E:E,Smry!$B$10)</f>
        <v>4</v>
      </c>
      <c r="K14" s="484">
        <f>SUMIFS('Goals 2026'!O:O,'Goals 2026'!B:B,Smry!D14,'Goals 2026'!C:C,Smry!F14,'Goals 2026'!E:E,Smry!$B$10)</f>
        <v>0</v>
      </c>
      <c r="L14" s="484">
        <f>SUMIFS('Goals 2026'!P:P,'Goals 2026'!B:B,Smry!D14,'Goals 2026'!C:C,Smry!F14,'Goals 2026'!E:E,Smry!$B$10)</f>
        <v>0</v>
      </c>
      <c r="M14" s="482"/>
      <c r="N14" s="510">
        <f t="shared" si="0"/>
        <v>2.2814902880200987</v>
      </c>
      <c r="O14" s="511">
        <f>SUMIFS('Goals 2026'!H:H,'Goals 2026'!B:B,Smry!D14,'Goals 2026'!C:C,Smry!F14,'Goals 2026'!E:E,Smry!$B$10)</f>
        <v>1.8087697963035858</v>
      </c>
      <c r="P14" s="511">
        <f>SUMIFS('Goals 2026'!I:I,'Goals 2026'!B:B,Smry!D14,'Goals 2026'!C:C,Smry!F14,'Goals 2026'!E:E,Smry!$B$10)</f>
        <v>0.47272049171651287</v>
      </c>
      <c r="Q14" s="484">
        <f>SUMIFS('Goals 2026'!J:J,'Goals 2026'!B:B,Smry!D14,'Goals 2026'!C:C,Smry!F14,'Goals 2026'!E:E,Smry!$B$10)</f>
        <v>0</v>
      </c>
      <c r="R14" s="484">
        <f>SUMIFS('Goals 2026'!K:K,'Goals 2026'!B:B,Smry!D14,'Goals 2026'!C:C,Smry!F14,'Goals 2026'!E:E,Smry!$B$10)</f>
        <v>0</v>
      </c>
    </row>
    <row r="15" spans="1:18" outlineLevel="2">
      <c r="A15" s="480"/>
      <c r="B15" s="483" t="s">
        <v>20</v>
      </c>
      <c r="C15" s="502"/>
      <c r="D15" s="483" t="s">
        <v>84</v>
      </c>
      <c r="E15" s="392"/>
      <c r="F15" s="483" t="s">
        <v>85</v>
      </c>
      <c r="G15" s="392"/>
      <c r="H15" s="484">
        <f>SUM(I15:L15)</f>
        <v>8</v>
      </c>
      <c r="I15" s="484">
        <f>SUMIFS('Goals 2026'!M:M,'Goals 2026'!B:B,Smry!D15,'Goals 2026'!C:C,Smry!F15,'Goals 2026'!E:E,Smry!$B$10)</f>
        <v>8</v>
      </c>
      <c r="J15" s="484">
        <f>SUMIFS('Goals 2026'!N:N,'Goals 2026'!B:B,Smry!D15,'Goals 2026'!C:C,Smry!F15,'Goals 2026'!E:E,Smry!$B$10)</f>
        <v>0</v>
      </c>
      <c r="K15" s="484">
        <f>SUMIFS('Goals 2026'!O:O,'Goals 2026'!B:B,Smry!D15,'Goals 2026'!C:C,Smry!F15,'Goals 2026'!E:E,Smry!$B$10)</f>
        <v>0</v>
      </c>
      <c r="L15" s="484">
        <f>SUMIFS('Goals 2026'!P:P,'Goals 2026'!B:B,Smry!D15,'Goals 2026'!C:C,Smry!F15,'Goals 2026'!E:E,Smry!$B$10)</f>
        <v>0</v>
      </c>
      <c r="M15" s="482"/>
      <c r="N15" s="510">
        <f t="shared" si="0"/>
        <v>3.3658999999999999</v>
      </c>
      <c r="O15" s="511">
        <f>SUMIFS('Goals 2026'!H:H,'Goals 2026'!B:B,Smry!D15,'Goals 2026'!C:C,Smry!F15,'Goals 2026'!E:E,Smry!$B$10)</f>
        <v>3.3658999999999999</v>
      </c>
      <c r="P15" s="511">
        <f>SUMIFS('Goals 2026'!I:I,'Goals 2026'!B:B,Smry!D15,'Goals 2026'!C:C,Smry!F15,'Goals 2026'!E:E,Smry!$B$10)</f>
        <v>0</v>
      </c>
      <c r="Q15" s="484">
        <f>SUMIFS('Goals 2026'!J:J,'Goals 2026'!B:B,Smry!D15,'Goals 2026'!C:C,Smry!F15,'Goals 2026'!E:E,Smry!$B$10)</f>
        <v>0</v>
      </c>
      <c r="R15" s="484">
        <f>SUMIFS('Goals 2026'!K:K,'Goals 2026'!B:B,Smry!D15,'Goals 2026'!C:C,Smry!F15,'Goals 2026'!E:E,Smry!$B$10)</f>
        <v>0</v>
      </c>
    </row>
    <row r="16" spans="1:18" outlineLevel="2">
      <c r="A16" s="480"/>
      <c r="B16" s="483" t="s">
        <v>20</v>
      </c>
      <c r="C16" s="502"/>
      <c r="D16" s="483" t="s">
        <v>101</v>
      </c>
      <c r="E16" s="392"/>
      <c r="F16" s="483" t="s">
        <v>102</v>
      </c>
      <c r="G16" s="392"/>
      <c r="H16" s="484">
        <f>SUM(I16:L16)</f>
        <v>23</v>
      </c>
      <c r="I16" s="484">
        <f>SUMIFS('Goals 2026'!M:M,'Goals 2026'!B:B,Smry!D16,'Goals 2026'!C:C,Smry!F16,'Goals 2026'!E:E,Smry!$B$10)</f>
        <v>18</v>
      </c>
      <c r="J16" s="484">
        <f>SUMIFS('Goals 2026'!N:N,'Goals 2026'!B:B,Smry!D16,'Goals 2026'!C:C,Smry!F16,'Goals 2026'!E:E,Smry!$B$10)</f>
        <v>2</v>
      </c>
      <c r="K16" s="484">
        <f>SUMIFS('Goals 2026'!O:O,'Goals 2026'!B:B,Smry!D16,'Goals 2026'!C:C,Smry!F16,'Goals 2026'!E:E,Smry!$B$10)</f>
        <v>3</v>
      </c>
      <c r="L16" s="484">
        <f>SUMIFS('Goals 2026'!P:P,'Goals 2026'!B:B,Smry!D16,'Goals 2026'!C:C,Smry!F16,'Goals 2026'!E:E,Smry!$B$10)</f>
        <v>0</v>
      </c>
      <c r="M16" s="482"/>
      <c r="N16" s="510">
        <f t="shared" si="0"/>
        <v>7.3038499999999988</v>
      </c>
      <c r="O16" s="511">
        <f>SUMIFS('Goals 2026'!H:H,'Goals 2026'!B:B,Smry!D16,'Goals 2026'!C:C,Smry!F16,'Goals 2026'!E:E,Smry!$B$10)</f>
        <v>7.0838499999999991</v>
      </c>
      <c r="P16" s="511">
        <f>SUMIFS('Goals 2026'!I:I,'Goals 2026'!B:B,Smry!D16,'Goals 2026'!C:C,Smry!F16,'Goals 2026'!E:E,Smry!$B$10)</f>
        <v>0.12000000000000001</v>
      </c>
      <c r="Q16" s="484">
        <f>SUMIFS('Goals 2026'!J:J,'Goals 2026'!B:B,Smry!D16,'Goals 2026'!C:C,Smry!F16,'Goals 2026'!E:E,Smry!$B$10)</f>
        <v>0.1</v>
      </c>
      <c r="R16" s="484">
        <f>SUMIFS('Goals 2026'!K:K,'Goals 2026'!B:B,Smry!D16,'Goals 2026'!C:C,Smry!F16,'Goals 2026'!E:E,Smry!$B$10)</f>
        <v>0</v>
      </c>
    </row>
    <row r="17" spans="1:18" outlineLevel="2">
      <c r="A17" s="480"/>
      <c r="B17" s="483" t="s">
        <v>20</v>
      </c>
      <c r="C17" s="502"/>
      <c r="D17" s="483" t="s">
        <v>510</v>
      </c>
      <c r="E17" s="392"/>
      <c r="F17" s="483" t="s">
        <v>510</v>
      </c>
      <c r="G17" s="392"/>
      <c r="H17" s="484">
        <f>SUM(I17:L17)</f>
        <v>6</v>
      </c>
      <c r="I17" s="484">
        <f>SUMIFS('Goals 2026'!M:M,'Goals 2026'!B:B,Smry!D17,'Goals 2026'!C:C,Smry!F17,'Goals 2026'!E:E,Smry!$B$10)</f>
        <v>0</v>
      </c>
      <c r="J17" s="484">
        <f>SUMIFS('Goals 2026'!N:N,'Goals 2026'!B:B,Smry!D17,'Goals 2026'!C:C,Smry!F17,'Goals 2026'!E:E,Smry!$B$10)</f>
        <v>1</v>
      </c>
      <c r="K17" s="484">
        <f>SUMIFS('Goals 2026'!O:O,'Goals 2026'!B:B,Smry!D17,'Goals 2026'!C:C,Smry!F17,'Goals 2026'!E:E,Smry!$B$10)</f>
        <v>2</v>
      </c>
      <c r="L17" s="484">
        <f>SUMIFS('Goals 2026'!P:P,'Goals 2026'!B:B,Smry!D17,'Goals 2026'!C:C,Smry!F17,'Goals 2026'!E:E,Smry!$B$10)</f>
        <v>3</v>
      </c>
      <c r="M17" s="482"/>
      <c r="N17" s="510">
        <f>SUM(O17:R17)</f>
        <v>26.302500000000002</v>
      </c>
      <c r="O17" s="511">
        <f>SUMIFS('Goals 2026'!H:H,'Goals 2026'!B:B,Smry!D17,'Goals 2026'!C:C,Smry!F17,'Goals 2026'!E:E,Smry!$B$10)</f>
        <v>0</v>
      </c>
      <c r="P17" s="511">
        <f>SUMIFS('Goals 2026'!I:I,'Goals 2026'!B:B,Smry!D17,'Goals 2026'!C:C,Smry!F17,'Goals 2026'!E:E,Smry!$B$10)</f>
        <v>5.9650000000000007</v>
      </c>
      <c r="Q17" s="484">
        <f>SUMIFS('Goals 2026'!J:J,'Goals 2026'!B:B,Smry!D17,'Goals 2026'!C:C,Smry!F17,'Goals 2026'!E:E,Smry!$B$10)</f>
        <v>8.73</v>
      </c>
      <c r="R17" s="510">
        <f>SUMIFS('Goals 2026'!K:K,'Goals 2026'!B:B,Smry!D17,'Goals 2026'!C:C,Smry!F17,'Goals 2026'!E:E,Smry!$B$10)</f>
        <v>11.6075</v>
      </c>
    </row>
    <row r="18" spans="1:18" ht="2.25" customHeight="1" outlineLevel="1">
      <c r="A18" s="480"/>
      <c r="B18" s="487"/>
      <c r="C18" s="487"/>
      <c r="D18" s="487"/>
      <c r="E18" s="487"/>
      <c r="F18" s="487"/>
      <c r="G18" s="487"/>
      <c r="H18" s="487"/>
      <c r="I18" s="487"/>
      <c r="J18" s="487"/>
      <c r="K18" s="487"/>
      <c r="L18" s="487"/>
      <c r="M18" s="482"/>
      <c r="N18" s="487"/>
      <c r="O18" s="487"/>
      <c r="P18" s="487"/>
      <c r="Q18" s="487"/>
      <c r="R18" s="487"/>
    </row>
    <row r="19" spans="1:18" outlineLevel="1">
      <c r="A19" s="480"/>
      <c r="B19" s="494" t="s">
        <v>27</v>
      </c>
      <c r="C19" s="495"/>
      <c r="D19" s="496"/>
      <c r="E19" s="497"/>
      <c r="F19" s="496"/>
      <c r="G19" s="497"/>
      <c r="H19" s="498">
        <f>SUM(I19:L19)</f>
        <v>309</v>
      </c>
      <c r="I19" s="498">
        <f>SUM(I21:I60)</f>
        <v>114</v>
      </c>
      <c r="J19" s="498">
        <f>SUM(J21:J60)</f>
        <v>64</v>
      </c>
      <c r="K19" s="498">
        <f>SUM(K21:K60)</f>
        <v>72</v>
      </c>
      <c r="L19" s="498">
        <f>SUM(L21:L60)</f>
        <v>59</v>
      </c>
      <c r="M19" s="482"/>
      <c r="N19" s="512">
        <f>SUM(O19:R19)</f>
        <v>54.597630137394191</v>
      </c>
      <c r="O19" s="512">
        <f>SUM(O21:O60)</f>
        <v>21.011350010340113</v>
      </c>
      <c r="P19" s="512">
        <f>SUM(P21:P60)</f>
        <v>12.567650847694463</v>
      </c>
      <c r="Q19" s="512">
        <f>SUM(Q21:Q60)</f>
        <v>10.472304226215478</v>
      </c>
      <c r="R19" s="512">
        <f>SUM(R21:R60)</f>
        <v>10.546325053144141</v>
      </c>
    </row>
    <row r="20" spans="1:18" ht="3.6" customHeight="1" outlineLevel="2">
      <c r="A20" s="480"/>
      <c r="B20" s="499"/>
      <c r="C20" s="500"/>
      <c r="D20" s="484"/>
      <c r="E20" s="480"/>
      <c r="F20" s="484"/>
      <c r="G20" s="480"/>
      <c r="H20" s="501"/>
      <c r="I20" s="501"/>
      <c r="J20" s="501"/>
      <c r="K20" s="501"/>
      <c r="L20" s="501"/>
      <c r="M20" s="482"/>
      <c r="N20" s="514"/>
      <c r="O20" s="514"/>
      <c r="P20" s="501"/>
      <c r="Q20" s="501"/>
      <c r="R20" s="501"/>
    </row>
    <row r="21" spans="1:18" outlineLevel="2">
      <c r="A21" s="480"/>
      <c r="B21" s="483" t="s">
        <v>27</v>
      </c>
      <c r="C21" s="502"/>
      <c r="D21" s="483" t="s">
        <v>15</v>
      </c>
      <c r="E21" s="392"/>
      <c r="F21" s="483" t="s">
        <v>19</v>
      </c>
      <c r="G21" s="392"/>
      <c r="H21" s="484">
        <f t="shared" ref="H21:H58" si="2">SUM(I21:L21)</f>
        <v>1</v>
      </c>
      <c r="I21" s="484">
        <f>SUMIFS('Goals 2026'!M:M,'Goals 2026'!B:B,Smry!D21,'Goals 2026'!C:C,Smry!F21,'Goals 2026'!E:E,Smry!$B$19)</f>
        <v>1</v>
      </c>
      <c r="J21" s="484">
        <f>SUMIFS('Goals 2026'!N:N,'Goals 2026'!B:B,Smry!D21,'Goals 2026'!C:C,Smry!F21,'Goals 2026'!E:E,Smry!$B$19)</f>
        <v>0</v>
      </c>
      <c r="K21" s="484">
        <f>SUMIFS('Goals 2026'!O:O,'Goals 2026'!B:B,Smry!D21,'Goals 2026'!C:C,Smry!F21,'Goals 2026'!E:E,Smry!$B$19)</f>
        <v>0</v>
      </c>
      <c r="L21" s="484">
        <f>SUMIFS('Goals 2026'!P:P,'Goals 2026'!B:B,Smry!D21,'Goals 2026'!C:C,Smry!F21,'Goals 2026'!E:E,Smry!$B$19)</f>
        <v>0</v>
      </c>
      <c r="M21" s="482"/>
      <c r="N21" s="510">
        <f t="shared" ref="N21:N56" si="3">SUM(O21:R21)</f>
        <v>5.2867302539999998E-3</v>
      </c>
      <c r="O21" s="510">
        <f>SUMIFS('Goals 2026'!H:H,'Goals 2026'!B:B,Smry!D21,'Goals 2026'!C:C,Smry!F21,'Goals 2026'!E:E,Smry!$B$19)</f>
        <v>5.2867302539999998E-3</v>
      </c>
      <c r="P21" s="510">
        <f>SUMIFS('Goals 2026'!I:I,'Goals 2026'!B:B,Smry!D21,'Goals 2026'!C:C,Smry!F21,'Goals 2026'!E:E,Smry!$B$19)</f>
        <v>0</v>
      </c>
      <c r="Q21" s="511">
        <f>SUMIFS('Goals 2026'!J:J,'Goals 2026'!B:B,Smry!D21,'Goals 2026'!C:C,Smry!F21,'Goals 2026'!E:E,Smry!$B$19)</f>
        <v>0</v>
      </c>
      <c r="R21" s="510">
        <f>SUMIFS('Goals 2026'!K:K,'Goals 2026'!B:B,Smry!D21,'Goals 2026'!C:C,Smry!F21,'Goals 2026'!E:E,Smry!$B$19)</f>
        <v>0</v>
      </c>
    </row>
    <row r="22" spans="1:18" outlineLevel="2">
      <c r="A22" s="480"/>
      <c r="B22" s="483" t="s">
        <v>27</v>
      </c>
      <c r="C22" s="502"/>
      <c r="D22" s="483" t="s">
        <v>15</v>
      </c>
      <c r="E22" s="392"/>
      <c r="F22" s="483" t="s">
        <v>23</v>
      </c>
      <c r="G22" s="392"/>
      <c r="H22" s="484">
        <f t="shared" si="2"/>
        <v>2</v>
      </c>
      <c r="I22" s="484">
        <f>SUMIFS('Goals 2026'!M:M,'Goals 2026'!B:B,Smry!D22,'Goals 2026'!C:C,Smry!F22,'Goals 2026'!E:E,Smry!$B$19)</f>
        <v>2</v>
      </c>
      <c r="J22" s="484">
        <f>SUMIFS('Goals 2026'!N:N,'Goals 2026'!B:B,Smry!D22,'Goals 2026'!C:C,Smry!F22,'Goals 2026'!E:E,Smry!$B$19)</f>
        <v>0</v>
      </c>
      <c r="K22" s="484">
        <f>SUMIFS('Goals 2026'!O:O,'Goals 2026'!B:B,Smry!D22,'Goals 2026'!C:C,Smry!F22,'Goals 2026'!E:E,Smry!$B$19)</f>
        <v>0</v>
      </c>
      <c r="L22" s="484">
        <f>SUMIFS('Goals 2026'!P:P,'Goals 2026'!B:B,Smry!D22,'Goals 2026'!C:C,Smry!F22,'Goals 2026'!E:E,Smry!$B$19)</f>
        <v>0</v>
      </c>
      <c r="M22" s="482"/>
      <c r="N22" s="510">
        <f t="shared" si="3"/>
        <v>1.6064216963956598E-2</v>
      </c>
      <c r="O22" s="510">
        <f>SUMIFS('Goals 2026'!H:H,'Goals 2026'!B:B,Smry!D22,'Goals 2026'!C:C,Smry!F22,'Goals 2026'!E:E,Smry!$B$19)</f>
        <v>1.6064216963956598E-2</v>
      </c>
      <c r="P22" s="510">
        <f>SUMIFS('Goals 2026'!I:I,'Goals 2026'!B:B,Smry!D22,'Goals 2026'!C:C,Smry!F22,'Goals 2026'!E:E,Smry!$B$19)</f>
        <v>0</v>
      </c>
      <c r="Q22" s="511">
        <f>SUMIFS('Goals 2026'!J:J,'Goals 2026'!B:B,Smry!D22,'Goals 2026'!C:C,Smry!F22,'Goals 2026'!E:E,Smry!$B$19)</f>
        <v>0</v>
      </c>
      <c r="R22" s="510">
        <f>SUMIFS('Goals 2026'!K:K,'Goals 2026'!B:B,Smry!D22,'Goals 2026'!C:C,Smry!F22,'Goals 2026'!E:E,Smry!$B$19)</f>
        <v>0</v>
      </c>
    </row>
    <row r="23" spans="1:18" outlineLevel="2">
      <c r="A23" s="480"/>
      <c r="B23" s="483" t="s">
        <v>27</v>
      </c>
      <c r="C23" s="502"/>
      <c r="D23" s="483" t="s">
        <v>15</v>
      </c>
      <c r="E23" s="392"/>
      <c r="F23" s="483" t="s">
        <v>30</v>
      </c>
      <c r="G23" s="392"/>
      <c r="H23" s="484">
        <f t="shared" si="2"/>
        <v>19</v>
      </c>
      <c r="I23" s="484">
        <f>SUMIFS('Goals 2026'!M:M,'Goals 2026'!B:B,Smry!D23,'Goals 2026'!C:C,Smry!F23,'Goals 2026'!E:E,Smry!$B$19)</f>
        <v>15</v>
      </c>
      <c r="J23" s="484">
        <f>SUMIFS('Goals 2026'!N:N,'Goals 2026'!B:B,Smry!D23,'Goals 2026'!C:C,Smry!F23,'Goals 2026'!E:E,Smry!$B$19)</f>
        <v>4</v>
      </c>
      <c r="K23" s="484">
        <f>SUMIFS('Goals 2026'!O:O,'Goals 2026'!B:B,Smry!D23,'Goals 2026'!C:C,Smry!F23,'Goals 2026'!E:E,Smry!$B$19)</f>
        <v>0</v>
      </c>
      <c r="L23" s="484">
        <f>SUMIFS('Goals 2026'!P:P,'Goals 2026'!B:B,Smry!D23,'Goals 2026'!C:C,Smry!F23,'Goals 2026'!E:E,Smry!$B$19)</f>
        <v>0</v>
      </c>
      <c r="M23" s="482"/>
      <c r="N23" s="510">
        <f t="shared" si="3"/>
        <v>0.43466801489009571</v>
      </c>
      <c r="O23" s="510">
        <f>SUMIFS('Goals 2026'!H:H,'Goals 2026'!B:B,Smry!D23,'Goals 2026'!C:C,Smry!F23,'Goals 2026'!E:E,Smry!$B$19)</f>
        <v>0.35597209492231208</v>
      </c>
      <c r="P23" s="510">
        <f>SUMIFS('Goals 2026'!I:I,'Goals 2026'!B:B,Smry!D23,'Goals 2026'!C:C,Smry!F23,'Goals 2026'!E:E,Smry!$B$19)</f>
        <v>7.8695919967783634E-2</v>
      </c>
      <c r="Q23" s="511">
        <f>SUMIFS('Goals 2026'!J:J,'Goals 2026'!B:B,Smry!D23,'Goals 2026'!C:C,Smry!F23,'Goals 2026'!E:E,Smry!$B$19)</f>
        <v>0</v>
      </c>
      <c r="R23" s="510">
        <f>SUMIFS('Goals 2026'!K:K,'Goals 2026'!B:B,Smry!D23,'Goals 2026'!C:C,Smry!F23,'Goals 2026'!E:E,Smry!$B$19)</f>
        <v>0</v>
      </c>
    </row>
    <row r="24" spans="1:18" outlineLevel="2">
      <c r="A24" s="480"/>
      <c r="B24" s="483" t="s">
        <v>27</v>
      </c>
      <c r="C24" s="502"/>
      <c r="D24" s="483" t="s">
        <v>70</v>
      </c>
      <c r="E24" s="392"/>
      <c r="F24" s="483" t="s">
        <v>71</v>
      </c>
      <c r="G24" s="392"/>
      <c r="H24" s="484">
        <f t="shared" si="2"/>
        <v>6</v>
      </c>
      <c r="I24" s="484">
        <f>SUMIFS('Goals 2026'!M:M,'Goals 2026'!B:B,Smry!D24,'Goals 2026'!C:C,Smry!F24,'Goals 2026'!E:E,Smry!$B$19)</f>
        <v>4</v>
      </c>
      <c r="J24" s="484">
        <f>SUMIFS('Goals 2026'!N:N,'Goals 2026'!B:B,Smry!D24,'Goals 2026'!C:C,Smry!F24,'Goals 2026'!E:E,Smry!$B$19)</f>
        <v>1</v>
      </c>
      <c r="K24" s="484">
        <f>SUMIFS('Goals 2026'!O:O,'Goals 2026'!B:B,Smry!D24,'Goals 2026'!C:C,Smry!F24,'Goals 2026'!E:E,Smry!$B$19)</f>
        <v>1</v>
      </c>
      <c r="L24" s="484">
        <f>SUMIFS('Goals 2026'!P:P,'Goals 2026'!B:B,Smry!D24,'Goals 2026'!C:C,Smry!F24,'Goals 2026'!E:E,Smry!$B$19)</f>
        <v>0</v>
      </c>
      <c r="M24" s="482"/>
      <c r="N24" s="510">
        <f t="shared" si="3"/>
        <v>0.80123916890047531</v>
      </c>
      <c r="O24" s="510">
        <f>SUMIFS('Goals 2026'!H:H,'Goals 2026'!B:B,Smry!D24,'Goals 2026'!C:C,Smry!F24,'Goals 2026'!E:E,Smry!$B$19)</f>
        <v>0.41389850293631264</v>
      </c>
      <c r="P24" s="510">
        <f>SUMIFS('Goals 2026'!I:I,'Goals 2026'!B:B,Smry!D24,'Goals 2026'!C:C,Smry!F24,'Goals 2026'!E:E,Smry!$B$19)</f>
        <v>0.25822711064277509</v>
      </c>
      <c r="Q24" s="511">
        <f>SUMIFS('Goals 2026'!J:J,'Goals 2026'!B:B,Smry!D24,'Goals 2026'!C:C,Smry!F24,'Goals 2026'!E:E,Smry!$B$19)</f>
        <v>0.12911355532138755</v>
      </c>
      <c r="R24" s="510">
        <f>SUMIFS('Goals 2026'!K:K,'Goals 2026'!B:B,Smry!D24,'Goals 2026'!C:C,Smry!F24,'Goals 2026'!E:E,Smry!$B$19)</f>
        <v>0</v>
      </c>
    </row>
    <row r="25" spans="1:18" outlineLevel="2">
      <c r="A25" s="480"/>
      <c r="B25" s="483" t="s">
        <v>27</v>
      </c>
      <c r="C25" s="502"/>
      <c r="D25" s="483" t="s">
        <v>84</v>
      </c>
      <c r="E25" s="392"/>
      <c r="F25" s="483" t="s">
        <v>85</v>
      </c>
      <c r="G25" s="392"/>
      <c r="H25" s="484">
        <f t="shared" si="2"/>
        <v>3</v>
      </c>
      <c r="I25" s="484">
        <f>SUMIFS('Goals 2026'!M:M,'Goals 2026'!B:B,Smry!D25,'Goals 2026'!C:C,Smry!F25,'Goals 2026'!E:E,Smry!$B$19)</f>
        <v>3</v>
      </c>
      <c r="J25" s="484">
        <f>SUMIFS('Goals 2026'!N:N,'Goals 2026'!B:B,Smry!D25,'Goals 2026'!C:C,Smry!F25,'Goals 2026'!E:E,Smry!$B$19)</f>
        <v>0</v>
      </c>
      <c r="K25" s="484">
        <f>SUMIFS('Goals 2026'!O:O,'Goals 2026'!B:B,Smry!D25,'Goals 2026'!C:C,Smry!F25,'Goals 2026'!E:E,Smry!$B$19)</f>
        <v>0</v>
      </c>
      <c r="L25" s="484">
        <f>SUMIFS('Goals 2026'!P:P,'Goals 2026'!B:B,Smry!D25,'Goals 2026'!C:C,Smry!F25,'Goals 2026'!E:E,Smry!$B$19)</f>
        <v>0</v>
      </c>
      <c r="M25" s="482"/>
      <c r="N25" s="510">
        <f t="shared" si="3"/>
        <v>0.36</v>
      </c>
      <c r="O25" s="510">
        <f>SUMIFS('Goals 2026'!H:H,'Goals 2026'!B:B,Smry!D25,'Goals 2026'!C:C,Smry!F25,'Goals 2026'!E:E,Smry!$B$19)</f>
        <v>0.36</v>
      </c>
      <c r="P25" s="510">
        <f>SUMIFS('Goals 2026'!I:I,'Goals 2026'!B:B,Smry!D25,'Goals 2026'!C:C,Smry!F25,'Goals 2026'!E:E,Smry!$B$19)</f>
        <v>0</v>
      </c>
      <c r="Q25" s="511">
        <f>SUMIFS('Goals 2026'!J:J,'Goals 2026'!B:B,Smry!D25,'Goals 2026'!C:C,Smry!F25,'Goals 2026'!E:E,Smry!$B$19)</f>
        <v>0</v>
      </c>
      <c r="R25" s="510">
        <f>SUMIFS('Goals 2026'!K:K,'Goals 2026'!B:B,Smry!D25,'Goals 2026'!C:C,Smry!F25,'Goals 2026'!E:E,Smry!$B$19)</f>
        <v>0</v>
      </c>
    </row>
    <row r="26" spans="1:18" outlineLevel="2">
      <c r="A26" s="480"/>
      <c r="B26" s="483" t="s">
        <v>27</v>
      </c>
      <c r="C26" s="502"/>
      <c r="D26" s="483" t="s">
        <v>101</v>
      </c>
      <c r="E26" s="392"/>
      <c r="F26" s="483" t="s">
        <v>102</v>
      </c>
      <c r="G26" s="392"/>
      <c r="H26" s="484">
        <f t="shared" si="2"/>
        <v>8</v>
      </c>
      <c r="I26" s="484">
        <f>SUMIFS('Goals 2026'!M:M,'Goals 2026'!B:B,Smry!D26,'Goals 2026'!C:C,Smry!F26,'Goals 2026'!E:E,Smry!$B$19)</f>
        <v>8</v>
      </c>
      <c r="J26" s="484">
        <f>SUMIFS('Goals 2026'!N:N,'Goals 2026'!B:B,Smry!D26,'Goals 2026'!C:C,Smry!F26,'Goals 2026'!E:E,Smry!$B$19)</f>
        <v>0</v>
      </c>
      <c r="K26" s="484">
        <f>SUMIFS('Goals 2026'!O:O,'Goals 2026'!B:B,Smry!D26,'Goals 2026'!C:C,Smry!F26,'Goals 2026'!E:E,Smry!$B$19)</f>
        <v>0</v>
      </c>
      <c r="L26" s="484">
        <f>SUMIFS('Goals 2026'!P:P,'Goals 2026'!B:B,Smry!D26,'Goals 2026'!C:C,Smry!F26,'Goals 2026'!E:E,Smry!$B$19)</f>
        <v>0</v>
      </c>
      <c r="M26" s="482"/>
      <c r="N26" s="510">
        <f t="shared" si="3"/>
        <v>2.1</v>
      </c>
      <c r="O26" s="510">
        <f>SUMIFS('Goals 2026'!H:H,'Goals 2026'!B:B,Smry!D26,'Goals 2026'!C:C,Smry!F26,'Goals 2026'!E:E,Smry!$B$19)</f>
        <v>2.1</v>
      </c>
      <c r="P26" s="510">
        <f>SUMIFS('Goals 2026'!I:I,'Goals 2026'!B:B,Smry!D26,'Goals 2026'!C:C,Smry!F26,'Goals 2026'!E:E,Smry!$B$19)</f>
        <v>0</v>
      </c>
      <c r="Q26" s="511">
        <f>SUMIFS('Goals 2026'!J:J,'Goals 2026'!B:B,Smry!D26,'Goals 2026'!C:C,Smry!F26,'Goals 2026'!E:E,Smry!$B$19)</f>
        <v>0</v>
      </c>
      <c r="R26" s="510">
        <f>SUMIFS('Goals 2026'!K:K,'Goals 2026'!B:B,Smry!D26,'Goals 2026'!C:C,Smry!F26,'Goals 2026'!E:E,Smry!$B$19)</f>
        <v>0</v>
      </c>
    </row>
    <row r="27" spans="1:18" outlineLevel="2">
      <c r="A27" s="480"/>
      <c r="B27" s="483" t="s">
        <v>27</v>
      </c>
      <c r="C27" s="502"/>
      <c r="D27" s="483" t="s">
        <v>135</v>
      </c>
      <c r="E27" s="502"/>
      <c r="F27" s="483" t="s">
        <v>136</v>
      </c>
      <c r="G27" s="392"/>
      <c r="H27" s="484">
        <f t="shared" si="2"/>
        <v>3</v>
      </c>
      <c r="I27" s="484">
        <f>SUMIFS('Goals 2026'!M:M,'Goals 2026'!B:B,Smry!D27,'Goals 2026'!C:C,Smry!F27,'Goals 2026'!E:E,Smry!$B$19)</f>
        <v>3</v>
      </c>
      <c r="J27" s="484">
        <f>SUMIFS('Goals 2026'!N:N,'Goals 2026'!B:B,Smry!D27,'Goals 2026'!C:C,Smry!F27,'Goals 2026'!E:E,Smry!$B$19)</f>
        <v>0</v>
      </c>
      <c r="K27" s="484">
        <f>SUMIFS('Goals 2026'!O:O,'Goals 2026'!B:B,Smry!D27,'Goals 2026'!C:C,Smry!F27,'Goals 2026'!E:E,Smry!$B$19)</f>
        <v>0</v>
      </c>
      <c r="L27" s="484">
        <f>SUMIFS('Goals 2026'!P:P,'Goals 2026'!B:B,Smry!D27,'Goals 2026'!C:C,Smry!F27,'Goals 2026'!E:E,Smry!$B$19)</f>
        <v>0</v>
      </c>
      <c r="M27" s="482"/>
      <c r="N27" s="510">
        <f t="shared" si="3"/>
        <v>8.4072167695988034E-2</v>
      </c>
      <c r="O27" s="510">
        <f>SUMIFS('Goals 2026'!H:H,'Goals 2026'!B:B,Smry!D27,'Goals 2026'!C:C,Smry!F27,'Goals 2026'!E:E,Smry!$B$19)</f>
        <v>8.4072167695988034E-2</v>
      </c>
      <c r="P27" s="510">
        <f>SUMIFS('Goals 2026'!I:I,'Goals 2026'!B:B,Smry!D27,'Goals 2026'!C:C,Smry!F27,'Goals 2026'!E:E,Smry!$B$19)</f>
        <v>0</v>
      </c>
      <c r="Q27" s="511">
        <f>SUMIFS('Goals 2026'!J:J,'Goals 2026'!B:B,Smry!D27,'Goals 2026'!C:C,Smry!F27,'Goals 2026'!E:E,Smry!$B$19)</f>
        <v>0</v>
      </c>
      <c r="R27" s="510">
        <f>SUMIFS('Goals 2026'!K:K,'Goals 2026'!B:B,Smry!D27,'Goals 2026'!C:C,Smry!F27,'Goals 2026'!E:E,Smry!$B$19)</f>
        <v>0</v>
      </c>
    </row>
    <row r="28" spans="1:18" outlineLevel="2">
      <c r="A28" s="480"/>
      <c r="B28" s="483" t="s">
        <v>27</v>
      </c>
      <c r="C28" s="502"/>
      <c r="D28" s="483" t="s">
        <v>142</v>
      </c>
      <c r="E28" s="502"/>
      <c r="F28" s="483" t="s">
        <v>143</v>
      </c>
      <c r="G28" s="392"/>
      <c r="H28" s="484">
        <f t="shared" si="2"/>
        <v>3</v>
      </c>
      <c r="I28" s="484">
        <f>SUMIFS('Goals 2026'!M:M,'Goals 2026'!B:B,Smry!D28,'Goals 2026'!C:C,Smry!F28,'Goals 2026'!E:E,Smry!$B$19)</f>
        <v>3</v>
      </c>
      <c r="J28" s="484">
        <f>SUMIFS('Goals 2026'!N:N,'Goals 2026'!B:B,Smry!D28,'Goals 2026'!C:C,Smry!F28,'Goals 2026'!E:E,Smry!$B$19)</f>
        <v>0</v>
      </c>
      <c r="K28" s="484">
        <f>SUMIFS('Goals 2026'!O:O,'Goals 2026'!B:B,Smry!D28,'Goals 2026'!C:C,Smry!F28,'Goals 2026'!E:E,Smry!$B$19)</f>
        <v>0</v>
      </c>
      <c r="L28" s="484">
        <f>SUMIFS('Goals 2026'!P:P,'Goals 2026'!B:B,Smry!D28,'Goals 2026'!C:C,Smry!F28,'Goals 2026'!E:E,Smry!$B$19)</f>
        <v>0</v>
      </c>
      <c r="M28" s="482"/>
      <c r="N28" s="510">
        <f t="shared" si="3"/>
        <v>0.16918995130000003</v>
      </c>
      <c r="O28" s="510">
        <f>SUMIFS('Goals 2026'!H:H,'Goals 2026'!B:B,Smry!D28,'Goals 2026'!C:C,Smry!F28,'Goals 2026'!E:E,Smry!$B$19)</f>
        <v>0.16918995130000003</v>
      </c>
      <c r="P28" s="510">
        <f>SUMIFS('Goals 2026'!I:I,'Goals 2026'!B:B,Smry!D28,'Goals 2026'!C:C,Smry!F28,'Goals 2026'!E:E,Smry!$B$19)</f>
        <v>0</v>
      </c>
      <c r="Q28" s="511">
        <f>SUMIFS('Goals 2026'!J:J,'Goals 2026'!B:B,Smry!D28,'Goals 2026'!C:C,Smry!F28,'Goals 2026'!E:E,Smry!$B$19)</f>
        <v>0</v>
      </c>
      <c r="R28" s="510">
        <f>SUMIFS('Goals 2026'!K:K,'Goals 2026'!B:B,Smry!D28,'Goals 2026'!C:C,Smry!F28,'Goals 2026'!E:E,Smry!$B$19)</f>
        <v>0</v>
      </c>
    </row>
    <row r="29" spans="1:18" outlineLevel="2">
      <c r="A29" s="480"/>
      <c r="B29" s="483" t="s">
        <v>27</v>
      </c>
      <c r="C29" s="502"/>
      <c r="D29" s="483" t="s">
        <v>147</v>
      </c>
      <c r="E29" s="502"/>
      <c r="F29" s="483" t="s">
        <v>148</v>
      </c>
      <c r="G29" s="392"/>
      <c r="H29" s="484">
        <f t="shared" si="2"/>
        <v>16</v>
      </c>
      <c r="I29" s="484">
        <f>SUMIFS('Goals 2026'!M:M,'Goals 2026'!B:B,Smry!D29,'Goals 2026'!C:C,Smry!F29,'Goals 2026'!E:E,Smry!$B$19)</f>
        <v>11</v>
      </c>
      <c r="J29" s="484">
        <f>SUMIFS('Goals 2026'!N:N,'Goals 2026'!B:B,Smry!D29,'Goals 2026'!C:C,Smry!F29,'Goals 2026'!E:E,Smry!$B$19)</f>
        <v>3</v>
      </c>
      <c r="K29" s="484">
        <f>SUMIFS('Goals 2026'!O:O,'Goals 2026'!B:B,Smry!D29,'Goals 2026'!C:C,Smry!F29,'Goals 2026'!E:E,Smry!$B$19)</f>
        <v>2</v>
      </c>
      <c r="L29" s="484">
        <f>SUMIFS('Goals 2026'!P:P,'Goals 2026'!B:B,Smry!D29,'Goals 2026'!C:C,Smry!F29,'Goals 2026'!E:E,Smry!$B$19)</f>
        <v>0</v>
      </c>
      <c r="M29" s="482"/>
      <c r="N29" s="510">
        <f t="shared" si="3"/>
        <v>1.397</v>
      </c>
      <c r="O29" s="510">
        <f>SUMIFS('Goals 2026'!H:H,'Goals 2026'!B:B,Smry!D29,'Goals 2026'!C:C,Smry!F29,'Goals 2026'!E:E,Smry!$B$19)</f>
        <v>1.1200000000000001</v>
      </c>
      <c r="P29" s="510">
        <f>SUMIFS('Goals 2026'!I:I,'Goals 2026'!B:B,Smry!D29,'Goals 2026'!C:C,Smry!F29,'Goals 2026'!E:E,Smry!$B$19)</f>
        <v>0.27</v>
      </c>
      <c r="Q29" s="511">
        <f>SUMIFS('Goals 2026'!J:J,'Goals 2026'!B:B,Smry!D29,'Goals 2026'!C:C,Smry!F29,'Goals 2026'!E:E,Smry!$B$19)</f>
        <v>7.0000000000000001E-3</v>
      </c>
      <c r="R29" s="510">
        <f>SUMIFS('Goals 2026'!K:K,'Goals 2026'!B:B,Smry!D29,'Goals 2026'!C:C,Smry!F29,'Goals 2026'!E:E,Smry!$B$19)</f>
        <v>0</v>
      </c>
    </row>
    <row r="30" spans="1:18" outlineLevel="2">
      <c r="A30" s="480"/>
      <c r="B30" s="483" t="s">
        <v>27</v>
      </c>
      <c r="C30" s="502"/>
      <c r="D30" s="483" t="s">
        <v>180</v>
      </c>
      <c r="E30" s="502"/>
      <c r="F30" s="483" t="s">
        <v>23</v>
      </c>
      <c r="G30" s="392"/>
      <c r="H30" s="484">
        <f>SUM(I30:L30)</f>
        <v>9</v>
      </c>
      <c r="I30" s="484">
        <f>SUMIFS('Goals 2026'!M:M,'Goals 2026'!B:B,Smry!D30,'Goals 2026'!C:C,Smry!F30,'Goals 2026'!E:E,Smry!$B$19)</f>
        <v>4</v>
      </c>
      <c r="J30" s="484">
        <f>SUMIFS('Goals 2026'!N:N,'Goals 2026'!B:B,Smry!D30,'Goals 2026'!C:C,Smry!F30,'Goals 2026'!E:E,Smry!$B$19)</f>
        <v>3</v>
      </c>
      <c r="K30" s="484">
        <f>SUMIFS('Goals 2026'!O:O,'Goals 2026'!B:B,Smry!D30,'Goals 2026'!C:C,Smry!F30,'Goals 2026'!E:E,Smry!$B$19)</f>
        <v>2</v>
      </c>
      <c r="L30" s="484">
        <f>SUMIFS('Goals 2026'!P:P,'Goals 2026'!B:B,Smry!D30,'Goals 2026'!C:C,Smry!F30,'Goals 2026'!E:E,Smry!$B$19)</f>
        <v>0</v>
      </c>
      <c r="M30" s="482"/>
      <c r="N30" s="510">
        <f>SUM(O30:R30)</f>
        <v>0.57936246675029968</v>
      </c>
      <c r="O30" s="510">
        <f>SUMIFS('Goals 2026'!H:H,'Goals 2026'!B:B,Smry!D30,'Goals 2026'!C:C,Smry!F30,'Goals 2026'!E:E,Smry!$B$19)</f>
        <v>0.28480034280014982</v>
      </c>
      <c r="P30" s="510">
        <f>SUMIFS('Goals 2026'!I:I,'Goals 2026'!B:B,Smry!D30,'Goals 2026'!C:C,Smry!F30,'Goals 2026'!E:E,Smry!$B$19)</f>
        <v>0.1765664054250749</v>
      </c>
      <c r="Q30" s="511">
        <f>SUMIFS('Goals 2026'!J:J,'Goals 2026'!B:B,Smry!D30,'Goals 2026'!C:C,Smry!F30,'Goals 2026'!E:E,Smry!$B$19)</f>
        <v>0.11799571852507491</v>
      </c>
      <c r="R30" s="510">
        <f>SUMIFS('Goals 2026'!K:K,'Goals 2026'!B:B,Smry!D30,'Goals 2026'!C:C,Smry!F30,'Goals 2026'!E:E,Smry!$B$19)</f>
        <v>0</v>
      </c>
    </row>
    <row r="31" spans="1:18" outlineLevel="2">
      <c r="A31" s="480"/>
      <c r="B31" s="483" t="s">
        <v>27</v>
      </c>
      <c r="C31" s="502"/>
      <c r="D31" s="483" t="s">
        <v>362</v>
      </c>
      <c r="E31" s="502"/>
      <c r="F31" s="483" t="s">
        <v>363</v>
      </c>
      <c r="G31" s="392"/>
      <c r="H31" s="484">
        <f>SUM(I31:L31)</f>
        <v>26</v>
      </c>
      <c r="I31" s="484">
        <f>SUMIFS('Goals 2026'!M:M,'Goals 2026'!B:B,Smry!D31,'Goals 2026'!C:C,Smry!F31,'Goals 2026'!E:E,Smry!$B$19)</f>
        <v>2</v>
      </c>
      <c r="J31" s="484">
        <f>SUMIFS('Goals 2026'!N:N,'Goals 2026'!B:B,Smry!D31,'Goals 2026'!C:C,Smry!F31,'Goals 2026'!E:E,Smry!$B$19)</f>
        <v>4</v>
      </c>
      <c r="K31" s="484">
        <f>SUMIFS('Goals 2026'!O:O,'Goals 2026'!B:B,Smry!D31,'Goals 2026'!C:C,Smry!F31,'Goals 2026'!E:E,Smry!$B$19)</f>
        <v>11</v>
      </c>
      <c r="L31" s="484">
        <f>SUMIFS('Goals 2026'!P:P,'Goals 2026'!B:B,Smry!D31,'Goals 2026'!C:C,Smry!F31,'Goals 2026'!E:E,Smry!$B$19)</f>
        <v>9</v>
      </c>
      <c r="M31" s="482"/>
      <c r="N31" s="510">
        <f>SUM(O31:R31)</f>
        <v>6.0390319369889429</v>
      </c>
      <c r="O31" s="510">
        <f>SUMIFS('Goals 2026'!H:H,'Goals 2026'!B:B,Smry!D31,'Goals 2026'!C:C,Smry!F31,'Goals 2026'!E:E,Smry!$B$19)</f>
        <v>3.257897459827789</v>
      </c>
      <c r="P31" s="510">
        <f>SUMIFS('Goals 2026'!I:I,'Goals 2026'!B:B,Smry!D31,'Goals 2026'!C:C,Smry!F31,'Goals 2026'!E:E,Smry!$B$19)</f>
        <v>0.61867008690668324</v>
      </c>
      <c r="Q31" s="511">
        <f>SUMIFS('Goals 2026'!J:J,'Goals 2026'!B:B,Smry!D31,'Goals 2026'!C:C,Smry!F31,'Goals 2026'!E:E,Smry!$B$19)</f>
        <v>1.2870245796601747</v>
      </c>
      <c r="R31" s="510">
        <f>SUMIFS('Goals 2026'!K:K,'Goals 2026'!B:B,Smry!D31,'Goals 2026'!C:C,Smry!F31,'Goals 2026'!E:E,Smry!$B$19)</f>
        <v>0.87543981059429565</v>
      </c>
    </row>
    <row r="32" spans="1:18" outlineLevel="2">
      <c r="A32" s="480"/>
      <c r="B32" s="483" t="s">
        <v>27</v>
      </c>
      <c r="C32" s="502"/>
      <c r="D32" s="483" t="s">
        <v>326</v>
      </c>
      <c r="E32" s="502"/>
      <c r="F32" s="483" t="s">
        <v>327</v>
      </c>
      <c r="G32" s="392"/>
      <c r="H32" s="484">
        <f>SUM(I32:L32)</f>
        <v>1</v>
      </c>
      <c r="I32" s="484">
        <f>SUMIFS('Goals 2026'!M:M,'Goals 2026'!B:B,Smry!D32,'Goals 2026'!C:C,Smry!F32,'Goals 2026'!E:E,Smry!$B$19)</f>
        <v>0</v>
      </c>
      <c r="J32" s="484">
        <f>SUMIFS('Goals 2026'!N:N,'Goals 2026'!B:B,Smry!D32,'Goals 2026'!C:C,Smry!F32,'Goals 2026'!E:E,Smry!$B$19)</f>
        <v>1</v>
      </c>
      <c r="K32" s="484">
        <f>SUMIFS('Goals 2026'!O:O,'Goals 2026'!B:B,Smry!D32,'Goals 2026'!C:C,Smry!F32,'Goals 2026'!E:E,Smry!$B$19)</f>
        <v>0</v>
      </c>
      <c r="L32" s="484">
        <f>SUMIFS('Goals 2026'!P:P,'Goals 2026'!B:B,Smry!D32,'Goals 2026'!C:C,Smry!F32,'Goals 2026'!E:E,Smry!$B$19)</f>
        <v>0</v>
      </c>
      <c r="M32" s="482"/>
      <c r="N32" s="510">
        <f>SUM(O32:R32)</f>
        <v>0.04</v>
      </c>
      <c r="O32" s="510">
        <f>SUMIFS('Goals 2026'!H:H,'Goals 2026'!B:B,Smry!D32,'Goals 2026'!C:C,Smry!F32,'Goals 2026'!E:E,Smry!$B$19)</f>
        <v>0</v>
      </c>
      <c r="P32" s="510">
        <f>SUMIFS('Goals 2026'!I:I,'Goals 2026'!B:B,Smry!D32,'Goals 2026'!C:C,Smry!F32,'Goals 2026'!E:E,Smry!$B$19)</f>
        <v>0.04</v>
      </c>
      <c r="Q32" s="511">
        <f>SUMIFS('Goals 2026'!J:J,'Goals 2026'!B:B,Smry!D32,'Goals 2026'!C:C,Smry!F32,'Goals 2026'!E:E,Smry!$B$19)</f>
        <v>0</v>
      </c>
      <c r="R32" s="510">
        <f>SUMIFS('Goals 2026'!K:K,'Goals 2026'!B:B,Smry!D32,'Goals 2026'!C:C,Smry!F32,'Goals 2026'!E:E,Smry!$B$19)</f>
        <v>0</v>
      </c>
    </row>
    <row r="33" spans="1:18" outlineLevel="2">
      <c r="A33" s="480"/>
      <c r="B33" s="483" t="s">
        <v>27</v>
      </c>
      <c r="C33" s="502"/>
      <c r="D33" s="483" t="s">
        <v>194</v>
      </c>
      <c r="E33" s="502"/>
      <c r="F33" s="483" t="s">
        <v>136</v>
      </c>
      <c r="G33" s="392"/>
      <c r="H33" s="484">
        <f t="shared" si="2"/>
        <v>5</v>
      </c>
      <c r="I33" s="484">
        <f>SUMIFS('Goals 2026'!M:M,'Goals 2026'!B:B,Smry!D33,'Goals 2026'!C:C,Smry!F33,'Goals 2026'!E:E,Smry!$B$19)</f>
        <v>5</v>
      </c>
      <c r="J33" s="484">
        <f>SUMIFS('Goals 2026'!N:N,'Goals 2026'!B:B,Smry!D33,'Goals 2026'!C:C,Smry!F33,'Goals 2026'!E:E,Smry!$B$19)</f>
        <v>0</v>
      </c>
      <c r="K33" s="484">
        <f>SUMIFS('Goals 2026'!O:O,'Goals 2026'!B:B,Smry!D33,'Goals 2026'!C:C,Smry!F33,'Goals 2026'!E:E,Smry!$B$19)</f>
        <v>0</v>
      </c>
      <c r="L33" s="484">
        <f>SUMIFS('Goals 2026'!P:P,'Goals 2026'!B:B,Smry!D33,'Goals 2026'!C:C,Smry!F33,'Goals 2026'!E:E,Smry!$B$19)</f>
        <v>0</v>
      </c>
      <c r="M33" s="482"/>
      <c r="N33" s="510">
        <f t="shared" si="3"/>
        <v>0.38000000000000006</v>
      </c>
      <c r="O33" s="510">
        <f>SUMIFS('Goals 2026'!H:H,'Goals 2026'!B:B,Smry!D33,'Goals 2026'!C:C,Smry!F33,'Goals 2026'!E:E,Smry!$B$19)</f>
        <v>0.38000000000000006</v>
      </c>
      <c r="P33" s="510">
        <f>SUMIFS('Goals 2026'!I:I,'Goals 2026'!B:B,Smry!D33,'Goals 2026'!C:C,Smry!F33,'Goals 2026'!E:E,Smry!$B$19)</f>
        <v>0</v>
      </c>
      <c r="Q33" s="511">
        <f>SUMIFS('Goals 2026'!J:J,'Goals 2026'!B:B,Smry!D33,'Goals 2026'!C:C,Smry!F33,'Goals 2026'!E:E,Smry!$B$19)</f>
        <v>0</v>
      </c>
      <c r="R33" s="510">
        <f>SUMIFS('Goals 2026'!K:K,'Goals 2026'!B:B,Smry!D33,'Goals 2026'!C:C,Smry!F33,'Goals 2026'!E:E,Smry!$B$19)</f>
        <v>0</v>
      </c>
    </row>
    <row r="34" spans="1:18" outlineLevel="2">
      <c r="A34" s="480"/>
      <c r="B34" s="483" t="s">
        <v>27</v>
      </c>
      <c r="C34" s="502"/>
      <c r="D34" s="483" t="s">
        <v>200</v>
      </c>
      <c r="E34" s="502"/>
      <c r="F34" s="483" t="s">
        <v>200</v>
      </c>
      <c r="G34" s="392"/>
      <c r="H34" s="484">
        <f t="shared" si="2"/>
        <v>6</v>
      </c>
      <c r="I34" s="484">
        <f>SUMIFS('Goals 2026'!M:M,'Goals 2026'!B:B,Smry!D34,'Goals 2026'!C:C,Smry!F34,'Goals 2026'!E:E,Smry!$B$19)</f>
        <v>4</v>
      </c>
      <c r="J34" s="484">
        <f>SUMIFS('Goals 2026'!N:N,'Goals 2026'!B:B,Smry!D34,'Goals 2026'!C:C,Smry!F34,'Goals 2026'!E:E,Smry!$B$19)</f>
        <v>2</v>
      </c>
      <c r="K34" s="484">
        <f>SUMIFS('Goals 2026'!O:O,'Goals 2026'!B:B,Smry!D34,'Goals 2026'!C:C,Smry!F34,'Goals 2026'!E:E,Smry!$B$19)</f>
        <v>0</v>
      </c>
      <c r="L34" s="484">
        <f>SUMIFS('Goals 2026'!P:P,'Goals 2026'!B:B,Smry!D34,'Goals 2026'!C:C,Smry!F34,'Goals 2026'!E:E,Smry!$B$19)</f>
        <v>0</v>
      </c>
      <c r="M34" s="482"/>
      <c r="N34" s="510">
        <f t="shared" si="3"/>
        <v>1.079644350063</v>
      </c>
      <c r="O34" s="510">
        <f>SUMIFS('Goals 2026'!H:H,'Goals 2026'!B:B,Smry!D34,'Goals 2026'!C:C,Smry!F34,'Goals 2026'!E:E,Smry!$B$19)</f>
        <v>0.83171770678666779</v>
      </c>
      <c r="P34" s="510">
        <f>SUMIFS('Goals 2026'!I:I,'Goals 2026'!B:B,Smry!D34,'Goals 2026'!C:C,Smry!F34,'Goals 2026'!E:E,Smry!$B$19)</f>
        <v>0.24792664327633221</v>
      </c>
      <c r="Q34" s="511">
        <f>SUMIFS('Goals 2026'!J:J,'Goals 2026'!B:B,Smry!D34,'Goals 2026'!C:C,Smry!F34,'Goals 2026'!E:E,Smry!$B$19)</f>
        <v>0</v>
      </c>
      <c r="R34" s="510">
        <f>SUMIFS('Goals 2026'!K:K,'Goals 2026'!B:B,Smry!D34,'Goals 2026'!C:C,Smry!F34,'Goals 2026'!E:E,Smry!$B$19)</f>
        <v>0</v>
      </c>
    </row>
    <row r="35" spans="1:18" outlineLevel="2">
      <c r="A35" s="480"/>
      <c r="B35" s="483" t="s">
        <v>27</v>
      </c>
      <c r="C35" s="502"/>
      <c r="D35" s="483" t="s">
        <v>209</v>
      </c>
      <c r="E35" s="502"/>
      <c r="F35" s="483" t="s">
        <v>80</v>
      </c>
      <c r="G35" s="392"/>
      <c r="H35" s="484">
        <f t="shared" si="2"/>
        <v>1</v>
      </c>
      <c r="I35" s="484">
        <f>SUMIFS('Goals 2026'!M:M,'Goals 2026'!B:B,Smry!D35,'Goals 2026'!C:C,Smry!F35,'Goals 2026'!E:E,Smry!$B$19)</f>
        <v>1</v>
      </c>
      <c r="J35" s="484">
        <f>SUMIFS('Goals 2026'!N:N,'Goals 2026'!B:B,Smry!D35,'Goals 2026'!C:C,Smry!F35,'Goals 2026'!E:E,Smry!$B$19)</f>
        <v>0</v>
      </c>
      <c r="K35" s="484">
        <f>SUMIFS('Goals 2026'!O:O,'Goals 2026'!B:B,Smry!D35,'Goals 2026'!C:C,Smry!F35,'Goals 2026'!E:E,Smry!$B$19)</f>
        <v>0</v>
      </c>
      <c r="L35" s="484">
        <f>SUMIFS('Goals 2026'!P:P,'Goals 2026'!B:B,Smry!D35,'Goals 2026'!C:C,Smry!F35,'Goals 2026'!E:E,Smry!$B$19)</f>
        <v>0</v>
      </c>
      <c r="M35" s="482"/>
      <c r="N35" s="510">
        <f t="shared" si="3"/>
        <v>0.03</v>
      </c>
      <c r="O35" s="510">
        <f>SUMIFS('Goals 2026'!H:H,'Goals 2026'!B:B,Smry!D35,'Goals 2026'!C:C,Smry!F35,'Goals 2026'!E:E,Smry!$B$19)</f>
        <v>0.03</v>
      </c>
      <c r="P35" s="510">
        <f>SUMIFS('Goals 2026'!I:I,'Goals 2026'!B:B,Smry!D35,'Goals 2026'!C:C,Smry!F35,'Goals 2026'!E:E,Smry!$B$19)</f>
        <v>0</v>
      </c>
      <c r="Q35" s="511">
        <f>SUMIFS('Goals 2026'!J:J,'Goals 2026'!B:B,Smry!D35,'Goals 2026'!C:C,Smry!F35,'Goals 2026'!E:E,Smry!$B$19)</f>
        <v>0</v>
      </c>
      <c r="R35" s="510">
        <f>SUMIFS('Goals 2026'!K:K,'Goals 2026'!B:B,Smry!D35,'Goals 2026'!C:C,Smry!F35,'Goals 2026'!E:E,Smry!$B$19)</f>
        <v>0</v>
      </c>
    </row>
    <row r="36" spans="1:18" outlineLevel="2">
      <c r="A36" s="480"/>
      <c r="B36" s="483" t="s">
        <v>27</v>
      </c>
      <c r="C36" s="502"/>
      <c r="D36" s="483" t="s">
        <v>212</v>
      </c>
      <c r="E36" s="502"/>
      <c r="F36" s="483" t="s">
        <v>212</v>
      </c>
      <c r="G36" s="392"/>
      <c r="H36" s="484">
        <f t="shared" si="2"/>
        <v>36</v>
      </c>
      <c r="I36" s="484">
        <f>SUMIFS('Goals 2026'!M:M,'Goals 2026'!B:B,Smry!D36,'Goals 2026'!C:C,Smry!F36,'Goals 2026'!E:E,Smry!$B$19)</f>
        <v>16</v>
      </c>
      <c r="J36" s="484">
        <f>SUMIFS('Goals 2026'!N:N,'Goals 2026'!B:B,Smry!D36,'Goals 2026'!C:C,Smry!F36,'Goals 2026'!E:E,Smry!$B$19)</f>
        <v>16</v>
      </c>
      <c r="K36" s="484">
        <f>SUMIFS('Goals 2026'!O:O,'Goals 2026'!B:B,Smry!D36,'Goals 2026'!C:C,Smry!F36,'Goals 2026'!E:E,Smry!$B$19)</f>
        <v>4</v>
      </c>
      <c r="L36" s="484">
        <f>SUMIFS('Goals 2026'!P:P,'Goals 2026'!B:B,Smry!D36,'Goals 2026'!C:C,Smry!F36,'Goals 2026'!E:E,Smry!$B$19)</f>
        <v>0</v>
      </c>
      <c r="M36" s="482"/>
      <c r="N36" s="510">
        <f t="shared" si="3"/>
        <v>7.3976800297200018</v>
      </c>
      <c r="O36" s="510">
        <f>SUMIFS('Goals 2026'!H:H,'Goals 2026'!B:B,Smry!D36,'Goals 2026'!C:C,Smry!F36,'Goals 2026'!E:E,Smry!$B$19)</f>
        <v>3.7440925898400006</v>
      </c>
      <c r="P36" s="510">
        <f>SUMIFS('Goals 2026'!I:I,'Goals 2026'!B:B,Smry!D36,'Goals 2026'!C:C,Smry!F36,'Goals 2026'!E:E,Smry!$B$19)</f>
        <v>3.0577211248800005</v>
      </c>
      <c r="Q36" s="511">
        <f>SUMIFS('Goals 2026'!J:J,'Goals 2026'!B:B,Smry!D36,'Goals 2026'!C:C,Smry!F36,'Goals 2026'!E:E,Smry!$B$19)</f>
        <v>0.59586631499999987</v>
      </c>
      <c r="R36" s="510">
        <f>SUMIFS('Goals 2026'!K:K,'Goals 2026'!B:B,Smry!D36,'Goals 2026'!C:C,Smry!F36,'Goals 2026'!E:E,Smry!$B$19)</f>
        <v>0</v>
      </c>
    </row>
    <row r="37" spans="1:18" outlineLevel="2">
      <c r="A37" s="480"/>
      <c r="B37" s="483" t="s">
        <v>27</v>
      </c>
      <c r="C37" s="502"/>
      <c r="D37" s="483" t="s">
        <v>263</v>
      </c>
      <c r="E37" s="502"/>
      <c r="F37" s="483" t="s">
        <v>263</v>
      </c>
      <c r="G37" s="392"/>
      <c r="H37" s="484">
        <f t="shared" si="2"/>
        <v>7</v>
      </c>
      <c r="I37" s="484">
        <f>SUMIFS('Goals 2026'!M:M,'Goals 2026'!B:B,Smry!D37,'Goals 2026'!C:C,Smry!F37,'Goals 2026'!E:E,Smry!$B$19)</f>
        <v>6</v>
      </c>
      <c r="J37" s="484">
        <f>SUMIFS('Goals 2026'!N:N,'Goals 2026'!B:B,Smry!D37,'Goals 2026'!C:C,Smry!F37,'Goals 2026'!E:E,Smry!$B$19)</f>
        <v>1</v>
      </c>
      <c r="K37" s="484">
        <f>SUMIFS('Goals 2026'!O:O,'Goals 2026'!B:B,Smry!D37,'Goals 2026'!C:C,Smry!F37,'Goals 2026'!E:E,Smry!$B$19)</f>
        <v>0</v>
      </c>
      <c r="L37" s="484">
        <f>SUMIFS('Goals 2026'!P:P,'Goals 2026'!B:B,Smry!D37,'Goals 2026'!C:C,Smry!F37,'Goals 2026'!E:E,Smry!$B$19)</f>
        <v>0</v>
      </c>
      <c r="M37" s="482"/>
      <c r="N37" s="510">
        <f t="shared" si="3"/>
        <v>0.34916975508561954</v>
      </c>
      <c r="O37" s="510">
        <f>SUMIFS('Goals 2026'!H:H,'Goals 2026'!B:B,Smry!D37,'Goals 2026'!C:C,Smry!F37,'Goals 2026'!E:E,Smry!$B$19)</f>
        <v>0.34545700083561953</v>
      </c>
      <c r="P37" s="510">
        <f>SUMIFS('Goals 2026'!I:I,'Goals 2026'!B:B,Smry!D37,'Goals 2026'!C:C,Smry!F37,'Goals 2026'!E:E,Smry!$B$19)</f>
        <v>3.7127542500000003E-3</v>
      </c>
      <c r="Q37" s="511">
        <f>SUMIFS('Goals 2026'!J:J,'Goals 2026'!B:B,Smry!D37,'Goals 2026'!C:C,Smry!F37,'Goals 2026'!E:E,Smry!$B$19)</f>
        <v>0</v>
      </c>
      <c r="R37" s="510">
        <f>SUMIFS('Goals 2026'!K:K,'Goals 2026'!B:B,Smry!D37,'Goals 2026'!C:C,Smry!F37,'Goals 2026'!E:E,Smry!$B$19)</f>
        <v>0</v>
      </c>
    </row>
    <row r="38" spans="1:18" outlineLevel="2">
      <c r="A38" s="480"/>
      <c r="B38" s="483" t="s">
        <v>27</v>
      </c>
      <c r="C38" s="502"/>
      <c r="D38" s="483" t="s">
        <v>276</v>
      </c>
      <c r="E38" s="392"/>
      <c r="F38" s="483" t="s">
        <v>276</v>
      </c>
      <c r="G38" s="392"/>
      <c r="H38" s="484">
        <f t="shared" si="2"/>
        <v>5</v>
      </c>
      <c r="I38" s="484">
        <f>SUMIFS('Goals 2026'!M:M,'Goals 2026'!B:B,Smry!D38,'Goals 2026'!C:C,Smry!F38,'Goals 2026'!E:E,Smry!$B$19)</f>
        <v>0</v>
      </c>
      <c r="J38" s="484">
        <f>SUMIFS('Goals 2026'!N:N,'Goals 2026'!B:B,Smry!D38,'Goals 2026'!C:C,Smry!F38,'Goals 2026'!E:E,Smry!$B$19)</f>
        <v>2</v>
      </c>
      <c r="K38" s="484">
        <f>SUMIFS('Goals 2026'!O:O,'Goals 2026'!B:B,Smry!D38,'Goals 2026'!C:C,Smry!F38,'Goals 2026'!E:E,Smry!$B$19)</f>
        <v>3</v>
      </c>
      <c r="L38" s="484">
        <f>SUMIFS('Goals 2026'!P:P,'Goals 2026'!B:B,Smry!D38,'Goals 2026'!C:C,Smry!F38,'Goals 2026'!E:E,Smry!$B$19)</f>
        <v>0</v>
      </c>
      <c r="M38" s="482"/>
      <c r="N38" s="510">
        <f t="shared" si="3"/>
        <v>0.30646457967999996</v>
      </c>
      <c r="O38" s="510">
        <f>SUMIFS('Goals 2026'!H:H,'Goals 2026'!B:B,Smry!D38,'Goals 2026'!C:C,Smry!F38,'Goals 2026'!E:E,Smry!$B$19)</f>
        <v>0</v>
      </c>
      <c r="P38" s="510">
        <f>SUMIFS('Goals 2026'!I:I,'Goals 2026'!B:B,Smry!D38,'Goals 2026'!C:C,Smry!F38,'Goals 2026'!E:E,Smry!$B$19)</f>
        <v>0.12903771776</v>
      </c>
      <c r="Q38" s="511">
        <f>SUMIFS('Goals 2026'!J:J,'Goals 2026'!B:B,Smry!D38,'Goals 2026'!C:C,Smry!F38,'Goals 2026'!E:E,Smry!$B$19)</f>
        <v>0.17742686191999998</v>
      </c>
      <c r="R38" s="510">
        <f>SUMIFS('Goals 2026'!K:K,'Goals 2026'!B:B,Smry!D38,'Goals 2026'!C:C,Smry!F38,'Goals 2026'!E:E,Smry!$B$19)</f>
        <v>0</v>
      </c>
    </row>
    <row r="39" spans="1:18" outlineLevel="2">
      <c r="A39" s="480"/>
      <c r="B39" s="483" t="s">
        <v>27</v>
      </c>
      <c r="C39" s="502"/>
      <c r="D39" s="483" t="s">
        <v>285</v>
      </c>
      <c r="E39" s="502"/>
      <c r="F39" s="483" t="s">
        <v>285</v>
      </c>
      <c r="G39" s="392"/>
      <c r="H39" s="484">
        <f t="shared" si="2"/>
        <v>0</v>
      </c>
      <c r="I39" s="484">
        <f>SUMIFS('Goals 2026'!M:M,'Goals 2026'!B:B,Smry!D39,'Goals 2026'!C:C,Smry!F39,'Goals 2026'!E:E,Smry!$B$19)</f>
        <v>0</v>
      </c>
      <c r="J39" s="484">
        <f>SUMIFS('Goals 2026'!N:N,'Goals 2026'!B:B,Smry!D39,'Goals 2026'!C:C,Smry!F39,'Goals 2026'!E:E,Smry!$B$19)</f>
        <v>0</v>
      </c>
      <c r="K39" s="484">
        <f>SUMIFS('Goals 2026'!O:O,'Goals 2026'!B:B,Smry!D39,'Goals 2026'!C:C,Smry!F39,'Goals 2026'!E:E,Smry!$B$19)</f>
        <v>0</v>
      </c>
      <c r="L39" s="484">
        <f>SUMIFS('Goals 2026'!P:P,'Goals 2026'!B:B,Smry!D39,'Goals 2026'!C:C,Smry!F39,'Goals 2026'!E:E,Smry!$B$19)</f>
        <v>0</v>
      </c>
      <c r="M39" s="482"/>
      <c r="N39" s="510">
        <f t="shared" si="3"/>
        <v>0</v>
      </c>
      <c r="O39" s="510">
        <f>SUMIFS('Goals 2026'!H:H,'Goals 2026'!B:B,Smry!D39,'Goals 2026'!C:C,Smry!F39,'Goals 2026'!E:E,Smry!$B$19)</f>
        <v>0</v>
      </c>
      <c r="P39" s="510">
        <f>SUMIFS('Goals 2026'!I:I,'Goals 2026'!B:B,Smry!D39,'Goals 2026'!C:C,Smry!F39,'Goals 2026'!E:E,Smry!$B$19)</f>
        <v>0</v>
      </c>
      <c r="Q39" s="511">
        <f>SUMIFS('Goals 2026'!J:J,'Goals 2026'!B:B,Smry!D39,'Goals 2026'!C:C,Smry!F39,'Goals 2026'!E:E,Smry!$B$19)</f>
        <v>0</v>
      </c>
      <c r="R39" s="510">
        <f>SUMIFS('Goals 2026'!K:K,'Goals 2026'!B:B,Smry!D39,'Goals 2026'!C:C,Smry!F39,'Goals 2026'!E:E,Smry!$B$19)</f>
        <v>0</v>
      </c>
    </row>
    <row r="40" spans="1:18" outlineLevel="2">
      <c r="A40" s="480"/>
      <c r="B40" s="483" t="s">
        <v>27</v>
      </c>
      <c r="C40" s="502"/>
      <c r="D40" s="483" t="s">
        <v>288</v>
      </c>
      <c r="E40" s="502"/>
      <c r="F40" s="483" t="s">
        <v>288</v>
      </c>
      <c r="G40" s="392"/>
      <c r="H40" s="484">
        <f t="shared" si="2"/>
        <v>0</v>
      </c>
      <c r="I40" s="484">
        <f>SUMIFS('Goals 2026'!M:M,'Goals 2026'!B:B,Smry!D40,'Goals 2026'!C:C,Smry!F40,'Goals 2026'!E:E,Smry!$B$19)</f>
        <v>0</v>
      </c>
      <c r="J40" s="484">
        <f>SUMIFS('Goals 2026'!N:N,'Goals 2026'!B:B,Smry!D40,'Goals 2026'!C:C,Smry!F40,'Goals 2026'!E:E,Smry!$B$19)</f>
        <v>0</v>
      </c>
      <c r="K40" s="484">
        <f>SUMIFS('Goals 2026'!O:O,'Goals 2026'!B:B,Smry!D40,'Goals 2026'!C:C,Smry!F40,'Goals 2026'!E:E,Smry!$B$19)</f>
        <v>0</v>
      </c>
      <c r="L40" s="484">
        <f>SUMIFS('Goals 2026'!P:P,'Goals 2026'!B:B,Smry!D40,'Goals 2026'!C:C,Smry!F40,'Goals 2026'!E:E,Smry!$B$19)</f>
        <v>0</v>
      </c>
      <c r="M40" s="482"/>
      <c r="N40" s="510">
        <f t="shared" si="3"/>
        <v>0</v>
      </c>
      <c r="O40" s="510">
        <f>SUMIFS('Goals 2026'!H:H,'Goals 2026'!B:B,Smry!D40,'Goals 2026'!C:C,Smry!F40,'Goals 2026'!E:E,Smry!$B$19)</f>
        <v>0</v>
      </c>
      <c r="P40" s="510">
        <f>SUMIFS('Goals 2026'!I:I,'Goals 2026'!B:B,Smry!D40,'Goals 2026'!C:C,Smry!F40,'Goals 2026'!E:E,Smry!$B$19)</f>
        <v>0</v>
      </c>
      <c r="Q40" s="511">
        <f>SUMIFS('Goals 2026'!J:J,'Goals 2026'!B:B,Smry!D40,'Goals 2026'!C:C,Smry!F40,'Goals 2026'!E:E,Smry!$B$19)</f>
        <v>0</v>
      </c>
      <c r="R40" s="510">
        <f>SUMIFS('Goals 2026'!K:K,'Goals 2026'!B:B,Smry!D40,'Goals 2026'!C:C,Smry!F40,'Goals 2026'!E:E,Smry!$B$19)</f>
        <v>0</v>
      </c>
    </row>
    <row r="41" spans="1:18" outlineLevel="2">
      <c r="A41" s="480"/>
      <c r="B41" s="483" t="s">
        <v>27</v>
      </c>
      <c r="C41" s="502"/>
      <c r="D41" s="483" t="s">
        <v>290</v>
      </c>
      <c r="E41" s="502"/>
      <c r="F41" s="483" t="s">
        <v>291</v>
      </c>
      <c r="G41" s="392"/>
      <c r="H41" s="484">
        <f t="shared" si="2"/>
        <v>4</v>
      </c>
      <c r="I41" s="484">
        <f>SUMIFS('Goals 2026'!M:M,'Goals 2026'!B:B,Smry!D41,'Goals 2026'!C:C,Smry!F41,'Goals 2026'!E:E,Smry!$B$19)</f>
        <v>1</v>
      </c>
      <c r="J41" s="484">
        <f>SUMIFS('Goals 2026'!N:N,'Goals 2026'!B:B,Smry!D41,'Goals 2026'!C:C,Smry!F41,'Goals 2026'!E:E,Smry!$B$19)</f>
        <v>3</v>
      </c>
      <c r="K41" s="484">
        <f>SUMIFS('Goals 2026'!O:O,'Goals 2026'!B:B,Smry!D41,'Goals 2026'!C:C,Smry!F41,'Goals 2026'!E:E,Smry!$B$19)</f>
        <v>0</v>
      </c>
      <c r="L41" s="484">
        <f>SUMIFS('Goals 2026'!P:P,'Goals 2026'!B:B,Smry!D41,'Goals 2026'!C:C,Smry!F41,'Goals 2026'!E:E,Smry!$B$19)</f>
        <v>0</v>
      </c>
      <c r="M41" s="482"/>
      <c r="N41" s="510">
        <f t="shared" si="3"/>
        <v>9.1200000000000003E-2</v>
      </c>
      <c r="O41" s="510">
        <f>SUMIFS('Goals 2026'!H:H,'Goals 2026'!B:B,Smry!D41,'Goals 2026'!C:C,Smry!F41,'Goals 2026'!E:E,Smry!$B$19)</f>
        <v>1.9200000000000002E-2</v>
      </c>
      <c r="P41" s="510">
        <f>SUMIFS('Goals 2026'!I:I,'Goals 2026'!B:B,Smry!D41,'Goals 2026'!C:C,Smry!F41,'Goals 2026'!E:E,Smry!$B$19)</f>
        <v>7.2000000000000008E-2</v>
      </c>
      <c r="Q41" s="511">
        <f>SUMIFS('Goals 2026'!J:J,'Goals 2026'!B:B,Smry!D41,'Goals 2026'!C:C,Smry!F41,'Goals 2026'!E:E,Smry!$B$19)</f>
        <v>0</v>
      </c>
      <c r="R41" s="510">
        <f>SUMIFS('Goals 2026'!K:K,'Goals 2026'!B:B,Smry!D41,'Goals 2026'!C:C,Smry!F41,'Goals 2026'!E:E,Smry!$B$19)</f>
        <v>0</v>
      </c>
    </row>
    <row r="42" spans="1:18" outlineLevel="2">
      <c r="A42" s="480"/>
      <c r="B42" s="483" t="s">
        <v>27</v>
      </c>
      <c r="C42" s="502"/>
      <c r="D42" s="483" t="s">
        <v>293</v>
      </c>
      <c r="E42" s="392"/>
      <c r="F42" s="483" t="s">
        <v>294</v>
      </c>
      <c r="G42" s="392"/>
      <c r="H42" s="484">
        <f t="shared" si="2"/>
        <v>3</v>
      </c>
      <c r="I42" s="484">
        <f>SUMIFS('Goals 2026'!M:M,'Goals 2026'!B:B,Smry!D42,'Goals 2026'!C:C,Smry!F42,'Goals 2026'!E:E,Smry!$B$19)</f>
        <v>3</v>
      </c>
      <c r="J42" s="484">
        <f>SUMIFS('Goals 2026'!N:N,'Goals 2026'!B:B,Smry!D42,'Goals 2026'!C:C,Smry!F42,'Goals 2026'!E:E,Smry!$B$19)</f>
        <v>0</v>
      </c>
      <c r="K42" s="484">
        <f>SUMIFS('Goals 2026'!O:O,'Goals 2026'!B:B,Smry!D42,'Goals 2026'!C:C,Smry!F42,'Goals 2026'!E:E,Smry!$B$19)</f>
        <v>0</v>
      </c>
      <c r="L42" s="484">
        <f>SUMIFS('Goals 2026'!P:P,'Goals 2026'!B:B,Smry!D42,'Goals 2026'!C:C,Smry!F42,'Goals 2026'!E:E,Smry!$B$19)</f>
        <v>0</v>
      </c>
      <c r="M42" s="482"/>
      <c r="N42" s="510">
        <f t="shared" si="3"/>
        <v>0.22284000000000001</v>
      </c>
      <c r="O42" s="510">
        <f>SUMIFS('Goals 2026'!H:H,'Goals 2026'!B:B,Smry!D42,'Goals 2026'!C:C,Smry!F42,'Goals 2026'!E:E,Smry!$B$19)</f>
        <v>0.22284000000000001</v>
      </c>
      <c r="P42" s="510">
        <f>SUMIFS('Goals 2026'!I:I,'Goals 2026'!B:B,Smry!D42,'Goals 2026'!C:C,Smry!F42,'Goals 2026'!E:E,Smry!$B$19)</f>
        <v>0</v>
      </c>
      <c r="Q42" s="511">
        <f>SUMIFS('Goals 2026'!J:J,'Goals 2026'!B:B,Smry!D42,'Goals 2026'!C:C,Smry!F42,'Goals 2026'!E:E,Smry!$B$19)</f>
        <v>0</v>
      </c>
      <c r="R42" s="510">
        <f>SUMIFS('Goals 2026'!K:K,'Goals 2026'!B:B,Smry!D42,'Goals 2026'!C:C,Smry!F42,'Goals 2026'!E:E,Smry!$B$19)</f>
        <v>0</v>
      </c>
    </row>
    <row r="43" spans="1:18" outlineLevel="2">
      <c r="A43" s="480"/>
      <c r="B43" s="483" t="s">
        <v>27</v>
      </c>
      <c r="C43" s="502"/>
      <c r="D43" s="483" t="s">
        <v>305</v>
      </c>
      <c r="E43" s="502"/>
      <c r="F43" s="483" t="s">
        <v>306</v>
      </c>
      <c r="G43" s="392"/>
      <c r="H43" s="484">
        <f t="shared" si="2"/>
        <v>5</v>
      </c>
      <c r="I43" s="484">
        <f>SUMIFS('Goals 2026'!M:M,'Goals 2026'!B:B,Smry!D43,'Goals 2026'!C:C,Smry!F43,'Goals 2026'!E:E,Smry!$B$19)</f>
        <v>0</v>
      </c>
      <c r="J43" s="484">
        <f>SUMIFS('Goals 2026'!N:N,'Goals 2026'!B:B,Smry!D43,'Goals 2026'!C:C,Smry!F43,'Goals 2026'!E:E,Smry!$B$19)</f>
        <v>3</v>
      </c>
      <c r="K43" s="484">
        <f>SUMIFS('Goals 2026'!O:O,'Goals 2026'!B:B,Smry!D43,'Goals 2026'!C:C,Smry!F43,'Goals 2026'!E:E,Smry!$B$19)</f>
        <v>2</v>
      </c>
      <c r="L43" s="484">
        <f>SUMIFS('Goals 2026'!P:P,'Goals 2026'!B:B,Smry!D43,'Goals 2026'!C:C,Smry!F43,'Goals 2026'!E:E,Smry!$B$19)</f>
        <v>0</v>
      </c>
      <c r="M43" s="482"/>
      <c r="N43" s="510">
        <f t="shared" si="3"/>
        <v>0.38213670655999998</v>
      </c>
      <c r="O43" s="510">
        <f>SUMIFS('Goals 2026'!H:H,'Goals 2026'!B:B,Smry!D43,'Goals 2026'!C:C,Smry!F43,'Goals 2026'!E:E,Smry!$B$19)</f>
        <v>0</v>
      </c>
      <c r="P43" s="510">
        <f>SUMIFS('Goals 2026'!I:I,'Goals 2026'!B:B,Smry!D43,'Goals 2026'!C:C,Smry!F43,'Goals 2026'!E:E,Smry!$B$19)</f>
        <v>0.34289966591999999</v>
      </c>
      <c r="Q43" s="511">
        <f>SUMIFS('Goals 2026'!J:J,'Goals 2026'!B:B,Smry!D43,'Goals 2026'!C:C,Smry!F43,'Goals 2026'!E:E,Smry!$B$19)</f>
        <v>3.9237040639999998E-2</v>
      </c>
      <c r="R43" s="510">
        <f>SUMIFS('Goals 2026'!K:K,'Goals 2026'!B:B,Smry!D43,'Goals 2026'!C:C,Smry!F43,'Goals 2026'!E:E,Smry!$B$19)</f>
        <v>0</v>
      </c>
    </row>
    <row r="44" spans="1:18" outlineLevel="2">
      <c r="A44" s="480"/>
      <c r="B44" s="483" t="s">
        <v>27</v>
      </c>
      <c r="C44" s="502"/>
      <c r="D44" s="386" t="s">
        <v>512</v>
      </c>
      <c r="E44" s="502"/>
      <c r="F44" s="386" t="s">
        <v>512</v>
      </c>
      <c r="G44" s="392"/>
      <c r="H44" s="484">
        <f t="shared" si="2"/>
        <v>5</v>
      </c>
      <c r="I44" s="484">
        <f>SUMIFS('Goals 2026'!M:M,'Goals 2026'!B:B,Smry!D44,'Goals 2026'!C:C,Smry!F44,'Goals 2026'!E:E,Smry!$B$19)</f>
        <v>1</v>
      </c>
      <c r="J44" s="484">
        <f>SUMIFS('Goals 2026'!N:N,'Goals 2026'!B:B,Smry!D44,'Goals 2026'!C:C,Smry!F44,'Goals 2026'!E:E,Smry!$B$19)</f>
        <v>0</v>
      </c>
      <c r="K44" s="484">
        <f>SUMIFS('Goals 2026'!O:O,'Goals 2026'!B:B,Smry!D44,'Goals 2026'!C:C,Smry!F44,'Goals 2026'!E:E,Smry!$B$19)</f>
        <v>3</v>
      </c>
      <c r="L44" s="484">
        <f>SUMIFS('Goals 2026'!P:P,'Goals 2026'!B:B,Smry!D44,'Goals 2026'!C:C,Smry!F44,'Goals 2026'!E:E,Smry!$B$19)</f>
        <v>1</v>
      </c>
      <c r="M44" s="482"/>
      <c r="N44" s="510">
        <f t="shared" si="3"/>
        <v>0</v>
      </c>
      <c r="O44" s="510">
        <f>SUMIFS('Goals 2026'!H:H,'Goals 2026'!B:B,Smry!D44,'Goals 2026'!C:C,Smry!F44,'Goals 2026'!E:E,Smry!$B$19)</f>
        <v>0</v>
      </c>
      <c r="P44" s="510">
        <f>SUMIFS('Goals 2026'!I:I,'Goals 2026'!B:B,Smry!D44,'Goals 2026'!C:C,Smry!F44,'Goals 2026'!E:E,Smry!$B$19)</f>
        <v>0</v>
      </c>
      <c r="Q44" s="511">
        <f>SUMIFS('Goals 2026'!J:J,'Goals 2026'!B:B,Smry!D44,'Goals 2026'!C:C,Smry!F44,'Goals 2026'!E:E,Smry!$B$19)</f>
        <v>0</v>
      </c>
      <c r="R44" s="510">
        <f>SUMIFS('Goals 2026'!K:K,'Goals 2026'!B:B,Smry!D44,'Goals 2026'!C:C,Smry!F44,'Goals 2026'!E:E,Smry!$B$19)</f>
        <v>0</v>
      </c>
    </row>
    <row r="45" spans="1:18" outlineLevel="2">
      <c r="A45" s="480"/>
      <c r="B45" s="483" t="s">
        <v>27</v>
      </c>
      <c r="C45" s="502"/>
      <c r="D45" s="483" t="s">
        <v>516</v>
      </c>
      <c r="E45" s="392"/>
      <c r="F45" s="483" t="s">
        <v>517</v>
      </c>
      <c r="G45" s="392"/>
      <c r="H45" s="484">
        <f t="shared" si="2"/>
        <v>4</v>
      </c>
      <c r="I45" s="484">
        <f>SUMIFS('Goals 2026'!M:M,'Goals 2026'!B:B,Smry!D45,'Goals 2026'!C:C,Smry!F45,'Goals 2026'!E:E,Smry!$B$19)</f>
        <v>1</v>
      </c>
      <c r="J45" s="484">
        <f>SUMIFS('Goals 2026'!N:N,'Goals 2026'!B:B,Smry!D45,'Goals 2026'!C:C,Smry!F45,'Goals 2026'!E:E,Smry!$B$19)</f>
        <v>1</v>
      </c>
      <c r="K45" s="484">
        <f>SUMIFS('Goals 2026'!O:O,'Goals 2026'!B:B,Smry!D45,'Goals 2026'!C:C,Smry!F45,'Goals 2026'!E:E,Smry!$B$19)</f>
        <v>1</v>
      </c>
      <c r="L45" s="484">
        <f>SUMIFS('Goals 2026'!P:P,'Goals 2026'!B:B,Smry!D45,'Goals 2026'!C:C,Smry!F45,'Goals 2026'!E:E,Smry!$B$19)</f>
        <v>1</v>
      </c>
      <c r="M45" s="482"/>
      <c r="N45" s="510">
        <f t="shared" si="3"/>
        <v>0.68</v>
      </c>
      <c r="O45" s="510">
        <f>SUMIFS('Goals 2026'!H:H,'Goals 2026'!B:B,Smry!D45,'Goals 2026'!C:C,Smry!F45,'Goals 2026'!E:E,Smry!$B$19)</f>
        <v>0.19</v>
      </c>
      <c r="P45" s="510">
        <f>SUMIFS('Goals 2026'!I:I,'Goals 2026'!B:B,Smry!D45,'Goals 2026'!C:C,Smry!F45,'Goals 2026'!E:E,Smry!$B$19)</f>
        <v>0.19</v>
      </c>
      <c r="Q45" s="511">
        <f>SUMIFS('Goals 2026'!J:J,'Goals 2026'!B:B,Smry!D45,'Goals 2026'!C:C,Smry!F45,'Goals 2026'!E:E,Smry!$B$19)</f>
        <v>0.17</v>
      </c>
      <c r="R45" s="510">
        <f>SUMIFS('Goals 2026'!K:K,'Goals 2026'!B:B,Smry!D45,'Goals 2026'!C:C,Smry!F45,'Goals 2026'!E:E,Smry!$B$19)</f>
        <v>0.13</v>
      </c>
    </row>
    <row r="46" spans="1:18" outlineLevel="2">
      <c r="A46" s="480"/>
      <c r="B46" s="483" t="s">
        <v>27</v>
      </c>
      <c r="C46" s="502"/>
      <c r="D46" s="483" t="s">
        <v>330</v>
      </c>
      <c r="E46" s="502"/>
      <c r="F46" s="483" t="s">
        <v>80</v>
      </c>
      <c r="G46" s="392"/>
      <c r="H46" s="484">
        <f t="shared" si="2"/>
        <v>12</v>
      </c>
      <c r="I46" s="484">
        <f>SUMIFS('Goals 2026'!M:M,'Goals 2026'!B:B,Smry!D46,'Goals 2026'!C:C,Smry!F46,'Goals 2026'!E:E,Smry!$B$19)</f>
        <v>1</v>
      </c>
      <c r="J46" s="484">
        <f>SUMIFS('Goals 2026'!N:N,'Goals 2026'!B:B,Smry!D46,'Goals 2026'!C:C,Smry!F46,'Goals 2026'!E:E,Smry!$B$19)</f>
        <v>1</v>
      </c>
      <c r="K46" s="484">
        <f>SUMIFS('Goals 2026'!O:O,'Goals 2026'!B:B,Smry!D46,'Goals 2026'!C:C,Smry!F46,'Goals 2026'!E:E,Smry!$B$19)</f>
        <v>3</v>
      </c>
      <c r="L46" s="484">
        <f>SUMIFS('Goals 2026'!P:P,'Goals 2026'!B:B,Smry!D46,'Goals 2026'!C:C,Smry!F46,'Goals 2026'!E:E,Smry!$B$19)</f>
        <v>7</v>
      </c>
      <c r="M46" s="482"/>
      <c r="N46" s="510">
        <f t="shared" si="3"/>
        <v>2.1118844074999998</v>
      </c>
      <c r="O46" s="510">
        <f>SUMIFS('Goals 2026'!H:H,'Goals 2026'!B:B,Smry!D46,'Goals 2026'!C:C,Smry!F46,'Goals 2026'!E:E,Smry!$B$19)</f>
        <v>0.17172000000000001</v>
      </c>
      <c r="P46" s="510">
        <f>SUMIFS('Goals 2026'!I:I,'Goals 2026'!B:B,Smry!D46,'Goals 2026'!C:C,Smry!F46,'Goals 2026'!E:E,Smry!$B$19)</f>
        <v>0.28999999999999998</v>
      </c>
      <c r="Q46" s="511">
        <f>SUMIFS('Goals 2026'!J:J,'Goals 2026'!B:B,Smry!D46,'Goals 2026'!C:C,Smry!F46,'Goals 2026'!E:E,Smry!$B$19)</f>
        <v>0.79259433000000001</v>
      </c>
      <c r="R46" s="510">
        <f>SUMIFS('Goals 2026'!K:K,'Goals 2026'!B:B,Smry!D46,'Goals 2026'!C:C,Smry!F46,'Goals 2026'!E:E,Smry!$B$19)</f>
        <v>0.85757007749999992</v>
      </c>
    </row>
    <row r="47" spans="1:18" outlineLevel="2">
      <c r="A47" s="480"/>
      <c r="B47" s="483" t="s">
        <v>27</v>
      </c>
      <c r="C47" s="502"/>
      <c r="D47" s="483" t="s">
        <v>349</v>
      </c>
      <c r="E47" s="392"/>
      <c r="F47" s="483" t="s">
        <v>30</v>
      </c>
      <c r="G47" s="392"/>
      <c r="H47" s="484">
        <f t="shared" si="2"/>
        <v>7</v>
      </c>
      <c r="I47" s="484">
        <f>SUMIFS('Goals 2026'!M:M,'Goals 2026'!B:B,Smry!D47,'Goals 2026'!C:C,Smry!F47,'Goals 2026'!E:E,Smry!$B$19)</f>
        <v>1</v>
      </c>
      <c r="J47" s="484">
        <f>SUMIFS('Goals 2026'!N:N,'Goals 2026'!B:B,Smry!D47,'Goals 2026'!C:C,Smry!F47,'Goals 2026'!E:E,Smry!$B$19)</f>
        <v>2</v>
      </c>
      <c r="K47" s="484">
        <f>SUMIFS('Goals 2026'!O:O,'Goals 2026'!B:B,Smry!D47,'Goals 2026'!C:C,Smry!F47,'Goals 2026'!E:E,Smry!$B$19)</f>
        <v>2</v>
      </c>
      <c r="L47" s="484">
        <f>SUMIFS('Goals 2026'!P:P,'Goals 2026'!B:B,Smry!D47,'Goals 2026'!C:C,Smry!F47,'Goals 2026'!E:E,Smry!$B$19)</f>
        <v>2</v>
      </c>
      <c r="M47" s="482"/>
      <c r="N47" s="510">
        <f t="shared" si="3"/>
        <v>0.48445900800000008</v>
      </c>
      <c r="O47" s="510">
        <f>SUMIFS('Goals 2026'!H:H,'Goals 2026'!B:B,Smry!D47,'Goals 2026'!C:C,Smry!F47,'Goals 2026'!E:E,Smry!$B$19)</f>
        <v>7.8635040000000003E-2</v>
      </c>
      <c r="P47" s="510">
        <f>SUMIFS('Goals 2026'!I:I,'Goals 2026'!B:B,Smry!D47,'Goals 2026'!C:C,Smry!F47,'Goals 2026'!E:E,Smry!$B$19)</f>
        <v>0.13105840000000002</v>
      </c>
      <c r="Q47" s="511">
        <f>SUMIFS('Goals 2026'!J:J,'Goals 2026'!B:B,Smry!D47,'Goals 2026'!C:C,Smry!F47,'Goals 2026'!E:E,Smry!$B$19)</f>
        <v>7.5519488000000023E-2</v>
      </c>
      <c r="R47" s="510">
        <f>SUMIFS('Goals 2026'!K:K,'Goals 2026'!B:B,Smry!D47,'Goals 2026'!C:C,Smry!F47,'Goals 2026'!E:E,Smry!$B$19)</f>
        <v>0.19924608000000005</v>
      </c>
    </row>
    <row r="48" spans="1:18" outlineLevel="2">
      <c r="A48" s="480"/>
      <c r="B48" s="483" t="s">
        <v>27</v>
      </c>
      <c r="C48" s="502"/>
      <c r="D48" s="503" t="s">
        <v>398</v>
      </c>
      <c r="E48" s="504"/>
      <c r="F48" s="483" t="s">
        <v>398</v>
      </c>
      <c r="G48" s="392"/>
      <c r="H48" s="484">
        <f t="shared" si="2"/>
        <v>16</v>
      </c>
      <c r="I48" s="484">
        <f>SUMIFS('Goals 2026'!M:M,'Goals 2026'!B:B,Smry!D48,'Goals 2026'!C:C,Smry!F48,'Goals 2026'!E:E,Smry!$B$19)</f>
        <v>2</v>
      </c>
      <c r="J48" s="484">
        <f>SUMIFS('Goals 2026'!N:N,'Goals 2026'!B:B,Smry!D48,'Goals 2026'!C:C,Smry!F48,'Goals 2026'!E:E,Smry!$B$19)</f>
        <v>3</v>
      </c>
      <c r="K48" s="484">
        <f>SUMIFS('Goals 2026'!O:O,'Goals 2026'!B:B,Smry!D48,'Goals 2026'!C:C,Smry!F48,'Goals 2026'!E:E,Smry!$B$19)</f>
        <v>7</v>
      </c>
      <c r="L48" s="484">
        <f>SUMIFS('Goals 2026'!P:P,'Goals 2026'!B:B,Smry!D48,'Goals 2026'!C:C,Smry!F48,'Goals 2026'!E:E,Smry!$B$19)</f>
        <v>4</v>
      </c>
      <c r="M48" s="482"/>
      <c r="N48" s="510">
        <f t="shared" si="3"/>
        <v>5.6325130629160798</v>
      </c>
      <c r="O48" s="510">
        <f>SUMIFS('Goals 2026'!H:H,'Goals 2026'!B:B,Smry!D48,'Goals 2026'!C:C,Smry!F48,'Goals 2026'!E:E,Smry!$B$19)</f>
        <v>2.0244304000000004</v>
      </c>
      <c r="P48" s="510">
        <f>SUMIFS('Goals 2026'!I:I,'Goals 2026'!B:B,Smry!D48,'Goals 2026'!C:C,Smry!F48,'Goals 2026'!E:E,Smry!$B$19)</f>
        <v>2.336672909362147</v>
      </c>
      <c r="Q48" s="511">
        <f>SUMIFS('Goals 2026'!J:J,'Goals 2026'!B:B,Smry!D48,'Goals 2026'!C:C,Smry!F48,'Goals 2026'!E:E,Smry!$B$19)</f>
        <v>0.87918252787463969</v>
      </c>
      <c r="R48" s="510">
        <f>SUMIFS('Goals 2026'!K:K,'Goals 2026'!B:B,Smry!D48,'Goals 2026'!C:C,Smry!F48,'Goals 2026'!E:E,Smry!$B$19)</f>
        <v>0.3922272256792928</v>
      </c>
    </row>
    <row r="49" spans="1:18" outlineLevel="2">
      <c r="A49" s="480"/>
      <c r="B49" s="483" t="s">
        <v>27</v>
      </c>
      <c r="C49" s="502"/>
      <c r="D49" s="503" t="s">
        <v>440</v>
      </c>
      <c r="E49" s="504"/>
      <c r="F49" s="483" t="s">
        <v>440</v>
      </c>
      <c r="G49" s="392"/>
      <c r="H49" s="484">
        <f t="shared" si="2"/>
        <v>5</v>
      </c>
      <c r="I49" s="484">
        <f>SUMIFS('Goals 2026'!M:M,'Goals 2026'!B:B,Smry!D49,'Goals 2026'!C:C,Smry!F49,'Goals 2026'!E:E,Smry!$B$19)</f>
        <v>1</v>
      </c>
      <c r="J49" s="484">
        <f>SUMIFS('Goals 2026'!N:N,'Goals 2026'!B:B,Smry!D49,'Goals 2026'!C:C,Smry!F49,'Goals 2026'!E:E,Smry!$B$19)</f>
        <v>1</v>
      </c>
      <c r="K49" s="484">
        <f>SUMIFS('Goals 2026'!O:O,'Goals 2026'!B:B,Smry!D49,'Goals 2026'!C:C,Smry!F49,'Goals 2026'!E:E,Smry!$B$19)</f>
        <v>2</v>
      </c>
      <c r="L49" s="484">
        <f>SUMIFS('Goals 2026'!P:P,'Goals 2026'!B:B,Smry!D49,'Goals 2026'!C:C,Smry!F49,'Goals 2026'!E:E,Smry!$B$19)</f>
        <v>1</v>
      </c>
      <c r="M49" s="482"/>
      <c r="N49" s="510">
        <f t="shared" si="3"/>
        <v>4.8072072720000003</v>
      </c>
      <c r="O49" s="510">
        <f>SUMIFS('Goals 2026'!H:H,'Goals 2026'!B:B,Smry!D49,'Goals 2026'!C:C,Smry!F49,'Goals 2026'!E:E,Smry!$B$19)</f>
        <v>1.5621756360000001</v>
      </c>
      <c r="P49" s="510">
        <f>SUMIFS('Goals 2026'!I:I,'Goals 2026'!B:B,Smry!D49,'Goals 2026'!C:C,Smry!F49,'Goals 2026'!E:E,Smry!$B$19)</f>
        <v>1.5621756360000001</v>
      </c>
      <c r="Q49" s="511">
        <f>SUMIFS('Goals 2026'!J:J,'Goals 2026'!B:B,Smry!D49,'Goals 2026'!C:C,Smry!F49,'Goals 2026'!E:E,Smry!$B$19)</f>
        <v>1.121904</v>
      </c>
      <c r="R49" s="510">
        <f>SUMIFS('Goals 2026'!K:K,'Goals 2026'!B:B,Smry!D49,'Goals 2026'!C:C,Smry!F49,'Goals 2026'!E:E,Smry!$B$19)</f>
        <v>0.56095200000000001</v>
      </c>
    </row>
    <row r="50" spans="1:18" outlineLevel="2">
      <c r="A50" s="480"/>
      <c r="B50" s="483" t="s">
        <v>27</v>
      </c>
      <c r="C50" s="502"/>
      <c r="D50" s="503" t="s">
        <v>447</v>
      </c>
      <c r="E50" s="504"/>
      <c r="F50" s="483" t="s">
        <v>447</v>
      </c>
      <c r="G50" s="392"/>
      <c r="H50" s="484">
        <f t="shared" si="2"/>
        <v>5</v>
      </c>
      <c r="I50" s="484">
        <f>SUMIFS('Goals 2026'!M:M,'Goals 2026'!B:B,Smry!D50,'Goals 2026'!C:C,Smry!F50,'Goals 2026'!E:E,Smry!$B$19)</f>
        <v>1</v>
      </c>
      <c r="J50" s="484">
        <f>SUMIFS('Goals 2026'!N:N,'Goals 2026'!B:B,Smry!D50,'Goals 2026'!C:C,Smry!F50,'Goals 2026'!E:E,Smry!$B$19)</f>
        <v>1</v>
      </c>
      <c r="K50" s="484">
        <f>SUMIFS('Goals 2026'!O:O,'Goals 2026'!B:B,Smry!D50,'Goals 2026'!C:C,Smry!F50,'Goals 2026'!E:E,Smry!$B$19)</f>
        <v>2</v>
      </c>
      <c r="L50" s="484">
        <f>SUMIFS('Goals 2026'!P:P,'Goals 2026'!B:B,Smry!D50,'Goals 2026'!C:C,Smry!F50,'Goals 2026'!E:E,Smry!$B$19)</f>
        <v>1</v>
      </c>
      <c r="M50" s="482"/>
      <c r="N50" s="510">
        <f t="shared" si="3"/>
        <v>1.6024024240000001</v>
      </c>
      <c r="O50" s="510">
        <f>SUMIFS('Goals 2026'!H:H,'Goals 2026'!B:B,Smry!D50,'Goals 2026'!C:C,Smry!F50,'Goals 2026'!E:E,Smry!$B$19)</f>
        <v>0.52072521199999999</v>
      </c>
      <c r="P50" s="510">
        <f>SUMIFS('Goals 2026'!I:I,'Goals 2026'!B:B,Smry!D50,'Goals 2026'!C:C,Smry!F50,'Goals 2026'!E:E,Smry!$B$19)</f>
        <v>0.52072521199999999</v>
      </c>
      <c r="Q50" s="511">
        <f>SUMIFS('Goals 2026'!J:J,'Goals 2026'!B:B,Smry!D50,'Goals 2026'!C:C,Smry!F50,'Goals 2026'!E:E,Smry!$B$19)</f>
        <v>0.37396800000000002</v>
      </c>
      <c r="R50" s="510">
        <f>SUMIFS('Goals 2026'!K:K,'Goals 2026'!B:B,Smry!D50,'Goals 2026'!C:C,Smry!F50,'Goals 2026'!E:E,Smry!$B$19)</f>
        <v>0.18698400000000001</v>
      </c>
    </row>
    <row r="51" spans="1:18" outlineLevel="2">
      <c r="A51" s="480"/>
      <c r="B51" s="483" t="s">
        <v>27</v>
      </c>
      <c r="C51" s="502"/>
      <c r="D51" s="483" t="s">
        <v>319</v>
      </c>
      <c r="E51" s="392"/>
      <c r="F51" s="483" t="s">
        <v>319</v>
      </c>
      <c r="G51" s="392"/>
      <c r="H51" s="484">
        <f t="shared" si="2"/>
        <v>14</v>
      </c>
      <c r="I51" s="484">
        <f>SUMIFS('Goals 2026'!M:M,'Goals 2026'!B:B,Smry!D51,'Goals 2026'!C:C,Smry!F51,'Goals 2026'!E:E,Smry!$B$19)</f>
        <v>3</v>
      </c>
      <c r="J51" s="484">
        <f>SUMIFS('Goals 2026'!N:N,'Goals 2026'!B:B,Smry!D51,'Goals 2026'!C:C,Smry!F51,'Goals 2026'!E:E,Smry!$B$19)</f>
        <v>2</v>
      </c>
      <c r="K51" s="484">
        <f>SUMIFS('Goals 2026'!O:O,'Goals 2026'!B:B,Smry!D51,'Goals 2026'!C:C,Smry!F51,'Goals 2026'!E:E,Smry!$B$19)</f>
        <v>6</v>
      </c>
      <c r="L51" s="484">
        <f>SUMIFS('Goals 2026'!P:P,'Goals 2026'!B:B,Smry!D51,'Goals 2026'!C:C,Smry!F51,'Goals 2026'!E:E,Smry!$B$19)</f>
        <v>3</v>
      </c>
      <c r="M51" s="482"/>
      <c r="N51" s="510">
        <f t="shared" si="3"/>
        <v>1.31917</v>
      </c>
      <c r="O51" s="510">
        <f>SUMIFS('Goals 2026'!H:H,'Goals 2026'!B:B,Smry!D51,'Goals 2026'!C:C,Smry!F51,'Goals 2026'!E:E,Smry!$B$19)</f>
        <v>0.57240000000000002</v>
      </c>
      <c r="P51" s="510">
        <f>SUMIFS('Goals 2026'!I:I,'Goals 2026'!B:B,Smry!D51,'Goals 2026'!C:C,Smry!F51,'Goals 2026'!E:E,Smry!$B$19)</f>
        <v>0.18444000000000002</v>
      </c>
      <c r="Q51" s="511">
        <f>SUMIFS('Goals 2026'!J:J,'Goals 2026'!B:B,Smry!D51,'Goals 2026'!C:C,Smry!F51,'Goals 2026'!E:E,Smry!$B$19)</f>
        <v>0.37789</v>
      </c>
      <c r="R51" s="510">
        <f>SUMIFS('Goals 2026'!K:K,'Goals 2026'!B:B,Smry!D51,'Goals 2026'!C:C,Smry!F51,'Goals 2026'!E:E,Smry!$B$19)</f>
        <v>0.18444000000000002</v>
      </c>
    </row>
    <row r="52" spans="1:18" outlineLevel="2">
      <c r="A52" s="480"/>
      <c r="B52" s="483" t="s">
        <v>27</v>
      </c>
      <c r="C52" s="502"/>
      <c r="D52" s="483" t="s">
        <v>474</v>
      </c>
      <c r="E52" s="502"/>
      <c r="F52" s="483" t="s">
        <v>136</v>
      </c>
      <c r="G52" s="392"/>
      <c r="H52" s="484">
        <f t="shared" si="2"/>
        <v>7</v>
      </c>
      <c r="I52" s="484">
        <f>SUMIFS('Goals 2026'!M:M,'Goals 2026'!B:B,Smry!D52,'Goals 2026'!C:C,Smry!F52,'Goals 2026'!E:E,Smry!$B$19)</f>
        <v>2</v>
      </c>
      <c r="J52" s="484">
        <f>SUMIFS('Goals 2026'!N:N,'Goals 2026'!B:B,Smry!D52,'Goals 2026'!C:C,Smry!F52,'Goals 2026'!E:E,Smry!$B$19)</f>
        <v>1</v>
      </c>
      <c r="K52" s="484">
        <f>SUMIFS('Goals 2026'!O:O,'Goals 2026'!B:B,Smry!D52,'Goals 2026'!C:C,Smry!F52,'Goals 2026'!E:E,Smry!$B$19)</f>
        <v>2</v>
      </c>
      <c r="L52" s="484">
        <f>SUMIFS('Goals 2026'!P:P,'Goals 2026'!B:B,Smry!D52,'Goals 2026'!C:C,Smry!F52,'Goals 2026'!E:E,Smry!$B$19)</f>
        <v>2</v>
      </c>
      <c r="M52" s="482"/>
      <c r="N52" s="510">
        <f t="shared" si="3"/>
        <v>2.1947299999999998</v>
      </c>
      <c r="O52" s="510">
        <f>SUMIFS('Goals 2026'!H:H,'Goals 2026'!B:B,Smry!D52,'Goals 2026'!C:C,Smry!F52,'Goals 2026'!E:E,Smry!$B$19)</f>
        <v>0.72504000000000002</v>
      </c>
      <c r="P52" s="510">
        <f>SUMIFS('Goals 2026'!I:I,'Goals 2026'!B:B,Smry!D52,'Goals 2026'!C:C,Smry!F52,'Goals 2026'!E:E,Smry!$B$19)</f>
        <v>0.72504000000000002</v>
      </c>
      <c r="Q52" s="511">
        <f>SUMIFS('Goals 2026'!J:J,'Goals 2026'!B:B,Smry!D52,'Goals 2026'!C:C,Smry!F52,'Goals 2026'!E:E,Smry!$B$19)</f>
        <v>0.44679000000000002</v>
      </c>
      <c r="R52" s="510">
        <f>SUMIFS('Goals 2026'!K:K,'Goals 2026'!B:B,Smry!D52,'Goals 2026'!C:C,Smry!F52,'Goals 2026'!E:E,Smry!$B$19)</f>
        <v>0.29786000000000001</v>
      </c>
    </row>
    <row r="53" spans="1:18" outlineLevel="2">
      <c r="A53" s="480"/>
      <c r="B53" s="483" t="s">
        <v>27</v>
      </c>
      <c r="C53" s="502"/>
      <c r="D53" s="483" t="s">
        <v>486</v>
      </c>
      <c r="E53" s="392"/>
      <c r="F53" s="483" t="s">
        <v>136</v>
      </c>
      <c r="G53" s="392"/>
      <c r="H53" s="484">
        <f t="shared" si="2"/>
        <v>7</v>
      </c>
      <c r="I53" s="484">
        <f>SUMIFS('Goals 2026'!M:M,'Goals 2026'!B:B,Smry!D53,'Goals 2026'!C:C,Smry!F53,'Goals 2026'!E:E,Smry!$B$19)</f>
        <v>1</v>
      </c>
      <c r="J53" s="484">
        <f>SUMIFS('Goals 2026'!N:N,'Goals 2026'!B:B,Smry!D53,'Goals 2026'!C:C,Smry!F53,'Goals 2026'!E:E,Smry!$B$19)</f>
        <v>2</v>
      </c>
      <c r="K53" s="484">
        <f>SUMIFS('Goals 2026'!O:O,'Goals 2026'!B:B,Smry!D53,'Goals 2026'!C:C,Smry!F53,'Goals 2026'!E:E,Smry!$B$19)</f>
        <v>3</v>
      </c>
      <c r="L53" s="484">
        <f>SUMIFS('Goals 2026'!P:P,'Goals 2026'!B:B,Smry!D53,'Goals 2026'!C:C,Smry!F53,'Goals 2026'!E:E,Smry!$B$19)</f>
        <v>1</v>
      </c>
      <c r="M53" s="482"/>
      <c r="N53" s="510">
        <f t="shared" si="3"/>
        <v>1.230383968112301</v>
      </c>
      <c r="O53" s="510">
        <f>SUMIFS('Goals 2026'!H:H,'Goals 2026'!B:B,Smry!D53,'Goals 2026'!C:C,Smry!F53,'Goals 2026'!E:E,Smry!$B$19)</f>
        <v>0.20033977216751808</v>
      </c>
      <c r="P53" s="510">
        <f>SUMIFS('Goals 2026'!I:I,'Goals 2026'!B:B,Smry!D53,'Goals 2026'!C:C,Smry!F53,'Goals 2026'!E:E,Smry!$B$19)</f>
        <v>0.49140098538306437</v>
      </c>
      <c r="Q53" s="511">
        <f>SUMIFS('Goals 2026'!J:J,'Goals 2026'!B:B,Smry!D53,'Goals 2026'!C:C,Smry!F53,'Goals 2026'!E:E,Smry!$B$19)</f>
        <v>0.47250409531160276</v>
      </c>
      <c r="R53" s="510">
        <f>SUMIFS('Goals 2026'!K:K,'Goals 2026'!B:B,Smry!D53,'Goals 2026'!C:C,Smry!F53,'Goals 2026'!E:E,Smry!$B$19)</f>
        <v>6.6139115250115718E-2</v>
      </c>
    </row>
    <row r="54" spans="1:18" outlineLevel="2">
      <c r="A54" s="480"/>
      <c r="B54" s="483" t="s">
        <v>27</v>
      </c>
      <c r="C54" s="502"/>
      <c r="D54" s="483" t="s">
        <v>490</v>
      </c>
      <c r="E54" s="392"/>
      <c r="F54" s="483" t="s">
        <v>136</v>
      </c>
      <c r="G54" s="392"/>
      <c r="H54" s="484">
        <f t="shared" si="2"/>
        <v>17</v>
      </c>
      <c r="I54" s="484">
        <f>SUMIFS('Goals 2026'!M:M,'Goals 2026'!B:B,Smry!D54,'Goals 2026'!C:C,Smry!F54,'Goals 2026'!E:E,Smry!$B$19)</f>
        <v>4</v>
      </c>
      <c r="J54" s="484">
        <f>SUMIFS('Goals 2026'!N:N,'Goals 2026'!B:B,Smry!D54,'Goals 2026'!C:C,Smry!F54,'Goals 2026'!E:E,Smry!$B$19)</f>
        <v>2</v>
      </c>
      <c r="K54" s="484">
        <f>SUMIFS('Goals 2026'!O:O,'Goals 2026'!B:B,Smry!D54,'Goals 2026'!C:C,Smry!F54,'Goals 2026'!E:E,Smry!$B$19)</f>
        <v>4</v>
      </c>
      <c r="L54" s="484">
        <f>SUMIFS('Goals 2026'!P:P,'Goals 2026'!B:B,Smry!D54,'Goals 2026'!C:C,Smry!F54,'Goals 2026'!E:E,Smry!$B$19)</f>
        <v>7</v>
      </c>
      <c r="M54" s="482"/>
      <c r="N54" s="510">
        <f t="shared" si="3"/>
        <v>1.2193279070134366</v>
      </c>
      <c r="O54" s="510">
        <f>SUMIFS('Goals 2026'!H:H,'Goals 2026'!B:B,Smry!D54,'Goals 2026'!C:C,Smry!F54,'Goals 2026'!E:E,Smry!$B$19)</f>
        <v>0.5747066038098001</v>
      </c>
      <c r="P54" s="510">
        <f>SUMIFS('Goals 2026'!I:I,'Goals 2026'!B:B,Smry!D54,'Goals 2026'!C:C,Smry!F54,'Goals 2026'!E:E,Smry!$B$19)</f>
        <v>0.17511290472060004</v>
      </c>
      <c r="Q54" s="511">
        <f>SUMIFS('Goals 2026'!J:J,'Goals 2026'!B:B,Smry!D54,'Goals 2026'!C:C,Smry!F54,'Goals 2026'!E:E,Smry!$B$19)</f>
        <v>0.21830980816260004</v>
      </c>
      <c r="R54" s="510">
        <f>SUMIFS('Goals 2026'!K:K,'Goals 2026'!B:B,Smry!D54,'Goals 2026'!C:C,Smry!F54,'Goals 2026'!E:E,Smry!$B$19)</f>
        <v>0.2511985903204364</v>
      </c>
    </row>
    <row r="55" spans="1:18" outlineLevel="2">
      <c r="A55" s="480"/>
      <c r="B55" s="483" t="s">
        <v>27</v>
      </c>
      <c r="C55" s="502"/>
      <c r="D55" s="483" t="s">
        <v>498</v>
      </c>
      <c r="E55" s="502"/>
      <c r="F55" s="483" t="s">
        <v>136</v>
      </c>
      <c r="G55" s="392"/>
      <c r="H55" s="484">
        <f t="shared" si="2"/>
        <v>3</v>
      </c>
      <c r="I55" s="484">
        <f>SUMIFS('Goals 2026'!M:M,'Goals 2026'!B:B,Smry!D55,'Goals 2026'!C:C,Smry!F55,'Goals 2026'!E:E,Smry!$B$19)</f>
        <v>0</v>
      </c>
      <c r="J55" s="484">
        <f>SUMIFS('Goals 2026'!N:N,'Goals 2026'!B:B,Smry!D55,'Goals 2026'!C:C,Smry!F55,'Goals 2026'!E:E,Smry!$B$19)</f>
        <v>0</v>
      </c>
      <c r="K55" s="484">
        <f>SUMIFS('Goals 2026'!O:O,'Goals 2026'!B:B,Smry!D55,'Goals 2026'!C:C,Smry!F55,'Goals 2026'!E:E,Smry!$B$19)</f>
        <v>1</v>
      </c>
      <c r="L55" s="484">
        <f>SUMIFS('Goals 2026'!P:P,'Goals 2026'!B:B,Smry!D55,'Goals 2026'!C:C,Smry!F55,'Goals 2026'!E:E,Smry!$B$19)</f>
        <v>2</v>
      </c>
      <c r="M55" s="482"/>
      <c r="N55" s="510">
        <f t="shared" si="3"/>
        <v>3.1291200000000003</v>
      </c>
      <c r="O55" s="510">
        <f>SUMIFS('Goals 2026'!H:H,'Goals 2026'!B:B,Smry!D55,'Goals 2026'!C:C,Smry!F55,'Goals 2026'!E:E,Smry!$B$19)</f>
        <v>0</v>
      </c>
      <c r="P55" s="510">
        <f>SUMIFS('Goals 2026'!I:I,'Goals 2026'!B:B,Smry!D55,'Goals 2026'!C:C,Smry!F55,'Goals 2026'!E:E,Smry!$B$19)</f>
        <v>0</v>
      </c>
      <c r="Q55" s="511">
        <f>SUMIFS('Goals 2026'!J:J,'Goals 2026'!B:B,Smry!D55,'Goals 2026'!C:C,Smry!F55,'Goals 2026'!E:E,Smry!$B$19)</f>
        <v>0.78228000000000009</v>
      </c>
      <c r="R55" s="510">
        <f>SUMIFS('Goals 2026'!K:K,'Goals 2026'!B:B,Smry!D55,'Goals 2026'!C:C,Smry!F55,'Goals 2026'!E:E,Smry!$B$19)</f>
        <v>2.3468400000000003</v>
      </c>
    </row>
    <row r="56" spans="1:18" outlineLevel="2">
      <c r="A56" s="480"/>
      <c r="B56" s="483" t="s">
        <v>27</v>
      </c>
      <c r="C56" s="502"/>
      <c r="D56" s="483" t="s">
        <v>503</v>
      </c>
      <c r="E56" s="392"/>
      <c r="F56" s="483" t="s">
        <v>503</v>
      </c>
      <c r="G56" s="392"/>
      <c r="H56" s="484">
        <f t="shared" si="2"/>
        <v>3</v>
      </c>
      <c r="I56" s="484">
        <f>SUMIFS('Goals 2026'!M:M,'Goals 2026'!B:B,Smry!D56,'Goals 2026'!C:C,Smry!F56,'Goals 2026'!E:E,Smry!$B$19)</f>
        <v>0</v>
      </c>
      <c r="J56" s="484">
        <f>SUMIFS('Goals 2026'!N:N,'Goals 2026'!B:B,Smry!D56,'Goals 2026'!C:C,Smry!F56,'Goals 2026'!E:E,Smry!$B$19)</f>
        <v>1</v>
      </c>
      <c r="K56" s="484">
        <f>SUMIFS('Goals 2026'!O:O,'Goals 2026'!B:B,Smry!D56,'Goals 2026'!C:C,Smry!F56,'Goals 2026'!E:E,Smry!$B$19)</f>
        <v>1</v>
      </c>
      <c r="L56" s="484">
        <f>SUMIFS('Goals 2026'!P:P,'Goals 2026'!B:B,Smry!D56,'Goals 2026'!C:C,Smry!F56,'Goals 2026'!E:E,Smry!$B$19)</f>
        <v>1</v>
      </c>
      <c r="M56" s="482"/>
      <c r="N56" s="510">
        <f t="shared" si="3"/>
        <v>1.3687567999999999</v>
      </c>
      <c r="O56" s="510">
        <f>SUMIFS('Goals 2026'!H:H,'Goals 2026'!B:B,Smry!D56,'Goals 2026'!C:C,Smry!F56,'Goals 2026'!E:E,Smry!$B$19)</f>
        <v>0</v>
      </c>
      <c r="P56" s="510">
        <f>SUMIFS('Goals 2026'!I:I,'Goals 2026'!B:B,Smry!D56,'Goals 2026'!C:C,Smry!F56,'Goals 2026'!E:E,Smry!$B$19)</f>
        <v>0.51328379999999996</v>
      </c>
      <c r="Q56" s="511">
        <f>SUMIFS('Goals 2026'!J:J,'Goals 2026'!B:B,Smry!D56,'Goals 2026'!C:C,Smry!F56,'Goals 2026'!E:E,Smry!$B$19)</f>
        <v>0.17109460000000001</v>
      </c>
      <c r="R56" s="510">
        <f>SUMIFS('Goals 2026'!K:K,'Goals 2026'!B:B,Smry!D56,'Goals 2026'!C:C,Smry!F56,'Goals 2026'!E:E,Smry!$B$19)</f>
        <v>0.68437840000000005</v>
      </c>
    </row>
    <row r="57" spans="1:18" outlineLevel="2">
      <c r="A57" s="480"/>
      <c r="B57" s="483" t="s">
        <v>27</v>
      </c>
      <c r="C57" s="502"/>
      <c r="D57" s="483" t="s">
        <v>510</v>
      </c>
      <c r="E57" s="392"/>
      <c r="F57" s="483" t="s">
        <v>510</v>
      </c>
      <c r="G57" s="392"/>
      <c r="H57" s="484">
        <f t="shared" si="2"/>
        <v>3</v>
      </c>
      <c r="I57" s="484">
        <f>SUMIFS('Goals 2026'!M:M,'Goals 2026'!B:B,Smry!D57,'Goals 2026'!C:C,Smry!F57,'Goals 2026'!E:E,Smry!$B$19)</f>
        <v>0</v>
      </c>
      <c r="J57" s="484">
        <f>SUMIFS('Goals 2026'!N:N,'Goals 2026'!B:B,Smry!D57,'Goals 2026'!C:C,Smry!F57,'Goals 2026'!E:E,Smry!$B$19)</f>
        <v>0</v>
      </c>
      <c r="K57" s="484">
        <f>SUMIFS('Goals 2026'!O:O,'Goals 2026'!B:B,Smry!D57,'Goals 2026'!C:C,Smry!F57,'Goals 2026'!E:E,Smry!$B$19)</f>
        <v>1</v>
      </c>
      <c r="L57" s="484">
        <f>SUMIFS('Goals 2026'!P:P,'Goals 2026'!B:B,Smry!D57,'Goals 2026'!C:C,Smry!F57,'Goals 2026'!E:E,Smry!$B$19)</f>
        <v>2</v>
      </c>
      <c r="M57" s="482"/>
      <c r="N57" s="510">
        <f>SUM(O57:R57)</f>
        <v>5.0583200000000001</v>
      </c>
      <c r="O57" s="510">
        <f>SUMIFS('Goals 2026'!H:H,'Goals 2026'!B:B,Smry!D57,'Goals 2026'!C:C,Smry!F57,'Goals 2026'!E:E,Smry!$B$19)</f>
        <v>0</v>
      </c>
      <c r="P57" s="510">
        <f>SUMIFS('Goals 2026'!I:I,'Goals 2026'!B:B,Smry!D57,'Goals 2026'!C:C,Smry!F57,'Goals 2026'!E:E,Smry!$B$19)</f>
        <v>0</v>
      </c>
      <c r="Q57" s="511">
        <f>SUMIFS('Goals 2026'!J:J,'Goals 2026'!B:B,Smry!D57,'Goals 2026'!C:C,Smry!F57,'Goals 2026'!E:E,Smry!$B$19)</f>
        <v>1.8968699999999998</v>
      </c>
      <c r="R57" s="510">
        <f>SUMIFS('Goals 2026'!K:K,'Goals 2026'!B:B,Smry!D57,'Goals 2026'!C:C,Smry!F57,'Goals 2026'!E:E,Smry!$B$19)</f>
        <v>3.1614500000000003</v>
      </c>
    </row>
    <row r="58" spans="1:18" outlineLevel="2">
      <c r="A58" s="480"/>
      <c r="B58" s="483" t="s">
        <v>27</v>
      </c>
      <c r="C58" s="502"/>
      <c r="D58" s="382" t="s">
        <v>297</v>
      </c>
      <c r="E58" s="392"/>
      <c r="F58" s="386" t="s">
        <v>298</v>
      </c>
      <c r="G58" s="392"/>
      <c r="H58" s="484">
        <f t="shared" si="2"/>
        <v>1</v>
      </c>
      <c r="I58" s="484">
        <f>SUMIFS('Goals 2026'!M:M,'Goals 2026'!B:B,Smry!D58,'Goals 2026'!C:C,Smry!F58,'Goals 2026'!E:E,Smry!$B$19)</f>
        <v>1</v>
      </c>
      <c r="J58" s="484">
        <f>SUMIFS('Goals 2026'!N:N,'Goals 2026'!B:B,Smry!D58,'Goals 2026'!C:C,Smry!F58,'Goals 2026'!E:E,Smry!$B$19)</f>
        <v>0</v>
      </c>
      <c r="K58" s="484">
        <f>SUMIFS('Goals 2026'!O:O,'Goals 2026'!B:B,Smry!D58,'Goals 2026'!C:C,Smry!F58,'Goals 2026'!E:E,Smry!$B$19)</f>
        <v>0</v>
      </c>
      <c r="L58" s="484">
        <f>SUMIFS('Goals 2026'!P:P,'Goals 2026'!B:B,Smry!D58,'Goals 2026'!C:C,Smry!F58,'Goals 2026'!E:E,Smry!$B$19)</f>
        <v>0</v>
      </c>
      <c r="M58" s="482"/>
      <c r="N58" s="510">
        <f>SUM(O58:R58)</f>
        <v>8.0000000000000004E-4</v>
      </c>
      <c r="O58" s="510">
        <f>SUMIFS('Goals 2026'!H:H,'Goals 2026'!B:B,Smry!D58,'Goals 2026'!C:C,Smry!F58,'Goals 2026'!E:E,Smry!$B$19)</f>
        <v>8.0000000000000004E-4</v>
      </c>
      <c r="P58" s="510">
        <f>SUMIFS('Goals 2026'!I:I,'Goals 2026'!B:B,Smry!D58,'Goals 2026'!C:C,Smry!F58,'Goals 2026'!E:E,Smry!$B$19)</f>
        <v>0</v>
      </c>
      <c r="Q58" s="511">
        <f>SUMIFS('Goals 2026'!J:J,'Goals 2026'!B:B,Smry!D58,'Goals 2026'!C:C,Smry!F58,'Goals 2026'!E:E,Smry!$B$19)</f>
        <v>0</v>
      </c>
      <c r="R58" s="510">
        <f>SUMIFS('Goals 2026'!K:K,'Goals 2026'!B:B,Smry!D58,'Goals 2026'!C:C,Smry!F58,'Goals 2026'!E:E,Smry!$B$19)</f>
        <v>0</v>
      </c>
    </row>
    <row r="59" spans="1:18" outlineLevel="2">
      <c r="A59" s="480"/>
      <c r="B59" s="483" t="s">
        <v>27</v>
      </c>
      <c r="C59" s="502"/>
      <c r="D59" s="523" t="s">
        <v>521</v>
      </c>
      <c r="E59" s="392"/>
      <c r="F59" s="523" t="s">
        <v>521</v>
      </c>
      <c r="G59" s="392"/>
      <c r="H59" s="484">
        <f>SUM(I59:L59)</f>
        <v>5</v>
      </c>
      <c r="I59" s="484">
        <f>SUMIFS('Goals 2026'!M:M,'Goals 2026'!B:B,Smry!D59,'Goals 2026'!C:C,Smry!F59,'Goals 2026'!E:E,Smry!$B$19)</f>
        <v>1</v>
      </c>
      <c r="J59" s="484">
        <f>SUMIFS('Goals 2026'!N:N,'Goals 2026'!B:B,Smry!D59,'Goals 2026'!C:C,Smry!F59,'Goals 2026'!E:E,Smry!$B$19)</f>
        <v>3</v>
      </c>
      <c r="K59" s="484">
        <f>SUMIFS('Goals 2026'!O:O,'Goals 2026'!B:B,Smry!D59,'Goals 2026'!C:C,Smry!F59,'Goals 2026'!E:E,Smry!$B$19)</f>
        <v>1</v>
      </c>
      <c r="L59" s="484">
        <f>SUMIFS('Goals 2026'!P:P,'Goals 2026'!B:B,Smry!D59,'Goals 2026'!C:C,Smry!F59,'Goals 2026'!E:E,Smry!$B$19)</f>
        <v>0</v>
      </c>
      <c r="M59" s="482"/>
      <c r="N59" s="510">
        <f>SUM(O59:R59)</f>
        <v>9.5206963200000008E-2</v>
      </c>
      <c r="O59" s="510">
        <f>SUMIFS('Goals 2026'!H:H,'Goals 2026'!B:B,Smry!D59,'Goals 2026'!C:C,Smry!F59,'Goals 2026'!E:E,Smry!$B$19)</f>
        <v>2.0043571200000002E-2</v>
      </c>
      <c r="P59" s="510">
        <f>SUMIFS('Goals 2026'!I:I,'Goals 2026'!B:B,Smry!D59,'Goals 2026'!C:C,Smry!F59,'Goals 2026'!E:E,Smry!$B$19)</f>
        <v>6.2283571200000006E-2</v>
      </c>
      <c r="Q59" s="511">
        <f>SUMIFS('Goals 2026'!J:J,'Goals 2026'!B:B,Smry!D59,'Goals 2026'!C:C,Smry!F59,'Goals 2026'!E:E,Smry!$B$19)</f>
        <v>1.2879820800000002E-2</v>
      </c>
      <c r="R59" s="510">
        <f>SUMIFS('Goals 2026'!K:K,'Goals 2026'!B:B,Smry!D59,'Goals 2026'!C:C,Smry!F59,'Goals 2026'!E:E,Smry!$B$19)</f>
        <v>0</v>
      </c>
    </row>
    <row r="60" spans="1:18" outlineLevel="2">
      <c r="A60" s="480"/>
      <c r="B60" s="483" t="s">
        <v>27</v>
      </c>
      <c r="C60" s="502"/>
      <c r="D60" s="384" t="s">
        <v>536</v>
      </c>
      <c r="E60" s="392"/>
      <c r="F60" s="624" t="s">
        <v>537</v>
      </c>
      <c r="G60" s="392"/>
      <c r="H60" s="484">
        <f>SUM(I60:L60)</f>
        <v>26</v>
      </c>
      <c r="I60" s="484">
        <f>SUMIFS('Goals 2026'!M:M,'Goals 2026'!B:B,Smry!D60,'Goals 2026'!C:C,Smry!F60,'Goals 2026'!E:E,Smry!$B$19)</f>
        <v>2</v>
      </c>
      <c r="J60" s="484">
        <f>SUMIFS('Goals 2026'!N:N,'Goals 2026'!B:B,Smry!D60,'Goals 2026'!C:C,Smry!F60,'Goals 2026'!E:E,Smry!$B$19)</f>
        <v>1</v>
      </c>
      <c r="K60" s="484">
        <f>SUMIFS('Goals 2026'!O:O,'Goals 2026'!B:B,Smry!D60,'Goals 2026'!C:C,Smry!F60,'Goals 2026'!E:E,Smry!$B$19)</f>
        <v>8</v>
      </c>
      <c r="L60" s="484">
        <f>SUMIFS('Goals 2026'!P:P,'Goals 2026'!B:B,Smry!D60,'Goals 2026'!C:C,Smry!F60,'Goals 2026'!E:E,Smry!$B$19)</f>
        <v>15</v>
      </c>
      <c r="M60" s="482"/>
      <c r="N60" s="510">
        <f>SUM(O60:R60)</f>
        <v>1.3982982497999998</v>
      </c>
      <c r="O60" s="510">
        <f>SUMIFS('Goals 2026'!H:H,'Goals 2026'!B:B,Smry!D60,'Goals 2026'!C:C,Smry!F60,'Goals 2026'!E:E,Smry!$B$19)</f>
        <v>0.62984501100000001</v>
      </c>
      <c r="P60" s="510">
        <f>SUMIFS('Goals 2026'!I:I,'Goals 2026'!B:B,Smry!D60,'Goals 2026'!C:C,Smry!F60,'Goals 2026'!E:E,Smry!$B$19)</f>
        <v>0.09</v>
      </c>
      <c r="Q60" s="511">
        <f>SUMIFS('Goals 2026'!J:J,'Goals 2026'!B:B,Smry!D60,'Goals 2026'!C:C,Smry!F60,'Goals 2026'!E:E,Smry!$B$19)</f>
        <v>0.326853485</v>
      </c>
      <c r="R60" s="510">
        <f>SUMIFS('Goals 2026'!K:K,'Goals 2026'!B:B,Smry!D60,'Goals 2026'!C:C,Smry!F60,'Goals 2026'!E:E,Smry!$B$19)</f>
        <v>0.35159975379999997</v>
      </c>
    </row>
    <row r="61" spans="1:18" ht="2.25" customHeight="1" outlineLevel="1">
      <c r="A61" s="480"/>
      <c r="B61" s="487"/>
      <c r="C61" s="487"/>
      <c r="D61" s="487"/>
      <c r="E61" s="487"/>
      <c r="F61" s="487"/>
      <c r="G61" s="487"/>
      <c r="H61" s="487"/>
      <c r="I61" s="487"/>
      <c r="J61" s="487"/>
      <c r="K61" s="487"/>
      <c r="L61" s="487"/>
      <c r="M61" s="482"/>
      <c r="N61" s="487"/>
      <c r="O61" s="487"/>
      <c r="P61" s="487"/>
      <c r="Q61" s="487"/>
      <c r="R61" s="487"/>
    </row>
    <row r="62" spans="1:18" outlineLevel="1">
      <c r="A62" s="480"/>
      <c r="B62" s="494" t="s">
        <v>29</v>
      </c>
      <c r="C62" s="495"/>
      <c r="D62" s="496"/>
      <c r="E62" s="497"/>
      <c r="F62" s="496"/>
      <c r="G62" s="497"/>
      <c r="H62" s="498">
        <f>SUM(I62:L62)</f>
        <v>436</v>
      </c>
      <c r="I62" s="498">
        <f>SUM(I64:I98)</f>
        <v>127</v>
      </c>
      <c r="J62" s="498">
        <f>SUM(J64:J98)</f>
        <v>92</v>
      </c>
      <c r="K62" s="498">
        <f>SUM(K64:K98)</f>
        <v>122</v>
      </c>
      <c r="L62" s="498">
        <f>SUM(L64:L98)</f>
        <v>95</v>
      </c>
      <c r="M62" s="482"/>
      <c r="N62" s="512">
        <f>SUM(O62:R62)</f>
        <v>64.837967166498828</v>
      </c>
      <c r="O62" s="512">
        <f>SUM(O64:O98)</f>
        <v>18.674600815481217</v>
      </c>
      <c r="P62" s="512">
        <f>SUM(P64:P98)</f>
        <v>11.051107458209131</v>
      </c>
      <c r="Q62" s="512">
        <f>SUM(Q64:Q98)</f>
        <v>19.853400017448639</v>
      </c>
      <c r="R62" s="512">
        <f>SUM(R64:R98)</f>
        <v>15.25885887535984</v>
      </c>
    </row>
    <row r="63" spans="1:18" ht="2.25" customHeight="1" outlineLevel="2">
      <c r="A63" s="480"/>
      <c r="B63" s="487"/>
      <c r="C63" s="487"/>
      <c r="D63" s="487"/>
      <c r="E63" s="487"/>
      <c r="F63" s="487"/>
      <c r="G63" s="487"/>
      <c r="H63" s="487"/>
      <c r="I63" s="487"/>
      <c r="J63" s="487"/>
      <c r="K63" s="487"/>
      <c r="L63" s="487"/>
      <c r="M63" s="482"/>
      <c r="N63" s="487"/>
      <c r="O63" s="487"/>
      <c r="P63" s="487"/>
      <c r="Q63" s="487"/>
      <c r="R63" s="487"/>
    </row>
    <row r="64" spans="1:18" outlineLevel="2">
      <c r="A64" s="480"/>
      <c r="B64" s="483" t="s">
        <v>29</v>
      </c>
      <c r="C64" s="502"/>
      <c r="D64" s="483" t="s">
        <v>15</v>
      </c>
      <c r="E64" s="392"/>
      <c r="F64" s="483" t="s">
        <v>23</v>
      </c>
      <c r="G64" s="392"/>
      <c r="H64" s="484">
        <f t="shared" ref="H64:H96" si="4">SUM(I64:L64)</f>
        <v>1</v>
      </c>
      <c r="I64" s="484">
        <f>SUMIFS('Goals 2026'!M:M,'Goals 2026'!B:B,Smry!D64,'Goals 2026'!C:C,Smry!F64,'Goals 2026'!E:E,Smry!$B$62)</f>
        <v>1</v>
      </c>
      <c r="J64" s="484">
        <f>SUMIFS('Goals 2026'!N:N,'Goals 2026'!B:B,Smry!D64,'Goals 2026'!C:C,Smry!F64,'Goals 2026'!E:E,Smry!$B$62)</f>
        <v>0</v>
      </c>
      <c r="K64" s="484">
        <f>SUMIFS('Goals 2026'!O:O,'Goals 2026'!B:B,Smry!D64,'Goals 2026'!C:C,Smry!F64,'Goals 2026'!E:E,Smry!$B$62)</f>
        <v>0</v>
      </c>
      <c r="L64" s="484">
        <f>SUMIFS('Goals 2026'!P:P,'Goals 2026'!B:B,Smry!D64,'Goals 2026'!C:C,Smry!F64,'Goals 2026'!E:E,Smry!$B$62)</f>
        <v>0</v>
      </c>
      <c r="M64" s="482"/>
      <c r="N64" s="510">
        <f t="shared" ref="N64:N96" si="5">SUM(O64:R64)</f>
        <v>1.4336873100000001E-2</v>
      </c>
      <c r="O64" s="510">
        <f>SUMIFS('Goals 2026'!H:H,'Goals 2026'!B:B,Smry!D64,'Goals 2026'!C:C,Smry!F64,'Goals 2026'!E:E,Smry!$B$62)</f>
        <v>1.4336873100000001E-2</v>
      </c>
      <c r="P64" s="510">
        <f>SUMIFS('Goals 2026'!I:I,'Goals 2026'!B:B,Smry!D64,'Goals 2026'!C:C,Smry!F64,'Goals 2026'!E:E,Smry!$B$62)</f>
        <v>0</v>
      </c>
      <c r="Q64" s="510">
        <f>SUMIFS('Goals 2026'!J:J,'Goals 2026'!B:B,Smry!D64,'Goals 2026'!C:C,Smry!F64,'Goals 2026'!E:E,Smry!$B$62)</f>
        <v>0</v>
      </c>
      <c r="R64" s="510">
        <f>SUMIFS('Goals 2026'!K:K,'Goals 2026'!B:B,Smry!D64,'Goals 2026'!C:C,Smry!F64,'Goals 2026'!E:E,Smry!$B$62)</f>
        <v>0</v>
      </c>
    </row>
    <row r="65" spans="1:18" outlineLevel="2">
      <c r="A65" s="480"/>
      <c r="B65" s="483" t="s">
        <v>29</v>
      </c>
      <c r="C65" s="502"/>
      <c r="D65" s="483" t="s">
        <v>15</v>
      </c>
      <c r="E65" s="392"/>
      <c r="F65" s="483" t="s">
        <v>30</v>
      </c>
      <c r="G65" s="392"/>
      <c r="H65" s="484">
        <f t="shared" si="4"/>
        <v>15</v>
      </c>
      <c r="I65" s="484">
        <f>SUMIFS('Goals 2026'!M:M,'Goals 2026'!B:B,Smry!D65,'Goals 2026'!C:C,Smry!F65,'Goals 2026'!E:E,Smry!$B$62)</f>
        <v>12</v>
      </c>
      <c r="J65" s="484">
        <f>SUMIFS('Goals 2026'!N:N,'Goals 2026'!B:B,Smry!D65,'Goals 2026'!C:C,Smry!F65,'Goals 2026'!E:E,Smry!$B$62)</f>
        <v>3</v>
      </c>
      <c r="K65" s="484">
        <f>SUMIFS('Goals 2026'!O:O,'Goals 2026'!B:B,Smry!D65,'Goals 2026'!C:C,Smry!F65,'Goals 2026'!E:E,Smry!$B$62)</f>
        <v>0</v>
      </c>
      <c r="L65" s="484">
        <f>SUMIFS('Goals 2026'!P:P,'Goals 2026'!B:B,Smry!D65,'Goals 2026'!C:C,Smry!F65,'Goals 2026'!E:E,Smry!$B$62)</f>
        <v>0</v>
      </c>
      <c r="M65" s="482"/>
      <c r="N65" s="510">
        <f t="shared" si="5"/>
        <v>0.49718333883610122</v>
      </c>
      <c r="O65" s="510">
        <f>SUMIFS('Goals 2026'!H:H,'Goals 2026'!B:B,Smry!D65,'Goals 2026'!C:C,Smry!F65,'Goals 2026'!E:E,Smry!$B$62)</f>
        <v>0.36573175713220468</v>
      </c>
      <c r="P65" s="510">
        <f>SUMIFS('Goals 2026'!I:I,'Goals 2026'!B:B,Smry!D65,'Goals 2026'!C:C,Smry!F65,'Goals 2026'!E:E,Smry!$B$62)</f>
        <v>0.13145158170389651</v>
      </c>
      <c r="Q65" s="510">
        <f>SUMIFS('Goals 2026'!J:J,'Goals 2026'!B:B,Smry!D65,'Goals 2026'!C:C,Smry!F65,'Goals 2026'!E:E,Smry!$B$62)</f>
        <v>0</v>
      </c>
      <c r="R65" s="510">
        <f>SUMIFS('Goals 2026'!K:K,'Goals 2026'!B:B,Smry!D65,'Goals 2026'!C:C,Smry!F65,'Goals 2026'!E:E,Smry!$B$62)</f>
        <v>0</v>
      </c>
    </row>
    <row r="66" spans="1:18" outlineLevel="2">
      <c r="A66" s="480"/>
      <c r="B66" s="483" t="s">
        <v>29</v>
      </c>
      <c r="C66" s="502"/>
      <c r="D66" s="483" t="s">
        <v>70</v>
      </c>
      <c r="E66" s="392"/>
      <c r="F66" s="483" t="s">
        <v>71</v>
      </c>
      <c r="G66" s="392"/>
      <c r="H66" s="484">
        <f t="shared" si="4"/>
        <v>2</v>
      </c>
      <c r="I66" s="484">
        <f>SUMIFS('Goals 2026'!M:M,'Goals 2026'!B:B,Smry!D66,'Goals 2026'!C:C,Smry!F66,'Goals 2026'!E:E,Smry!$B$62)</f>
        <v>2</v>
      </c>
      <c r="J66" s="484">
        <f>SUMIFS('Goals 2026'!N:N,'Goals 2026'!B:B,Smry!D66,'Goals 2026'!C:C,Smry!F66,'Goals 2026'!E:E,Smry!$B$62)</f>
        <v>0</v>
      </c>
      <c r="K66" s="484">
        <f>SUMIFS('Goals 2026'!O:O,'Goals 2026'!B:B,Smry!D66,'Goals 2026'!C:C,Smry!F66,'Goals 2026'!E:E,Smry!$B$62)</f>
        <v>0</v>
      </c>
      <c r="L66" s="484">
        <f>SUMIFS('Goals 2026'!P:P,'Goals 2026'!B:B,Smry!D66,'Goals 2026'!C:C,Smry!F66,'Goals 2026'!E:E,Smry!$B$62)</f>
        <v>0</v>
      </c>
      <c r="M66" s="482"/>
      <c r="N66" s="510">
        <f t="shared" si="5"/>
        <v>0.16750548359999998</v>
      </c>
      <c r="O66" s="510">
        <f>SUMIFS('Goals 2026'!H:H,'Goals 2026'!B:B,Smry!D66,'Goals 2026'!C:C,Smry!F66,'Goals 2026'!E:E,Smry!$B$62)</f>
        <v>0.16750548359999998</v>
      </c>
      <c r="P66" s="510">
        <f>SUMIFS('Goals 2026'!I:I,'Goals 2026'!B:B,Smry!D66,'Goals 2026'!C:C,Smry!F66,'Goals 2026'!E:E,Smry!$B$62)</f>
        <v>0</v>
      </c>
      <c r="Q66" s="510">
        <f>SUMIFS('Goals 2026'!J:J,'Goals 2026'!B:B,Smry!D66,'Goals 2026'!C:C,Smry!F66,'Goals 2026'!E:E,Smry!$B$62)</f>
        <v>0</v>
      </c>
      <c r="R66" s="510">
        <f>SUMIFS('Goals 2026'!K:K,'Goals 2026'!B:B,Smry!D66,'Goals 2026'!C:C,Smry!F66,'Goals 2026'!E:E,Smry!$B$62)</f>
        <v>0</v>
      </c>
    </row>
    <row r="67" spans="1:18" outlineLevel="2">
      <c r="A67" s="480"/>
      <c r="B67" s="483" t="s">
        <v>29</v>
      </c>
      <c r="C67" s="502"/>
      <c r="D67" s="483" t="s">
        <v>84</v>
      </c>
      <c r="E67" s="392"/>
      <c r="F67" s="483" t="s">
        <v>85</v>
      </c>
      <c r="G67" s="392"/>
      <c r="H67" s="484">
        <f t="shared" si="4"/>
        <v>4</v>
      </c>
      <c r="I67" s="484">
        <f>SUMIFS('Goals 2026'!M:M,'Goals 2026'!B:B,Smry!D67,'Goals 2026'!C:C,Smry!F67,'Goals 2026'!E:E,Smry!$B$62)</f>
        <v>4</v>
      </c>
      <c r="J67" s="484">
        <f>SUMIFS('Goals 2026'!N:N,'Goals 2026'!B:B,Smry!D67,'Goals 2026'!C:C,Smry!F67,'Goals 2026'!E:E,Smry!$B$62)</f>
        <v>0</v>
      </c>
      <c r="K67" s="484">
        <f>SUMIFS('Goals 2026'!O:O,'Goals 2026'!B:B,Smry!D67,'Goals 2026'!C:C,Smry!F67,'Goals 2026'!E:E,Smry!$B$62)</f>
        <v>0</v>
      </c>
      <c r="L67" s="484">
        <f>SUMIFS('Goals 2026'!P:P,'Goals 2026'!B:B,Smry!D67,'Goals 2026'!C:C,Smry!F67,'Goals 2026'!E:E,Smry!$B$62)</f>
        <v>0</v>
      </c>
      <c r="M67" s="482"/>
      <c r="N67" s="510">
        <f t="shared" si="5"/>
        <v>0.40327449999999998</v>
      </c>
      <c r="O67" s="510">
        <f>SUMIFS('Goals 2026'!H:H,'Goals 2026'!B:B,Smry!D67,'Goals 2026'!C:C,Smry!F67,'Goals 2026'!E:E,Smry!$B$62)</f>
        <v>0.40327449999999998</v>
      </c>
      <c r="P67" s="510">
        <f>SUMIFS('Goals 2026'!I:I,'Goals 2026'!B:B,Smry!D67,'Goals 2026'!C:C,Smry!F67,'Goals 2026'!E:E,Smry!$B$62)</f>
        <v>0</v>
      </c>
      <c r="Q67" s="510">
        <f>SUMIFS('Goals 2026'!J:J,'Goals 2026'!B:B,Smry!D67,'Goals 2026'!C:C,Smry!F67,'Goals 2026'!E:E,Smry!$B$62)</f>
        <v>0</v>
      </c>
      <c r="R67" s="510">
        <f>SUMIFS('Goals 2026'!K:K,'Goals 2026'!B:B,Smry!D67,'Goals 2026'!C:C,Smry!F67,'Goals 2026'!E:E,Smry!$B$62)</f>
        <v>0</v>
      </c>
    </row>
    <row r="68" spans="1:18" outlineLevel="2">
      <c r="A68" s="480"/>
      <c r="B68" s="483" t="s">
        <v>29</v>
      </c>
      <c r="C68" s="502"/>
      <c r="D68" s="483" t="s">
        <v>101</v>
      </c>
      <c r="E68" s="392"/>
      <c r="F68" s="483" t="s">
        <v>102</v>
      </c>
      <c r="G68" s="392"/>
      <c r="H68" s="484">
        <f t="shared" si="4"/>
        <v>23</v>
      </c>
      <c r="I68" s="484">
        <f>SUMIFS('Goals 2026'!M:M,'Goals 2026'!B:B,Smry!D68,'Goals 2026'!C:C,Smry!F68,'Goals 2026'!E:E,Smry!$B$62)</f>
        <v>3</v>
      </c>
      <c r="J68" s="484">
        <f>SUMIFS('Goals 2026'!N:N,'Goals 2026'!B:B,Smry!D68,'Goals 2026'!C:C,Smry!F68,'Goals 2026'!E:E,Smry!$B$62)</f>
        <v>9</v>
      </c>
      <c r="K68" s="484">
        <f>SUMIFS('Goals 2026'!O:O,'Goals 2026'!B:B,Smry!D68,'Goals 2026'!C:C,Smry!F68,'Goals 2026'!E:E,Smry!$B$62)</f>
        <v>11</v>
      </c>
      <c r="L68" s="484">
        <f>SUMIFS('Goals 2026'!P:P,'Goals 2026'!B:B,Smry!D68,'Goals 2026'!C:C,Smry!F68,'Goals 2026'!E:E,Smry!$B$62)</f>
        <v>0</v>
      </c>
      <c r="M68" s="482"/>
      <c r="N68" s="510">
        <f t="shared" si="5"/>
        <v>1.2882799999999999</v>
      </c>
      <c r="O68" s="510">
        <f>SUMIFS('Goals 2026'!H:H,'Goals 2026'!B:B,Smry!D68,'Goals 2026'!C:C,Smry!F68,'Goals 2026'!E:E,Smry!$B$62)</f>
        <v>0.14000000000000001</v>
      </c>
      <c r="P68" s="510">
        <f>SUMIFS('Goals 2026'!I:I,'Goals 2026'!B:B,Smry!D68,'Goals 2026'!C:C,Smry!F68,'Goals 2026'!E:E,Smry!$B$62)</f>
        <v>0.65547999999999995</v>
      </c>
      <c r="Q68" s="510">
        <f>SUMIFS('Goals 2026'!J:J,'Goals 2026'!B:B,Smry!D68,'Goals 2026'!C:C,Smry!F68,'Goals 2026'!E:E,Smry!$B$62)</f>
        <v>0.49280000000000002</v>
      </c>
      <c r="R68" s="510">
        <f>SUMIFS('Goals 2026'!K:K,'Goals 2026'!B:B,Smry!D68,'Goals 2026'!C:C,Smry!F68,'Goals 2026'!E:E,Smry!$B$62)</f>
        <v>0</v>
      </c>
    </row>
    <row r="69" spans="1:18" outlineLevel="2">
      <c r="A69" s="480"/>
      <c r="B69" s="483" t="s">
        <v>29</v>
      </c>
      <c r="C69" s="502"/>
      <c r="D69" s="483" t="s">
        <v>147</v>
      </c>
      <c r="E69" s="502"/>
      <c r="F69" s="483" t="s">
        <v>148</v>
      </c>
      <c r="G69" s="392"/>
      <c r="H69" s="484">
        <f t="shared" si="4"/>
        <v>3</v>
      </c>
      <c r="I69" s="484">
        <f>SUMIFS('Goals 2026'!M:M,'Goals 2026'!B:B,Smry!D69,'Goals 2026'!C:C,Smry!F69,'Goals 2026'!E:E,Smry!$B$62)</f>
        <v>2</v>
      </c>
      <c r="J69" s="484">
        <f>SUMIFS('Goals 2026'!N:N,'Goals 2026'!B:B,Smry!D69,'Goals 2026'!C:C,Smry!F69,'Goals 2026'!E:E,Smry!$B$62)</f>
        <v>0</v>
      </c>
      <c r="K69" s="484">
        <f>SUMIFS('Goals 2026'!O:O,'Goals 2026'!B:B,Smry!D69,'Goals 2026'!C:C,Smry!F69,'Goals 2026'!E:E,Smry!$B$62)</f>
        <v>1</v>
      </c>
      <c r="L69" s="484">
        <f>SUMIFS('Goals 2026'!P:P,'Goals 2026'!B:B,Smry!D69,'Goals 2026'!C:C,Smry!F69,'Goals 2026'!E:E,Smry!$B$62)</f>
        <v>0</v>
      </c>
      <c r="M69" s="482"/>
      <c r="N69" s="510">
        <f t="shared" si="5"/>
        <v>4.9857312635956795E-2</v>
      </c>
      <c r="O69" s="510">
        <f>SUMIFS('Goals 2026'!H:H,'Goals 2026'!B:B,Smry!D69,'Goals 2026'!C:C,Smry!F69,'Goals 2026'!E:E,Smry!$B$62)</f>
        <v>3.1655887211519997E-2</v>
      </c>
      <c r="P69" s="510">
        <f>SUMIFS('Goals 2026'!I:I,'Goals 2026'!B:B,Smry!D69,'Goals 2026'!C:C,Smry!F69,'Goals 2026'!E:E,Smry!$B$62)</f>
        <v>0</v>
      </c>
      <c r="Q69" s="510">
        <f>SUMIFS('Goals 2026'!J:J,'Goals 2026'!B:B,Smry!D69,'Goals 2026'!C:C,Smry!F69,'Goals 2026'!E:E,Smry!$B$62)</f>
        <v>1.8201425424436798E-2</v>
      </c>
      <c r="R69" s="510">
        <f>SUMIFS('Goals 2026'!K:K,'Goals 2026'!B:B,Smry!D69,'Goals 2026'!C:C,Smry!F69,'Goals 2026'!E:E,Smry!$B$62)</f>
        <v>0</v>
      </c>
    </row>
    <row r="70" spans="1:18" outlineLevel="2">
      <c r="A70" s="480"/>
      <c r="B70" s="483" t="s">
        <v>29</v>
      </c>
      <c r="C70" s="502"/>
      <c r="D70" s="483" t="s">
        <v>180</v>
      </c>
      <c r="E70" s="502"/>
      <c r="F70" s="483" t="s">
        <v>23</v>
      </c>
      <c r="G70" s="392"/>
      <c r="H70" s="484">
        <f t="shared" si="4"/>
        <v>6</v>
      </c>
      <c r="I70" s="484">
        <f>SUMIFS('Goals 2026'!M:M,'Goals 2026'!B:B,Smry!D70,'Goals 2026'!C:C,Smry!F70,'Goals 2026'!E:E,Smry!$B$62)</f>
        <v>2</v>
      </c>
      <c r="J70" s="484">
        <f>SUMIFS('Goals 2026'!N:N,'Goals 2026'!B:B,Smry!D70,'Goals 2026'!C:C,Smry!F70,'Goals 2026'!E:E,Smry!$B$62)</f>
        <v>3</v>
      </c>
      <c r="K70" s="484">
        <f>SUMIFS('Goals 2026'!O:O,'Goals 2026'!B:B,Smry!D70,'Goals 2026'!C:C,Smry!F70,'Goals 2026'!E:E,Smry!$B$62)</f>
        <v>1</v>
      </c>
      <c r="L70" s="484">
        <f>SUMIFS('Goals 2026'!P:P,'Goals 2026'!B:B,Smry!D70,'Goals 2026'!C:C,Smry!F70,'Goals 2026'!E:E,Smry!$B$62)</f>
        <v>0</v>
      </c>
      <c r="M70" s="482"/>
      <c r="N70" s="510">
        <f t="shared" si="5"/>
        <v>0.14769089302499999</v>
      </c>
      <c r="O70" s="510">
        <f>SUMIFS('Goals 2026'!H:H,'Goals 2026'!B:B,Smry!D70,'Goals 2026'!C:C,Smry!F70,'Goals 2026'!E:E,Smry!$B$62)</f>
        <v>4.7122779914999996E-2</v>
      </c>
      <c r="P70" s="510">
        <f>SUMIFS('Goals 2026'!I:I,'Goals 2026'!B:B,Smry!D70,'Goals 2026'!C:C,Smry!F70,'Goals 2026'!E:E,Smry!$B$62)</f>
        <v>8.4267780434999995E-2</v>
      </c>
      <c r="Q70" s="510">
        <f>SUMIFS('Goals 2026'!J:J,'Goals 2026'!B:B,Smry!D70,'Goals 2026'!C:C,Smry!F70,'Goals 2026'!E:E,Smry!$B$62)</f>
        <v>1.6300332674999998E-2</v>
      </c>
      <c r="R70" s="510">
        <f>SUMIFS('Goals 2026'!K:K,'Goals 2026'!B:B,Smry!D70,'Goals 2026'!C:C,Smry!F70,'Goals 2026'!E:E,Smry!$B$62)</f>
        <v>0</v>
      </c>
    </row>
    <row r="71" spans="1:18" outlineLevel="2">
      <c r="A71" s="480"/>
      <c r="B71" s="483" t="s">
        <v>29</v>
      </c>
      <c r="C71" s="502"/>
      <c r="D71" s="483" t="s">
        <v>362</v>
      </c>
      <c r="E71" s="502"/>
      <c r="F71" s="483" t="s">
        <v>363</v>
      </c>
      <c r="G71" s="392"/>
      <c r="H71" s="484">
        <f>SUM(I71:L71)</f>
        <v>23</v>
      </c>
      <c r="I71" s="484">
        <f>SUMIFS('Goals 2026'!M:M,'Goals 2026'!B:B,Smry!D71,'Goals 2026'!C:C,Smry!F71,'Goals 2026'!E:E,Smry!$B$62)</f>
        <v>5</v>
      </c>
      <c r="J71" s="484">
        <f>SUMIFS('Goals 2026'!N:N,'Goals 2026'!B:B,Smry!D71,'Goals 2026'!C:C,Smry!F71,'Goals 2026'!E:E,Smry!$B$62)</f>
        <v>2</v>
      </c>
      <c r="K71" s="484">
        <f>SUMIFS('Goals 2026'!O:O,'Goals 2026'!B:B,Smry!D71,'Goals 2026'!C:C,Smry!F71,'Goals 2026'!E:E,Smry!$B$62)</f>
        <v>9</v>
      </c>
      <c r="L71" s="484">
        <f>SUMIFS('Goals 2026'!P:P,'Goals 2026'!B:B,Smry!D71,'Goals 2026'!C:C,Smry!F71,'Goals 2026'!E:E,Smry!$B$62)</f>
        <v>7</v>
      </c>
      <c r="M71" s="482"/>
      <c r="N71" s="510">
        <f>SUM(O71:R71)</f>
        <v>2.9539607969348385</v>
      </c>
      <c r="O71" s="510">
        <f>SUMIFS('Goals 2026'!H:H,'Goals 2026'!B:B,Smry!D71,'Goals 2026'!C:C,Smry!F71,'Goals 2026'!E:E,Smry!$B$62)</f>
        <v>2.1646138109098385</v>
      </c>
      <c r="P71" s="510">
        <f>SUMIFS('Goals 2026'!I:I,'Goals 2026'!B:B,Smry!D71,'Goals 2026'!C:C,Smry!F71,'Goals 2026'!E:E,Smry!$B$62)</f>
        <v>0.10236453390000001</v>
      </c>
      <c r="Q71" s="510">
        <f>SUMIFS('Goals 2026'!J:J,'Goals 2026'!B:B,Smry!D71,'Goals 2026'!C:C,Smry!F71,'Goals 2026'!E:E,Smry!$B$62)</f>
        <v>0.40148764181500002</v>
      </c>
      <c r="R71" s="510">
        <f>SUMIFS('Goals 2026'!K:K,'Goals 2026'!B:B,Smry!D71,'Goals 2026'!C:C,Smry!F71,'Goals 2026'!E:E,Smry!$B$62)</f>
        <v>0.28549481031000001</v>
      </c>
    </row>
    <row r="72" spans="1:18" outlineLevel="2">
      <c r="A72" s="480"/>
      <c r="B72" s="483" t="s">
        <v>29</v>
      </c>
      <c r="C72" s="502"/>
      <c r="D72" s="483" t="s">
        <v>194</v>
      </c>
      <c r="E72" s="502"/>
      <c r="F72" s="483" t="s">
        <v>136</v>
      </c>
      <c r="G72" s="392"/>
      <c r="H72" s="484">
        <f t="shared" si="4"/>
        <v>1</v>
      </c>
      <c r="I72" s="484">
        <f>SUMIFS('Goals 2026'!M:M,'Goals 2026'!B:B,Smry!D72,'Goals 2026'!C:C,Smry!F72,'Goals 2026'!E:E,Smry!$B$62)</f>
        <v>1</v>
      </c>
      <c r="J72" s="484">
        <f>SUMIFS('Goals 2026'!N:N,'Goals 2026'!B:B,Smry!D72,'Goals 2026'!C:C,Smry!F72,'Goals 2026'!E:E,Smry!$B$62)</f>
        <v>0</v>
      </c>
      <c r="K72" s="484">
        <f>SUMIFS('Goals 2026'!O:O,'Goals 2026'!B:B,Smry!D72,'Goals 2026'!C:C,Smry!F72,'Goals 2026'!E:E,Smry!$B$62)</f>
        <v>0</v>
      </c>
      <c r="L72" s="484">
        <f>SUMIFS('Goals 2026'!P:P,'Goals 2026'!B:B,Smry!D72,'Goals 2026'!C:C,Smry!F72,'Goals 2026'!E:E,Smry!$B$62)</f>
        <v>0</v>
      </c>
      <c r="M72" s="482"/>
      <c r="N72" s="510">
        <f t="shared" si="5"/>
        <v>0.04</v>
      </c>
      <c r="O72" s="510">
        <f>SUMIFS('Goals 2026'!H:H,'Goals 2026'!B:B,Smry!D72,'Goals 2026'!C:C,Smry!F72,'Goals 2026'!E:E,Smry!$B$62)</f>
        <v>0.04</v>
      </c>
      <c r="P72" s="510">
        <f>SUMIFS('Goals 2026'!I:I,'Goals 2026'!B:B,Smry!D72,'Goals 2026'!C:C,Smry!F72,'Goals 2026'!E:E,Smry!$B$62)</f>
        <v>0</v>
      </c>
      <c r="Q72" s="510">
        <f>SUMIFS('Goals 2026'!J:J,'Goals 2026'!B:B,Smry!D72,'Goals 2026'!C:C,Smry!F72,'Goals 2026'!E:E,Smry!$B$62)</f>
        <v>0</v>
      </c>
      <c r="R72" s="510">
        <f>SUMIFS('Goals 2026'!K:K,'Goals 2026'!B:B,Smry!D72,'Goals 2026'!C:C,Smry!F72,'Goals 2026'!E:E,Smry!$B$62)</f>
        <v>0</v>
      </c>
    </row>
    <row r="73" spans="1:18" outlineLevel="2">
      <c r="A73" s="480"/>
      <c r="B73" s="483" t="s">
        <v>29</v>
      </c>
      <c r="C73" s="502"/>
      <c r="D73" s="483" t="s">
        <v>200</v>
      </c>
      <c r="E73" s="502"/>
      <c r="F73" s="483" t="s">
        <v>200</v>
      </c>
      <c r="G73" s="392"/>
      <c r="H73" s="484">
        <f t="shared" si="4"/>
        <v>6</v>
      </c>
      <c r="I73" s="484">
        <f>SUMIFS('Goals 2026'!M:M,'Goals 2026'!B:B,Smry!D73,'Goals 2026'!C:C,Smry!F73,'Goals 2026'!E:E,Smry!$B$62)</f>
        <v>4</v>
      </c>
      <c r="J73" s="484">
        <f>SUMIFS('Goals 2026'!N:N,'Goals 2026'!B:B,Smry!D73,'Goals 2026'!C:C,Smry!F73,'Goals 2026'!E:E,Smry!$B$62)</f>
        <v>2</v>
      </c>
      <c r="K73" s="484">
        <f>SUMIFS('Goals 2026'!O:O,'Goals 2026'!B:B,Smry!D73,'Goals 2026'!C:C,Smry!F73,'Goals 2026'!E:E,Smry!$B$62)</f>
        <v>0</v>
      </c>
      <c r="L73" s="484">
        <f>SUMIFS('Goals 2026'!P:P,'Goals 2026'!B:B,Smry!D73,'Goals 2026'!C:C,Smry!F73,'Goals 2026'!E:E,Smry!$B$62)</f>
        <v>0</v>
      </c>
      <c r="M73" s="482"/>
      <c r="N73" s="510">
        <f t="shared" si="5"/>
        <v>0.49857201916449839</v>
      </c>
      <c r="O73" s="510">
        <f>SUMIFS('Goals 2026'!H:H,'Goals 2026'!B:B,Smry!D73,'Goals 2026'!C:C,Smry!F73,'Goals 2026'!E:E,Smry!$B$62)</f>
        <v>0.32421103968587378</v>
      </c>
      <c r="P73" s="510">
        <f>SUMIFS('Goals 2026'!I:I,'Goals 2026'!B:B,Smry!D73,'Goals 2026'!C:C,Smry!F73,'Goals 2026'!E:E,Smry!$B$62)</f>
        <v>0.17436097947862461</v>
      </c>
      <c r="Q73" s="510">
        <f>SUMIFS('Goals 2026'!J:J,'Goals 2026'!B:B,Smry!D73,'Goals 2026'!C:C,Smry!F73,'Goals 2026'!E:E,Smry!$B$62)</f>
        <v>0</v>
      </c>
      <c r="R73" s="510">
        <f>SUMIFS('Goals 2026'!K:K,'Goals 2026'!B:B,Smry!D73,'Goals 2026'!C:C,Smry!F73,'Goals 2026'!E:E,Smry!$B$62)</f>
        <v>0</v>
      </c>
    </row>
    <row r="74" spans="1:18" outlineLevel="2">
      <c r="A74" s="480"/>
      <c r="B74" s="483" t="s">
        <v>29</v>
      </c>
      <c r="C74" s="502"/>
      <c r="D74" s="483" t="s">
        <v>212</v>
      </c>
      <c r="E74" s="502"/>
      <c r="F74" s="483" t="s">
        <v>212</v>
      </c>
      <c r="G74" s="392"/>
      <c r="H74" s="484">
        <f t="shared" si="4"/>
        <v>11</v>
      </c>
      <c r="I74" s="484">
        <f>SUMIFS('Goals 2026'!M:M,'Goals 2026'!B:B,Smry!D74,'Goals 2026'!C:C,Smry!F74,'Goals 2026'!E:E,Smry!$B$62)</f>
        <v>1</v>
      </c>
      <c r="J74" s="484">
        <f>SUMIFS('Goals 2026'!N:N,'Goals 2026'!B:B,Smry!D74,'Goals 2026'!C:C,Smry!F74,'Goals 2026'!E:E,Smry!$B$62)</f>
        <v>1</v>
      </c>
      <c r="K74" s="484">
        <f>SUMIFS('Goals 2026'!O:O,'Goals 2026'!B:B,Smry!D74,'Goals 2026'!C:C,Smry!F74,'Goals 2026'!E:E,Smry!$B$62)</f>
        <v>1</v>
      </c>
      <c r="L74" s="484">
        <f>SUMIFS('Goals 2026'!P:P,'Goals 2026'!B:B,Smry!D74,'Goals 2026'!C:C,Smry!F74,'Goals 2026'!E:E,Smry!$B$62)</f>
        <v>8</v>
      </c>
      <c r="M74" s="482"/>
      <c r="N74" s="510">
        <f t="shared" si="5"/>
        <v>0.53636436143211974</v>
      </c>
      <c r="O74" s="510">
        <f>SUMIFS('Goals 2026'!H:H,'Goals 2026'!B:B,Smry!D74,'Goals 2026'!C:C,Smry!F74,'Goals 2026'!E:E,Smry!$B$62)</f>
        <v>3.6853334887931043E-2</v>
      </c>
      <c r="P74" s="510">
        <f>SUMIFS('Goals 2026'!I:I,'Goals 2026'!B:B,Smry!D74,'Goals 2026'!C:C,Smry!F74,'Goals 2026'!E:E,Smry!$B$62)</f>
        <v>0.12284444962643681</v>
      </c>
      <c r="Q74" s="510">
        <f>SUMIFS('Goals 2026'!J:J,'Goals 2026'!B:B,Smry!D74,'Goals 2026'!C:C,Smry!F74,'Goals 2026'!E:E,Smry!$B$62)</f>
        <v>0.10269917259520001</v>
      </c>
      <c r="R74" s="510">
        <f>SUMIFS('Goals 2026'!K:K,'Goals 2026'!B:B,Smry!D74,'Goals 2026'!C:C,Smry!F74,'Goals 2026'!E:E,Smry!$B$62)</f>
        <v>0.27396740432255184</v>
      </c>
    </row>
    <row r="75" spans="1:18" outlineLevel="2">
      <c r="A75" s="480"/>
      <c r="B75" s="483" t="s">
        <v>29</v>
      </c>
      <c r="C75" s="502"/>
      <c r="D75" s="483" t="s">
        <v>263</v>
      </c>
      <c r="E75" s="502"/>
      <c r="F75" s="483" t="s">
        <v>263</v>
      </c>
      <c r="G75" s="392"/>
      <c r="H75" s="484">
        <f t="shared" si="4"/>
        <v>3</v>
      </c>
      <c r="I75" s="484">
        <f>SUMIFS('Goals 2026'!M:M,'Goals 2026'!B:B,Smry!D75,'Goals 2026'!C:C,Smry!F75,'Goals 2026'!E:E,Smry!$B$62)</f>
        <v>2</v>
      </c>
      <c r="J75" s="484">
        <f>SUMIFS('Goals 2026'!N:N,'Goals 2026'!B:B,Smry!D75,'Goals 2026'!C:C,Smry!F75,'Goals 2026'!E:E,Smry!$B$62)</f>
        <v>1</v>
      </c>
      <c r="K75" s="484">
        <f>SUMIFS('Goals 2026'!O:O,'Goals 2026'!B:B,Smry!D75,'Goals 2026'!C:C,Smry!F75,'Goals 2026'!E:E,Smry!$B$62)</f>
        <v>0</v>
      </c>
      <c r="L75" s="484">
        <f>SUMIFS('Goals 2026'!P:P,'Goals 2026'!B:B,Smry!D75,'Goals 2026'!C:C,Smry!F75,'Goals 2026'!E:E,Smry!$B$62)</f>
        <v>0</v>
      </c>
      <c r="M75" s="482"/>
      <c r="N75" s="510">
        <f t="shared" si="5"/>
        <v>6.447871895E-2</v>
      </c>
      <c r="O75" s="510">
        <f>SUMIFS('Goals 2026'!H:H,'Goals 2026'!B:B,Smry!D75,'Goals 2026'!C:C,Smry!F75,'Goals 2026'!E:E,Smry!$B$62)</f>
        <v>2.1397857699999998E-2</v>
      </c>
      <c r="P75" s="510">
        <f>SUMIFS('Goals 2026'!I:I,'Goals 2026'!B:B,Smry!D75,'Goals 2026'!C:C,Smry!F75,'Goals 2026'!E:E,Smry!$B$62)</f>
        <v>4.3080861250000005E-2</v>
      </c>
      <c r="Q75" s="510">
        <f>SUMIFS('Goals 2026'!J:J,'Goals 2026'!B:B,Smry!D75,'Goals 2026'!C:C,Smry!F75,'Goals 2026'!E:E,Smry!$B$62)</f>
        <v>0</v>
      </c>
      <c r="R75" s="510">
        <f>SUMIFS('Goals 2026'!K:K,'Goals 2026'!B:B,Smry!D75,'Goals 2026'!C:C,Smry!F75,'Goals 2026'!E:E,Smry!$B$62)</f>
        <v>0</v>
      </c>
    </row>
    <row r="76" spans="1:18" outlineLevel="2">
      <c r="A76" s="480"/>
      <c r="B76" s="483" t="s">
        <v>29</v>
      </c>
      <c r="C76" s="502"/>
      <c r="D76" s="483" t="s">
        <v>276</v>
      </c>
      <c r="E76" s="392"/>
      <c r="F76" s="483" t="s">
        <v>276</v>
      </c>
      <c r="G76" s="392"/>
      <c r="H76" s="484">
        <f t="shared" si="4"/>
        <v>12</v>
      </c>
      <c r="I76" s="484">
        <f>SUMIFS('Goals 2026'!M:M,'Goals 2026'!B:B,Smry!D76,'Goals 2026'!C:C,Smry!F76,'Goals 2026'!E:E,Smry!$B$62)</f>
        <v>0</v>
      </c>
      <c r="J76" s="484">
        <f>SUMIFS('Goals 2026'!N:N,'Goals 2026'!B:B,Smry!D76,'Goals 2026'!C:C,Smry!F76,'Goals 2026'!E:E,Smry!$B$62)</f>
        <v>6</v>
      </c>
      <c r="K76" s="484">
        <f>SUMIFS('Goals 2026'!O:O,'Goals 2026'!B:B,Smry!D76,'Goals 2026'!C:C,Smry!F76,'Goals 2026'!E:E,Smry!$B$62)</f>
        <v>5</v>
      </c>
      <c r="L76" s="484">
        <f>SUMIFS('Goals 2026'!P:P,'Goals 2026'!B:B,Smry!D76,'Goals 2026'!C:C,Smry!F76,'Goals 2026'!E:E,Smry!$B$62)</f>
        <v>1</v>
      </c>
      <c r="M76" s="482"/>
      <c r="N76" s="510">
        <f t="shared" si="5"/>
        <v>0.26598812575999997</v>
      </c>
      <c r="O76" s="510">
        <f>SUMIFS('Goals 2026'!H:H,'Goals 2026'!B:B,Smry!D76,'Goals 2026'!C:C,Smry!F76,'Goals 2026'!E:E,Smry!$B$62)</f>
        <v>0</v>
      </c>
      <c r="P76" s="510">
        <f>SUMIFS('Goals 2026'!I:I,'Goals 2026'!B:B,Smry!D76,'Goals 2026'!C:C,Smry!F76,'Goals 2026'!E:E,Smry!$B$62)</f>
        <v>9.4039280160000016E-2</v>
      </c>
      <c r="Q76" s="510">
        <f>SUMIFS('Goals 2026'!J:J,'Goals 2026'!B:B,Smry!D76,'Goals 2026'!C:C,Smry!F76,'Goals 2026'!E:E,Smry!$B$62)</f>
        <v>0.14179429487999998</v>
      </c>
      <c r="R76" s="510">
        <f>SUMIFS('Goals 2026'!K:K,'Goals 2026'!B:B,Smry!D76,'Goals 2026'!C:C,Smry!F76,'Goals 2026'!E:E,Smry!$B$62)</f>
        <v>3.0154550720000006E-2</v>
      </c>
    </row>
    <row r="77" spans="1:18" outlineLevel="2">
      <c r="A77" s="480"/>
      <c r="B77" s="483" t="s">
        <v>29</v>
      </c>
      <c r="C77" s="502"/>
      <c r="D77" s="483" t="s">
        <v>285</v>
      </c>
      <c r="E77" s="502"/>
      <c r="F77" s="483" t="s">
        <v>285</v>
      </c>
      <c r="G77" s="392"/>
      <c r="H77" s="484">
        <f t="shared" si="4"/>
        <v>0</v>
      </c>
      <c r="I77" s="484">
        <f>SUMIFS('Goals 2026'!M:M,'Goals 2026'!B:B,Smry!D77,'Goals 2026'!C:C,Smry!F77,'Goals 2026'!E:E,Smry!$B$62)</f>
        <v>0</v>
      </c>
      <c r="J77" s="484">
        <f>SUMIFS('Goals 2026'!N:N,'Goals 2026'!B:B,Smry!D77,'Goals 2026'!C:C,Smry!F77,'Goals 2026'!E:E,Smry!$B$62)</f>
        <v>0</v>
      </c>
      <c r="K77" s="484">
        <f>SUMIFS('Goals 2026'!O:O,'Goals 2026'!B:B,Smry!D77,'Goals 2026'!C:C,Smry!F77,'Goals 2026'!E:E,Smry!$B$62)</f>
        <v>0</v>
      </c>
      <c r="L77" s="484">
        <f>SUMIFS('Goals 2026'!P:P,'Goals 2026'!B:B,Smry!D77,'Goals 2026'!C:C,Smry!F77,'Goals 2026'!E:E,Smry!$B$62)</f>
        <v>0</v>
      </c>
      <c r="M77" s="482"/>
      <c r="N77" s="510">
        <f t="shared" si="5"/>
        <v>0</v>
      </c>
      <c r="O77" s="510">
        <f>SUMIFS('Goals 2026'!H:H,'Goals 2026'!B:B,Smry!D77,'Goals 2026'!C:C,Smry!F77,'Goals 2026'!E:E,Smry!$B$62)</f>
        <v>0</v>
      </c>
      <c r="P77" s="510">
        <f>SUMIFS('Goals 2026'!I:I,'Goals 2026'!B:B,Smry!D77,'Goals 2026'!C:C,Smry!F77,'Goals 2026'!E:E,Smry!$B$62)</f>
        <v>0</v>
      </c>
      <c r="Q77" s="510">
        <f>SUMIFS('Goals 2026'!J:J,'Goals 2026'!B:B,Smry!D77,'Goals 2026'!C:C,Smry!F77,'Goals 2026'!E:E,Smry!$B$62)</f>
        <v>0</v>
      </c>
      <c r="R77" s="510">
        <f>SUMIFS('Goals 2026'!K:K,'Goals 2026'!B:B,Smry!D77,'Goals 2026'!C:C,Smry!F77,'Goals 2026'!E:E,Smry!$B$62)</f>
        <v>0</v>
      </c>
    </row>
    <row r="78" spans="1:18" outlineLevel="2">
      <c r="A78" s="480"/>
      <c r="B78" s="483" t="s">
        <v>29</v>
      </c>
      <c r="C78" s="502"/>
      <c r="D78" s="483" t="s">
        <v>288</v>
      </c>
      <c r="E78" s="502"/>
      <c r="F78" s="483" t="s">
        <v>288</v>
      </c>
      <c r="G78" s="392"/>
      <c r="H78" s="484">
        <f t="shared" si="4"/>
        <v>0</v>
      </c>
      <c r="I78" s="484">
        <f>SUMIFS('Goals 2026'!M:M,'Goals 2026'!B:B,Smry!D78,'Goals 2026'!C:C,Smry!F78,'Goals 2026'!E:E,Smry!$B$62)</f>
        <v>0</v>
      </c>
      <c r="J78" s="484">
        <f>SUMIFS('Goals 2026'!N:N,'Goals 2026'!B:B,Smry!D78,'Goals 2026'!C:C,Smry!F78,'Goals 2026'!E:E,Smry!$B$62)</f>
        <v>0</v>
      </c>
      <c r="K78" s="484">
        <f>SUMIFS('Goals 2026'!O:O,'Goals 2026'!B:B,Smry!D78,'Goals 2026'!C:C,Smry!F78,'Goals 2026'!E:E,Smry!$B$62)</f>
        <v>0</v>
      </c>
      <c r="L78" s="484">
        <f>SUMIFS('Goals 2026'!P:P,'Goals 2026'!B:B,Smry!D78,'Goals 2026'!C:C,Smry!F78,'Goals 2026'!E:E,Smry!$B$62)</f>
        <v>0</v>
      </c>
      <c r="M78" s="482"/>
      <c r="N78" s="510">
        <f t="shared" si="5"/>
        <v>0</v>
      </c>
      <c r="O78" s="510">
        <f>SUMIFS('Goals 2026'!H:H,'Goals 2026'!B:B,Smry!D78,'Goals 2026'!C:C,Smry!F78,'Goals 2026'!E:E,Smry!$B$62)</f>
        <v>0</v>
      </c>
      <c r="P78" s="510">
        <f>SUMIFS('Goals 2026'!I:I,'Goals 2026'!B:B,Smry!D78,'Goals 2026'!C:C,Smry!F78,'Goals 2026'!E:E,Smry!$B$62)</f>
        <v>0</v>
      </c>
      <c r="Q78" s="510">
        <f>SUMIFS('Goals 2026'!J:J,'Goals 2026'!B:B,Smry!D78,'Goals 2026'!C:C,Smry!F78,'Goals 2026'!E:E,Smry!$B$62)</f>
        <v>0</v>
      </c>
      <c r="R78" s="510">
        <f>SUMIFS('Goals 2026'!K:K,'Goals 2026'!B:B,Smry!D78,'Goals 2026'!C:C,Smry!F78,'Goals 2026'!E:E,Smry!$B$62)</f>
        <v>0</v>
      </c>
    </row>
    <row r="79" spans="1:18" outlineLevel="2">
      <c r="A79" s="480"/>
      <c r="B79" s="483" t="s">
        <v>29</v>
      </c>
      <c r="C79" s="502"/>
      <c r="D79" s="483" t="s">
        <v>290</v>
      </c>
      <c r="E79" s="502"/>
      <c r="F79" s="483" t="s">
        <v>291</v>
      </c>
      <c r="G79" s="392"/>
      <c r="H79" s="484">
        <f t="shared" si="4"/>
        <v>9</v>
      </c>
      <c r="I79" s="484">
        <f>SUMIFS('Goals 2026'!M:M,'Goals 2026'!B:B,Smry!D79,'Goals 2026'!C:C,Smry!F79,'Goals 2026'!E:E,Smry!$B$62)</f>
        <v>3</v>
      </c>
      <c r="J79" s="484">
        <f>SUMIFS('Goals 2026'!N:N,'Goals 2026'!B:B,Smry!D79,'Goals 2026'!C:C,Smry!F79,'Goals 2026'!E:E,Smry!$B$62)</f>
        <v>5</v>
      </c>
      <c r="K79" s="484">
        <f>SUMIFS('Goals 2026'!O:O,'Goals 2026'!B:B,Smry!D79,'Goals 2026'!C:C,Smry!F79,'Goals 2026'!E:E,Smry!$B$62)</f>
        <v>1</v>
      </c>
      <c r="L79" s="484">
        <f>SUMIFS('Goals 2026'!P:P,'Goals 2026'!B:B,Smry!D79,'Goals 2026'!C:C,Smry!F79,'Goals 2026'!E:E,Smry!$B$62)</f>
        <v>0</v>
      </c>
      <c r="M79" s="482"/>
      <c r="N79" s="510">
        <f t="shared" si="5"/>
        <v>7.4400000000000008E-2</v>
      </c>
      <c r="O79" s="510">
        <f>SUMIFS('Goals 2026'!H:H,'Goals 2026'!B:B,Smry!D79,'Goals 2026'!C:C,Smry!F79,'Goals 2026'!E:E,Smry!$B$62)</f>
        <v>1.6800000000000002E-2</v>
      </c>
      <c r="P79" s="510">
        <f>SUMIFS('Goals 2026'!I:I,'Goals 2026'!B:B,Smry!D79,'Goals 2026'!C:C,Smry!F79,'Goals 2026'!E:E,Smry!$B$62)</f>
        <v>5.2200000000000003E-2</v>
      </c>
      <c r="Q79" s="510">
        <f>SUMIFS('Goals 2026'!J:J,'Goals 2026'!B:B,Smry!D79,'Goals 2026'!C:C,Smry!F79,'Goals 2026'!E:E,Smry!$B$62)</f>
        <v>5.4000000000000003E-3</v>
      </c>
      <c r="R79" s="510">
        <f>SUMIFS('Goals 2026'!K:K,'Goals 2026'!B:B,Smry!D79,'Goals 2026'!C:C,Smry!F79,'Goals 2026'!E:E,Smry!$B$62)</f>
        <v>0</v>
      </c>
    </row>
    <row r="80" spans="1:18" outlineLevel="2">
      <c r="A80" s="480"/>
      <c r="B80" s="483" t="s">
        <v>29</v>
      </c>
      <c r="C80" s="502"/>
      <c r="D80" s="483" t="s">
        <v>293</v>
      </c>
      <c r="E80" s="392"/>
      <c r="F80" s="483" t="s">
        <v>294</v>
      </c>
      <c r="G80" s="392"/>
      <c r="H80" s="484">
        <f t="shared" si="4"/>
        <v>8</v>
      </c>
      <c r="I80" s="484">
        <f>SUMIFS('Goals 2026'!M:M,'Goals 2026'!B:B,Smry!D80,'Goals 2026'!C:C,Smry!F80,'Goals 2026'!E:E,Smry!$B$62)</f>
        <v>8</v>
      </c>
      <c r="J80" s="484">
        <f>SUMIFS('Goals 2026'!N:N,'Goals 2026'!B:B,Smry!D80,'Goals 2026'!C:C,Smry!F80,'Goals 2026'!E:E,Smry!$B$62)</f>
        <v>0</v>
      </c>
      <c r="K80" s="484">
        <f>SUMIFS('Goals 2026'!O:O,'Goals 2026'!B:B,Smry!D80,'Goals 2026'!C:C,Smry!F80,'Goals 2026'!E:E,Smry!$B$62)</f>
        <v>0</v>
      </c>
      <c r="L80" s="484">
        <f>SUMIFS('Goals 2026'!P:P,'Goals 2026'!B:B,Smry!D80,'Goals 2026'!C:C,Smry!F80,'Goals 2026'!E:E,Smry!$B$62)</f>
        <v>0</v>
      </c>
      <c r="M80" s="482"/>
      <c r="N80" s="510">
        <f t="shared" si="5"/>
        <v>0.23026800000000003</v>
      </c>
      <c r="O80" s="510">
        <f>SUMIFS('Goals 2026'!H:H,'Goals 2026'!B:B,Smry!D80,'Goals 2026'!C:C,Smry!F80,'Goals 2026'!E:E,Smry!$B$62)</f>
        <v>0.23026800000000003</v>
      </c>
      <c r="P80" s="510">
        <f>SUMIFS('Goals 2026'!I:I,'Goals 2026'!B:B,Smry!D80,'Goals 2026'!C:C,Smry!F80,'Goals 2026'!E:E,Smry!$B$62)</f>
        <v>0</v>
      </c>
      <c r="Q80" s="510">
        <f>SUMIFS('Goals 2026'!J:J,'Goals 2026'!B:B,Smry!D80,'Goals 2026'!C:C,Smry!F80,'Goals 2026'!E:E,Smry!$B$62)</f>
        <v>0</v>
      </c>
      <c r="R80" s="510">
        <f>SUMIFS('Goals 2026'!K:K,'Goals 2026'!B:B,Smry!D80,'Goals 2026'!C:C,Smry!F80,'Goals 2026'!E:E,Smry!$B$62)</f>
        <v>0</v>
      </c>
    </row>
    <row r="81" spans="1:18" outlineLevel="2">
      <c r="A81" s="480"/>
      <c r="B81" s="483" t="s">
        <v>29</v>
      </c>
      <c r="C81" s="502"/>
      <c r="D81" s="483" t="s">
        <v>297</v>
      </c>
      <c r="E81" s="392"/>
      <c r="F81" s="483" t="s">
        <v>298</v>
      </c>
      <c r="G81" s="392"/>
      <c r="H81" s="484">
        <f t="shared" si="4"/>
        <v>1</v>
      </c>
      <c r="I81" s="484">
        <f>SUMIFS('Goals 2026'!M:M,'Goals 2026'!B:B,Smry!D81,'Goals 2026'!C:C,Smry!F81,'Goals 2026'!E:E,Smry!$B$62)</f>
        <v>1</v>
      </c>
      <c r="J81" s="484">
        <f>SUMIFS('Goals 2026'!N:N,'Goals 2026'!B:B,Smry!D81,'Goals 2026'!C:C,Smry!F81,'Goals 2026'!E:E,Smry!$B$62)</f>
        <v>0</v>
      </c>
      <c r="K81" s="484">
        <f>SUMIFS('Goals 2026'!O:O,'Goals 2026'!B:B,Smry!D81,'Goals 2026'!C:C,Smry!F81,'Goals 2026'!E:E,Smry!$B$62)</f>
        <v>0</v>
      </c>
      <c r="L81" s="484">
        <f>SUMIFS('Goals 2026'!P:P,'Goals 2026'!B:B,Smry!D81,'Goals 2026'!C:C,Smry!F81,'Goals 2026'!E:E,Smry!$B$62)</f>
        <v>0</v>
      </c>
      <c r="M81" s="482"/>
      <c r="N81" s="510">
        <f t="shared" si="5"/>
        <v>1.13E-4</v>
      </c>
      <c r="O81" s="510">
        <f>SUMIFS('Goals 2026'!H:H,'Goals 2026'!B:B,Smry!D81,'Goals 2026'!C:C,Smry!F81,'Goals 2026'!E:E,Smry!$B$62)</f>
        <v>1.13E-4</v>
      </c>
      <c r="P81" s="510">
        <f>SUMIFS('Goals 2026'!I:I,'Goals 2026'!B:B,Smry!D81,'Goals 2026'!C:C,Smry!F81,'Goals 2026'!E:E,Smry!$B$62)</f>
        <v>0</v>
      </c>
      <c r="Q81" s="510">
        <f>SUMIFS('Goals 2026'!J:J,'Goals 2026'!B:B,Smry!D81,'Goals 2026'!C:C,Smry!F81,'Goals 2026'!E:E,Smry!$B$62)</f>
        <v>0</v>
      </c>
      <c r="R81" s="510">
        <f>SUMIFS('Goals 2026'!K:K,'Goals 2026'!B:B,Smry!D81,'Goals 2026'!C:C,Smry!F81,'Goals 2026'!E:E,Smry!$B$62)</f>
        <v>0</v>
      </c>
    </row>
    <row r="82" spans="1:18" outlineLevel="2">
      <c r="A82" s="480"/>
      <c r="B82" s="483" t="s">
        <v>29</v>
      </c>
      <c r="C82" s="502"/>
      <c r="D82" s="483" t="s">
        <v>305</v>
      </c>
      <c r="E82" s="502"/>
      <c r="F82" s="483" t="s">
        <v>306</v>
      </c>
      <c r="G82" s="392"/>
      <c r="H82" s="484">
        <f t="shared" si="4"/>
        <v>12</v>
      </c>
      <c r="I82" s="484">
        <f>SUMIFS('Goals 2026'!M:M,'Goals 2026'!B:B,Smry!D82,'Goals 2026'!C:C,Smry!F82,'Goals 2026'!E:E,Smry!$B$62)</f>
        <v>0</v>
      </c>
      <c r="J82" s="484">
        <f>SUMIFS('Goals 2026'!N:N,'Goals 2026'!B:B,Smry!D82,'Goals 2026'!C:C,Smry!F82,'Goals 2026'!E:E,Smry!$B$62)</f>
        <v>7</v>
      </c>
      <c r="K82" s="484">
        <f>SUMIFS('Goals 2026'!O:O,'Goals 2026'!B:B,Smry!D82,'Goals 2026'!C:C,Smry!F82,'Goals 2026'!E:E,Smry!$B$62)</f>
        <v>5</v>
      </c>
      <c r="L82" s="484">
        <f>SUMIFS('Goals 2026'!P:P,'Goals 2026'!B:B,Smry!D82,'Goals 2026'!C:C,Smry!F82,'Goals 2026'!E:E,Smry!$B$62)</f>
        <v>0</v>
      </c>
      <c r="M82" s="482"/>
      <c r="N82" s="510">
        <f t="shared" si="5"/>
        <v>0.33436961824</v>
      </c>
      <c r="O82" s="510">
        <f>SUMIFS('Goals 2026'!H:H,'Goals 2026'!B:B,Smry!D82,'Goals 2026'!C:C,Smry!F82,'Goals 2026'!E:E,Smry!$B$62)</f>
        <v>0</v>
      </c>
      <c r="P82" s="510">
        <f>SUMIFS('Goals 2026'!I:I,'Goals 2026'!B:B,Smry!D82,'Goals 2026'!C:C,Smry!F82,'Goals 2026'!E:E,Smry!$B$62)</f>
        <v>0.16934819215999997</v>
      </c>
      <c r="Q82" s="510">
        <f>SUMIFS('Goals 2026'!J:J,'Goals 2026'!B:B,Smry!D82,'Goals 2026'!C:C,Smry!F82,'Goals 2026'!E:E,Smry!$B$62)</f>
        <v>0.16502142608000001</v>
      </c>
      <c r="R82" s="510">
        <f>SUMIFS('Goals 2026'!K:K,'Goals 2026'!B:B,Smry!D82,'Goals 2026'!C:C,Smry!F82,'Goals 2026'!E:E,Smry!$B$62)</f>
        <v>0</v>
      </c>
    </row>
    <row r="83" spans="1:18" outlineLevel="2">
      <c r="A83" s="480"/>
      <c r="B83" s="483" t="s">
        <v>29</v>
      </c>
      <c r="C83" s="502"/>
      <c r="D83" s="386" t="s">
        <v>512</v>
      </c>
      <c r="E83" s="502"/>
      <c r="F83" s="386" t="s">
        <v>512</v>
      </c>
      <c r="G83" s="392"/>
      <c r="H83" s="484">
        <f t="shared" si="4"/>
        <v>16</v>
      </c>
      <c r="I83" s="484">
        <f>SUMIFS('Goals 2026'!M:M,'Goals 2026'!B:B,Smry!D83,'Goals 2026'!C:C,Smry!F83,'Goals 2026'!E:E,Smry!$B$62)</f>
        <v>7</v>
      </c>
      <c r="J83" s="484">
        <f>SUMIFS('Goals 2026'!N:N,'Goals 2026'!B:B,Smry!D83,'Goals 2026'!C:C,Smry!F83,'Goals 2026'!E:E,Smry!$B$62)</f>
        <v>0</v>
      </c>
      <c r="K83" s="484">
        <f>SUMIFS('Goals 2026'!O:O,'Goals 2026'!B:B,Smry!D83,'Goals 2026'!C:C,Smry!F83,'Goals 2026'!E:E,Smry!$B$62)</f>
        <v>6</v>
      </c>
      <c r="L83" s="484">
        <f>SUMIFS('Goals 2026'!P:P,'Goals 2026'!B:B,Smry!D83,'Goals 2026'!C:C,Smry!F83,'Goals 2026'!E:E,Smry!$B$62)</f>
        <v>3</v>
      </c>
      <c r="M83" s="482"/>
      <c r="N83" s="510">
        <f t="shared" si="5"/>
        <v>0</v>
      </c>
      <c r="O83" s="510">
        <f>SUMIFS('Goals 2026'!H:H,'Goals 2026'!B:B,Smry!D83,'Goals 2026'!C:C,Smry!F83,'Goals 2026'!E:E,Smry!$B$62)</f>
        <v>0</v>
      </c>
      <c r="P83" s="510">
        <f>SUMIFS('Goals 2026'!I:I,'Goals 2026'!B:B,Smry!D83,'Goals 2026'!C:C,Smry!F83,'Goals 2026'!E:E,Smry!$B$62)</f>
        <v>0</v>
      </c>
      <c r="Q83" s="510">
        <f>SUMIFS('Goals 2026'!J:J,'Goals 2026'!B:B,Smry!D83,'Goals 2026'!C:C,Smry!F83,'Goals 2026'!E:E,Smry!$B$62)</f>
        <v>0</v>
      </c>
      <c r="R83" s="510">
        <f>SUMIFS('Goals 2026'!K:K,'Goals 2026'!B:B,Smry!D83,'Goals 2026'!C:C,Smry!F83,'Goals 2026'!E:E,Smry!$B$62)</f>
        <v>0</v>
      </c>
    </row>
    <row r="84" spans="1:18" outlineLevel="2">
      <c r="A84" s="480"/>
      <c r="B84" s="483" t="s">
        <v>29</v>
      </c>
      <c r="C84" s="502"/>
      <c r="D84" s="483" t="s">
        <v>516</v>
      </c>
      <c r="E84" s="392"/>
      <c r="F84" s="483" t="s">
        <v>517</v>
      </c>
      <c r="G84" s="392"/>
      <c r="H84" s="484">
        <f t="shared" si="4"/>
        <v>8</v>
      </c>
      <c r="I84" s="484">
        <f>SUMIFS('Goals 2026'!M:M,'Goals 2026'!B:B,Smry!D84,'Goals 2026'!C:C,Smry!F84,'Goals 2026'!E:E,Smry!$B$62)</f>
        <v>3</v>
      </c>
      <c r="J84" s="484">
        <f>SUMIFS('Goals 2026'!N:N,'Goals 2026'!B:B,Smry!D84,'Goals 2026'!C:C,Smry!F84,'Goals 2026'!E:E,Smry!$B$62)</f>
        <v>2</v>
      </c>
      <c r="K84" s="484">
        <f>SUMIFS('Goals 2026'!O:O,'Goals 2026'!B:B,Smry!D84,'Goals 2026'!C:C,Smry!F84,'Goals 2026'!E:E,Smry!$B$62)</f>
        <v>2</v>
      </c>
      <c r="L84" s="484">
        <f>SUMIFS('Goals 2026'!P:P,'Goals 2026'!B:B,Smry!D84,'Goals 2026'!C:C,Smry!F84,'Goals 2026'!E:E,Smry!$B$62)</f>
        <v>1</v>
      </c>
      <c r="M84" s="482"/>
      <c r="N84" s="510">
        <f t="shared" si="5"/>
        <v>0.44999999999999996</v>
      </c>
      <c r="O84" s="510">
        <f>SUMIFS('Goals 2026'!H:H,'Goals 2026'!B:B,Smry!D84,'Goals 2026'!C:C,Smry!F84,'Goals 2026'!E:E,Smry!$B$62)</f>
        <v>0.15000000000000002</v>
      </c>
      <c r="P84" s="510">
        <f>SUMIFS('Goals 2026'!I:I,'Goals 2026'!B:B,Smry!D84,'Goals 2026'!C:C,Smry!F84,'Goals 2026'!E:E,Smry!$B$62)</f>
        <v>0.1</v>
      </c>
      <c r="Q84" s="510">
        <f>SUMIFS('Goals 2026'!J:J,'Goals 2026'!B:B,Smry!D84,'Goals 2026'!C:C,Smry!F84,'Goals 2026'!E:E,Smry!$B$62)</f>
        <v>0.1</v>
      </c>
      <c r="R84" s="510">
        <f>SUMIFS('Goals 2026'!K:K,'Goals 2026'!B:B,Smry!D84,'Goals 2026'!C:C,Smry!F84,'Goals 2026'!E:E,Smry!$B$62)</f>
        <v>0.1</v>
      </c>
    </row>
    <row r="85" spans="1:18" outlineLevel="2">
      <c r="A85" s="480"/>
      <c r="B85" s="483" t="s">
        <v>29</v>
      </c>
      <c r="C85" s="502"/>
      <c r="D85" s="483" t="s">
        <v>330</v>
      </c>
      <c r="E85" s="502"/>
      <c r="F85" s="483" t="s">
        <v>80</v>
      </c>
      <c r="G85" s="392"/>
      <c r="H85" s="484">
        <f t="shared" si="4"/>
        <v>20</v>
      </c>
      <c r="I85" s="484">
        <f>SUMIFS('Goals 2026'!M:M,'Goals 2026'!B:B,Smry!D85,'Goals 2026'!C:C,Smry!F85,'Goals 2026'!E:E,Smry!$B$62)</f>
        <v>4</v>
      </c>
      <c r="J85" s="484">
        <f>SUMIFS('Goals 2026'!N:N,'Goals 2026'!B:B,Smry!D85,'Goals 2026'!C:C,Smry!F85,'Goals 2026'!E:E,Smry!$B$62)</f>
        <v>2</v>
      </c>
      <c r="K85" s="484">
        <f>SUMIFS('Goals 2026'!O:O,'Goals 2026'!B:B,Smry!D85,'Goals 2026'!C:C,Smry!F85,'Goals 2026'!E:E,Smry!$B$62)</f>
        <v>6</v>
      </c>
      <c r="L85" s="484">
        <f>SUMIFS('Goals 2026'!P:P,'Goals 2026'!B:B,Smry!D85,'Goals 2026'!C:C,Smry!F85,'Goals 2026'!E:E,Smry!$B$62)</f>
        <v>8</v>
      </c>
      <c r="M85" s="482"/>
      <c r="N85" s="510">
        <f t="shared" si="5"/>
        <v>1.9380886625000002</v>
      </c>
      <c r="O85" s="510">
        <f>SUMIFS('Goals 2026'!H:H,'Goals 2026'!B:B,Smry!D85,'Goals 2026'!C:C,Smry!F85,'Goals 2026'!E:E,Smry!$B$62)</f>
        <v>0.16686000000000001</v>
      </c>
      <c r="P85" s="510">
        <f>SUMIFS('Goals 2026'!I:I,'Goals 2026'!B:B,Smry!D85,'Goals 2026'!C:C,Smry!F85,'Goals 2026'!E:E,Smry!$B$62)</f>
        <v>0.17</v>
      </c>
      <c r="Q85" s="510">
        <f>SUMIFS('Goals 2026'!J:J,'Goals 2026'!B:B,Smry!D85,'Goals 2026'!C:C,Smry!F85,'Goals 2026'!E:E,Smry!$B$62)</f>
        <v>0.82401149250000005</v>
      </c>
      <c r="R85" s="510">
        <f>SUMIFS('Goals 2026'!K:K,'Goals 2026'!B:B,Smry!D85,'Goals 2026'!C:C,Smry!F85,'Goals 2026'!E:E,Smry!$B$62)</f>
        <v>0.77721717000000001</v>
      </c>
    </row>
    <row r="86" spans="1:18" outlineLevel="2">
      <c r="A86" s="480"/>
      <c r="B86" s="483" t="s">
        <v>29</v>
      </c>
      <c r="C86" s="502"/>
      <c r="D86" s="483" t="s">
        <v>349</v>
      </c>
      <c r="E86" s="392"/>
      <c r="F86" s="483" t="s">
        <v>30</v>
      </c>
      <c r="G86" s="392"/>
      <c r="H86" s="484">
        <f t="shared" si="4"/>
        <v>12</v>
      </c>
      <c r="I86" s="484">
        <f>SUMIFS('Goals 2026'!M:M,'Goals 2026'!B:B,Smry!D86,'Goals 2026'!C:C,Smry!F86,'Goals 2026'!E:E,Smry!$B$62)</f>
        <v>4</v>
      </c>
      <c r="J86" s="484">
        <f>SUMIFS('Goals 2026'!N:N,'Goals 2026'!B:B,Smry!D86,'Goals 2026'!C:C,Smry!F86,'Goals 2026'!E:E,Smry!$B$62)</f>
        <v>4</v>
      </c>
      <c r="K86" s="484">
        <f>SUMIFS('Goals 2026'!O:O,'Goals 2026'!B:B,Smry!D86,'Goals 2026'!C:C,Smry!F86,'Goals 2026'!E:E,Smry!$B$62)</f>
        <v>1</v>
      </c>
      <c r="L86" s="484">
        <f>SUMIFS('Goals 2026'!P:P,'Goals 2026'!B:B,Smry!D86,'Goals 2026'!C:C,Smry!F86,'Goals 2026'!E:E,Smry!$B$62)</f>
        <v>3</v>
      </c>
      <c r="M86" s="482"/>
      <c r="N86" s="510">
        <f t="shared" si="5"/>
        <v>0.33951068800000006</v>
      </c>
      <c r="O86" s="510">
        <f>SUMIFS('Goals 2026'!H:H,'Goals 2026'!B:B,Smry!D86,'Goals 2026'!C:C,Smry!F86,'Goals 2026'!E:E,Smry!$B$62)</f>
        <v>7.6409520000000009E-2</v>
      </c>
      <c r="P86" s="510">
        <f>SUMIFS('Goals 2026'!I:I,'Goals 2026'!B:B,Smry!D86,'Goals 2026'!C:C,Smry!F86,'Goals 2026'!E:E,Smry!$B$62)</f>
        <v>7.6409520000000009E-2</v>
      </c>
      <c r="Q86" s="510">
        <f>SUMIFS('Goals 2026'!J:J,'Goals 2026'!B:B,Smry!D86,'Goals 2026'!C:C,Smry!F86,'Goals 2026'!E:E,Smry!$B$62)</f>
        <v>2.1017216000000005E-2</v>
      </c>
      <c r="R86" s="510">
        <f>SUMIFS('Goals 2026'!K:K,'Goals 2026'!B:B,Smry!D86,'Goals 2026'!C:C,Smry!F86,'Goals 2026'!E:E,Smry!$B$62)</f>
        <v>0.16567443200000004</v>
      </c>
    </row>
    <row r="87" spans="1:18" outlineLevel="2">
      <c r="A87" s="480"/>
      <c r="B87" s="483" t="s">
        <v>29</v>
      </c>
      <c r="C87" s="502"/>
      <c r="D87" s="503" t="s">
        <v>398</v>
      </c>
      <c r="E87" s="504"/>
      <c r="F87" s="483" t="s">
        <v>398</v>
      </c>
      <c r="G87" s="392"/>
      <c r="H87" s="484">
        <f t="shared" si="4"/>
        <v>16</v>
      </c>
      <c r="I87" s="484">
        <f>SUMIFS('Goals 2026'!M:M,'Goals 2026'!B:B,Smry!D87,'Goals 2026'!C:C,Smry!F87,'Goals 2026'!E:E,Smry!$B$62)</f>
        <v>5</v>
      </c>
      <c r="J87" s="484">
        <f>SUMIFS('Goals 2026'!N:N,'Goals 2026'!B:B,Smry!D87,'Goals 2026'!C:C,Smry!F87,'Goals 2026'!E:E,Smry!$B$62)</f>
        <v>4</v>
      </c>
      <c r="K87" s="484">
        <f>SUMIFS('Goals 2026'!O:O,'Goals 2026'!B:B,Smry!D87,'Goals 2026'!C:C,Smry!F87,'Goals 2026'!E:E,Smry!$B$62)</f>
        <v>5</v>
      </c>
      <c r="L87" s="484">
        <f>SUMIFS('Goals 2026'!P:P,'Goals 2026'!B:B,Smry!D87,'Goals 2026'!C:C,Smry!F87,'Goals 2026'!E:E,Smry!$B$62)</f>
        <v>2</v>
      </c>
      <c r="M87" s="482"/>
      <c r="N87" s="510">
        <f t="shared" si="5"/>
        <v>3.8974895643655234</v>
      </c>
      <c r="O87" s="510">
        <f>SUMIFS('Goals 2026'!H:H,'Goals 2026'!B:B,Smry!D87,'Goals 2026'!C:C,Smry!F87,'Goals 2026'!E:E,Smry!$B$62)</f>
        <v>1.7570528000000003</v>
      </c>
      <c r="P87" s="510">
        <f>SUMIFS('Goals 2026'!I:I,'Goals 2026'!B:B,Smry!D87,'Goals 2026'!C:C,Smry!F87,'Goals 2026'!E:E,Smry!$B$62)</f>
        <v>1.2533323987307385</v>
      </c>
      <c r="Q87" s="510">
        <f>SUMIFS('Goals 2026'!J:J,'Goals 2026'!B:B,Smry!D87,'Goals 2026'!C:C,Smry!F87,'Goals 2026'!E:E,Smry!$B$62)</f>
        <v>0.63026300808674574</v>
      </c>
      <c r="R87" s="510">
        <f>SUMIFS('Goals 2026'!K:K,'Goals 2026'!B:B,Smry!D87,'Goals 2026'!C:C,Smry!F87,'Goals 2026'!E:E,Smry!$B$62)</f>
        <v>0.25684135754803861</v>
      </c>
    </row>
    <row r="88" spans="1:18" outlineLevel="2">
      <c r="A88" s="480"/>
      <c r="B88" s="483" t="s">
        <v>29</v>
      </c>
      <c r="C88" s="502"/>
      <c r="D88" s="503" t="s">
        <v>440</v>
      </c>
      <c r="E88" s="504"/>
      <c r="F88" s="483" t="s">
        <v>440</v>
      </c>
      <c r="G88" s="392"/>
      <c r="H88" s="484">
        <f t="shared" si="4"/>
        <v>7</v>
      </c>
      <c r="I88" s="484">
        <f>SUMIFS('Goals 2026'!M:M,'Goals 2026'!B:B,Smry!D88,'Goals 2026'!C:C,Smry!F88,'Goals 2026'!E:E,Smry!$B$62)</f>
        <v>2</v>
      </c>
      <c r="J88" s="484">
        <f>SUMIFS('Goals 2026'!N:N,'Goals 2026'!B:B,Smry!D88,'Goals 2026'!C:C,Smry!F88,'Goals 2026'!E:E,Smry!$B$62)</f>
        <v>2</v>
      </c>
      <c r="K88" s="484">
        <f>SUMIFS('Goals 2026'!O:O,'Goals 2026'!B:B,Smry!D88,'Goals 2026'!C:C,Smry!F88,'Goals 2026'!E:E,Smry!$B$62)</f>
        <v>2</v>
      </c>
      <c r="L88" s="484">
        <f>SUMIFS('Goals 2026'!P:P,'Goals 2026'!B:B,Smry!D88,'Goals 2026'!C:C,Smry!F88,'Goals 2026'!E:E,Smry!$B$62)</f>
        <v>1</v>
      </c>
      <c r="M88" s="482"/>
      <c r="N88" s="510">
        <f t="shared" si="5"/>
        <v>3.2826878280000003</v>
      </c>
      <c r="O88" s="510">
        <f>SUMIFS('Goals 2026'!H:H,'Goals 2026'!B:B,Smry!D88,'Goals 2026'!C:C,Smry!F88,'Goals 2026'!E:E,Smry!$B$62)</f>
        <v>0.86951285400000011</v>
      </c>
      <c r="P88" s="510">
        <f>SUMIFS('Goals 2026'!I:I,'Goals 2026'!B:B,Smry!D88,'Goals 2026'!C:C,Smry!F88,'Goals 2026'!E:E,Smry!$B$62)</f>
        <v>0.79950970050000003</v>
      </c>
      <c r="Q88" s="510">
        <f>SUMIFS('Goals 2026'!J:J,'Goals 2026'!B:B,Smry!D88,'Goals 2026'!C:C,Smry!F88,'Goals 2026'!E:E,Smry!$B$62)</f>
        <v>0.67698127350000004</v>
      </c>
      <c r="R88" s="510">
        <f>SUMIFS('Goals 2026'!K:K,'Goals 2026'!B:B,Smry!D88,'Goals 2026'!C:C,Smry!F88,'Goals 2026'!E:E,Smry!$B$62)</f>
        <v>0.93668400000000007</v>
      </c>
    </row>
    <row r="89" spans="1:18" outlineLevel="2">
      <c r="A89" s="480"/>
      <c r="B89" s="483" t="s">
        <v>29</v>
      </c>
      <c r="C89" s="502"/>
      <c r="D89" s="503" t="s">
        <v>447</v>
      </c>
      <c r="E89" s="504"/>
      <c r="F89" s="483" t="s">
        <v>447</v>
      </c>
      <c r="G89" s="392"/>
      <c r="H89" s="484">
        <f t="shared" si="4"/>
        <v>7</v>
      </c>
      <c r="I89" s="484">
        <f>SUMIFS('Goals 2026'!M:M,'Goals 2026'!B:B,Smry!D89,'Goals 2026'!C:C,Smry!F89,'Goals 2026'!E:E,Smry!$B$62)</f>
        <v>2</v>
      </c>
      <c r="J89" s="484">
        <f>SUMIFS('Goals 2026'!N:N,'Goals 2026'!B:B,Smry!D89,'Goals 2026'!C:C,Smry!F89,'Goals 2026'!E:E,Smry!$B$62)</f>
        <v>2</v>
      </c>
      <c r="K89" s="484">
        <f>SUMIFS('Goals 2026'!O:O,'Goals 2026'!B:B,Smry!D89,'Goals 2026'!C:C,Smry!F89,'Goals 2026'!E:E,Smry!$B$62)</f>
        <v>2</v>
      </c>
      <c r="L89" s="484">
        <f>SUMIFS('Goals 2026'!P:P,'Goals 2026'!B:B,Smry!D89,'Goals 2026'!C:C,Smry!F89,'Goals 2026'!E:E,Smry!$B$62)</f>
        <v>1</v>
      </c>
      <c r="M89" s="482"/>
      <c r="N89" s="510">
        <f t="shared" si="5"/>
        <v>1.0942292760000001</v>
      </c>
      <c r="O89" s="510">
        <f>SUMIFS('Goals 2026'!H:H,'Goals 2026'!B:B,Smry!D89,'Goals 2026'!C:C,Smry!F89,'Goals 2026'!E:E,Smry!$B$62)</f>
        <v>0.28983761800000002</v>
      </c>
      <c r="P89" s="510">
        <f>SUMIFS('Goals 2026'!I:I,'Goals 2026'!B:B,Smry!D89,'Goals 2026'!C:C,Smry!F89,'Goals 2026'!E:E,Smry!$B$62)</f>
        <v>0.26650323349999999</v>
      </c>
      <c r="Q89" s="510">
        <f>SUMIFS('Goals 2026'!J:J,'Goals 2026'!B:B,Smry!D89,'Goals 2026'!C:C,Smry!F89,'Goals 2026'!E:E,Smry!$B$62)</f>
        <v>0.22566042450000001</v>
      </c>
      <c r="R89" s="510">
        <f>SUMIFS('Goals 2026'!K:K,'Goals 2026'!B:B,Smry!D89,'Goals 2026'!C:C,Smry!F89,'Goals 2026'!E:E,Smry!$B$62)</f>
        <v>0.31222800000000001</v>
      </c>
    </row>
    <row r="90" spans="1:18" outlineLevel="2">
      <c r="A90" s="480"/>
      <c r="B90" s="483" t="s">
        <v>29</v>
      </c>
      <c r="C90" s="502"/>
      <c r="D90" s="483" t="s">
        <v>319</v>
      </c>
      <c r="E90" s="392"/>
      <c r="F90" s="483" t="s">
        <v>319</v>
      </c>
      <c r="G90" s="392"/>
      <c r="H90" s="484">
        <f t="shared" si="4"/>
        <v>29</v>
      </c>
      <c r="I90" s="484">
        <f>SUMIFS('Goals 2026'!M:M,'Goals 2026'!B:B,Smry!D90,'Goals 2026'!C:C,Smry!F90,'Goals 2026'!E:E,Smry!$B$62)</f>
        <v>7</v>
      </c>
      <c r="J90" s="484">
        <f>SUMIFS('Goals 2026'!N:N,'Goals 2026'!B:B,Smry!D90,'Goals 2026'!C:C,Smry!F90,'Goals 2026'!E:E,Smry!$B$62)</f>
        <v>6</v>
      </c>
      <c r="K90" s="484">
        <f>SUMIFS('Goals 2026'!O:O,'Goals 2026'!B:B,Smry!D90,'Goals 2026'!C:C,Smry!F90,'Goals 2026'!E:E,Smry!$B$62)</f>
        <v>10</v>
      </c>
      <c r="L90" s="484">
        <f>SUMIFS('Goals 2026'!P:P,'Goals 2026'!B:B,Smry!D90,'Goals 2026'!C:C,Smry!F90,'Goals 2026'!E:E,Smry!$B$62)</f>
        <v>6</v>
      </c>
      <c r="M90" s="482"/>
      <c r="N90" s="510">
        <f t="shared" si="5"/>
        <v>1.0226849999999998</v>
      </c>
      <c r="O90" s="510">
        <f>SUMIFS('Goals 2026'!H:H,'Goals 2026'!B:B,Smry!D90,'Goals 2026'!C:C,Smry!F90,'Goals 2026'!E:E,Smry!$B$62)</f>
        <v>0.32804999999999995</v>
      </c>
      <c r="P90" s="510">
        <f>SUMIFS('Goals 2026'!I:I,'Goals 2026'!B:B,Smry!D90,'Goals 2026'!C:C,Smry!F90,'Goals 2026'!E:E,Smry!$B$62)</f>
        <v>0.26273999999999997</v>
      </c>
      <c r="Q90" s="510">
        <f>SUMIFS('Goals 2026'!J:J,'Goals 2026'!B:B,Smry!D90,'Goals 2026'!C:C,Smry!F90,'Goals 2026'!E:E,Smry!$B$62)</f>
        <v>0.27181499999999997</v>
      </c>
      <c r="R90" s="510">
        <f>SUMIFS('Goals 2026'!K:K,'Goals 2026'!B:B,Smry!D90,'Goals 2026'!C:C,Smry!F90,'Goals 2026'!E:E,Smry!$B$62)</f>
        <v>0.16008</v>
      </c>
    </row>
    <row r="91" spans="1:18" outlineLevel="2">
      <c r="A91" s="480"/>
      <c r="B91" s="483" t="s">
        <v>29</v>
      </c>
      <c r="C91" s="502"/>
      <c r="D91" s="483" t="s">
        <v>474</v>
      </c>
      <c r="E91" s="502"/>
      <c r="F91" s="483" t="s">
        <v>136</v>
      </c>
      <c r="G91" s="392"/>
      <c r="H91" s="484">
        <f t="shared" si="4"/>
        <v>28</v>
      </c>
      <c r="I91" s="484">
        <f>SUMIFS('Goals 2026'!M:M,'Goals 2026'!B:B,Smry!D91,'Goals 2026'!C:C,Smry!F91,'Goals 2026'!E:E,Smry!$B$62)</f>
        <v>10</v>
      </c>
      <c r="J91" s="484">
        <f>SUMIFS('Goals 2026'!N:N,'Goals 2026'!B:B,Smry!D91,'Goals 2026'!C:C,Smry!F91,'Goals 2026'!E:E,Smry!$B$62)</f>
        <v>5</v>
      </c>
      <c r="K91" s="484">
        <f>SUMIFS('Goals 2026'!O:O,'Goals 2026'!B:B,Smry!D91,'Goals 2026'!C:C,Smry!F91,'Goals 2026'!E:E,Smry!$B$62)</f>
        <v>7</v>
      </c>
      <c r="L91" s="484">
        <f>SUMIFS('Goals 2026'!P:P,'Goals 2026'!B:B,Smry!D91,'Goals 2026'!C:C,Smry!F91,'Goals 2026'!E:E,Smry!$B$62)</f>
        <v>6</v>
      </c>
      <c r="M91" s="482"/>
      <c r="N91" s="510">
        <f t="shared" si="5"/>
        <v>13.104125000000002</v>
      </c>
      <c r="O91" s="510">
        <f>SUMIFS('Goals 2026'!H:H,'Goals 2026'!B:B,Smry!D91,'Goals 2026'!C:C,Smry!F91,'Goals 2026'!E:E,Smry!$B$62)</f>
        <v>5.2621400000000005</v>
      </c>
      <c r="P91" s="510">
        <f>SUMIFS('Goals 2026'!I:I,'Goals 2026'!B:B,Smry!D91,'Goals 2026'!C:C,Smry!F91,'Goals 2026'!E:E,Smry!$B$62)</f>
        <v>2.5746400000000005</v>
      </c>
      <c r="Q91" s="510">
        <f>SUMIFS('Goals 2026'!J:J,'Goals 2026'!B:B,Smry!D91,'Goals 2026'!C:C,Smry!F91,'Goals 2026'!E:E,Smry!$B$62)</f>
        <v>4.0098700000000012</v>
      </c>
      <c r="R91" s="510">
        <f>SUMIFS('Goals 2026'!K:K,'Goals 2026'!B:B,Smry!D91,'Goals 2026'!C:C,Smry!F91,'Goals 2026'!E:E,Smry!$B$62)</f>
        <v>1.2574749999999997</v>
      </c>
    </row>
    <row r="92" spans="1:18" outlineLevel="2">
      <c r="A92" s="480"/>
      <c r="B92" s="483" t="s">
        <v>29</v>
      </c>
      <c r="C92" s="502"/>
      <c r="D92" s="483" t="s">
        <v>486</v>
      </c>
      <c r="E92" s="392"/>
      <c r="F92" s="483" t="s">
        <v>136</v>
      </c>
      <c r="G92" s="392"/>
      <c r="H92" s="484">
        <f t="shared" si="4"/>
        <v>28</v>
      </c>
      <c r="I92" s="484">
        <f>SUMIFS('Goals 2026'!M:M,'Goals 2026'!B:B,Smry!D92,'Goals 2026'!C:C,Smry!F92,'Goals 2026'!E:E,Smry!$B$62)</f>
        <v>7</v>
      </c>
      <c r="J92" s="484">
        <f>SUMIFS('Goals 2026'!N:N,'Goals 2026'!B:B,Smry!D92,'Goals 2026'!C:C,Smry!F92,'Goals 2026'!E:E,Smry!$B$62)</f>
        <v>5</v>
      </c>
      <c r="K92" s="484">
        <f>SUMIFS('Goals 2026'!O:O,'Goals 2026'!B:B,Smry!D92,'Goals 2026'!C:C,Smry!F92,'Goals 2026'!E:E,Smry!$B$62)</f>
        <v>10</v>
      </c>
      <c r="L92" s="484">
        <f>SUMIFS('Goals 2026'!P:P,'Goals 2026'!B:B,Smry!D92,'Goals 2026'!C:C,Smry!F92,'Goals 2026'!E:E,Smry!$B$62)</f>
        <v>6</v>
      </c>
      <c r="M92" s="482"/>
      <c r="N92" s="510">
        <f t="shared" si="5"/>
        <v>7.4687695280650699</v>
      </c>
      <c r="O92" s="510">
        <f>SUMIFS('Goals 2026'!H:H,'Goals 2026'!B:B,Smry!D92,'Goals 2026'!C:C,Smry!F92,'Goals 2026'!E:E,Smry!$B$62)</f>
        <v>2.5074143979111465</v>
      </c>
      <c r="P92" s="510">
        <f>SUMIFS('Goals 2026'!I:I,'Goals 2026'!B:B,Smry!D92,'Goals 2026'!C:C,Smry!F92,'Goals 2026'!E:E,Smry!$B$62)</f>
        <v>1.5022419163143337</v>
      </c>
      <c r="Q92" s="510">
        <f>SUMIFS('Goals 2026'!J:J,'Goals 2026'!B:B,Smry!D92,'Goals 2026'!C:C,Smry!F92,'Goals 2026'!E:E,Smry!$B$62)</f>
        <v>2.3584626570239684</v>
      </c>
      <c r="R92" s="510">
        <f>SUMIFS('Goals 2026'!K:K,'Goals 2026'!B:B,Smry!D92,'Goals 2026'!C:C,Smry!F92,'Goals 2026'!E:E,Smry!$B$62)</f>
        <v>1.100650556815622</v>
      </c>
    </row>
    <row r="93" spans="1:18" outlineLevel="2">
      <c r="A93" s="480"/>
      <c r="B93" s="483" t="s">
        <v>29</v>
      </c>
      <c r="C93" s="502"/>
      <c r="D93" s="483" t="s">
        <v>490</v>
      </c>
      <c r="E93" s="392"/>
      <c r="F93" s="483" t="s">
        <v>136</v>
      </c>
      <c r="G93" s="392"/>
      <c r="H93" s="484">
        <f t="shared" si="4"/>
        <v>52</v>
      </c>
      <c r="I93" s="484">
        <f>SUMIFS('Goals 2026'!M:M,'Goals 2026'!B:B,Smry!D93,'Goals 2026'!C:C,Smry!F93,'Goals 2026'!E:E,Smry!$B$62)</f>
        <v>16</v>
      </c>
      <c r="J93" s="484">
        <f>SUMIFS('Goals 2026'!N:N,'Goals 2026'!B:B,Smry!D93,'Goals 2026'!C:C,Smry!F93,'Goals 2026'!E:E,Smry!$B$62)</f>
        <v>9</v>
      </c>
      <c r="K93" s="484">
        <f>SUMIFS('Goals 2026'!O:O,'Goals 2026'!B:B,Smry!D93,'Goals 2026'!C:C,Smry!F93,'Goals 2026'!E:E,Smry!$B$62)</f>
        <v>9</v>
      </c>
      <c r="L93" s="484">
        <f>SUMIFS('Goals 2026'!P:P,'Goals 2026'!B:B,Smry!D93,'Goals 2026'!C:C,Smry!F93,'Goals 2026'!E:E,Smry!$B$62)</f>
        <v>18</v>
      </c>
      <c r="M93" s="482"/>
      <c r="N93" s="510">
        <f t="shared" si="5"/>
        <v>6.018296068392301</v>
      </c>
      <c r="O93" s="510">
        <f>SUMIFS('Goals 2026'!H:H,'Goals 2026'!B:B,Smry!D93,'Goals 2026'!C:C,Smry!F93,'Goals 2026'!E:E,Smry!$B$62)</f>
        <v>2.7927693686277002</v>
      </c>
      <c r="P93" s="510">
        <f>SUMIFS('Goals 2026'!I:I,'Goals 2026'!B:B,Smry!D93,'Goals 2026'!C:C,Smry!F93,'Goals 2026'!E:E,Smry!$B$62)</f>
        <v>1.6261270680501005</v>
      </c>
      <c r="Q93" s="510">
        <f>SUMIFS('Goals 2026'!J:J,'Goals 2026'!B:B,Smry!D93,'Goals 2026'!C:C,Smry!F93,'Goals 2026'!E:E,Smry!$B$62)</f>
        <v>0.6391414040318999</v>
      </c>
      <c r="R93" s="510">
        <f>SUMIFS('Goals 2026'!K:K,'Goals 2026'!B:B,Smry!D93,'Goals 2026'!C:C,Smry!F93,'Goals 2026'!E:E,Smry!$B$62)</f>
        <v>0.96025822768259994</v>
      </c>
    </row>
    <row r="94" spans="1:18" outlineLevel="2">
      <c r="A94" s="480"/>
      <c r="B94" s="483" t="s">
        <v>29</v>
      </c>
      <c r="C94" s="502"/>
      <c r="D94" s="483" t="s">
        <v>498</v>
      </c>
      <c r="E94" s="502"/>
      <c r="F94" s="483" t="s">
        <v>136</v>
      </c>
      <c r="G94" s="392"/>
      <c r="H94" s="484">
        <f t="shared" si="4"/>
        <v>15</v>
      </c>
      <c r="I94" s="484">
        <f>SUMIFS('Goals 2026'!M:M,'Goals 2026'!B:B,Smry!D94,'Goals 2026'!C:C,Smry!F94,'Goals 2026'!E:E,Smry!$B$62)</f>
        <v>0</v>
      </c>
      <c r="J94" s="484">
        <f>SUMIFS('Goals 2026'!N:N,'Goals 2026'!B:B,Smry!D94,'Goals 2026'!C:C,Smry!F94,'Goals 2026'!E:E,Smry!$B$62)</f>
        <v>0</v>
      </c>
      <c r="K94" s="484">
        <f>SUMIFS('Goals 2026'!O:O,'Goals 2026'!B:B,Smry!D94,'Goals 2026'!C:C,Smry!F94,'Goals 2026'!E:E,Smry!$B$62)</f>
        <v>7</v>
      </c>
      <c r="L94" s="484">
        <f>SUMIFS('Goals 2026'!P:P,'Goals 2026'!B:B,Smry!D94,'Goals 2026'!C:C,Smry!F94,'Goals 2026'!E:E,Smry!$B$62)</f>
        <v>8</v>
      </c>
      <c r="M94" s="482"/>
      <c r="N94" s="510">
        <f t="shared" si="5"/>
        <v>12.780419999999999</v>
      </c>
      <c r="O94" s="510">
        <f>SUMIFS('Goals 2026'!H:H,'Goals 2026'!B:B,Smry!D94,'Goals 2026'!C:C,Smry!F94,'Goals 2026'!E:E,Smry!$B$62)</f>
        <v>0</v>
      </c>
      <c r="P94" s="510">
        <f>SUMIFS('Goals 2026'!I:I,'Goals 2026'!B:B,Smry!D94,'Goals 2026'!C:C,Smry!F94,'Goals 2026'!E:E,Smry!$B$62)</f>
        <v>0</v>
      </c>
      <c r="Q94" s="510">
        <f>SUMIFS('Goals 2026'!J:J,'Goals 2026'!B:B,Smry!D94,'Goals 2026'!C:C,Smry!F94,'Goals 2026'!E:E,Smry!$B$62)</f>
        <v>6.4169800000000006</v>
      </c>
      <c r="R94" s="510">
        <f>SUMIFS('Goals 2026'!K:K,'Goals 2026'!B:B,Smry!D94,'Goals 2026'!C:C,Smry!F94,'Goals 2026'!E:E,Smry!$B$62)</f>
        <v>6.3634399999999989</v>
      </c>
    </row>
    <row r="95" spans="1:18" outlineLevel="2">
      <c r="A95" s="480"/>
      <c r="B95" s="483" t="s">
        <v>29</v>
      </c>
      <c r="C95" s="502"/>
      <c r="D95" s="483" t="s">
        <v>503</v>
      </c>
      <c r="E95" s="392"/>
      <c r="F95" s="483" t="s">
        <v>503</v>
      </c>
      <c r="G95" s="392"/>
      <c r="H95" s="484">
        <f t="shared" si="4"/>
        <v>8</v>
      </c>
      <c r="I95" s="484">
        <f>SUMIFS('Goals 2026'!M:M,'Goals 2026'!B:B,Smry!D95,'Goals 2026'!C:C,Smry!F95,'Goals 2026'!E:E,Smry!$B$62)</f>
        <v>0</v>
      </c>
      <c r="J95" s="484">
        <f>SUMIFS('Goals 2026'!N:N,'Goals 2026'!B:B,Smry!D95,'Goals 2026'!C:C,Smry!F95,'Goals 2026'!E:E,Smry!$B$62)</f>
        <v>4</v>
      </c>
      <c r="K95" s="484">
        <f>SUMIFS('Goals 2026'!O:O,'Goals 2026'!B:B,Smry!D95,'Goals 2026'!C:C,Smry!F95,'Goals 2026'!E:E,Smry!$B$62)</f>
        <v>2</v>
      </c>
      <c r="L95" s="484">
        <f>SUMIFS('Goals 2026'!P:P,'Goals 2026'!B:B,Smry!D95,'Goals 2026'!C:C,Smry!F95,'Goals 2026'!E:E,Smry!$B$62)</f>
        <v>2</v>
      </c>
      <c r="M95" s="482"/>
      <c r="N95" s="510">
        <f t="shared" si="5"/>
        <v>0.99751380000000001</v>
      </c>
      <c r="O95" s="510">
        <f>SUMIFS('Goals 2026'!H:H,'Goals 2026'!B:B,Smry!D95,'Goals 2026'!C:C,Smry!F95,'Goals 2026'!E:E,Smry!$B$62)</f>
        <v>0</v>
      </c>
      <c r="P95" s="510">
        <f>SUMIFS('Goals 2026'!I:I,'Goals 2026'!B:B,Smry!D95,'Goals 2026'!C:C,Smry!F95,'Goals 2026'!E:E,Smry!$B$62)</f>
        <v>0.4987569</v>
      </c>
      <c r="Q95" s="510">
        <f>SUMIFS('Goals 2026'!J:J,'Goals 2026'!B:B,Smry!D95,'Goals 2026'!C:C,Smry!F95,'Goals 2026'!E:E,Smry!$B$62)</f>
        <v>0.1484972</v>
      </c>
      <c r="R95" s="510">
        <f>SUMIFS('Goals 2026'!K:K,'Goals 2026'!B:B,Smry!D95,'Goals 2026'!C:C,Smry!F95,'Goals 2026'!E:E,Smry!$B$62)</f>
        <v>0.35025969999999995</v>
      </c>
    </row>
    <row r="96" spans="1:18" outlineLevel="2">
      <c r="A96" s="480"/>
      <c r="B96" s="483" t="s">
        <v>29</v>
      </c>
      <c r="C96" s="502"/>
      <c r="D96" s="483" t="s">
        <v>510</v>
      </c>
      <c r="E96" s="392"/>
      <c r="F96" s="483" t="s">
        <v>510</v>
      </c>
      <c r="G96" s="392"/>
      <c r="H96" s="484">
        <f t="shared" si="4"/>
        <v>8</v>
      </c>
      <c r="I96" s="484">
        <f>SUMIFS('Goals 2026'!M:M,'Goals 2026'!B:B,Smry!D96,'Goals 2026'!C:C,Smry!F96,'Goals 2026'!E:E,Smry!$B$62)</f>
        <v>0</v>
      </c>
      <c r="J96" s="484">
        <f>SUMIFS('Goals 2026'!N:N,'Goals 2026'!B:B,Smry!D96,'Goals 2026'!C:C,Smry!F96,'Goals 2026'!E:E,Smry!$B$62)</f>
        <v>0</v>
      </c>
      <c r="K96" s="484">
        <f>SUMIFS('Goals 2026'!O:O,'Goals 2026'!B:B,Smry!D96,'Goals 2026'!C:C,Smry!F96,'Goals 2026'!E:E,Smry!$B$62)</f>
        <v>4</v>
      </c>
      <c r="L96" s="484">
        <f>SUMIFS('Goals 2026'!P:P,'Goals 2026'!B:B,Smry!D96,'Goals 2026'!C:C,Smry!F96,'Goals 2026'!E:E,Smry!$B$62)</f>
        <v>4</v>
      </c>
      <c r="M96" s="482"/>
      <c r="N96" s="510">
        <f t="shared" si="5"/>
        <v>3.6844349999999997</v>
      </c>
      <c r="O96" s="510">
        <f>SUMIFS('Goals 2026'!H:H,'Goals 2026'!B:B,Smry!D96,'Goals 2026'!C:C,Smry!F96,'Goals 2026'!E:E,Smry!$B$62)</f>
        <v>0</v>
      </c>
      <c r="P96" s="510">
        <f>SUMIFS('Goals 2026'!I:I,'Goals 2026'!B:B,Smry!D96,'Goals 2026'!C:C,Smry!F96,'Goals 2026'!E:E,Smry!$B$62)</f>
        <v>0</v>
      </c>
      <c r="Q96" s="510">
        <f>SUMIFS('Goals 2026'!J:J,'Goals 2026'!B:B,Smry!D96,'Goals 2026'!C:C,Smry!F96,'Goals 2026'!E:E,Smry!$B$62)</f>
        <v>1.8412499999999998</v>
      </c>
      <c r="R96" s="510">
        <f>SUMIFS('Goals 2026'!K:K,'Goals 2026'!B:B,Smry!D96,'Goals 2026'!C:C,Smry!F96,'Goals 2026'!E:E,Smry!$B$62)</f>
        <v>1.8431849999999999</v>
      </c>
    </row>
    <row r="97" spans="1:18" outlineLevel="2">
      <c r="A97" s="480"/>
      <c r="B97" s="483" t="s">
        <v>29</v>
      </c>
      <c r="C97" s="502"/>
      <c r="D97" s="523" t="s">
        <v>521</v>
      </c>
      <c r="E97" s="392"/>
      <c r="F97" s="523" t="s">
        <v>521</v>
      </c>
      <c r="G97" s="392"/>
      <c r="H97" s="484">
        <f>SUM(I97:L97)</f>
        <v>12</v>
      </c>
      <c r="I97" s="484">
        <f>SUMIFS('Goals 2026'!M:M,'Goals 2026'!B:B,Smry!D97,'Goals 2026'!C:C,Smry!F97,'Goals 2026'!E:E,Smry!$B$62)</f>
        <v>4</v>
      </c>
      <c r="J97" s="484">
        <f>SUMIFS('Goals 2026'!N:N,'Goals 2026'!B:B,Smry!D97,'Goals 2026'!C:C,Smry!F97,'Goals 2026'!E:E,Smry!$B$62)</f>
        <v>5</v>
      </c>
      <c r="K97" s="484">
        <f>SUMIFS('Goals 2026'!O:O,'Goals 2026'!B:B,Smry!D97,'Goals 2026'!C:C,Smry!F97,'Goals 2026'!E:E,Smry!$B$62)</f>
        <v>3</v>
      </c>
      <c r="L97" s="484">
        <f>SUMIFS('Goals 2026'!P:P,'Goals 2026'!B:B,Smry!D97,'Goals 2026'!C:C,Smry!F97,'Goals 2026'!E:E,Smry!$B$62)</f>
        <v>0</v>
      </c>
      <c r="M97" s="482"/>
      <c r="N97" s="510">
        <f>SUM(O97:R97)</f>
        <v>8.3306092799999995E-2</v>
      </c>
      <c r="O97" s="510">
        <f>SUMIFS('Goals 2026'!H:H,'Goals 2026'!B:B,Smry!D97,'Goals 2026'!C:C,Smry!F97,'Goals 2026'!E:E,Smry!$B$62)</f>
        <v>2.0669932799999999E-2</v>
      </c>
      <c r="P97" s="510">
        <f>SUMIFS('Goals 2026'!I:I,'Goals 2026'!B:B,Smry!D97,'Goals 2026'!C:C,Smry!F97,'Goals 2026'!E:E,Smry!$B$62)</f>
        <v>4.1409062400000002E-2</v>
      </c>
      <c r="Q97" s="510">
        <f>SUMIFS('Goals 2026'!J:J,'Goals 2026'!B:B,Smry!D97,'Goals 2026'!C:C,Smry!F97,'Goals 2026'!E:E,Smry!$B$62)</f>
        <v>2.1227097599999998E-2</v>
      </c>
      <c r="R97" s="510">
        <f>SUMIFS('Goals 2026'!K:K,'Goals 2026'!B:B,Smry!D97,'Goals 2026'!C:C,Smry!F97,'Goals 2026'!E:E,Smry!$B$62)</f>
        <v>0</v>
      </c>
    </row>
    <row r="98" spans="1:18" outlineLevel="2">
      <c r="A98" s="480"/>
      <c r="B98" s="483" t="s">
        <v>29</v>
      </c>
      <c r="C98" s="502"/>
      <c r="D98" s="384" t="s">
        <v>536</v>
      </c>
      <c r="E98" s="392"/>
      <c r="F98" s="624" t="s">
        <v>537</v>
      </c>
      <c r="G98" s="392"/>
      <c r="H98" s="484">
        <f>SUM(I98:L98)</f>
        <v>30</v>
      </c>
      <c r="I98" s="484">
        <f>SUMIFS('Goals 2026'!M:M,'Goals 2026'!B:B,Smry!D98,'Goals 2026'!C:C,Smry!F98,'Goals 2026'!E:E,Smry!$B$62)</f>
        <v>5</v>
      </c>
      <c r="J98" s="484">
        <f>SUMIFS('Goals 2026'!N:N,'Goals 2026'!B:B,Smry!D98,'Goals 2026'!C:C,Smry!F98,'Goals 2026'!E:E,Smry!$B$62)</f>
        <v>3</v>
      </c>
      <c r="K98" s="484">
        <f>SUMIFS('Goals 2026'!O:O,'Goals 2026'!B:B,Smry!D98,'Goals 2026'!C:C,Smry!F98,'Goals 2026'!E:E,Smry!$B$62)</f>
        <v>12</v>
      </c>
      <c r="L98" s="484">
        <f>SUMIFS('Goals 2026'!P:P,'Goals 2026'!B:B,Smry!D98,'Goals 2026'!C:C,Smry!F98,'Goals 2026'!E:E,Smry!$B$62)</f>
        <v>10</v>
      </c>
      <c r="M98" s="482"/>
      <c r="N98" s="510">
        <f>SUM(O98:R98)</f>
        <v>1.1097676166974146</v>
      </c>
      <c r="O98" s="510">
        <f>SUMIFS('Goals 2026'!H:H,'Goals 2026'!B:B,Smry!D98,'Goals 2026'!C:C,Smry!F98,'Goals 2026'!E:E,Smry!$B$62)</f>
        <v>0.45</v>
      </c>
      <c r="P98" s="510">
        <f>SUMIFS('Goals 2026'!I:I,'Goals 2026'!B:B,Smry!D98,'Goals 2026'!C:C,Smry!F98,'Goals 2026'!E:E,Smry!$B$62)</f>
        <v>0.25</v>
      </c>
      <c r="Q98" s="510">
        <f>SUMIFS('Goals 2026'!J:J,'Goals 2026'!B:B,Smry!D98,'Goals 2026'!C:C,Smry!F98,'Goals 2026'!E:E,Smry!$B$62)</f>
        <v>0.32451895073638642</v>
      </c>
      <c r="R98" s="510">
        <f>SUMIFS('Goals 2026'!K:K,'Goals 2026'!B:B,Smry!D98,'Goals 2026'!C:C,Smry!F98,'Goals 2026'!E:E,Smry!$B$62)</f>
        <v>8.5248665961028369E-2</v>
      </c>
    </row>
    <row r="99" spans="1:18" ht="2.25" customHeight="1" outlineLevel="1">
      <c r="A99" s="480"/>
      <c r="B99" s="487"/>
      <c r="C99" s="487"/>
      <c r="D99" s="487"/>
      <c r="E99" s="487"/>
      <c r="F99" s="487"/>
      <c r="G99" s="487"/>
      <c r="H99" s="487"/>
      <c r="I99" s="487"/>
      <c r="J99" s="484">
        <f>SUMIFS('Goals 2026'!N:N,'Goals 2026'!B:B,Smry!D99,'Goals 2026'!C:C,Smry!F99,'Goals 2026'!E:E,Smry!$B$62)</f>
        <v>0</v>
      </c>
      <c r="K99" s="487"/>
      <c r="L99" s="487"/>
      <c r="M99" s="482"/>
      <c r="N99" s="487"/>
      <c r="O99" s="487"/>
      <c r="P99" s="487"/>
      <c r="Q99" s="487"/>
      <c r="R99" s="487"/>
    </row>
    <row r="100" spans="1:18" outlineLevel="1" collapsed="1">
      <c r="A100" s="480"/>
      <c r="B100" s="494" t="s">
        <v>72</v>
      </c>
      <c r="C100" s="495"/>
      <c r="D100" s="496"/>
      <c r="E100" s="497"/>
      <c r="F100" s="496"/>
      <c r="G100" s="497"/>
      <c r="H100" s="498">
        <f>SUM(I100:L100)</f>
        <v>87</v>
      </c>
      <c r="I100" s="498">
        <f>SUM(I102:I108)</f>
        <v>24</v>
      </c>
      <c r="J100" s="498">
        <f>SUM(J102:J108)</f>
        <v>13</v>
      </c>
      <c r="K100" s="498">
        <f>SUM(K102:K108)</f>
        <v>22</v>
      </c>
      <c r="L100" s="498">
        <f>SUM(L102:L108)</f>
        <v>28</v>
      </c>
      <c r="M100" s="482"/>
      <c r="N100" s="512">
        <f>SUM(O100:R100)</f>
        <v>46.454737341534845</v>
      </c>
      <c r="O100" s="512">
        <f>SUM(O102:O108)</f>
        <v>23.432420772299601</v>
      </c>
      <c r="P100" s="512">
        <f>SUM(P102:P108)</f>
        <v>11.134148820001354</v>
      </c>
      <c r="Q100" s="512">
        <f>SUM(Q102:Q108)</f>
        <v>6.1257662282258911</v>
      </c>
      <c r="R100" s="512">
        <f>SUM(R102:R108)</f>
        <v>5.7624015210080008</v>
      </c>
    </row>
    <row r="101" spans="1:18" ht="2.25" hidden="1" customHeight="1" outlineLevel="2">
      <c r="A101" s="480"/>
      <c r="B101" s="487"/>
      <c r="C101" s="487"/>
      <c r="D101" s="487"/>
      <c r="E101" s="487"/>
      <c r="F101" s="487"/>
      <c r="G101" s="487"/>
      <c r="H101" s="487"/>
      <c r="I101" s="487"/>
      <c r="J101" s="487"/>
      <c r="K101" s="487"/>
      <c r="L101" s="487"/>
      <c r="M101" s="482"/>
      <c r="N101" s="535"/>
      <c r="O101" s="487"/>
      <c r="P101" s="487"/>
      <c r="Q101" s="487"/>
      <c r="R101" s="487"/>
    </row>
    <row r="102" spans="1:18" hidden="1" outlineLevel="2">
      <c r="A102" s="480"/>
      <c r="B102" s="483" t="s">
        <v>72</v>
      </c>
      <c r="C102" s="502"/>
      <c r="D102" s="483" t="s">
        <v>70</v>
      </c>
      <c r="E102" s="392"/>
      <c r="F102" s="483" t="s">
        <v>71</v>
      </c>
      <c r="G102" s="392"/>
      <c r="H102" s="484">
        <f t="shared" ref="H102:H107" si="6">SUM(I102:L102)</f>
        <v>3</v>
      </c>
      <c r="I102" s="484">
        <f>SUMIFS('Goals 2026'!M:M,'Goals 2026'!B:B,Smry!D102,'Goals 2026'!C:C,Smry!F102,'Goals 2026'!E:E,Smry!$B$100)</f>
        <v>3</v>
      </c>
      <c r="J102" s="484">
        <f>SUMIFS('Goals 2026'!N:N,'Goals 2026'!B:B,Smry!D102,'Goals 2026'!C:C,Smry!F102,'Goals 2026'!E:E,Smry!$B$100)</f>
        <v>0</v>
      </c>
      <c r="K102" s="484">
        <f>SUMIFS('Goals 2026'!O:O,'Goals 2026'!B:B,Smry!D102,'Goals 2026'!C:C,Smry!F102,'Goals 2026'!E:E,Smry!$B$100)</f>
        <v>0</v>
      </c>
      <c r="L102" s="484">
        <f>SUMIFS('Goals 2026'!P:P,'Goals 2026'!B:B,Smry!D102,'Goals 2026'!C:C,Smry!F102,'Goals 2026'!E:E,Smry!$B$100)</f>
        <v>0</v>
      </c>
      <c r="M102" s="482"/>
      <c r="N102" s="510">
        <f t="shared" ref="N102:N107" si="7">SUM(O102:R102)</f>
        <v>0.3642147722995997</v>
      </c>
      <c r="O102" s="510">
        <f>SUMIFS('Goals 2026'!H:H,'Goals 2026'!B:B,Smry!D102,'Goals 2026'!C:C,Smry!F102,'Goals 2026'!E:E,Smry!$B$100)</f>
        <v>0.3642147722995997</v>
      </c>
      <c r="P102" s="510">
        <f>SUMIFS('Goals 2026'!I:I,'Goals 2026'!B:B,Smry!D102,'Goals 2026'!C:C,Smry!F102,'Goals 2026'!E:E,Smry!$B$100)</f>
        <v>0</v>
      </c>
      <c r="Q102" s="510">
        <f>SUMIFS('Goals 2026'!J:J,'Goals 2026'!B:B,Smry!D102,'Goals 2026'!C:C,Smry!F102,'Goals 2026'!E:E,Smry!$B$100)</f>
        <v>0</v>
      </c>
      <c r="R102" s="510">
        <f>SUMIFS('Goals 2026'!K:K,'Goals 2026'!B:B,Smry!D102,'Goals 2026'!C:C,Smry!F102,'Goals 2026'!E:E,Smry!$B$100)</f>
        <v>0</v>
      </c>
    </row>
    <row r="103" spans="1:18" hidden="1" outlineLevel="2">
      <c r="A103" s="480"/>
      <c r="B103" s="483" t="s">
        <v>72</v>
      </c>
      <c r="C103" s="502"/>
      <c r="D103" s="483" t="s">
        <v>516</v>
      </c>
      <c r="E103" s="392"/>
      <c r="F103" s="483" t="s">
        <v>517</v>
      </c>
      <c r="G103" s="392"/>
      <c r="H103" s="484">
        <f t="shared" si="6"/>
        <v>6</v>
      </c>
      <c r="I103" s="484">
        <f>SUMIFS('Goals 2026'!M:M,'Goals 2026'!B:B,Smry!D103,'Goals 2026'!C:C,Smry!F103,'Goals 2026'!E:E,Smry!$B$100)</f>
        <v>3</v>
      </c>
      <c r="J103" s="484">
        <f>SUMIFS('Goals 2026'!N:N,'Goals 2026'!B:B,Smry!D103,'Goals 2026'!C:C,Smry!F103,'Goals 2026'!E:E,Smry!$B$100)</f>
        <v>1</v>
      </c>
      <c r="K103" s="484">
        <f>SUMIFS('Goals 2026'!O:O,'Goals 2026'!B:B,Smry!D103,'Goals 2026'!C:C,Smry!F103,'Goals 2026'!E:E,Smry!$B$100)</f>
        <v>1</v>
      </c>
      <c r="L103" s="484">
        <f>SUMIFS('Goals 2026'!P:P,'Goals 2026'!B:B,Smry!D103,'Goals 2026'!C:C,Smry!F103,'Goals 2026'!E:E,Smry!$B$100)</f>
        <v>1</v>
      </c>
      <c r="M103" s="482"/>
      <c r="N103" s="510">
        <f t="shared" si="7"/>
        <v>3.28</v>
      </c>
      <c r="O103" s="510">
        <f>SUMIFS('Goals 2026'!H:H,'Goals 2026'!B:B,Smry!D103,'Goals 2026'!C:C,Smry!F103,'Goals 2026'!E:E,Smry!$B$100)</f>
        <v>1.6099999999999999</v>
      </c>
      <c r="P103" s="510">
        <f>SUMIFS('Goals 2026'!I:I,'Goals 2026'!B:B,Smry!D103,'Goals 2026'!C:C,Smry!F103,'Goals 2026'!E:E,Smry!$B$100)</f>
        <v>0.46</v>
      </c>
      <c r="Q103" s="510">
        <f>SUMIFS('Goals 2026'!J:J,'Goals 2026'!B:B,Smry!D103,'Goals 2026'!C:C,Smry!F103,'Goals 2026'!E:E,Smry!$B$100)</f>
        <v>0.81</v>
      </c>
      <c r="R103" s="510">
        <f>SUMIFS('Goals 2026'!K:K,'Goals 2026'!B:B,Smry!D103,'Goals 2026'!C:C,Smry!F103,'Goals 2026'!E:E,Smry!$B$100)</f>
        <v>0.4</v>
      </c>
    </row>
    <row r="104" spans="1:18" hidden="1" outlineLevel="2">
      <c r="A104" s="480"/>
      <c r="B104" s="483" t="s">
        <v>72</v>
      </c>
      <c r="C104" s="502"/>
      <c r="D104" s="483" t="s">
        <v>349</v>
      </c>
      <c r="E104" s="392"/>
      <c r="F104" s="483" t="s">
        <v>30</v>
      </c>
      <c r="G104" s="392"/>
      <c r="H104" s="484">
        <f t="shared" si="6"/>
        <v>12</v>
      </c>
      <c r="I104" s="484">
        <f>SUMIFS('Goals 2026'!M:M,'Goals 2026'!B:B,Smry!D104,'Goals 2026'!C:C,Smry!F104,'Goals 2026'!E:E,Smry!$B$100)</f>
        <v>3</v>
      </c>
      <c r="J104" s="484">
        <f>SUMIFS('Goals 2026'!N:N,'Goals 2026'!B:B,Smry!D104,'Goals 2026'!C:C,Smry!F104,'Goals 2026'!E:E,Smry!$B$100)</f>
        <v>3</v>
      </c>
      <c r="K104" s="484">
        <f>SUMIFS('Goals 2026'!O:O,'Goals 2026'!B:B,Smry!D104,'Goals 2026'!C:C,Smry!F104,'Goals 2026'!E:E,Smry!$B$100)</f>
        <v>2</v>
      </c>
      <c r="L104" s="484">
        <f>SUMIFS('Goals 2026'!P:P,'Goals 2026'!B:B,Smry!D104,'Goals 2026'!C:C,Smry!F104,'Goals 2026'!E:E,Smry!$B$100)</f>
        <v>4</v>
      </c>
      <c r="M104" s="482"/>
      <c r="N104" s="510">
        <f t="shared" si="7"/>
        <v>1.5874320000000002</v>
      </c>
      <c r="O104" s="510">
        <f>SUMIFS('Goals 2026'!H:H,'Goals 2026'!B:B,Smry!D104,'Goals 2026'!C:C,Smry!F104,'Goals 2026'!E:E,Smry!$B$100)</f>
        <v>0.61820000000000008</v>
      </c>
      <c r="P104" s="510">
        <f>SUMIFS('Goals 2026'!I:I,'Goals 2026'!B:B,Smry!D104,'Goals 2026'!C:C,Smry!F104,'Goals 2026'!E:E,Smry!$B$100)</f>
        <v>0.49456000000000011</v>
      </c>
      <c r="Q104" s="510">
        <f>SUMIFS('Goals 2026'!J:J,'Goals 2026'!B:B,Smry!D104,'Goals 2026'!C:C,Smry!F104,'Goals 2026'!E:E,Smry!$B$100)</f>
        <v>0.13358400000000004</v>
      </c>
      <c r="R104" s="510">
        <f>SUMIFS('Goals 2026'!K:K,'Goals 2026'!B:B,Smry!D104,'Goals 2026'!C:C,Smry!F104,'Goals 2026'!E:E,Smry!$B$100)</f>
        <v>0.34108800000000006</v>
      </c>
    </row>
    <row r="105" spans="1:18" hidden="1" outlineLevel="2">
      <c r="A105" s="480"/>
      <c r="B105" s="483" t="s">
        <v>72</v>
      </c>
      <c r="C105" s="502"/>
      <c r="D105" s="503" t="s">
        <v>447</v>
      </c>
      <c r="E105" s="504"/>
      <c r="F105" s="483" t="s">
        <v>447</v>
      </c>
      <c r="G105" s="392"/>
      <c r="H105" s="484">
        <f t="shared" si="6"/>
        <v>9</v>
      </c>
      <c r="I105" s="484">
        <f>SUMIFS('Goals 2026'!M:M,'Goals 2026'!B:B,Smry!D105,'Goals 2026'!C:C,Smry!F105,'Goals 2026'!E:E,Smry!$B$100)</f>
        <v>3</v>
      </c>
      <c r="J105" s="484">
        <f>SUMIFS('Goals 2026'!N:N,'Goals 2026'!B:B,Smry!D105,'Goals 2026'!C:C,Smry!F105,'Goals 2026'!E:E,Smry!$B$100)</f>
        <v>2</v>
      </c>
      <c r="K105" s="484">
        <f>SUMIFS('Goals 2026'!O:O,'Goals 2026'!B:B,Smry!D105,'Goals 2026'!C:C,Smry!F105,'Goals 2026'!E:E,Smry!$B$100)</f>
        <v>2</v>
      </c>
      <c r="L105" s="484">
        <f>SUMIFS('Goals 2026'!P:P,'Goals 2026'!B:B,Smry!D105,'Goals 2026'!C:C,Smry!F105,'Goals 2026'!E:E,Smry!$B$100)</f>
        <v>2</v>
      </c>
      <c r="M105" s="482"/>
      <c r="N105" s="510">
        <f t="shared" si="7"/>
        <v>6.8495647500000008</v>
      </c>
      <c r="O105" s="510">
        <f>SUMIFS('Goals 2026'!H:H,'Goals 2026'!B:B,Smry!D105,'Goals 2026'!C:C,Smry!F105,'Goals 2026'!E:E,Smry!$B$100)</f>
        <v>3.6843765000000004</v>
      </c>
      <c r="P105" s="510">
        <f>SUMIFS('Goals 2026'!I:I,'Goals 2026'!B:B,Smry!D105,'Goals 2026'!C:C,Smry!F105,'Goals 2026'!E:E,Smry!$B$100)</f>
        <v>1.8421882500000004</v>
      </c>
      <c r="Q105" s="510">
        <f>SUMIFS('Goals 2026'!J:J,'Goals 2026'!B:B,Smry!D105,'Goals 2026'!C:C,Smry!F105,'Goals 2026'!E:E,Smry!$B$100)</f>
        <v>0.7056</v>
      </c>
      <c r="R105" s="510">
        <f>SUMIFS('Goals 2026'!K:K,'Goals 2026'!B:B,Smry!D105,'Goals 2026'!C:C,Smry!F105,'Goals 2026'!E:E,Smry!$B$100)</f>
        <v>0.61740000000000006</v>
      </c>
    </row>
    <row r="106" spans="1:18" hidden="1" outlineLevel="2">
      <c r="A106" s="480"/>
      <c r="B106" s="483" t="s">
        <v>72</v>
      </c>
      <c r="C106" s="502"/>
      <c r="D106" s="483" t="s">
        <v>319</v>
      </c>
      <c r="E106" s="392"/>
      <c r="F106" s="483" t="s">
        <v>319</v>
      </c>
      <c r="G106" s="392"/>
      <c r="H106" s="484">
        <f t="shared" si="6"/>
        <v>17</v>
      </c>
      <c r="I106" s="484">
        <f>SUMIFS('Goals 2026'!M:M,'Goals 2026'!B:B,Smry!D106,'Goals 2026'!C:C,Smry!F106,'Goals 2026'!E:E,Smry!$B$100)</f>
        <v>6</v>
      </c>
      <c r="J106" s="484">
        <f>SUMIFS('Goals 2026'!N:N,'Goals 2026'!B:B,Smry!D106,'Goals 2026'!C:C,Smry!F106,'Goals 2026'!E:E,Smry!$B$100)</f>
        <v>3</v>
      </c>
      <c r="K106" s="484">
        <f>SUMIFS('Goals 2026'!O:O,'Goals 2026'!B:B,Smry!D106,'Goals 2026'!C:C,Smry!F106,'Goals 2026'!E:E,Smry!$B$100)</f>
        <v>5</v>
      </c>
      <c r="L106" s="484">
        <f>SUMIFS('Goals 2026'!P:P,'Goals 2026'!B:B,Smry!D106,'Goals 2026'!C:C,Smry!F106,'Goals 2026'!E:E,Smry!$B$100)</f>
        <v>3</v>
      </c>
      <c r="M106" s="482"/>
      <c r="N106" s="510">
        <f t="shared" si="7"/>
        <v>5.6525000000000007</v>
      </c>
      <c r="O106" s="510">
        <f>SUMIFS('Goals 2026'!H:H,'Goals 2026'!B:B,Smry!D106,'Goals 2026'!C:C,Smry!F106,'Goals 2026'!E:E,Smry!$B$100)</f>
        <v>2.7524999999999999</v>
      </c>
      <c r="P106" s="510">
        <f>SUMIFS('Goals 2026'!I:I,'Goals 2026'!B:B,Smry!D106,'Goals 2026'!C:C,Smry!F106,'Goals 2026'!E:E,Smry!$B$100)</f>
        <v>1.4500000000000002</v>
      </c>
      <c r="Q106" s="510">
        <f>SUMIFS('Goals 2026'!J:J,'Goals 2026'!B:B,Smry!D106,'Goals 2026'!C:C,Smry!F106,'Goals 2026'!E:E,Smry!$B$100)</f>
        <v>0.87000000000000011</v>
      </c>
      <c r="R106" s="510">
        <f>SUMIFS('Goals 2026'!K:K,'Goals 2026'!B:B,Smry!D106,'Goals 2026'!C:C,Smry!F106,'Goals 2026'!E:E,Smry!$B$100)</f>
        <v>0.58000000000000007</v>
      </c>
    </row>
    <row r="107" spans="1:18" hidden="1" outlineLevel="2">
      <c r="A107" s="480"/>
      <c r="B107" s="483" t="s">
        <v>72</v>
      </c>
      <c r="C107" s="502"/>
      <c r="D107" s="483" t="s">
        <v>440</v>
      </c>
      <c r="E107" s="392"/>
      <c r="F107" s="483" t="s">
        <v>440</v>
      </c>
      <c r="G107" s="392"/>
      <c r="H107" s="484">
        <f t="shared" si="6"/>
        <v>10</v>
      </c>
      <c r="I107" s="484">
        <f>SUMIFS('Goals 2026'!M:M,'Goals 2026'!B:B,Smry!D107,'Goals 2026'!C:C,Smry!F107,'Goals 2026'!E:E,Smry!$B$100)</f>
        <v>3</v>
      </c>
      <c r="J107" s="484">
        <f>SUMIFS('Goals 2026'!N:N,'Goals 2026'!B:B,Smry!D107,'Goals 2026'!C:C,Smry!F107,'Goals 2026'!E:E,Smry!$B$100)</f>
        <v>2</v>
      </c>
      <c r="K107" s="484">
        <f>SUMIFS('Goals 2026'!O:O,'Goals 2026'!B:B,Smry!D107,'Goals 2026'!C:C,Smry!F107,'Goals 2026'!E:E,Smry!$B$100)</f>
        <v>2</v>
      </c>
      <c r="L107" s="484">
        <f>SUMIFS('Goals 2026'!P:P,'Goals 2026'!B:B,Smry!D107,'Goals 2026'!C:C,Smry!F107,'Goals 2026'!E:E,Smry!$B$100)</f>
        <v>3</v>
      </c>
      <c r="M107" s="482"/>
      <c r="N107" s="510">
        <f t="shared" si="7"/>
        <v>21.871694250000004</v>
      </c>
      <c r="O107" s="510">
        <f>SUMIFS('Goals 2026'!H:H,'Goals 2026'!B:B,Smry!D107,'Goals 2026'!C:C,Smry!F107,'Goals 2026'!E:E,Smry!$B$100)</f>
        <v>11.053129500000001</v>
      </c>
      <c r="P107" s="510">
        <f>SUMIFS('Goals 2026'!I:I,'Goals 2026'!B:B,Smry!D107,'Goals 2026'!C:C,Smry!F107,'Goals 2026'!E:E,Smry!$B$100)</f>
        <v>5.5265647500000012</v>
      </c>
      <c r="Q107" s="510">
        <f>SUMIFS('Goals 2026'!J:J,'Goals 2026'!B:B,Smry!D107,'Goals 2026'!C:C,Smry!F107,'Goals 2026'!E:E,Smry!$B$100)</f>
        <v>2.1168000000000005</v>
      </c>
      <c r="R107" s="510">
        <f>SUMIFS('Goals 2026'!K:K,'Goals 2026'!B:B,Smry!D107,'Goals 2026'!C:C,Smry!F107,'Goals 2026'!E:E,Smry!$B$100)</f>
        <v>3.1752000000000002</v>
      </c>
    </row>
    <row r="108" spans="1:18" hidden="1" outlineLevel="2">
      <c r="A108" s="480"/>
      <c r="B108" s="483" t="s">
        <v>72</v>
      </c>
      <c r="C108" s="502"/>
      <c r="D108" s="384" t="s">
        <v>536</v>
      </c>
      <c r="E108" s="392"/>
      <c r="F108" s="624" t="s">
        <v>537</v>
      </c>
      <c r="G108" s="392"/>
      <c r="H108" s="484">
        <f>SUM(I108:L108)</f>
        <v>30</v>
      </c>
      <c r="I108" s="484">
        <f>SUMIFS('Goals 2026'!M:M,'Goals 2026'!B:B,Smry!D108,'Goals 2026'!C:C,Smry!F108,'Goals 2026'!E:E,Smry!$B$100)</f>
        <v>3</v>
      </c>
      <c r="J108" s="484">
        <f>SUMIFS('Goals 2026'!N:N,'Goals 2026'!B:B,Smry!D108,'Goals 2026'!C:C,Smry!F108,'Goals 2026'!E:E,Smry!$B$100)</f>
        <v>2</v>
      </c>
      <c r="K108" s="484">
        <f>SUMIFS('Goals 2026'!O:O,'Goals 2026'!B:B,Smry!D108,'Goals 2026'!C:C,Smry!F108,'Goals 2026'!E:E,Smry!$B$100)</f>
        <v>10</v>
      </c>
      <c r="L108" s="484">
        <f>SUMIFS('Goals 2026'!P:P,'Goals 2026'!B:B,Smry!D108,'Goals 2026'!C:C,Smry!F108,'Goals 2026'!E:E,Smry!$B$100)</f>
        <v>15</v>
      </c>
      <c r="M108" s="482"/>
      <c r="N108" s="510">
        <f>SUM(O108:R108)</f>
        <v>6.8493315692352432</v>
      </c>
      <c r="O108" s="510">
        <f>SUMIFS('Goals 2026'!H:H,'Goals 2026'!B:B,Smry!D108,'Goals 2026'!C:C,Smry!F108,'Goals 2026'!E:E,Smry!$B$100)</f>
        <v>3.35</v>
      </c>
      <c r="P108" s="510">
        <f>SUMIFS('Goals 2026'!I:I,'Goals 2026'!B:B,Smry!D108,'Goals 2026'!C:C,Smry!F108,'Goals 2026'!E:E,Smry!$B$100)</f>
        <v>1.3608358200013524</v>
      </c>
      <c r="Q108" s="510">
        <f>SUMIFS('Goals 2026'!J:J,'Goals 2026'!B:B,Smry!D108,'Goals 2026'!C:C,Smry!F108,'Goals 2026'!E:E,Smry!$B$100)</f>
        <v>1.4897822282258908</v>
      </c>
      <c r="R108" s="510">
        <f>SUMIFS('Goals 2026'!K:K,'Goals 2026'!B:B,Smry!D108,'Goals 2026'!C:C,Smry!F108,'Goals 2026'!E:E,Smry!$B$100)</f>
        <v>0.64871352100799995</v>
      </c>
    </row>
    <row r="109" spans="1:18" ht="2.25" customHeight="1" outlineLevel="1">
      <c r="A109" s="480"/>
      <c r="B109" s="487"/>
      <c r="C109" s="487"/>
      <c r="D109" s="487"/>
      <c r="E109" s="487"/>
      <c r="F109" s="487"/>
      <c r="G109" s="487"/>
      <c r="H109" s="487"/>
      <c r="I109" s="487"/>
      <c r="J109" s="487"/>
      <c r="K109" s="487"/>
      <c r="L109" s="487"/>
      <c r="M109" s="482"/>
      <c r="N109" s="487"/>
      <c r="O109" s="487"/>
      <c r="P109" s="487"/>
      <c r="Q109" s="487"/>
      <c r="R109" s="487"/>
    </row>
    <row r="110" spans="1:18" outlineLevel="1" collapsed="1">
      <c r="A110" s="480"/>
      <c r="B110" s="494" t="s">
        <v>144</v>
      </c>
      <c r="C110" s="495"/>
      <c r="D110" s="496"/>
      <c r="E110" s="497"/>
      <c r="F110" s="496"/>
      <c r="G110" s="497"/>
      <c r="H110" s="498">
        <f>SUM(I110:L110)</f>
        <v>118</v>
      </c>
      <c r="I110" s="498">
        <f>SUM(I112:I122)</f>
        <v>32</v>
      </c>
      <c r="J110" s="498">
        <f>SUM(J112:J122)</f>
        <v>29</v>
      </c>
      <c r="K110" s="498">
        <f>SUM(K112:K122)</f>
        <v>27</v>
      </c>
      <c r="L110" s="498">
        <f>SUM(L112:L122)</f>
        <v>30</v>
      </c>
      <c r="M110" s="482"/>
      <c r="N110" s="512">
        <f>SUM(O110:R110)</f>
        <v>54.482878437283176</v>
      </c>
      <c r="O110" s="512">
        <f>SUM(O112:O122)</f>
        <v>28.983259913425307</v>
      </c>
      <c r="P110" s="512">
        <f>SUM(P112:P122)</f>
        <v>12.006115359523289</v>
      </c>
      <c r="Q110" s="512">
        <f>SUM(Q112:Q122)</f>
        <v>5.33861861944834</v>
      </c>
      <c r="R110" s="512">
        <f>SUM(R112:R122)</f>
        <v>8.1548845448862437</v>
      </c>
    </row>
    <row r="111" spans="1:18" ht="2.25" hidden="1" customHeight="1" outlineLevel="2">
      <c r="A111" s="480"/>
      <c r="B111" s="487"/>
      <c r="C111" s="487"/>
      <c r="D111" s="487"/>
      <c r="E111" s="487"/>
      <c r="F111" s="487"/>
      <c r="G111" s="487"/>
      <c r="H111" s="487"/>
      <c r="I111" s="487"/>
      <c r="J111" s="487"/>
      <c r="K111" s="487"/>
      <c r="L111" s="487"/>
      <c r="M111" s="482"/>
      <c r="N111" s="535"/>
      <c r="O111" s="487"/>
      <c r="P111" s="487"/>
      <c r="Q111" s="487"/>
      <c r="R111" s="487"/>
    </row>
    <row r="112" spans="1:18" hidden="1" outlineLevel="2">
      <c r="A112" s="480"/>
      <c r="B112" s="483" t="s">
        <v>144</v>
      </c>
      <c r="C112" s="502"/>
      <c r="D112" s="483" t="s">
        <v>135</v>
      </c>
      <c r="E112" s="502"/>
      <c r="F112" s="483" t="s">
        <v>136</v>
      </c>
      <c r="G112" s="392"/>
      <c r="H112" s="484">
        <f t="shared" ref="H112:H122" si="8">SUM(I112:L112)</f>
        <v>0</v>
      </c>
      <c r="I112" s="484">
        <f>SUMIFS('Goals 2026'!M:M,'Goals 2026'!B:B,Smry!D112,'Goals 2026'!C:C,Smry!F112,'Goals 2026'!E:E,Smry!$B$110)</f>
        <v>0</v>
      </c>
      <c r="J112" s="484">
        <f>SUMIFS('Goals 2026'!N:N,'Goals 2026'!B:B,Smry!D112,'Goals 2026'!C:C,Smry!F112,'Goals 2026'!E:E,Smry!$B$110)</f>
        <v>0</v>
      </c>
      <c r="K112" s="484">
        <f>SUMIFS('Goals 2026'!O:O,'Goals 2026'!B:B,Smry!D112,'Goals 2026'!C:C,Smry!F112,'Goals 2026'!E:E,Smry!$B$110)</f>
        <v>0</v>
      </c>
      <c r="L112" s="484">
        <f>SUMIFS('Goals 2026'!P:P,'Goals 2026'!B:B,Smry!D112,'Goals 2026'!C:C,Smry!F112,'Goals 2026'!E:E,Smry!$B$110)</f>
        <v>0</v>
      </c>
      <c r="M112" s="482"/>
      <c r="N112" s="510">
        <f t="shared" ref="N112:N122" si="9">SUM(O112:R112)</f>
        <v>0</v>
      </c>
      <c r="O112" s="510">
        <f>SUMIFS('Goals 2026'!H:H,'Goals 2026'!B:B,Smry!D112,'Goals 2026'!C:C,Smry!F112,'Goals 2026'!E:E,Smry!$B$110)</f>
        <v>0</v>
      </c>
      <c r="P112" s="510">
        <f>SUMIFS('Goals 2026'!I:I,'Goals 2026'!B:B,Smry!D112,'Goals 2026'!C:C,Smry!F112,'Goals 2026'!E:E,Smry!$B$110)</f>
        <v>0</v>
      </c>
      <c r="Q112" s="510">
        <f>SUMIFS('Goals 2026'!J:J,'Goals 2026'!B:B,Smry!D112,'Goals 2026'!C:C,Smry!F112,'Goals 2026'!E:E,Smry!$B$110)</f>
        <v>0</v>
      </c>
      <c r="R112" s="510">
        <f>SUMIFS('Goals 2026'!K:K,'Goals 2026'!B:B,Smry!D112,'Goals 2026'!C:C,Smry!F112,'Goals 2026'!E:E,Smry!$B$110)</f>
        <v>0</v>
      </c>
    </row>
    <row r="113" spans="1:18" hidden="1" outlineLevel="2">
      <c r="A113" s="480"/>
      <c r="B113" s="483" t="s">
        <v>144</v>
      </c>
      <c r="C113" s="502"/>
      <c r="D113" s="483" t="s">
        <v>142</v>
      </c>
      <c r="E113" s="502"/>
      <c r="F113" s="483" t="s">
        <v>143</v>
      </c>
      <c r="G113" s="392"/>
      <c r="H113" s="484">
        <f t="shared" si="8"/>
        <v>2</v>
      </c>
      <c r="I113" s="484">
        <f>SUMIFS('Goals 2026'!M:M,'Goals 2026'!B:B,Smry!D113,'Goals 2026'!C:C,Smry!F113,'Goals 2026'!E:E,Smry!$B$110)</f>
        <v>2</v>
      </c>
      <c r="J113" s="484">
        <f>SUMIFS('Goals 2026'!N:N,'Goals 2026'!B:B,Smry!D113,'Goals 2026'!C:C,Smry!F113,'Goals 2026'!E:E,Smry!$B$110)</f>
        <v>0</v>
      </c>
      <c r="K113" s="484">
        <f>SUMIFS('Goals 2026'!O:O,'Goals 2026'!B:B,Smry!D113,'Goals 2026'!C:C,Smry!F113,'Goals 2026'!E:E,Smry!$B$110)</f>
        <v>0</v>
      </c>
      <c r="L113" s="484">
        <f>SUMIFS('Goals 2026'!P:P,'Goals 2026'!B:B,Smry!D113,'Goals 2026'!C:C,Smry!F113,'Goals 2026'!E:E,Smry!$B$110)</f>
        <v>0</v>
      </c>
      <c r="M113" s="482"/>
      <c r="N113" s="510">
        <f t="shared" si="9"/>
        <v>0.25</v>
      </c>
      <c r="O113" s="510">
        <f>SUMIFS('Goals 2026'!H:H,'Goals 2026'!B:B,Smry!D113,'Goals 2026'!C:C,Smry!F113,'Goals 2026'!E:E,Smry!$B$110)</f>
        <v>0.25</v>
      </c>
      <c r="P113" s="510">
        <f>SUMIFS('Goals 2026'!I:I,'Goals 2026'!B:B,Smry!D113,'Goals 2026'!C:C,Smry!F113,'Goals 2026'!E:E,Smry!$B$110)</f>
        <v>0</v>
      </c>
      <c r="Q113" s="510">
        <f>SUMIFS('Goals 2026'!J:J,'Goals 2026'!B:B,Smry!D113,'Goals 2026'!C:C,Smry!F113,'Goals 2026'!E:E,Smry!$B$110)</f>
        <v>0</v>
      </c>
      <c r="R113" s="510">
        <f>SUMIFS('Goals 2026'!K:K,'Goals 2026'!B:B,Smry!D113,'Goals 2026'!C:C,Smry!F113,'Goals 2026'!E:E,Smry!$B$110)</f>
        <v>0</v>
      </c>
    </row>
    <row r="114" spans="1:18" hidden="1" outlineLevel="2">
      <c r="A114" s="480"/>
      <c r="B114" s="483" t="s">
        <v>144</v>
      </c>
      <c r="C114" s="502"/>
      <c r="D114" s="483" t="s">
        <v>147</v>
      </c>
      <c r="E114" s="502"/>
      <c r="F114" s="483" t="s">
        <v>148</v>
      </c>
      <c r="G114" s="392"/>
      <c r="H114" s="484">
        <f t="shared" si="8"/>
        <v>16</v>
      </c>
      <c r="I114" s="484">
        <f>SUMIFS('Goals 2026'!M:M,'Goals 2026'!B:B,Smry!D114,'Goals 2026'!C:C,Smry!F114,'Goals 2026'!E:E,Smry!$B$110)</f>
        <v>4</v>
      </c>
      <c r="J114" s="484">
        <f>SUMIFS('Goals 2026'!N:N,'Goals 2026'!B:B,Smry!D114,'Goals 2026'!C:C,Smry!F114,'Goals 2026'!E:E,Smry!$B$110)</f>
        <v>11</v>
      </c>
      <c r="K114" s="484">
        <f>SUMIFS('Goals 2026'!O:O,'Goals 2026'!B:B,Smry!D114,'Goals 2026'!C:C,Smry!F114,'Goals 2026'!E:E,Smry!$B$110)</f>
        <v>1</v>
      </c>
      <c r="L114" s="484">
        <f>SUMIFS('Goals 2026'!P:P,'Goals 2026'!B:B,Smry!D114,'Goals 2026'!C:C,Smry!F114,'Goals 2026'!E:E,Smry!$B$110)</f>
        <v>0</v>
      </c>
      <c r="M114" s="482"/>
      <c r="N114" s="510">
        <f t="shared" si="9"/>
        <v>4.4553571000000005</v>
      </c>
      <c r="O114" s="510">
        <f>SUMIFS('Goals 2026'!H:H,'Goals 2026'!B:B,Smry!D114,'Goals 2026'!C:C,Smry!F114,'Goals 2026'!E:E,Smry!$B$110)</f>
        <v>2.3753571</v>
      </c>
      <c r="P114" s="510">
        <f>SUMIFS('Goals 2026'!I:I,'Goals 2026'!B:B,Smry!D114,'Goals 2026'!C:C,Smry!F114,'Goals 2026'!E:E,Smry!$B$110)</f>
        <v>2.0700000000000003</v>
      </c>
      <c r="Q114" s="510">
        <f>SUMIFS('Goals 2026'!J:J,'Goals 2026'!B:B,Smry!D114,'Goals 2026'!C:C,Smry!F114,'Goals 2026'!E:E,Smry!$B$110)</f>
        <v>0.01</v>
      </c>
      <c r="R114" s="510">
        <f>SUMIFS('Goals 2026'!K:K,'Goals 2026'!B:B,Smry!D114,'Goals 2026'!C:C,Smry!F114,'Goals 2026'!E:E,Smry!$B$110)</f>
        <v>0</v>
      </c>
    </row>
    <row r="115" spans="1:18" hidden="1" outlineLevel="2">
      <c r="A115" s="480"/>
      <c r="B115" s="483" t="s">
        <v>144</v>
      </c>
      <c r="C115" s="502"/>
      <c r="D115" s="386" t="s">
        <v>180</v>
      </c>
      <c r="E115" s="502"/>
      <c r="F115" s="483" t="s">
        <v>23</v>
      </c>
      <c r="G115" s="392"/>
      <c r="H115" s="484">
        <f t="shared" si="8"/>
        <v>10</v>
      </c>
      <c r="I115" s="484">
        <f>SUMIFS('Goals 2026'!M:M,'Goals 2026'!B:B,Smry!D115,'Goals 2026'!C:C,Smry!F115,'Goals 2026'!E:E,Smry!$B$110)</f>
        <v>3</v>
      </c>
      <c r="J115" s="484">
        <f>SUMIFS('Goals 2026'!N:N,'Goals 2026'!B:B,Smry!D115,'Goals 2026'!C:C,Smry!F115,'Goals 2026'!E:E,Smry!$B$110)</f>
        <v>4</v>
      </c>
      <c r="K115" s="484">
        <f>SUMIFS('Goals 2026'!O:O,'Goals 2026'!B:B,Smry!D115,'Goals 2026'!C:C,Smry!F115,'Goals 2026'!E:E,Smry!$B$110)</f>
        <v>3</v>
      </c>
      <c r="L115" s="484">
        <f>SUMIFS('Goals 2026'!P:P,'Goals 2026'!B:B,Smry!D115,'Goals 2026'!C:C,Smry!F115,'Goals 2026'!E:E,Smry!$B$110)</f>
        <v>0</v>
      </c>
      <c r="M115" s="482"/>
      <c r="N115" s="510">
        <f t="shared" si="9"/>
        <v>1.0220568120000002</v>
      </c>
      <c r="O115" s="510">
        <f>SUMIFS('Goals 2026'!H:H,'Goals 2026'!B:B,Smry!D115,'Goals 2026'!C:C,Smry!F115,'Goals 2026'!E:E,Smry!$B$110)</f>
        <v>0.30105801900000001</v>
      </c>
      <c r="P115" s="510">
        <f>SUMIFS('Goals 2026'!I:I,'Goals 2026'!B:B,Smry!D115,'Goals 2026'!C:C,Smry!F115,'Goals 2026'!E:E,Smry!$B$110)</f>
        <v>0.39315029400000001</v>
      </c>
      <c r="Q115" s="510">
        <f>SUMIFS('Goals 2026'!J:J,'Goals 2026'!B:B,Smry!D115,'Goals 2026'!C:C,Smry!F115,'Goals 2026'!E:E,Smry!$B$110)</f>
        <v>0.32784849900000002</v>
      </c>
      <c r="R115" s="510">
        <f>SUMIFS('Goals 2026'!K:K,'Goals 2026'!B:B,Smry!D115,'Goals 2026'!C:C,Smry!F115,'Goals 2026'!E:E,Smry!$B$110)</f>
        <v>0</v>
      </c>
    </row>
    <row r="116" spans="1:18" hidden="1" outlineLevel="2">
      <c r="A116" s="480"/>
      <c r="B116" s="483" t="s">
        <v>144</v>
      </c>
      <c r="C116" s="502"/>
      <c r="D116" s="386" t="s">
        <v>362</v>
      </c>
      <c r="E116" s="502"/>
      <c r="F116" s="483" t="s">
        <v>363</v>
      </c>
      <c r="G116" s="392"/>
      <c r="H116" s="484">
        <f>SUM(I116:L116)</f>
        <v>30</v>
      </c>
      <c r="I116" s="484">
        <f>SUMIFS('Goals 2026'!M:M,'Goals 2026'!B:B,Smry!D116,'Goals 2026'!C:C,Smry!F116,'Goals 2026'!E:E,Smry!$B$110)</f>
        <v>3</v>
      </c>
      <c r="J116" s="484">
        <f>SUMIFS('Goals 2026'!N:N,'Goals 2026'!B:B,Smry!D116,'Goals 2026'!C:C,Smry!F116,'Goals 2026'!E:E,Smry!$B$110)</f>
        <v>3</v>
      </c>
      <c r="K116" s="484">
        <f>SUMIFS('Goals 2026'!O:O,'Goals 2026'!B:B,Smry!D116,'Goals 2026'!C:C,Smry!F116,'Goals 2026'!E:E,Smry!$B$110)</f>
        <v>10</v>
      </c>
      <c r="L116" s="484">
        <f>SUMIFS('Goals 2026'!P:P,'Goals 2026'!B:B,Smry!D116,'Goals 2026'!C:C,Smry!F116,'Goals 2026'!E:E,Smry!$B$110)</f>
        <v>14</v>
      </c>
      <c r="M116" s="482"/>
      <c r="N116" s="510">
        <f>SUM(O116:R116)</f>
        <v>13.894856227425308</v>
      </c>
      <c r="O116" s="510">
        <f>SUMIFS('Goals 2026'!H:H,'Goals 2026'!B:B,Smry!D116,'Goals 2026'!C:C,Smry!F116,'Goals 2026'!E:E,Smry!$B$110)</f>
        <v>8.7813947704253064</v>
      </c>
      <c r="P116" s="510">
        <f>SUMIFS('Goals 2026'!I:I,'Goals 2026'!B:B,Smry!D116,'Goals 2026'!C:C,Smry!F116,'Goals 2026'!E:E,Smry!$B$110)</f>
        <v>0.65398654000000001</v>
      </c>
      <c r="Q116" s="510">
        <f>SUMIFS('Goals 2026'!J:J,'Goals 2026'!B:B,Smry!D116,'Goals 2026'!C:C,Smry!F116,'Goals 2026'!E:E,Smry!$B$110)</f>
        <v>1.8090825989999999</v>
      </c>
      <c r="R116" s="510">
        <f>SUMIFS('Goals 2026'!K:K,'Goals 2026'!B:B,Smry!D116,'Goals 2026'!C:C,Smry!F116,'Goals 2026'!E:E,Smry!$B$110)</f>
        <v>2.6503923180000006</v>
      </c>
    </row>
    <row r="117" spans="1:18" hidden="1" outlineLevel="2">
      <c r="A117" s="480"/>
      <c r="B117" s="483" t="s">
        <v>144</v>
      </c>
      <c r="C117" s="502"/>
      <c r="D117" s="483" t="s">
        <v>194</v>
      </c>
      <c r="E117" s="502"/>
      <c r="F117" s="483" t="s">
        <v>136</v>
      </c>
      <c r="G117" s="392"/>
      <c r="H117" s="484">
        <f t="shared" si="8"/>
        <v>5</v>
      </c>
      <c r="I117" s="484">
        <f>SUMIFS('Goals 2026'!M:M,'Goals 2026'!B:B,Smry!D117,'Goals 2026'!C:C,Smry!F117,'Goals 2026'!E:E,Smry!$B$110)</f>
        <v>5</v>
      </c>
      <c r="J117" s="484">
        <f>SUMIFS('Goals 2026'!N:N,'Goals 2026'!B:B,Smry!D117,'Goals 2026'!C:C,Smry!F117,'Goals 2026'!E:E,Smry!$B$110)</f>
        <v>0</v>
      </c>
      <c r="K117" s="484">
        <f>SUMIFS('Goals 2026'!O:O,'Goals 2026'!B:B,Smry!D117,'Goals 2026'!C:C,Smry!F117,'Goals 2026'!E:E,Smry!$B$110)</f>
        <v>0</v>
      </c>
      <c r="L117" s="484">
        <f>SUMIFS('Goals 2026'!P:P,'Goals 2026'!B:B,Smry!D117,'Goals 2026'!C:C,Smry!F117,'Goals 2026'!E:E,Smry!$B$110)</f>
        <v>0</v>
      </c>
      <c r="M117" s="482"/>
      <c r="N117" s="510">
        <f t="shared" si="9"/>
        <v>0.96000000000000008</v>
      </c>
      <c r="O117" s="510">
        <f>SUMIFS('Goals 2026'!H:H,'Goals 2026'!B:B,Smry!D117,'Goals 2026'!C:C,Smry!F117,'Goals 2026'!E:E,Smry!$B$110)</f>
        <v>0.96000000000000008</v>
      </c>
      <c r="P117" s="510">
        <f>SUMIFS('Goals 2026'!I:I,'Goals 2026'!B:B,Smry!D117,'Goals 2026'!C:C,Smry!F117,'Goals 2026'!E:E,Smry!$B$110)</f>
        <v>0</v>
      </c>
      <c r="Q117" s="510">
        <f>SUMIFS('Goals 2026'!J:J,'Goals 2026'!B:B,Smry!D117,'Goals 2026'!C:C,Smry!F117,'Goals 2026'!E:E,Smry!$B$110)</f>
        <v>0</v>
      </c>
      <c r="R117" s="510">
        <f>SUMIFS('Goals 2026'!K:K,'Goals 2026'!B:B,Smry!D117,'Goals 2026'!C:C,Smry!F117,'Goals 2026'!E:E,Smry!$B$110)</f>
        <v>0</v>
      </c>
    </row>
    <row r="118" spans="1:18" hidden="1" outlineLevel="2">
      <c r="A118" s="480"/>
      <c r="B118" s="483" t="s">
        <v>144</v>
      </c>
      <c r="C118" s="502"/>
      <c r="D118" s="483" t="s">
        <v>290</v>
      </c>
      <c r="E118" s="502"/>
      <c r="F118" s="483" t="s">
        <v>291</v>
      </c>
      <c r="G118" s="392"/>
      <c r="H118" s="484">
        <f t="shared" si="8"/>
        <v>6</v>
      </c>
      <c r="I118" s="484">
        <f>SUMIFS('Goals 2026'!M:M,'Goals 2026'!B:B,Smry!D118,'Goals 2026'!C:C,Smry!F118,'Goals 2026'!E:E,Smry!$B$110)</f>
        <v>2</v>
      </c>
      <c r="J118" s="484">
        <f>SUMIFS('Goals 2026'!N:N,'Goals 2026'!B:B,Smry!D118,'Goals 2026'!C:C,Smry!F118,'Goals 2026'!E:E,Smry!$B$110)</f>
        <v>3</v>
      </c>
      <c r="K118" s="484">
        <f>SUMIFS('Goals 2026'!O:O,'Goals 2026'!B:B,Smry!D118,'Goals 2026'!C:C,Smry!F118,'Goals 2026'!E:E,Smry!$B$110)</f>
        <v>1</v>
      </c>
      <c r="L118" s="484">
        <f>SUMIFS('Goals 2026'!P:P,'Goals 2026'!B:B,Smry!D118,'Goals 2026'!C:C,Smry!F118,'Goals 2026'!E:E,Smry!$B$110)</f>
        <v>0</v>
      </c>
      <c r="M118" s="482"/>
      <c r="N118" s="510">
        <f t="shared" si="9"/>
        <v>0.35700000000000004</v>
      </c>
      <c r="O118" s="510">
        <f>SUMIFS('Goals 2026'!H:H,'Goals 2026'!B:B,Smry!D118,'Goals 2026'!C:C,Smry!F118,'Goals 2026'!E:E,Smry!$B$110)</f>
        <v>0.10500000000000001</v>
      </c>
      <c r="P118" s="510">
        <f>SUMIFS('Goals 2026'!I:I,'Goals 2026'!B:B,Smry!D118,'Goals 2026'!C:C,Smry!F118,'Goals 2026'!E:E,Smry!$B$110)</f>
        <v>0.189</v>
      </c>
      <c r="Q118" s="510">
        <f>SUMIFS('Goals 2026'!J:J,'Goals 2026'!B:B,Smry!D118,'Goals 2026'!C:C,Smry!F118,'Goals 2026'!E:E,Smry!$B$110)</f>
        <v>6.3E-2</v>
      </c>
      <c r="R118" s="510">
        <f>SUMIFS('Goals 2026'!K:K,'Goals 2026'!B:B,Smry!D118,'Goals 2026'!C:C,Smry!F118,'Goals 2026'!E:E,Smry!$B$110)</f>
        <v>0</v>
      </c>
    </row>
    <row r="119" spans="1:18" hidden="1" outlineLevel="2">
      <c r="A119" s="480"/>
      <c r="B119" s="483" t="s">
        <v>144</v>
      </c>
      <c r="C119" s="502"/>
      <c r="D119" s="483" t="s">
        <v>293</v>
      </c>
      <c r="E119" s="392"/>
      <c r="F119" s="483" t="s">
        <v>294</v>
      </c>
      <c r="G119" s="392"/>
      <c r="H119" s="484">
        <f t="shared" si="8"/>
        <v>4</v>
      </c>
      <c r="I119" s="484">
        <f>SUMIFS('Goals 2026'!M:M,'Goals 2026'!B:B,Smry!D119,'Goals 2026'!C:C,Smry!F119,'Goals 2026'!E:E,Smry!$B$110)</f>
        <v>4</v>
      </c>
      <c r="J119" s="484">
        <f>SUMIFS('Goals 2026'!N:N,'Goals 2026'!B:B,Smry!D119,'Goals 2026'!C:C,Smry!F119,'Goals 2026'!E:E,Smry!$B$110)</f>
        <v>0</v>
      </c>
      <c r="K119" s="484">
        <f>SUMIFS('Goals 2026'!O:O,'Goals 2026'!B:B,Smry!D119,'Goals 2026'!C:C,Smry!F119,'Goals 2026'!E:E,Smry!$B$110)</f>
        <v>0</v>
      </c>
      <c r="L119" s="484">
        <f>SUMIFS('Goals 2026'!P:P,'Goals 2026'!B:B,Smry!D119,'Goals 2026'!C:C,Smry!F119,'Goals 2026'!E:E,Smry!$B$110)</f>
        <v>0</v>
      </c>
      <c r="M119" s="482"/>
      <c r="N119" s="510">
        <f t="shared" si="9"/>
        <v>0.77993999999999997</v>
      </c>
      <c r="O119" s="510">
        <f>SUMIFS('Goals 2026'!H:H,'Goals 2026'!B:B,Smry!D119,'Goals 2026'!C:C,Smry!F119,'Goals 2026'!E:E,Smry!$B$110)</f>
        <v>0.77993999999999997</v>
      </c>
      <c r="P119" s="510">
        <f>SUMIFS('Goals 2026'!I:I,'Goals 2026'!B:B,Smry!D119,'Goals 2026'!C:C,Smry!F119,'Goals 2026'!E:E,Smry!$B$110)</f>
        <v>0</v>
      </c>
      <c r="Q119" s="510">
        <f>SUMIFS('Goals 2026'!J:J,'Goals 2026'!B:B,Smry!D119,'Goals 2026'!C:C,Smry!F119,'Goals 2026'!E:E,Smry!$B$110)</f>
        <v>0</v>
      </c>
      <c r="R119" s="510">
        <f>SUMIFS('Goals 2026'!K:K,'Goals 2026'!B:B,Smry!D119,'Goals 2026'!C:C,Smry!F119,'Goals 2026'!E:E,Smry!$B$110)</f>
        <v>0</v>
      </c>
    </row>
    <row r="120" spans="1:18" hidden="1" outlineLevel="2">
      <c r="A120" s="480"/>
      <c r="B120" s="483" t="s">
        <v>144</v>
      </c>
      <c r="C120" s="502"/>
      <c r="D120" s="483" t="s">
        <v>305</v>
      </c>
      <c r="E120" s="502"/>
      <c r="F120" s="483" t="s">
        <v>306</v>
      </c>
      <c r="G120" s="392"/>
      <c r="H120" s="484">
        <f t="shared" si="8"/>
        <v>8</v>
      </c>
      <c r="I120" s="484">
        <f>SUMIFS('Goals 2026'!M:M,'Goals 2026'!B:B,Smry!D120,'Goals 2026'!C:C,Smry!F120,'Goals 2026'!E:E,Smry!$B$110)</f>
        <v>2</v>
      </c>
      <c r="J120" s="484">
        <f>SUMIFS('Goals 2026'!N:N,'Goals 2026'!B:B,Smry!D120,'Goals 2026'!C:C,Smry!F120,'Goals 2026'!E:E,Smry!$B$110)</f>
        <v>3</v>
      </c>
      <c r="K120" s="484">
        <f>SUMIFS('Goals 2026'!O:O,'Goals 2026'!B:B,Smry!D120,'Goals 2026'!C:C,Smry!F120,'Goals 2026'!E:E,Smry!$B$110)</f>
        <v>3</v>
      </c>
      <c r="L120" s="484">
        <f>SUMIFS('Goals 2026'!P:P,'Goals 2026'!B:B,Smry!D120,'Goals 2026'!C:C,Smry!F120,'Goals 2026'!E:E,Smry!$B$110)</f>
        <v>0</v>
      </c>
      <c r="M120" s="482"/>
      <c r="N120" s="510">
        <f t="shared" si="9"/>
        <v>1.6718480912000002</v>
      </c>
      <c r="O120" s="510">
        <f>SUMIFS('Goals 2026'!H:H,'Goals 2026'!B:B,Smry!D120,'Goals 2026'!C:C,Smry!F120,'Goals 2026'!E:E,Smry!$B$110)</f>
        <v>0.43996002400000001</v>
      </c>
      <c r="P120" s="510">
        <f>SUMIFS('Goals 2026'!I:I,'Goals 2026'!B:B,Smry!D120,'Goals 2026'!C:C,Smry!F120,'Goals 2026'!E:E,Smry!$B$110)</f>
        <v>0.6704680192000001</v>
      </c>
      <c r="Q120" s="510">
        <f>SUMIFS('Goals 2026'!J:J,'Goals 2026'!B:B,Smry!D120,'Goals 2026'!C:C,Smry!F120,'Goals 2026'!E:E,Smry!$B$110)</f>
        <v>0.561420048</v>
      </c>
      <c r="R120" s="510">
        <f>SUMIFS('Goals 2026'!K:K,'Goals 2026'!B:B,Smry!D120,'Goals 2026'!C:C,Smry!F120,'Goals 2026'!E:E,Smry!$B$110)</f>
        <v>0</v>
      </c>
    </row>
    <row r="121" spans="1:18" hidden="1" outlineLevel="2">
      <c r="A121" s="480"/>
      <c r="B121" s="483" t="s">
        <v>144</v>
      </c>
      <c r="C121" s="502"/>
      <c r="D121" s="483" t="s">
        <v>330</v>
      </c>
      <c r="E121" s="502"/>
      <c r="F121" s="483" t="s">
        <v>80</v>
      </c>
      <c r="G121" s="392"/>
      <c r="H121" s="484">
        <f t="shared" si="8"/>
        <v>12</v>
      </c>
      <c r="I121" s="484">
        <f>SUMIFS('Goals 2026'!M:M,'Goals 2026'!B:B,Smry!D121,'Goals 2026'!C:C,Smry!F121,'Goals 2026'!E:E,Smry!$B$110)</f>
        <v>3</v>
      </c>
      <c r="J121" s="484">
        <f>SUMIFS('Goals 2026'!N:N,'Goals 2026'!B:B,Smry!D121,'Goals 2026'!C:C,Smry!F121,'Goals 2026'!E:E,Smry!$B$110)</f>
        <v>2</v>
      </c>
      <c r="K121" s="484">
        <f>SUMIFS('Goals 2026'!O:O,'Goals 2026'!B:B,Smry!D121,'Goals 2026'!C:C,Smry!F121,'Goals 2026'!E:E,Smry!$B$110)</f>
        <v>3</v>
      </c>
      <c r="L121" s="484">
        <f>SUMIFS('Goals 2026'!P:P,'Goals 2026'!B:B,Smry!D121,'Goals 2026'!C:C,Smry!F121,'Goals 2026'!E:E,Smry!$B$110)</f>
        <v>4</v>
      </c>
      <c r="M121" s="482"/>
      <c r="N121" s="510">
        <f t="shared" si="9"/>
        <v>4.1876862500000005</v>
      </c>
      <c r="O121" s="510">
        <f>SUMIFS('Goals 2026'!H:H,'Goals 2026'!B:B,Smry!D121,'Goals 2026'!C:C,Smry!F121,'Goals 2026'!E:E,Smry!$B$110)</f>
        <v>1.18</v>
      </c>
      <c r="P121" s="510">
        <f>SUMIFS('Goals 2026'!I:I,'Goals 2026'!B:B,Smry!D121,'Goals 2026'!C:C,Smry!F121,'Goals 2026'!E:E,Smry!$B$110)</f>
        <v>0.91</v>
      </c>
      <c r="Q121" s="510">
        <f>SUMIFS('Goals 2026'!J:J,'Goals 2026'!B:B,Smry!D121,'Goals 2026'!C:C,Smry!F121,'Goals 2026'!E:E,Smry!$B$110)</f>
        <v>0.51636750000000009</v>
      </c>
      <c r="R121" s="510">
        <f>SUMIFS('Goals 2026'!K:K,'Goals 2026'!B:B,Smry!D121,'Goals 2026'!C:C,Smry!F121,'Goals 2026'!E:E,Smry!$B$110)</f>
        <v>1.5813187500000001</v>
      </c>
    </row>
    <row r="122" spans="1:18" hidden="1" outlineLevel="2">
      <c r="A122" s="480"/>
      <c r="B122" s="483" t="s">
        <v>144</v>
      </c>
      <c r="C122" s="502"/>
      <c r="D122" s="503" t="s">
        <v>398</v>
      </c>
      <c r="E122" s="504"/>
      <c r="F122" s="503" t="s">
        <v>398</v>
      </c>
      <c r="G122" s="392"/>
      <c r="H122" s="484">
        <f t="shared" si="8"/>
        <v>25</v>
      </c>
      <c r="I122" s="484">
        <f>SUMIFS('Goals 2026'!M:M,'Goals 2026'!B:B,Smry!D122,'Goals 2026'!C:C,Smry!F122,'Goals 2026'!E:E,Smry!$B$110)</f>
        <v>4</v>
      </c>
      <c r="J122" s="484">
        <f>SUMIFS('Goals 2026'!N:N,'Goals 2026'!B:B,Smry!D122,'Goals 2026'!C:C,Smry!F122,'Goals 2026'!E:E,Smry!$B$110)</f>
        <v>3</v>
      </c>
      <c r="K122" s="484">
        <f>SUMIFS('Goals 2026'!O:O,'Goals 2026'!B:B,Smry!D122,'Goals 2026'!C:C,Smry!F122,'Goals 2026'!E:E,Smry!$B$110)</f>
        <v>6</v>
      </c>
      <c r="L122" s="484">
        <f>SUMIFS('Goals 2026'!P:P,'Goals 2026'!B:B,Smry!D122,'Goals 2026'!C:C,Smry!F122,'Goals 2026'!E:E,Smry!$B$110)</f>
        <v>12</v>
      </c>
      <c r="M122" s="482"/>
      <c r="N122" s="510">
        <f t="shared" si="9"/>
        <v>26.904133956657873</v>
      </c>
      <c r="O122" s="510">
        <f>SUMIFS('Goals 2026'!H:H,'Goals 2026'!B:B,Smry!D122,'Goals 2026'!C:C,Smry!F122,'Goals 2026'!E:E,Smry!$B$110)</f>
        <v>13.810550000000003</v>
      </c>
      <c r="P122" s="510">
        <f>SUMIFS('Goals 2026'!I:I,'Goals 2026'!B:B,Smry!D122,'Goals 2026'!C:C,Smry!F122,'Goals 2026'!E:E,Smry!$B$110)</f>
        <v>7.1195105063232873</v>
      </c>
      <c r="Q122" s="510">
        <f>SUMIFS('Goals 2026'!J:J,'Goals 2026'!B:B,Smry!D122,'Goals 2026'!C:C,Smry!F122,'Goals 2026'!E:E,Smry!$B$110)</f>
        <v>2.05089997344834</v>
      </c>
      <c r="R122" s="510">
        <f>SUMIFS('Goals 2026'!K:K,'Goals 2026'!B:B,Smry!D122,'Goals 2026'!C:C,Smry!F122,'Goals 2026'!E:E,Smry!$B$110)</f>
        <v>3.9231734768862427</v>
      </c>
    </row>
    <row r="123" spans="1:18" ht="2.25" customHeight="1" outlineLevel="1">
      <c r="A123" s="480"/>
      <c r="B123" s="487"/>
      <c r="C123" s="487"/>
      <c r="D123" s="487"/>
      <c r="E123" s="487"/>
      <c r="F123" s="487"/>
      <c r="G123" s="487"/>
      <c r="H123" s="487"/>
      <c r="I123" s="487"/>
      <c r="J123" s="487"/>
      <c r="K123" s="487"/>
      <c r="L123" s="487"/>
      <c r="M123" s="482"/>
      <c r="N123" s="487"/>
      <c r="O123" s="487"/>
      <c r="P123" s="487"/>
      <c r="Q123" s="487"/>
      <c r="R123" s="487"/>
    </row>
    <row r="124" spans="1:18" outlineLevel="1" collapsed="1">
      <c r="A124" s="480"/>
      <c r="B124" s="494" t="s">
        <v>204</v>
      </c>
      <c r="C124" s="495"/>
      <c r="D124" s="496"/>
      <c r="E124" s="497"/>
      <c r="F124" s="496"/>
      <c r="G124" s="497"/>
      <c r="H124" s="498">
        <f>SUM(I124:L124)</f>
        <v>89</v>
      </c>
      <c r="I124" s="498">
        <f>SUM(I126:I138)</f>
        <v>35</v>
      </c>
      <c r="J124" s="498">
        <f>SUM(J126:J138)</f>
        <v>20</v>
      </c>
      <c r="K124" s="498">
        <f>SUM(K126:K138)</f>
        <v>19</v>
      </c>
      <c r="L124" s="498">
        <f>SUM(L126:L138)</f>
        <v>15</v>
      </c>
      <c r="M124" s="482"/>
      <c r="N124" s="512">
        <f>SUM(O124:R124)</f>
        <v>24.646343007358983</v>
      </c>
      <c r="O124" s="512">
        <f>SUM(O126:O138)</f>
        <v>10.209466636198616</v>
      </c>
      <c r="P124" s="512">
        <f>SUM(P126:P138)</f>
        <v>5.7478408313553926</v>
      </c>
      <c r="Q124" s="512">
        <f>SUM(Q126:Q138)</f>
        <v>5.1783118704219886</v>
      </c>
      <c r="R124" s="512">
        <f>SUM(R126:R138)</f>
        <v>3.5107236693829837</v>
      </c>
    </row>
    <row r="125" spans="1:18" ht="2.25" hidden="1" customHeight="1" outlineLevel="2">
      <c r="A125" s="480"/>
      <c r="B125" s="487"/>
      <c r="C125" s="487"/>
      <c r="D125" s="487"/>
      <c r="E125" s="487"/>
      <c r="F125" s="487"/>
      <c r="G125" s="487"/>
      <c r="H125" s="487"/>
      <c r="I125" s="487"/>
      <c r="J125" s="487"/>
      <c r="K125" s="487"/>
      <c r="L125" s="487"/>
      <c r="M125" s="482"/>
      <c r="N125" s="535"/>
      <c r="O125" s="535"/>
      <c r="P125" s="487"/>
      <c r="Q125" s="487"/>
      <c r="R125" s="487"/>
    </row>
    <row r="126" spans="1:18" hidden="1" outlineLevel="2">
      <c r="A126" s="480"/>
      <c r="B126" s="483" t="s">
        <v>204</v>
      </c>
      <c r="C126" s="502"/>
      <c r="D126" s="483" t="s">
        <v>200</v>
      </c>
      <c r="E126" s="502"/>
      <c r="F126" s="483" t="s">
        <v>200</v>
      </c>
      <c r="G126" s="392"/>
      <c r="H126" s="484">
        <f t="shared" ref="H126:H136" si="10">SUM(I126:L126)</f>
        <v>5</v>
      </c>
      <c r="I126" s="484">
        <f>SUMIFS('Goals 2026'!M:M,'Goals 2026'!B:B,Smry!D126,'Goals 2026'!C:C,Smry!F126,'Goals 2026'!E:E,Smry!$B$124)</f>
        <v>2</v>
      </c>
      <c r="J126" s="484">
        <f>SUMIFS('Goals 2026'!N:N,'Goals 2026'!B:B,Smry!D126,'Goals 2026'!C:C,Smry!F126,'Goals 2026'!E:E,Smry!$B$124)</f>
        <v>3</v>
      </c>
      <c r="K126" s="484">
        <f>SUMIFS('Goals 2026'!O:O,'Goals 2026'!B:B,Smry!D126,'Goals 2026'!C:C,Smry!F126,'Goals 2026'!E:E,Smry!$B$124)</f>
        <v>0</v>
      </c>
      <c r="L126" s="484">
        <f>SUMIFS('Goals 2026'!P:P,'Goals 2026'!B:B,Smry!D126,'Goals 2026'!C:C,Smry!F126,'Goals 2026'!E:E,Smry!$B$124)</f>
        <v>0</v>
      </c>
      <c r="M126" s="482"/>
      <c r="N126" s="510">
        <f t="shared" ref="N126:N135" si="11">SUM(O126:R126)</f>
        <v>1.547754763030085</v>
      </c>
      <c r="O126" s="510">
        <f>SUMIFS('Goals 2026'!H:H,'Goals 2026'!B:B,Smry!D126,'Goals 2026'!C:C,Smry!F126,'Goals 2026'!E:E,Smry!$B$124)</f>
        <v>0.309550952606017</v>
      </c>
      <c r="P126" s="510">
        <f>SUMIFS('Goals 2026'!I:I,'Goals 2026'!B:B,Smry!D126,'Goals 2026'!C:C,Smry!F126,'Goals 2026'!E:E,Smry!$B$124)</f>
        <v>1.238203810424068</v>
      </c>
      <c r="Q126" s="510">
        <f>SUMIFS('Goals 2026'!J:J,'Goals 2026'!B:B,Smry!D126,'Goals 2026'!C:C,Smry!F126,'Goals 2026'!E:E,Smry!$B$124)</f>
        <v>0</v>
      </c>
      <c r="R126" s="510">
        <f>SUMIFS('Goals 2026'!K:K,'Goals 2026'!B:B,Smry!D126,'Goals 2026'!C:C,Smry!F126,'Goals 2026'!E:E,Smry!$B$124)</f>
        <v>0</v>
      </c>
    </row>
    <row r="127" spans="1:18" hidden="1" outlineLevel="2">
      <c r="A127" s="480"/>
      <c r="B127" s="483" t="s">
        <v>204</v>
      </c>
      <c r="C127" s="502"/>
      <c r="D127" s="483" t="s">
        <v>212</v>
      </c>
      <c r="E127" s="502"/>
      <c r="F127" s="483" t="s">
        <v>212</v>
      </c>
      <c r="G127" s="392"/>
      <c r="H127" s="484">
        <f t="shared" si="10"/>
        <v>13</v>
      </c>
      <c r="I127" s="484">
        <f>SUMIFS('Goals 2026'!M:M,'Goals 2026'!B:B,Smry!D127,'Goals 2026'!C:C,Smry!F127,'Goals 2026'!E:E,Smry!$B$124)</f>
        <v>10</v>
      </c>
      <c r="J127" s="484">
        <f>SUMIFS('Goals 2026'!N:N,'Goals 2026'!B:B,Smry!D127,'Goals 2026'!C:C,Smry!F127,'Goals 2026'!E:E,Smry!$B$124)</f>
        <v>0</v>
      </c>
      <c r="K127" s="484">
        <f>SUMIFS('Goals 2026'!O:O,'Goals 2026'!B:B,Smry!D127,'Goals 2026'!C:C,Smry!F127,'Goals 2026'!E:E,Smry!$B$124)</f>
        <v>3</v>
      </c>
      <c r="L127" s="484">
        <f>SUMIFS('Goals 2026'!P:P,'Goals 2026'!B:B,Smry!D127,'Goals 2026'!C:C,Smry!F127,'Goals 2026'!E:E,Smry!$B$124)</f>
        <v>0</v>
      </c>
      <c r="M127" s="482"/>
      <c r="N127" s="510">
        <f t="shared" si="11"/>
        <v>6.1030133279200003</v>
      </c>
      <c r="O127" s="510">
        <f>SUMIFS('Goals 2026'!H:H,'Goals 2026'!B:B,Smry!D127,'Goals 2026'!C:C,Smry!F127,'Goals 2026'!E:E,Smry!$B$124)</f>
        <v>5.8780133279200006</v>
      </c>
      <c r="P127" s="510">
        <f>SUMIFS('Goals 2026'!I:I,'Goals 2026'!B:B,Smry!D127,'Goals 2026'!C:C,Smry!F127,'Goals 2026'!E:E,Smry!$B$124)</f>
        <v>0</v>
      </c>
      <c r="Q127" s="510">
        <f>SUMIFS('Goals 2026'!J:J,'Goals 2026'!B:B,Smry!D127,'Goals 2026'!C:C,Smry!F127,'Goals 2026'!E:E,Smry!$B$124)</f>
        <v>0.22500000000000001</v>
      </c>
      <c r="R127" s="510">
        <f>SUMIFS('Goals 2026'!K:K,'Goals 2026'!B:B,Smry!D127,'Goals 2026'!C:C,Smry!F127,'Goals 2026'!E:E,Smry!$B$124)</f>
        <v>0</v>
      </c>
    </row>
    <row r="128" spans="1:18" hidden="1" outlineLevel="2">
      <c r="A128" s="480"/>
      <c r="B128" s="483" t="s">
        <v>204</v>
      </c>
      <c r="C128" s="502"/>
      <c r="D128" s="483" t="s">
        <v>263</v>
      </c>
      <c r="E128" s="502"/>
      <c r="F128" s="483" t="s">
        <v>263</v>
      </c>
      <c r="G128" s="392"/>
      <c r="H128" s="484">
        <f t="shared" si="10"/>
        <v>14</v>
      </c>
      <c r="I128" s="484">
        <f>SUMIFS('Goals 2026'!M:M,'Goals 2026'!B:B,Smry!D128,'Goals 2026'!C:C,Smry!F128,'Goals 2026'!E:E,Smry!$B$124)</f>
        <v>9</v>
      </c>
      <c r="J128" s="484">
        <f>SUMIFS('Goals 2026'!N:N,'Goals 2026'!B:B,Smry!D128,'Goals 2026'!C:C,Smry!F128,'Goals 2026'!E:E,Smry!$B$124)</f>
        <v>5</v>
      </c>
      <c r="K128" s="484">
        <f>SUMIFS('Goals 2026'!O:O,'Goals 2026'!B:B,Smry!D128,'Goals 2026'!C:C,Smry!F128,'Goals 2026'!E:E,Smry!$B$124)</f>
        <v>0</v>
      </c>
      <c r="L128" s="484">
        <f>SUMIFS('Goals 2026'!P:P,'Goals 2026'!B:B,Smry!D128,'Goals 2026'!C:C,Smry!F128,'Goals 2026'!E:E,Smry!$B$124)</f>
        <v>0</v>
      </c>
      <c r="M128" s="482"/>
      <c r="N128" s="510">
        <f t="shared" si="11"/>
        <v>1.7047642357599448</v>
      </c>
      <c r="O128" s="510">
        <f>SUMIFS('Goals 2026'!H:H,'Goals 2026'!B:B,Smry!D128,'Goals 2026'!C:C,Smry!F128,'Goals 2026'!E:E,Smry!$B$124)</f>
        <v>0.85178143075061052</v>
      </c>
      <c r="P128" s="510">
        <f>SUMIFS('Goals 2026'!I:I,'Goals 2026'!B:B,Smry!D128,'Goals 2026'!C:C,Smry!F128,'Goals 2026'!E:E,Smry!$B$124)</f>
        <v>0.85298280500933443</v>
      </c>
      <c r="Q128" s="510">
        <f>SUMIFS('Goals 2026'!J:J,'Goals 2026'!B:B,Smry!D128,'Goals 2026'!C:C,Smry!F128,'Goals 2026'!E:E,Smry!$B$124)</f>
        <v>0</v>
      </c>
      <c r="R128" s="510">
        <f>SUMIFS('Goals 2026'!K:K,'Goals 2026'!B:B,Smry!D128,'Goals 2026'!C:C,Smry!F128,'Goals 2026'!E:E,Smry!$B$124)</f>
        <v>0</v>
      </c>
    </row>
    <row r="129" spans="1:18" hidden="1" outlineLevel="2">
      <c r="A129" s="480"/>
      <c r="B129" s="483" t="s">
        <v>204</v>
      </c>
      <c r="C129" s="502"/>
      <c r="D129" s="483" t="s">
        <v>276</v>
      </c>
      <c r="E129" s="392"/>
      <c r="F129" s="483" t="s">
        <v>276</v>
      </c>
      <c r="G129" s="392"/>
      <c r="H129" s="484">
        <f t="shared" si="10"/>
        <v>8</v>
      </c>
      <c r="I129" s="484">
        <f>SUMIFS('Goals 2026'!M:M,'Goals 2026'!B:B,Smry!D129,'Goals 2026'!C:C,Smry!F129,'Goals 2026'!E:E,Smry!$B$124)</f>
        <v>2</v>
      </c>
      <c r="J129" s="484">
        <f>SUMIFS('Goals 2026'!N:N,'Goals 2026'!B:B,Smry!D129,'Goals 2026'!C:C,Smry!F129,'Goals 2026'!E:E,Smry!$B$124)</f>
        <v>2</v>
      </c>
      <c r="K129" s="484">
        <f>SUMIFS('Goals 2026'!O:O,'Goals 2026'!B:B,Smry!D129,'Goals 2026'!C:C,Smry!F129,'Goals 2026'!E:E,Smry!$B$124)</f>
        <v>3</v>
      </c>
      <c r="L129" s="484">
        <f>SUMIFS('Goals 2026'!P:P,'Goals 2026'!B:B,Smry!D129,'Goals 2026'!C:C,Smry!F129,'Goals 2026'!E:E,Smry!$B$124)</f>
        <v>1</v>
      </c>
      <c r="M129" s="482"/>
      <c r="N129" s="510">
        <f t="shared" si="11"/>
        <v>1.4455876400000001</v>
      </c>
      <c r="O129" s="510">
        <f>SUMIFS('Goals 2026'!H:H,'Goals 2026'!B:B,Smry!D129,'Goals 2026'!C:C,Smry!F129,'Goals 2026'!E:E,Smry!$B$124)</f>
        <v>0.38041780000000003</v>
      </c>
      <c r="P129" s="510">
        <f>SUMIFS('Goals 2026'!I:I,'Goals 2026'!B:B,Smry!D129,'Goals 2026'!C:C,Smry!F129,'Goals 2026'!E:E,Smry!$B$124)</f>
        <v>0.30433424000000003</v>
      </c>
      <c r="Q129" s="510">
        <f>SUMIFS('Goals 2026'!J:J,'Goals 2026'!B:B,Smry!D129,'Goals 2026'!C:C,Smry!F129,'Goals 2026'!E:E,Smry!$B$124)</f>
        <v>0.56917532000000004</v>
      </c>
      <c r="R129" s="510">
        <f>SUMIFS('Goals 2026'!K:K,'Goals 2026'!B:B,Smry!D129,'Goals 2026'!C:C,Smry!F129,'Goals 2026'!E:E,Smry!$B$124)</f>
        <v>0.19166027999999999</v>
      </c>
    </row>
    <row r="130" spans="1:18" hidden="1" outlineLevel="2">
      <c r="A130" s="480"/>
      <c r="B130" s="483" t="s">
        <v>204</v>
      </c>
      <c r="C130" s="502"/>
      <c r="D130" s="483" t="s">
        <v>398</v>
      </c>
      <c r="E130" s="392"/>
      <c r="F130" s="483" t="s">
        <v>398</v>
      </c>
      <c r="G130" s="392"/>
      <c r="H130" s="484">
        <f t="shared" si="10"/>
        <v>4</v>
      </c>
      <c r="I130" s="484">
        <f>SUMIFS('Goals 2026'!M:M,'Goals 2026'!B:B,Smry!D130,'Goals 2026'!C:C,Smry!F130,'Goals 2026'!E:E,Smry!$B$124)</f>
        <v>2</v>
      </c>
      <c r="J130" s="484">
        <f>SUMIFS('Goals 2026'!N:N,'Goals 2026'!B:B,Smry!D130,'Goals 2026'!C:C,Smry!F130,'Goals 2026'!E:E,Smry!$B$124)</f>
        <v>1</v>
      </c>
      <c r="K130" s="484">
        <f>SUMIFS('Goals 2026'!O:O,'Goals 2026'!B:B,Smry!D130,'Goals 2026'!C:C,Smry!F130,'Goals 2026'!E:E,Smry!$B$124)</f>
        <v>1</v>
      </c>
      <c r="L130" s="484">
        <f>SUMIFS('Goals 2026'!P:P,'Goals 2026'!B:B,Smry!D130,'Goals 2026'!C:C,Smry!F130,'Goals 2026'!E:E,Smry!$B$124)</f>
        <v>0</v>
      </c>
      <c r="M130" s="482"/>
      <c r="N130" s="510">
        <f t="shared" si="11"/>
        <v>1.2318000000000002</v>
      </c>
      <c r="O130" s="510">
        <f>SUMIFS('Goals 2026'!H:H,'Goals 2026'!B:B,Smry!D130,'Goals 2026'!C:C,Smry!F130,'Goals 2026'!E:E,Smry!$B$124)</f>
        <v>0.5132500000000001</v>
      </c>
      <c r="P130" s="510">
        <f>SUMIFS('Goals 2026'!I:I,'Goals 2026'!B:B,Smry!D130,'Goals 2026'!C:C,Smry!F130,'Goals 2026'!E:E,Smry!$B$124)</f>
        <v>0.41060000000000008</v>
      </c>
      <c r="Q130" s="510">
        <f>SUMIFS('Goals 2026'!J:J,'Goals 2026'!B:B,Smry!D130,'Goals 2026'!C:C,Smry!F130,'Goals 2026'!E:E,Smry!$B$124)</f>
        <v>0.30795000000000006</v>
      </c>
      <c r="R130" s="510">
        <f>SUMIFS('Goals 2026'!K:K,'Goals 2026'!B:B,Smry!D130,'Goals 2026'!C:C,Smry!F130,'Goals 2026'!E:E,Smry!$B$124)</f>
        <v>0</v>
      </c>
    </row>
    <row r="131" spans="1:18" hidden="1" outlineLevel="2">
      <c r="A131" s="480"/>
      <c r="B131" s="483" t="s">
        <v>204</v>
      </c>
      <c r="C131" s="502"/>
      <c r="D131" s="483" t="s">
        <v>319</v>
      </c>
      <c r="E131" s="392"/>
      <c r="F131" s="483" t="s">
        <v>319</v>
      </c>
      <c r="G131" s="392"/>
      <c r="H131" s="484">
        <f t="shared" si="10"/>
        <v>4</v>
      </c>
      <c r="I131" s="484">
        <f>SUMIFS('Goals 2026'!M:M,'Goals 2026'!B:B,Smry!D131,'Goals 2026'!C:C,Smry!F131,'Goals 2026'!E:E,Smry!$B$124)</f>
        <v>3</v>
      </c>
      <c r="J131" s="484">
        <f>SUMIFS('Goals 2026'!N:N,'Goals 2026'!B:B,Smry!D131,'Goals 2026'!C:C,Smry!F131,'Goals 2026'!E:E,Smry!$B$124)</f>
        <v>0</v>
      </c>
      <c r="K131" s="484">
        <f>SUMIFS('Goals 2026'!O:O,'Goals 2026'!B:B,Smry!D131,'Goals 2026'!C:C,Smry!F131,'Goals 2026'!E:E,Smry!$B$124)</f>
        <v>1</v>
      </c>
      <c r="L131" s="484">
        <f>SUMIFS('Goals 2026'!P:P,'Goals 2026'!B:B,Smry!D131,'Goals 2026'!C:C,Smry!F131,'Goals 2026'!E:E,Smry!$B$124)</f>
        <v>0</v>
      </c>
      <c r="M131" s="482"/>
      <c r="N131" s="510">
        <f t="shared" si="11"/>
        <v>0.42750000000000005</v>
      </c>
      <c r="O131" s="510">
        <f>SUMIFS('Goals 2026'!H:H,'Goals 2026'!B:B,Smry!D131,'Goals 2026'!C:C,Smry!F131,'Goals 2026'!E:E,Smry!$B$124)</f>
        <v>0.28500000000000003</v>
      </c>
      <c r="P131" s="510">
        <f>SUMIFS('Goals 2026'!I:I,'Goals 2026'!B:B,Smry!D131,'Goals 2026'!C:C,Smry!F131,'Goals 2026'!E:E,Smry!$B$124)</f>
        <v>0</v>
      </c>
      <c r="Q131" s="510">
        <f>SUMIFS('Goals 2026'!J:J,'Goals 2026'!B:B,Smry!D131,'Goals 2026'!C:C,Smry!F131,'Goals 2026'!E:E,Smry!$B$124)</f>
        <v>0.14250000000000002</v>
      </c>
      <c r="R131" s="510">
        <f>SUMIFS('Goals 2026'!K:K,'Goals 2026'!B:B,Smry!D131,'Goals 2026'!C:C,Smry!F131,'Goals 2026'!E:E,Smry!$B$124)</f>
        <v>0</v>
      </c>
    </row>
    <row r="132" spans="1:18" hidden="1" outlineLevel="2">
      <c r="A132" s="480"/>
      <c r="B132" s="483" t="s">
        <v>204</v>
      </c>
      <c r="C132" s="502"/>
      <c r="D132" s="483" t="s">
        <v>474</v>
      </c>
      <c r="E132" s="502"/>
      <c r="F132" s="483" t="s">
        <v>136</v>
      </c>
      <c r="G132" s="392"/>
      <c r="H132" s="484">
        <f t="shared" si="10"/>
        <v>3</v>
      </c>
      <c r="I132" s="484">
        <f>SUMIFS('Goals 2026'!M:M,'Goals 2026'!B:B,Smry!D132,'Goals 2026'!C:C,Smry!F132,'Goals 2026'!E:E,Smry!$B$124)</f>
        <v>0</v>
      </c>
      <c r="J132" s="484">
        <f>SUMIFS('Goals 2026'!N:N,'Goals 2026'!B:B,Smry!D132,'Goals 2026'!C:C,Smry!F132,'Goals 2026'!E:E,Smry!$B$124)</f>
        <v>1</v>
      </c>
      <c r="K132" s="484">
        <f>SUMIFS('Goals 2026'!O:O,'Goals 2026'!B:B,Smry!D132,'Goals 2026'!C:C,Smry!F132,'Goals 2026'!E:E,Smry!$B$124)</f>
        <v>1</v>
      </c>
      <c r="L132" s="484">
        <f>SUMIFS('Goals 2026'!P:P,'Goals 2026'!B:B,Smry!D132,'Goals 2026'!C:C,Smry!F132,'Goals 2026'!E:E,Smry!$B$124)</f>
        <v>1</v>
      </c>
      <c r="M132" s="482"/>
      <c r="N132" s="510">
        <f t="shared" si="11"/>
        <v>0.91500000000000015</v>
      </c>
      <c r="O132" s="511">
        <f>SUMIFS('Goals 2026'!H:H,'Goals 2026'!B:B,Smry!D132,'Goals 2026'!C:C,Smry!F132,'Goals 2026'!E:E,Smry!$B$124)</f>
        <v>0</v>
      </c>
      <c r="P132" s="510">
        <f>SUMIFS('Goals 2026'!I:I,'Goals 2026'!B:B,Smry!D132,'Goals 2026'!C:C,Smry!F132,'Goals 2026'!E:E,Smry!$B$124)</f>
        <v>0.30500000000000005</v>
      </c>
      <c r="Q132" s="510">
        <f>SUMIFS('Goals 2026'!J:J,'Goals 2026'!B:B,Smry!D132,'Goals 2026'!C:C,Smry!F132,'Goals 2026'!E:E,Smry!$B$124)</f>
        <v>0.30500000000000005</v>
      </c>
      <c r="R132" s="510">
        <f>SUMIFS('Goals 2026'!K:K,'Goals 2026'!B:B,Smry!D132,'Goals 2026'!C:C,Smry!F132,'Goals 2026'!E:E,Smry!$B$124)</f>
        <v>0.30500000000000005</v>
      </c>
    </row>
    <row r="133" spans="1:18" hidden="1" outlineLevel="2">
      <c r="A133" s="480"/>
      <c r="B133" s="483" t="s">
        <v>204</v>
      </c>
      <c r="C133" s="502"/>
      <c r="D133" s="483" t="s">
        <v>486</v>
      </c>
      <c r="E133" s="392"/>
      <c r="F133" s="483" t="s">
        <v>136</v>
      </c>
      <c r="G133" s="392"/>
      <c r="H133" s="484">
        <f t="shared" si="10"/>
        <v>4</v>
      </c>
      <c r="I133" s="484">
        <f>SUMIFS('Goals 2026'!M:M,'Goals 2026'!B:B,Smry!D133,'Goals 2026'!C:C,Smry!F133,'Goals 2026'!E:E,Smry!$B$124)</f>
        <v>1</v>
      </c>
      <c r="J133" s="484">
        <f>SUMIFS('Goals 2026'!N:N,'Goals 2026'!B:B,Smry!D133,'Goals 2026'!C:C,Smry!F133,'Goals 2026'!E:E,Smry!$B$124)</f>
        <v>1</v>
      </c>
      <c r="K133" s="484">
        <f>SUMIFS('Goals 2026'!O:O,'Goals 2026'!B:B,Smry!D133,'Goals 2026'!C:C,Smry!F133,'Goals 2026'!E:E,Smry!$B$124)</f>
        <v>1</v>
      </c>
      <c r="L133" s="484">
        <f>SUMIFS('Goals 2026'!P:P,'Goals 2026'!B:B,Smry!D133,'Goals 2026'!C:C,Smry!F133,'Goals 2026'!E:E,Smry!$B$124)</f>
        <v>1</v>
      </c>
      <c r="M133" s="482"/>
      <c r="N133" s="510">
        <f t="shared" si="11"/>
        <v>0.40111323264894982</v>
      </c>
      <c r="O133" s="510">
        <f>SUMIFS('Goals 2026'!H:H,'Goals 2026'!B:B,Smry!D133,'Goals 2026'!C:C,Smry!F133,'Goals 2026'!E:E,Smry!$B$124)</f>
        <v>8.9136273921988848E-2</v>
      </c>
      <c r="P133" s="510">
        <f>SUMIFS('Goals 2026'!I:I,'Goals 2026'!B:B,Smry!D133,'Goals 2026'!C:C,Smry!F133,'Goals 2026'!E:E,Smry!$B$124)</f>
        <v>8.9136273921988848E-2</v>
      </c>
      <c r="Q133" s="510">
        <f>SUMIFS('Goals 2026'!J:J,'Goals 2026'!B:B,Smry!D133,'Goals 2026'!C:C,Smry!F133,'Goals 2026'!E:E,Smry!$B$124)</f>
        <v>8.9136273921988848E-2</v>
      </c>
      <c r="R133" s="510">
        <f>SUMIFS('Goals 2026'!K:K,'Goals 2026'!B:B,Smry!D133,'Goals 2026'!C:C,Smry!F133,'Goals 2026'!E:E,Smry!$B$124)</f>
        <v>0.13370441088298327</v>
      </c>
    </row>
    <row r="134" spans="1:18" hidden="1" outlineLevel="2">
      <c r="A134" s="480"/>
      <c r="B134" s="483" t="s">
        <v>204</v>
      </c>
      <c r="C134" s="502"/>
      <c r="D134" s="483" t="s">
        <v>490</v>
      </c>
      <c r="E134" s="392"/>
      <c r="F134" s="483" t="s">
        <v>136</v>
      </c>
      <c r="G134" s="392"/>
      <c r="H134" s="484">
        <f t="shared" si="10"/>
        <v>8</v>
      </c>
      <c r="I134" s="484">
        <f>SUMIFS('Goals 2026'!M:M,'Goals 2026'!B:B,Smry!D134,'Goals 2026'!C:C,Smry!F134,'Goals 2026'!E:E,Smry!$B$124)</f>
        <v>1</v>
      </c>
      <c r="J134" s="484">
        <f>SUMIFS('Goals 2026'!N:N,'Goals 2026'!B:B,Smry!D134,'Goals 2026'!C:C,Smry!F134,'Goals 2026'!E:E,Smry!$B$124)</f>
        <v>2</v>
      </c>
      <c r="K134" s="484">
        <f>SUMIFS('Goals 2026'!O:O,'Goals 2026'!B:B,Smry!D134,'Goals 2026'!C:C,Smry!F134,'Goals 2026'!E:E,Smry!$B$124)</f>
        <v>1</v>
      </c>
      <c r="L134" s="484">
        <f>SUMIFS('Goals 2026'!P:P,'Goals 2026'!B:B,Smry!D134,'Goals 2026'!C:C,Smry!F134,'Goals 2026'!E:E,Smry!$B$124)</f>
        <v>4</v>
      </c>
      <c r="M134" s="482"/>
      <c r="N134" s="510">
        <f t="shared" si="11"/>
        <v>0.465734808</v>
      </c>
      <c r="O134" s="510">
        <f>SUMIFS('Goals 2026'!H:H,'Goals 2026'!B:B,Smry!D134,'Goals 2026'!C:C,Smry!F134,'Goals 2026'!E:E,Smry!$B$124)</f>
        <v>5.8216850999999993E-2</v>
      </c>
      <c r="P134" s="510">
        <f>SUMIFS('Goals 2026'!I:I,'Goals 2026'!B:B,Smry!D134,'Goals 2026'!C:C,Smry!F134,'Goals 2026'!E:E,Smry!$B$124)</f>
        <v>0.11643370199999999</v>
      </c>
      <c r="Q134" s="510">
        <f>SUMIFS('Goals 2026'!J:J,'Goals 2026'!B:B,Smry!D134,'Goals 2026'!C:C,Smry!F134,'Goals 2026'!E:E,Smry!$B$124)</f>
        <v>8.7325276499999979E-2</v>
      </c>
      <c r="R134" s="510">
        <f>SUMIFS('Goals 2026'!K:K,'Goals 2026'!B:B,Smry!D134,'Goals 2026'!C:C,Smry!F134,'Goals 2026'!E:E,Smry!$B$124)</f>
        <v>0.20375897849999999</v>
      </c>
    </row>
    <row r="135" spans="1:18" hidden="1" outlineLevel="2">
      <c r="A135" s="480"/>
      <c r="B135" s="483" t="s">
        <v>204</v>
      </c>
      <c r="C135" s="502"/>
      <c r="D135" s="483" t="s">
        <v>498</v>
      </c>
      <c r="E135" s="502"/>
      <c r="F135" s="483" t="s">
        <v>136</v>
      </c>
      <c r="G135" s="392"/>
      <c r="H135" s="484">
        <f t="shared" si="10"/>
        <v>3</v>
      </c>
      <c r="I135" s="484">
        <f>SUMIFS('Goals 2026'!M:M,'Goals 2026'!B:B,Smry!D135,'Goals 2026'!C:C,Smry!F135,'Goals 2026'!E:E,Smry!$B$124)</f>
        <v>0</v>
      </c>
      <c r="J135" s="484">
        <f>SUMIFS('Goals 2026'!N:N,'Goals 2026'!B:B,Smry!D135,'Goals 2026'!C:C,Smry!F135,'Goals 2026'!E:E,Smry!$B$124)</f>
        <v>0</v>
      </c>
      <c r="K135" s="484">
        <f>SUMIFS('Goals 2026'!O:O,'Goals 2026'!B:B,Smry!D135,'Goals 2026'!C:C,Smry!F135,'Goals 2026'!E:E,Smry!$B$124)</f>
        <v>2</v>
      </c>
      <c r="L135" s="484">
        <f>SUMIFS('Goals 2026'!P:P,'Goals 2026'!B:B,Smry!D135,'Goals 2026'!C:C,Smry!F135,'Goals 2026'!E:E,Smry!$B$124)</f>
        <v>1</v>
      </c>
      <c r="M135" s="482"/>
      <c r="N135" s="510">
        <f t="shared" si="11"/>
        <v>0.57000000000000006</v>
      </c>
      <c r="O135" s="510">
        <f>SUMIFS('Goals 2026'!H:H,'Goals 2026'!B:B,Smry!D135,'Goals 2026'!C:C,Smry!F135,'Goals 2026'!E:E,Smry!$B$124)</f>
        <v>0</v>
      </c>
      <c r="P135" s="510">
        <f>SUMIFS('Goals 2026'!I:I,'Goals 2026'!B:B,Smry!D135,'Goals 2026'!C:C,Smry!F135,'Goals 2026'!E:E,Smry!$B$124)</f>
        <v>0</v>
      </c>
      <c r="Q135" s="510">
        <f>SUMIFS('Goals 2026'!J:J,'Goals 2026'!B:B,Smry!D135,'Goals 2026'!C:C,Smry!F135,'Goals 2026'!E:E,Smry!$B$124)</f>
        <v>0.38</v>
      </c>
      <c r="R135" s="510">
        <f>SUMIFS('Goals 2026'!K:K,'Goals 2026'!B:B,Smry!D135,'Goals 2026'!C:C,Smry!F135,'Goals 2026'!E:E,Smry!$B$124)</f>
        <v>0.19</v>
      </c>
    </row>
    <row r="136" spans="1:18" hidden="1" outlineLevel="2">
      <c r="A136" s="480"/>
      <c r="B136" s="483" t="s">
        <v>204</v>
      </c>
      <c r="C136" s="502"/>
      <c r="D136" s="483" t="s">
        <v>503</v>
      </c>
      <c r="E136" s="392"/>
      <c r="F136" s="483" t="s">
        <v>503</v>
      </c>
      <c r="G136" s="392"/>
      <c r="H136" s="484">
        <f t="shared" si="10"/>
        <v>9</v>
      </c>
      <c r="I136" s="484">
        <f>SUMIFS('Goals 2026'!M:M,'Goals 2026'!B:B,Smry!D136,'Goals 2026'!C:C,Smry!F136,'Goals 2026'!E:E,Smry!$B$124)</f>
        <v>1</v>
      </c>
      <c r="J136" s="484">
        <f>SUMIFS('Goals 2026'!N:N,'Goals 2026'!B:B,Smry!D136,'Goals 2026'!C:C,Smry!F136,'Goals 2026'!E:E,Smry!$B$124)</f>
        <v>4</v>
      </c>
      <c r="K136" s="484">
        <f>SUMIFS('Goals 2026'!O:O,'Goals 2026'!B:B,Smry!D136,'Goals 2026'!C:C,Smry!F136,'Goals 2026'!E:E,Smry!$B$124)</f>
        <v>2</v>
      </c>
      <c r="L136" s="484">
        <f>SUMIFS('Goals 2026'!P:P,'Goals 2026'!B:B,Smry!D136,'Goals 2026'!C:C,Smry!F136,'Goals 2026'!E:E,Smry!$B$124)</f>
        <v>2</v>
      </c>
      <c r="M136" s="482"/>
      <c r="N136" s="510">
        <f>SUM(O136:R136)</f>
        <v>7.2634500000000024</v>
      </c>
      <c r="O136" s="510">
        <f>SUMIFS('Goals 2026'!H:H,'Goals 2026'!B:B,Smry!D136,'Goals 2026'!C:C,Smry!F136,'Goals 2026'!E:E,Smry!$B$124)</f>
        <v>1.6141000000000003</v>
      </c>
      <c r="P136" s="510">
        <f>SUMIFS('Goals 2026'!I:I,'Goals 2026'!B:B,Smry!D136,'Goals 2026'!C:C,Smry!F136,'Goals 2026'!E:E,Smry!$B$124)</f>
        <v>2.4211500000000008</v>
      </c>
      <c r="Q136" s="510">
        <f>SUMIFS('Goals 2026'!J:J,'Goals 2026'!B:B,Smry!D136,'Goals 2026'!C:C,Smry!F136,'Goals 2026'!E:E,Smry!$B$124)</f>
        <v>1.6141000000000003</v>
      </c>
      <c r="R136" s="510">
        <f>SUMIFS('Goals 2026'!K:K,'Goals 2026'!B:B,Smry!D136,'Goals 2026'!C:C,Smry!F136,'Goals 2026'!E:E,Smry!$B$124)</f>
        <v>1.6141000000000003</v>
      </c>
    </row>
    <row r="137" spans="1:18" hidden="1" outlineLevel="2">
      <c r="A137" s="480"/>
      <c r="B137" s="483" t="s">
        <v>204</v>
      </c>
      <c r="C137" s="502"/>
      <c r="D137" s="483" t="s">
        <v>330</v>
      </c>
      <c r="E137" s="392"/>
      <c r="F137" s="483" t="s">
        <v>80</v>
      </c>
      <c r="G137" s="392"/>
      <c r="H137" s="484">
        <f>SUM(I137:L137)</f>
        <v>8</v>
      </c>
      <c r="I137" s="484">
        <f>SUMIFS('Goals 2026'!M:M,'Goals 2026'!B:B,Smry!D137,'Goals 2026'!C:C,Smry!F137,'Goals 2026'!E:E,Smry!$B$124)</f>
        <v>2</v>
      </c>
      <c r="J137" s="484">
        <f>SUMIFS('Goals 2026'!N:N,'Goals 2026'!B:B,Smry!D137,'Goals 2026'!C:C,Smry!F137,'Goals 2026'!E:E,Smry!$B$124)</f>
        <v>0</v>
      </c>
      <c r="K137" s="484">
        <f>SUMIFS('Goals 2026'!O:O,'Goals 2026'!B:B,Smry!D137,'Goals 2026'!C:C,Smry!F137,'Goals 2026'!E:E,Smry!$B$124)</f>
        <v>3</v>
      </c>
      <c r="L137" s="484">
        <f>SUMIFS('Goals 2026'!P:P,'Goals 2026'!B:B,Smry!D137,'Goals 2026'!C:C,Smry!F137,'Goals 2026'!E:E,Smry!$B$124)</f>
        <v>3</v>
      </c>
      <c r="M137" s="482"/>
      <c r="N137" s="510">
        <f>SUM(O137:R137)</f>
        <v>2.4006249999999998</v>
      </c>
      <c r="O137" s="510">
        <f>SUMIFS('Goals 2026'!H:H,'Goals 2026'!B:B,Smry!D137,'Goals 2026'!C:C,Smry!F137,'Goals 2026'!E:E,Smry!$B$124)</f>
        <v>0.16999999999999998</v>
      </c>
      <c r="P137" s="510">
        <f>SUMIFS('Goals 2026'!I:I,'Goals 2026'!B:B,Smry!D137,'Goals 2026'!C:C,Smry!F137,'Goals 2026'!E:E,Smry!$B$124)</f>
        <v>0</v>
      </c>
      <c r="Q137" s="510">
        <f>SUMIFS('Goals 2026'!J:J,'Goals 2026'!B:B,Smry!D137,'Goals 2026'!C:C,Smry!F137,'Goals 2026'!E:E,Smry!$B$124)</f>
        <v>1.420625</v>
      </c>
      <c r="R137" s="510">
        <f>SUMIFS('Goals 2026'!K:K,'Goals 2026'!B:B,Smry!D137,'Goals 2026'!C:C,Smry!F137,'Goals 2026'!E:E,Smry!$B$124)</f>
        <v>0.81</v>
      </c>
    </row>
    <row r="138" spans="1:18" hidden="1" outlineLevel="2">
      <c r="A138" s="480"/>
      <c r="B138" s="483" t="s">
        <v>204</v>
      </c>
      <c r="C138" s="502"/>
      <c r="D138" s="384" t="s">
        <v>536</v>
      </c>
      <c r="E138" s="392"/>
      <c r="F138" s="624" t="s">
        <v>537</v>
      </c>
      <c r="G138" s="392"/>
      <c r="H138" s="484">
        <f>SUM(I138:L138)</f>
        <v>6</v>
      </c>
      <c r="I138" s="484">
        <f>SUMIFS('Goals 2026'!M:M,'Goals 2026'!B:B,Smry!D138,'Goals 2026'!C:C,Smry!F138,'Goals 2026'!E:E,Smry!$B$124)</f>
        <v>2</v>
      </c>
      <c r="J138" s="484">
        <f>SUMIFS('Goals 2026'!N:N,'Goals 2026'!B:B,Smry!D138,'Goals 2026'!C:C,Smry!F138,'Goals 2026'!E:E,Smry!$B$124)</f>
        <v>1</v>
      </c>
      <c r="K138" s="484">
        <f>SUMIFS('Goals 2026'!O:O,'Goals 2026'!B:B,Smry!D138,'Goals 2026'!C:C,Smry!F138,'Goals 2026'!E:E,Smry!$B$124)</f>
        <v>1</v>
      </c>
      <c r="L138" s="484">
        <f>SUMIFS('Goals 2026'!P:P,'Goals 2026'!B:B,Smry!D138,'Goals 2026'!C:C,Smry!F138,'Goals 2026'!E:E,Smry!$B$124)</f>
        <v>2</v>
      </c>
      <c r="M138" s="482"/>
      <c r="N138" s="510">
        <f>SUM(O138:R138)</f>
        <v>0.16999999999999998</v>
      </c>
      <c r="O138" s="510">
        <f>SUMIFS('Goals 2026'!H:H,'Goals 2026'!B:B,Smry!D138,'Goals 2026'!C:C,Smry!F138,'Goals 2026'!E:E,Smry!$B$124)</f>
        <v>0.06</v>
      </c>
      <c r="P138" s="510">
        <f>SUMIFS('Goals 2026'!I:I,'Goals 2026'!B:B,Smry!D138,'Goals 2026'!C:C,Smry!F138,'Goals 2026'!E:E,Smry!$B$124)</f>
        <v>0.01</v>
      </c>
      <c r="Q138" s="510">
        <f>SUMIFS('Goals 2026'!J:J,'Goals 2026'!B:B,Smry!D138,'Goals 2026'!C:C,Smry!F138,'Goals 2026'!E:E,Smry!$B$124)</f>
        <v>3.7499999999999999E-2</v>
      </c>
      <c r="R138" s="510">
        <f>SUMIFS('Goals 2026'!K:K,'Goals 2026'!B:B,Smry!D138,'Goals 2026'!C:C,Smry!F138,'Goals 2026'!E:E,Smry!$B$124)</f>
        <v>6.25E-2</v>
      </c>
    </row>
    <row r="139" spans="1:18" ht="2.25" customHeight="1" outlineLevel="1">
      <c r="A139" s="480"/>
      <c r="B139" s="487"/>
      <c r="C139" s="487"/>
      <c r="D139" s="487"/>
      <c r="E139" s="487"/>
      <c r="F139" s="487"/>
      <c r="G139" s="487"/>
      <c r="H139" s="487"/>
      <c r="I139" s="487"/>
      <c r="J139" s="487"/>
      <c r="K139" s="487"/>
      <c r="L139" s="487"/>
      <c r="M139" s="482"/>
      <c r="N139" s="487"/>
      <c r="O139" s="487"/>
      <c r="P139" s="487"/>
      <c r="Q139" s="487"/>
      <c r="R139" s="487"/>
    </row>
    <row r="140" spans="1:18" outlineLevel="1" collapsed="1">
      <c r="A140" s="480"/>
      <c r="B140" s="494" t="s">
        <v>286</v>
      </c>
      <c r="C140" s="495"/>
      <c r="D140" s="496"/>
      <c r="E140" s="497"/>
      <c r="F140" s="496"/>
      <c r="G140" s="497"/>
      <c r="H140" s="498">
        <f>SUM(I140:L140)</f>
        <v>33</v>
      </c>
      <c r="I140" s="498">
        <f>SUM(I142:I145)</f>
        <v>15</v>
      </c>
      <c r="J140" s="498">
        <f>SUM(J142:J145)</f>
        <v>10</v>
      </c>
      <c r="K140" s="498">
        <f>SUM(K142:K145)</f>
        <v>8</v>
      </c>
      <c r="L140" s="498">
        <f>SUM(L142:L145)</f>
        <v>0</v>
      </c>
      <c r="M140" s="482"/>
      <c r="N140" s="512">
        <f>SUM(O140:R140)</f>
        <v>2.5445163389999994</v>
      </c>
      <c r="O140" s="512">
        <f>SUM(O142:O145)</f>
        <v>0.85280446699999979</v>
      </c>
      <c r="P140" s="512">
        <f>SUM(P142:P145)</f>
        <v>0.96170693699999998</v>
      </c>
      <c r="Q140" s="512">
        <f>SUM(Q142:Q145)</f>
        <v>0.73000493499999985</v>
      </c>
      <c r="R140" s="512">
        <f>SUM(R142:R145)</f>
        <v>0</v>
      </c>
    </row>
    <row r="141" spans="1:18" ht="2.25" hidden="1" customHeight="1" outlineLevel="2">
      <c r="A141" s="480"/>
      <c r="B141" s="487"/>
      <c r="C141" s="487"/>
      <c r="D141" s="487"/>
      <c r="E141" s="487"/>
      <c r="F141" s="487"/>
      <c r="G141" s="487"/>
      <c r="H141" s="487"/>
      <c r="I141" s="487"/>
      <c r="J141" s="487"/>
      <c r="K141" s="487"/>
      <c r="L141" s="487"/>
      <c r="M141" s="482"/>
      <c r="N141" s="535"/>
      <c r="O141" s="487"/>
      <c r="P141" s="487"/>
      <c r="Q141" s="487"/>
      <c r="R141" s="487"/>
    </row>
    <row r="142" spans="1:18" hidden="1" outlineLevel="2">
      <c r="A142" s="480"/>
      <c r="B142" s="483" t="s">
        <v>286</v>
      </c>
      <c r="C142" s="502"/>
      <c r="D142" s="483" t="s">
        <v>285</v>
      </c>
      <c r="E142" s="502"/>
      <c r="F142" s="483" t="s">
        <v>285</v>
      </c>
      <c r="G142" s="392"/>
      <c r="H142" s="484">
        <f>SUM(I142:L142)</f>
        <v>0</v>
      </c>
      <c r="I142" s="484">
        <f>SUMIFS('Goals 2026'!M:M,'Goals 2026'!B:B,Smry!D142,'Goals 2026'!C:C,Smry!F142,'Goals 2026'!E:E,Smry!$B$140)</f>
        <v>0</v>
      </c>
      <c r="J142" s="484">
        <f>SUMIFS('Goals 2026'!N:N,'Goals 2026'!B:B,Smry!D142,'Goals 2026'!C:C,Smry!F142,'Goals 2026'!E:E,Smry!$B$140)</f>
        <v>0</v>
      </c>
      <c r="K142" s="484">
        <f>SUMIFS('Goals 2026'!O:O,'Goals 2026'!B:B,Smry!D142,'Goals 2026'!C:C,Smry!F142,'Goals 2026'!E:E,Smry!$B$140)</f>
        <v>0</v>
      </c>
      <c r="L142" s="484">
        <f>SUMIFS('Goals 2026'!P:P,'Goals 2026'!B:B,Smry!D142,'Goals 2026'!C:C,Smry!F142,'Goals 2026'!E:E,Smry!$B$140)</f>
        <v>0</v>
      </c>
      <c r="M142" s="482"/>
      <c r="N142" s="510">
        <f>SUM(O142:R142)</f>
        <v>0</v>
      </c>
      <c r="O142" s="510">
        <f>SUMIFS('Goals 2026'!H:H,'Goals 2026'!B:B,Smry!D142,'Goals 2026'!C:C,Smry!F142,'Goals 2026'!E:E,Smry!$B$140)</f>
        <v>0</v>
      </c>
      <c r="P142" s="510">
        <f>SUMIFS('Goals 2026'!I:I,'Goals 2026'!B:B,Smry!D142,'Goals 2026'!C:C,Smry!F142,'Goals 2026'!E:E,Smry!$B$140)</f>
        <v>0</v>
      </c>
      <c r="Q142" s="510">
        <f>SUMIFS('Goals 2026'!J:J,'Goals 2026'!B:B,Smry!D142,'Goals 2026'!C:C,Smry!F142,'Goals 2026'!E:E,Smry!$B$140)</f>
        <v>0</v>
      </c>
      <c r="R142" s="510">
        <f>SUMIFS('Goals 2026'!K:K,'Goals 2026'!B:B,Smry!D142,'Goals 2026'!C:C,Smry!F142,'Goals 2026'!E:E,Smry!$B$140)</f>
        <v>0</v>
      </c>
    </row>
    <row r="143" spans="1:18" hidden="1" outlineLevel="2">
      <c r="A143" s="480"/>
      <c r="B143" s="483" t="s">
        <v>286</v>
      </c>
      <c r="C143" s="502"/>
      <c r="D143" s="483" t="s">
        <v>288</v>
      </c>
      <c r="E143" s="502"/>
      <c r="F143" s="483" t="s">
        <v>288</v>
      </c>
      <c r="G143" s="392"/>
      <c r="H143" s="484">
        <f>SUM(I143:L143)</f>
        <v>21</v>
      </c>
      <c r="I143" s="484">
        <f>SUMIFS('Goals 2026'!M:M,'Goals 2026'!B:B,Smry!D143,'Goals 2026'!C:C,Smry!F143,'Goals 2026'!E:E,Smry!$B$140)</f>
        <v>8</v>
      </c>
      <c r="J143" s="484">
        <f>SUMIFS('Goals 2026'!N:N,'Goals 2026'!B:B,Smry!D143,'Goals 2026'!C:C,Smry!F143,'Goals 2026'!E:E,Smry!$B$140)</f>
        <v>7</v>
      </c>
      <c r="K143" s="484">
        <f>SUMIFS('Goals 2026'!O:O,'Goals 2026'!B:B,Smry!D143,'Goals 2026'!C:C,Smry!F143,'Goals 2026'!E:E,Smry!$B$140)</f>
        <v>6</v>
      </c>
      <c r="L143" s="484">
        <f>SUMIFS('Goals 2026'!P:P,'Goals 2026'!B:B,Smry!D143,'Goals 2026'!C:C,Smry!F143,'Goals 2026'!E:E,Smry!$B$140)</f>
        <v>0</v>
      </c>
      <c r="M143" s="482"/>
      <c r="N143" s="510">
        <f>SUM(O143:R143)</f>
        <v>2.1239858749999998</v>
      </c>
      <c r="O143" s="510">
        <f>SUMIFS('Goals 2026'!H:H,'Goals 2026'!B:B,Smry!D143,'Goals 2026'!C:C,Smry!F143,'Goals 2026'!E:E,Smry!$B$140)</f>
        <v>0.69534587499999978</v>
      </c>
      <c r="P143" s="510">
        <f>SUMIFS('Goals 2026'!I:I,'Goals 2026'!B:B,Smry!D143,'Goals 2026'!C:C,Smry!F143,'Goals 2026'!E:E,Smry!$B$140)</f>
        <v>0.80026162499999998</v>
      </c>
      <c r="Q143" s="510">
        <f>SUMIFS('Goals 2026'!J:J,'Goals 2026'!B:B,Smry!D143,'Goals 2026'!C:C,Smry!F143,'Goals 2026'!E:E,Smry!$B$140)</f>
        <v>0.62837837499999982</v>
      </c>
      <c r="R143" s="510">
        <f>SUMIFS('Goals 2026'!K:K,'Goals 2026'!B:B,Smry!D143,'Goals 2026'!C:C,Smry!F143,'Goals 2026'!E:E,Smry!$B$140)</f>
        <v>0</v>
      </c>
    </row>
    <row r="144" spans="1:18" hidden="1" outlineLevel="2">
      <c r="A144" s="480"/>
      <c r="B144" s="483" t="s">
        <v>286</v>
      </c>
      <c r="C144" s="502"/>
      <c r="D144" s="483" t="s">
        <v>297</v>
      </c>
      <c r="E144" s="392"/>
      <c r="F144" s="483" t="s">
        <v>298</v>
      </c>
      <c r="G144" s="392"/>
      <c r="H144" s="484">
        <f>SUM(I144:L144)</f>
        <v>4</v>
      </c>
      <c r="I144" s="484">
        <f>SUMIFS('Goals 2026'!M:M,'Goals 2026'!B:B,Smry!D144,'Goals 2026'!C:C,Smry!F144,'Goals 2026'!E:E,Smry!$B$140)</f>
        <v>4</v>
      </c>
      <c r="J144" s="484">
        <f>SUMIFS('Goals 2026'!N:N,'Goals 2026'!B:B,Smry!D144,'Goals 2026'!C:C,Smry!F144,'Goals 2026'!E:E,Smry!$B$140)</f>
        <v>0</v>
      </c>
      <c r="K144" s="484">
        <f>SUMIFS('Goals 2026'!O:O,'Goals 2026'!B:B,Smry!D144,'Goals 2026'!C:C,Smry!F144,'Goals 2026'!E:E,Smry!$B$140)</f>
        <v>0</v>
      </c>
      <c r="L144" s="484">
        <f>SUMIFS('Goals 2026'!P:P,'Goals 2026'!B:B,Smry!D144,'Goals 2026'!C:C,Smry!F144,'Goals 2026'!E:E,Smry!$B$140)</f>
        <v>0</v>
      </c>
      <c r="M144" s="482"/>
      <c r="N144" s="559">
        <f>SUM(O144:R144)</f>
        <v>4.0000000000000001E-3</v>
      </c>
      <c r="O144" s="560">
        <f>SUMIFS('Goals 2026'!H:H,'Goals 2026'!B:B,Smry!D144,'Goals 2026'!C:C,Smry!F144,'Goals 2026'!E:E,Smry!$B$140)</f>
        <v>4.0000000000000001E-3</v>
      </c>
      <c r="P144" s="510">
        <f>SUMIFS('Goals 2026'!I:I,'Goals 2026'!B:B,Smry!D144,'Goals 2026'!C:C,Smry!F144,'Goals 2026'!E:E,Smry!$B$140)</f>
        <v>0</v>
      </c>
      <c r="Q144" s="510">
        <f>SUMIFS('Goals 2026'!J:J,'Goals 2026'!B:B,Smry!D144,'Goals 2026'!C:C,Smry!F144,'Goals 2026'!E:E,Smry!$B$140)</f>
        <v>0</v>
      </c>
      <c r="R144" s="510">
        <f>SUMIFS('Goals 2026'!K:K,'Goals 2026'!B:B,Smry!D144,'Goals 2026'!C:C,Smry!F144,'Goals 2026'!E:E,Smry!$B$140)</f>
        <v>0</v>
      </c>
    </row>
    <row r="145" spans="1:18" hidden="1" outlineLevel="2">
      <c r="A145" s="480"/>
      <c r="B145" s="483" t="s">
        <v>286</v>
      </c>
      <c r="C145" s="502"/>
      <c r="D145" s="483" t="s">
        <v>521</v>
      </c>
      <c r="E145" s="392"/>
      <c r="F145" s="483" t="s">
        <v>521</v>
      </c>
      <c r="G145" s="392"/>
      <c r="H145" s="484">
        <f>SUM(I145:L145)</f>
        <v>8</v>
      </c>
      <c r="I145" s="484">
        <f>SUMIFS('Goals 2026'!M:M,'Goals 2026'!B:B,Smry!D145,'Goals 2026'!C:C,Smry!F145,'Goals 2026'!E:E,Smry!$B$140)</f>
        <v>3</v>
      </c>
      <c r="J145" s="484">
        <f>SUMIFS('Goals 2026'!N:N,'Goals 2026'!B:B,Smry!D145,'Goals 2026'!C:C,Smry!F145,'Goals 2026'!E:E,Smry!$B$140)</f>
        <v>3</v>
      </c>
      <c r="K145" s="484">
        <f>SUMIFS('Goals 2026'!O:O,'Goals 2026'!B:B,Smry!D145,'Goals 2026'!C:C,Smry!F145,'Goals 2026'!E:E,Smry!$B$140)</f>
        <v>2</v>
      </c>
      <c r="L145" s="484">
        <f>SUMIFS('Goals 2026'!P:P,'Goals 2026'!B:B,Smry!D145,'Goals 2026'!C:C,Smry!F145,'Goals 2026'!E:E,Smry!$B$140)</f>
        <v>0</v>
      </c>
      <c r="M145" s="482"/>
      <c r="N145" s="510">
        <f>SUM(O145:R145)</f>
        <v>0.41653046400000004</v>
      </c>
      <c r="O145" s="510">
        <f>SUMIFS('Goals 2026'!H:H,'Goals 2026'!B:B,Smry!D145,'Goals 2026'!C:C,Smry!F145,'Goals 2026'!E:E,Smry!$B$140)</f>
        <v>0.153458592</v>
      </c>
      <c r="P145" s="510">
        <f>SUMIFS('Goals 2026'!I:I,'Goals 2026'!B:B,Smry!D145,'Goals 2026'!C:C,Smry!F145,'Goals 2026'!E:E,Smry!$B$140)</f>
        <v>0.16144531200000001</v>
      </c>
      <c r="Q145" s="510">
        <f>SUMIFS('Goals 2026'!J:J,'Goals 2026'!B:B,Smry!D145,'Goals 2026'!C:C,Smry!F145,'Goals 2026'!E:E,Smry!$B$140)</f>
        <v>0.10162656</v>
      </c>
      <c r="R145" s="510">
        <f>SUMIFS('Goals 2026'!K:K,'Goals 2026'!B:B,Smry!D145,'Goals 2026'!C:C,Smry!F145,'Goals 2026'!E:E,Smry!$B$140)</f>
        <v>0</v>
      </c>
    </row>
    <row r="146" spans="1:18" ht="2.25" customHeight="1" outlineLevel="1">
      <c r="A146" s="480"/>
      <c r="B146" s="487"/>
      <c r="C146" s="487"/>
      <c r="D146" s="487"/>
      <c r="E146" s="487"/>
      <c r="F146" s="487"/>
      <c r="G146" s="487"/>
      <c r="H146" s="487"/>
      <c r="I146" s="487"/>
      <c r="J146" s="487"/>
      <c r="K146" s="487"/>
      <c r="L146" s="487"/>
      <c r="M146" s="482"/>
      <c r="N146" s="487"/>
      <c r="O146" s="487"/>
      <c r="P146" s="487"/>
      <c r="Q146" s="487"/>
      <c r="R146" s="487"/>
    </row>
    <row r="147" spans="1:18" outlineLevel="1" collapsed="1">
      <c r="A147" s="480"/>
      <c r="B147" s="494" t="s">
        <v>311</v>
      </c>
      <c r="C147" s="495"/>
      <c r="D147" s="496"/>
      <c r="E147" s="497"/>
      <c r="F147" s="496"/>
      <c r="G147" s="497"/>
      <c r="H147" s="498">
        <f>SUM(I147:L147)</f>
        <v>11</v>
      </c>
      <c r="I147" s="498">
        <f>SUM(I149:I153)</f>
        <v>11</v>
      </c>
      <c r="J147" s="498">
        <f>SUM(J149:J153)</f>
        <v>0</v>
      </c>
      <c r="K147" s="498">
        <f>SUM(K149:K153)</f>
        <v>0</v>
      </c>
      <c r="L147" s="498">
        <f>SUM(L149:L153)</f>
        <v>0</v>
      </c>
      <c r="M147" s="482"/>
      <c r="N147" s="512">
        <f>SUM(O147:R147)</f>
        <v>0</v>
      </c>
      <c r="O147" s="512">
        <f>SUM(O149:O153)</f>
        <v>0</v>
      </c>
      <c r="P147" s="512">
        <f>SUM(P149:P153)</f>
        <v>0</v>
      </c>
      <c r="Q147" s="512">
        <f>SUM(Q149:Q153)</f>
        <v>0</v>
      </c>
      <c r="R147" s="512">
        <f>SUM(R149:R153)</f>
        <v>0</v>
      </c>
    </row>
    <row r="148" spans="1:18" ht="2.25" hidden="1" customHeight="1" outlineLevel="2">
      <c r="A148" s="480"/>
      <c r="B148" s="487"/>
      <c r="C148" s="487"/>
      <c r="D148" s="487"/>
      <c r="E148" s="487"/>
      <c r="F148" s="487"/>
      <c r="G148" s="487"/>
      <c r="H148" s="487"/>
      <c r="I148" s="487"/>
      <c r="J148" s="487"/>
      <c r="K148" s="487"/>
      <c r="L148" s="487"/>
      <c r="M148" s="482"/>
      <c r="N148" s="535"/>
      <c r="O148" s="535"/>
      <c r="P148" s="535"/>
      <c r="Q148" s="535"/>
      <c r="R148" s="535"/>
    </row>
    <row r="149" spans="1:18" hidden="1" outlineLevel="2">
      <c r="A149" s="480"/>
      <c r="B149" s="483" t="s">
        <v>311</v>
      </c>
      <c r="C149" s="502"/>
      <c r="D149" s="483" t="s">
        <v>200</v>
      </c>
      <c r="E149" s="392"/>
      <c r="F149" s="503" t="s">
        <v>309</v>
      </c>
      <c r="G149" s="480"/>
      <c r="H149" s="484">
        <f t="shared" ref="H149:H153" si="12">SUM(I149:L149)</f>
        <v>3</v>
      </c>
      <c r="I149" s="484">
        <f>SUMIFS('Goals 2026'!M:M,'Goals 2026'!B:B,Smry!D149,'Goals 2026'!C:C,Smry!F149,'Goals 2026'!E:E,Smry!$B$147)</f>
        <v>3</v>
      </c>
      <c r="J149" s="484">
        <f>SUMIFS('Goals 2026'!N:N,'Goals 2026'!B:B,Smry!D149,'Goals 2026'!C:C,Smry!F149,'Goals 2026'!E:E,Smry!$B$147)</f>
        <v>0</v>
      </c>
      <c r="K149" s="484">
        <f>SUMIFS('Goals 2026'!O:O,'Goals 2026'!B:B,Smry!D149,'Goals 2026'!C:C,Smry!F149,'Goals 2026'!E:E,Smry!$B$147)</f>
        <v>0</v>
      </c>
      <c r="L149" s="484">
        <f>SUMIFS('Goals 2026'!P:P,'Goals 2026'!B:B,Smry!D149,'Goals 2026'!C:C,Smry!F149,'Goals 2026'!E:E,Smry!$B$147)</f>
        <v>0</v>
      </c>
      <c r="M149" s="482"/>
      <c r="N149" s="510">
        <f>SUM(O149:R149)</f>
        <v>0</v>
      </c>
      <c r="O149" s="510">
        <f>SUMIFS('Goals 2026'!H:H,'Goals 2026'!B:B,Smry!D149,'Goals 2026'!C:C,Smry!F149,'Goals 2026'!E:E,Smry!$B$147)</f>
        <v>0</v>
      </c>
      <c r="P149" s="510">
        <f>SUMIFS('Goals 2026'!I:I,'Goals 2026'!B:B,Smry!D149,'Goals 2026'!C:C,Smry!F149,'Goals 2026'!E:E,Smry!$B$147)</f>
        <v>0</v>
      </c>
      <c r="Q149" s="510">
        <f>SUMIFS('Goals 2026'!J:J,'Goals 2026'!B:B,Smry!D149,'Goals 2026'!C:C,Smry!F149,'Goals 2026'!E:E,Smry!$B$147)</f>
        <v>0</v>
      </c>
      <c r="R149" s="510">
        <f>SUMIFS('Goals 2026'!K:K,'Goals 2026'!B:B,Smry!D149,'Goals 2026'!C:C,Smry!F149,'Goals 2026'!E:E,Smry!$B$147)</f>
        <v>0</v>
      </c>
    </row>
    <row r="150" spans="1:18" hidden="1" outlineLevel="2">
      <c r="A150" s="480"/>
      <c r="B150" s="483" t="s">
        <v>311</v>
      </c>
      <c r="C150" s="502"/>
      <c r="D150" s="483" t="s">
        <v>313</v>
      </c>
      <c r="E150" s="392"/>
      <c r="F150" s="503" t="s">
        <v>309</v>
      </c>
      <c r="G150" s="480"/>
      <c r="H150" s="484">
        <f t="shared" si="12"/>
        <v>3</v>
      </c>
      <c r="I150" s="484">
        <f>SUMIFS('Goals 2026'!M:M,'Goals 2026'!B:B,Smry!D150,'Goals 2026'!C:C,Smry!F150,'Goals 2026'!E:E,Smry!$B$147)</f>
        <v>3</v>
      </c>
      <c r="J150" s="484">
        <f>SUMIFS('Goals 2026'!N:N,'Goals 2026'!B:B,Smry!D150,'Goals 2026'!C:C,Smry!F150,'Goals 2026'!E:E,Smry!$B$147)</f>
        <v>0</v>
      </c>
      <c r="K150" s="484">
        <f>SUMIFS('Goals 2026'!O:O,'Goals 2026'!B:B,Smry!D150,'Goals 2026'!C:C,Smry!F150,'Goals 2026'!E:E,Smry!$B$147)</f>
        <v>0</v>
      </c>
      <c r="L150" s="484">
        <f>SUMIFS('Goals 2026'!P:P,'Goals 2026'!B:B,Smry!D150,'Goals 2026'!C:C,Smry!F150,'Goals 2026'!E:E,Smry!$B$147)</f>
        <v>0</v>
      </c>
      <c r="M150" s="482"/>
      <c r="N150" s="510">
        <f>SUM(O150:R150)</f>
        <v>0</v>
      </c>
      <c r="O150" s="510">
        <f>SUMIFS('Goals 2026'!H:H,'Goals 2026'!B:B,Smry!D150,'Goals 2026'!C:C,Smry!F150,'Goals 2026'!E:E,Smry!$B$147)</f>
        <v>0</v>
      </c>
      <c r="P150" s="510">
        <f>SUMIFS('Goals 2026'!I:I,'Goals 2026'!B:B,Smry!D150,'Goals 2026'!C:C,Smry!F150,'Goals 2026'!E:E,Smry!$B$147)</f>
        <v>0</v>
      </c>
      <c r="Q150" s="510">
        <f>SUMIFS('Goals 2026'!J:J,'Goals 2026'!B:B,Smry!D150,'Goals 2026'!C:C,Smry!F150,'Goals 2026'!E:E,Smry!$B$147)</f>
        <v>0</v>
      </c>
      <c r="R150" s="510">
        <f>SUMIFS('Goals 2026'!K:K,'Goals 2026'!B:B,Smry!D150,'Goals 2026'!C:C,Smry!F150,'Goals 2026'!E:E,Smry!$B$147)</f>
        <v>0</v>
      </c>
    </row>
    <row r="151" spans="1:18" hidden="1" outlineLevel="2">
      <c r="A151" s="480"/>
      <c r="B151" s="483" t="s">
        <v>311</v>
      </c>
      <c r="C151" s="502"/>
      <c r="D151" s="483" t="s">
        <v>315</v>
      </c>
      <c r="E151" s="392"/>
      <c r="F151" s="503" t="s">
        <v>309</v>
      </c>
      <c r="G151" s="480"/>
      <c r="H151" s="484">
        <f t="shared" si="12"/>
        <v>2</v>
      </c>
      <c r="I151" s="484">
        <f>SUMIFS('Goals 2026'!M:M,'Goals 2026'!B:B,Smry!D151,'Goals 2026'!C:C,Smry!F151,'Goals 2026'!E:E,Smry!$B$147)</f>
        <v>2</v>
      </c>
      <c r="J151" s="484">
        <f>SUMIFS('Goals 2026'!N:N,'Goals 2026'!B:B,Smry!D151,'Goals 2026'!C:C,Smry!F151,'Goals 2026'!E:E,Smry!$B$147)</f>
        <v>0</v>
      </c>
      <c r="K151" s="484">
        <f>SUMIFS('Goals 2026'!O:O,'Goals 2026'!B:B,Smry!D151,'Goals 2026'!C:C,Smry!F151,'Goals 2026'!E:E,Smry!$B$147)</f>
        <v>0</v>
      </c>
      <c r="L151" s="484">
        <f>SUMIFS('Goals 2026'!P:P,'Goals 2026'!B:B,Smry!D151,'Goals 2026'!C:C,Smry!F151,'Goals 2026'!E:E,Smry!$B$147)</f>
        <v>0</v>
      </c>
      <c r="M151" s="482"/>
      <c r="N151" s="510">
        <f>SUM(O151:R151)</f>
        <v>0</v>
      </c>
      <c r="O151" s="510">
        <f>SUMIFS('Goals 2026'!H:H,'Goals 2026'!B:B,Smry!D151,'Goals 2026'!C:C,Smry!F151,'Goals 2026'!E:E,Smry!$B$147)</f>
        <v>0</v>
      </c>
      <c r="P151" s="510">
        <f>SUMIFS('Goals 2026'!I:I,'Goals 2026'!B:B,Smry!D151,'Goals 2026'!C:C,Smry!F151,'Goals 2026'!E:E,Smry!$B$147)</f>
        <v>0</v>
      </c>
      <c r="Q151" s="510">
        <f>SUMIFS('Goals 2026'!J:J,'Goals 2026'!B:B,Smry!D151,'Goals 2026'!C:C,Smry!F151,'Goals 2026'!E:E,Smry!$B$147)</f>
        <v>0</v>
      </c>
      <c r="R151" s="510">
        <f>SUMIFS('Goals 2026'!K:K,'Goals 2026'!B:B,Smry!D151,'Goals 2026'!C:C,Smry!F151,'Goals 2026'!E:E,Smry!$B$147)</f>
        <v>0</v>
      </c>
    </row>
    <row r="152" spans="1:18" hidden="1" outlineLevel="2">
      <c r="A152" s="480"/>
      <c r="B152" s="483" t="s">
        <v>311</v>
      </c>
      <c r="C152" s="502"/>
      <c r="D152" s="483" t="s">
        <v>317</v>
      </c>
      <c r="E152" s="392"/>
      <c r="F152" s="503" t="s">
        <v>309</v>
      </c>
      <c r="G152" s="480"/>
      <c r="H152" s="484">
        <f t="shared" si="12"/>
        <v>1</v>
      </c>
      <c r="I152" s="484">
        <f>SUMIFS('Goals 2026'!M:M,'Goals 2026'!B:B,Smry!D152,'Goals 2026'!C:C,Smry!F152,'Goals 2026'!E:E,Smry!$B$147)</f>
        <v>1</v>
      </c>
      <c r="J152" s="484">
        <f>SUMIFS('Goals 2026'!N:N,'Goals 2026'!B:B,Smry!D152,'Goals 2026'!C:C,Smry!F152,'Goals 2026'!E:E,Smry!$B$147)</f>
        <v>0</v>
      </c>
      <c r="K152" s="484">
        <f>SUMIFS('Goals 2026'!O:O,'Goals 2026'!B:B,Smry!D152,'Goals 2026'!C:C,Smry!F152,'Goals 2026'!E:E,Smry!$B$147)</f>
        <v>0</v>
      </c>
      <c r="L152" s="484">
        <f>SUMIFS('Goals 2026'!P:P,'Goals 2026'!B:B,Smry!D152,'Goals 2026'!C:C,Smry!F152,'Goals 2026'!E:E,Smry!$B$147)</f>
        <v>0</v>
      </c>
      <c r="M152" s="482"/>
      <c r="N152" s="510">
        <f>SUM(O152:R152)</f>
        <v>0</v>
      </c>
      <c r="O152" s="510">
        <f>SUMIFS('Goals 2026'!H:H,'Goals 2026'!B:B,Smry!D152,'Goals 2026'!C:C,Smry!F152,'Goals 2026'!E:E,Smry!$B$147)</f>
        <v>0</v>
      </c>
      <c r="P152" s="510">
        <f>SUMIFS('Goals 2026'!I:I,'Goals 2026'!B:B,Smry!D152,'Goals 2026'!C:C,Smry!F152,'Goals 2026'!E:E,Smry!$B$147)</f>
        <v>0</v>
      </c>
      <c r="Q152" s="510">
        <f>SUMIFS('Goals 2026'!J:J,'Goals 2026'!B:B,Smry!D152,'Goals 2026'!C:C,Smry!F152,'Goals 2026'!E:E,Smry!$B$147)</f>
        <v>0</v>
      </c>
      <c r="R152" s="510">
        <f>SUMIFS('Goals 2026'!K:K,'Goals 2026'!B:B,Smry!D152,'Goals 2026'!C:C,Smry!F152,'Goals 2026'!E:E,Smry!$B$147)</f>
        <v>0</v>
      </c>
    </row>
    <row r="153" spans="1:18" hidden="1" outlineLevel="2">
      <c r="A153" s="480"/>
      <c r="B153" s="483" t="s">
        <v>311</v>
      </c>
      <c r="C153" s="502"/>
      <c r="D153" s="483" t="s">
        <v>319</v>
      </c>
      <c r="E153" s="392"/>
      <c r="F153" s="503" t="s">
        <v>309</v>
      </c>
      <c r="G153" s="480"/>
      <c r="H153" s="484">
        <f t="shared" si="12"/>
        <v>2</v>
      </c>
      <c r="I153" s="484">
        <f>SUMIFS('Goals 2026'!M:M,'Goals 2026'!B:B,Smry!D153,'Goals 2026'!C:C,Smry!F153,'Goals 2026'!E:E,Smry!$B$147)</f>
        <v>2</v>
      </c>
      <c r="J153" s="484">
        <f>SUMIFS('Goals 2026'!N:N,'Goals 2026'!B:B,Smry!D153,'Goals 2026'!C:C,Smry!F153,'Goals 2026'!E:E,Smry!$B$147)</f>
        <v>0</v>
      </c>
      <c r="K153" s="484">
        <f>SUMIFS('Goals 2026'!O:O,'Goals 2026'!B:B,Smry!D153,'Goals 2026'!C:C,Smry!F153,'Goals 2026'!E:E,Smry!$B$147)</f>
        <v>0</v>
      </c>
      <c r="L153" s="484">
        <f>SUMIFS('Goals 2026'!P:P,'Goals 2026'!B:B,Smry!D153,'Goals 2026'!C:C,Smry!F153,'Goals 2026'!E:E,Smry!$B$147)</f>
        <v>0</v>
      </c>
      <c r="M153" s="482"/>
      <c r="N153" s="510">
        <f>SUM(O153:R153)</f>
        <v>0</v>
      </c>
      <c r="O153" s="510">
        <f>SUMIFS('Goals 2026'!H:H,'Goals 2026'!B:B,Smry!D153,'Goals 2026'!C:C,Smry!F153,'Goals 2026'!E:E,Smry!$B$147)</f>
        <v>0</v>
      </c>
      <c r="P153" s="510">
        <f>SUMIFS('Goals 2026'!I:I,'Goals 2026'!B:B,Smry!D153,'Goals 2026'!C:C,Smry!F153,'Goals 2026'!E:E,Smry!$B$147)</f>
        <v>0</v>
      </c>
      <c r="Q153" s="510">
        <f>SUMIFS('Goals 2026'!J:J,'Goals 2026'!B:B,Smry!D153,'Goals 2026'!C:C,Smry!F153,'Goals 2026'!E:E,Smry!$B$147)</f>
        <v>0</v>
      </c>
      <c r="R153" s="510">
        <f>SUMIFS('Goals 2026'!K:K,'Goals 2026'!B:B,Smry!D153,'Goals 2026'!C:C,Smry!F153,'Goals 2026'!E:E,Smry!$B$147)</f>
        <v>0</v>
      </c>
    </row>
    <row r="154" spans="1:18" ht="2.25" customHeight="1" outlineLevel="1">
      <c r="A154" s="480"/>
      <c r="B154" s="487"/>
      <c r="C154" s="487"/>
      <c r="D154" s="487"/>
      <c r="E154" s="487"/>
      <c r="F154" s="487"/>
      <c r="G154" s="487"/>
      <c r="H154" s="487"/>
      <c r="I154" s="487"/>
      <c r="J154" s="487"/>
      <c r="K154" s="487"/>
      <c r="L154" s="487"/>
      <c r="M154" s="482"/>
      <c r="N154" s="487"/>
      <c r="O154" s="487"/>
      <c r="P154" s="487"/>
      <c r="Q154" s="487"/>
      <c r="R154" s="487"/>
    </row>
    <row r="155" spans="1:18" outlineLevel="1" collapsed="1">
      <c r="A155" s="480"/>
      <c r="B155" s="494" t="s">
        <v>611</v>
      </c>
      <c r="C155" s="495"/>
      <c r="D155" s="496"/>
      <c r="E155" s="497"/>
      <c r="F155" s="496"/>
      <c r="G155" s="497"/>
      <c r="H155" s="498">
        <f>SUM(I155:L155)</f>
        <v>0</v>
      </c>
      <c r="I155" s="498">
        <f>SUM(I157:I160)</f>
        <v>0</v>
      </c>
      <c r="J155" s="498">
        <f>SUM(J157:J160)</f>
        <v>0</v>
      </c>
      <c r="K155" s="498">
        <f>SUM(K157:K160)</f>
        <v>0</v>
      </c>
      <c r="L155" s="498">
        <f>SUM(L157:L160)</f>
        <v>0</v>
      </c>
      <c r="M155" s="482"/>
      <c r="N155" s="512">
        <f>SUM(O155:R155)</f>
        <v>0</v>
      </c>
      <c r="O155" s="512">
        <f>SUM(O157:O160)</f>
        <v>0</v>
      </c>
      <c r="P155" s="512">
        <f>SUM(P157:P160)</f>
        <v>0</v>
      </c>
      <c r="Q155" s="512">
        <f>SUM(Q157:Q160)</f>
        <v>0</v>
      </c>
      <c r="R155" s="498">
        <f>SUM(R157:R160)</f>
        <v>0</v>
      </c>
    </row>
    <row r="156" spans="1:18" ht="2.25" hidden="1" customHeight="1" outlineLevel="2">
      <c r="B156" s="479"/>
      <c r="C156" s="479"/>
      <c r="D156" s="479"/>
      <c r="E156" s="479"/>
      <c r="F156" s="479"/>
      <c r="G156" s="479"/>
      <c r="H156" s="479"/>
      <c r="I156" s="479"/>
      <c r="J156" s="479"/>
      <c r="K156" s="479"/>
      <c r="L156" s="479"/>
      <c r="M156" s="478"/>
      <c r="N156" s="536"/>
      <c r="O156" s="479"/>
      <c r="P156" s="479"/>
      <c r="Q156" s="536"/>
      <c r="R156" s="479"/>
    </row>
    <row r="157" spans="1:18" hidden="1" outlineLevel="2">
      <c r="B157" s="477" t="s">
        <v>611</v>
      </c>
      <c r="C157" s="434"/>
      <c r="D157" s="477" t="s">
        <v>510</v>
      </c>
      <c r="E157" s="383"/>
      <c r="F157" s="477" t="s">
        <v>510</v>
      </c>
      <c r="H157" s="476">
        <f>SUM(I157:L157)</f>
        <v>0</v>
      </c>
      <c r="I157" s="476">
        <f>SUMIFS('Goals 2026'!M:M,'Goals 2026'!B:B,Smry!D157,'Goals 2026'!C:C,Smry!F157,'Goals 2026'!E:E,Smry!$B$155)</f>
        <v>0</v>
      </c>
      <c r="J157" s="476">
        <f>SUMIFS('Goals 2026'!N:N,'Goals 2026'!B:B,Smry!D157,'Goals 2026'!C:C,Smry!F157,'Goals 2026'!E:E,Smry!$B$155)</f>
        <v>0</v>
      </c>
      <c r="K157" s="476">
        <f>SUMIFS('Goals 2026'!O:O,'Goals 2026'!B:B,Smry!D157,'Goals 2026'!C:C,Smry!F157,'Goals 2026'!E:E,Smry!$B$155)</f>
        <v>0</v>
      </c>
      <c r="L157" s="476">
        <f>SUMIFS('Goals 2026'!P:P,'Goals 2026'!B:B,Smry!D157,'Goals 2026'!C:C,Smry!F157,'Goals 2026'!E:E,Smry!$B$155)</f>
        <v>0</v>
      </c>
      <c r="M157" s="478"/>
      <c r="N157" s="515">
        <f>SUM(O157:R157)</f>
        <v>0</v>
      </c>
      <c r="O157" s="515">
        <f>SUMIFS('Goals 2026'!H:H,'Goals 2026'!B:B,Smry!D157,'Goals 2026'!C:C,Smry!F157,'Goals 2026'!E:E,Smry!$B$155)</f>
        <v>0</v>
      </c>
      <c r="P157" s="515">
        <f>SUMIFS('Goals 2026'!I:I,'Goals 2026'!B:B,Smry!D157,'Goals 2026'!C:C,Smry!F157,'Goals 2026'!E:E,Smry!$B$155)</f>
        <v>0</v>
      </c>
      <c r="Q157" s="515">
        <f>SUMIFS('Goals 2026'!J:J,'Goals 2026'!B:B,Smry!D157,'Goals 2026'!C:C,Smry!F157,'Goals 2026'!E:E,Smry!$B$155)</f>
        <v>0</v>
      </c>
      <c r="R157" s="515">
        <f>SUMIFS('Goals 2026'!K:K,'Goals 2026'!B:B,Smry!D157,'Goals 2026'!C:C,Smry!F157,'Goals 2026'!E:E,Smry!$B$155)</f>
        <v>0</v>
      </c>
    </row>
    <row r="158" spans="1:18" ht="3.6" hidden="1" customHeight="1" outlineLevel="2">
      <c r="C158" s="434"/>
      <c r="D158" s="477"/>
      <c r="E158" s="434"/>
      <c r="F158" s="477"/>
      <c r="M158" s="478"/>
    </row>
    <row r="159" spans="1:18" hidden="1" outlineLevel="2">
      <c r="B159" s="476"/>
      <c r="C159"/>
    </row>
    <row r="160" spans="1:18" hidden="1" outlineLevel="2">
      <c r="B160" s="476"/>
      <c r="C160"/>
    </row>
    <row r="161" spans="2:3" ht="2.1" customHeight="1">
      <c r="B161" s="476"/>
      <c r="C161"/>
    </row>
    <row r="162" spans="2:3">
      <c r="B162" s="476"/>
      <c r="C162"/>
    </row>
    <row r="163" spans="2:3">
      <c r="B163" s="476"/>
      <c r="C163"/>
    </row>
    <row r="164" spans="2:3">
      <c r="B164" s="476"/>
      <c r="C164"/>
    </row>
    <row r="165" spans="2:3">
      <c r="B165" s="476"/>
      <c r="C165"/>
    </row>
    <row r="166" spans="2:3">
      <c r="B166" s="476"/>
      <c r="C166"/>
    </row>
    <row r="167" spans="2:3">
      <c r="B167" s="476"/>
      <c r="C167"/>
    </row>
    <row r="168" spans="2:3">
      <c r="B168" s="476"/>
      <c r="C168"/>
    </row>
    <row r="169" spans="2:3">
      <c r="B169" s="476"/>
      <c r="C169"/>
    </row>
    <row r="170" spans="2:3">
      <c r="B170" s="476"/>
      <c r="C170"/>
    </row>
    <row r="171" spans="2:3">
      <c r="B171" s="476"/>
      <c r="C171"/>
    </row>
    <row r="172" spans="2:3">
      <c r="B172" s="476"/>
      <c r="C172"/>
    </row>
    <row r="173" spans="2:3">
      <c r="B173" s="476"/>
      <c r="C173"/>
    </row>
    <row r="174" spans="2:3">
      <c r="B174" s="476"/>
      <c r="C174"/>
    </row>
    <row r="175" spans="2:3">
      <c r="B175" s="476"/>
      <c r="C175"/>
    </row>
    <row r="176" spans="2:3">
      <c r="B176" s="476"/>
      <c r="C176"/>
    </row>
    <row r="177" spans="2:3">
      <c r="B177" s="476"/>
      <c r="C177"/>
    </row>
    <row r="178" spans="2:3">
      <c r="B178" s="476"/>
      <c r="C178"/>
    </row>
    <row r="179" spans="2:3">
      <c r="B179" s="476"/>
      <c r="C179"/>
    </row>
    <row r="180" spans="2:3">
      <c r="B180" s="476"/>
      <c r="C180"/>
    </row>
    <row r="181" spans="2:3">
      <c r="B181" s="476"/>
      <c r="C181"/>
    </row>
    <row r="182" spans="2:3">
      <c r="B182" s="476"/>
      <c r="C182"/>
    </row>
    <row r="183" spans="2:3">
      <c r="B183" s="476"/>
      <c r="C183"/>
    </row>
    <row r="184" spans="2:3">
      <c r="B184" s="476"/>
      <c r="C184"/>
    </row>
    <row r="185" spans="2:3">
      <c r="B185" s="476"/>
      <c r="C185"/>
    </row>
    <row r="186" spans="2:3">
      <c r="B186" s="476"/>
      <c r="C186"/>
    </row>
    <row r="187" spans="2:3">
      <c r="B187" s="476"/>
      <c r="C187"/>
    </row>
    <row r="188" spans="2:3">
      <c r="B188" s="476"/>
      <c r="C188"/>
    </row>
    <row r="189" spans="2:3">
      <c r="B189" s="476"/>
      <c r="C189"/>
    </row>
    <row r="190" spans="2:3">
      <c r="B190" s="476"/>
      <c r="C190"/>
    </row>
    <row r="191" spans="2:3">
      <c r="B191" s="476"/>
      <c r="C191"/>
    </row>
    <row r="192" spans="2:3">
      <c r="B192" s="476"/>
      <c r="C192"/>
    </row>
    <row r="193" spans="2:3">
      <c r="B193" s="476"/>
      <c r="C193"/>
    </row>
    <row r="194" spans="2:3">
      <c r="B194" s="476"/>
      <c r="C194"/>
    </row>
    <row r="195" spans="2:3">
      <c r="B195" s="476"/>
      <c r="C195"/>
    </row>
    <row r="196" spans="2:3">
      <c r="B196" s="476"/>
      <c r="C196"/>
    </row>
    <row r="197" spans="2:3">
      <c r="B197" s="476"/>
      <c r="C197"/>
    </row>
    <row r="198" spans="2:3">
      <c r="B198" s="476"/>
      <c r="C198"/>
    </row>
    <row r="199" spans="2:3">
      <c r="B199" s="476"/>
      <c r="C199"/>
    </row>
    <row r="200" spans="2:3">
      <c r="B200" s="476"/>
      <c r="C200"/>
    </row>
    <row r="201" spans="2:3">
      <c r="B201" s="476"/>
      <c r="C201"/>
    </row>
    <row r="202" spans="2:3">
      <c r="B202" s="476"/>
      <c r="C202"/>
    </row>
    <row r="203" spans="2:3">
      <c r="B203" s="476"/>
      <c r="C203"/>
    </row>
    <row r="204" spans="2:3">
      <c r="B204" s="476"/>
      <c r="C204"/>
    </row>
    <row r="205" spans="2:3">
      <c r="B205" s="476"/>
      <c r="C205"/>
    </row>
    <row r="206" spans="2:3">
      <c r="B206" s="476"/>
      <c r="C206"/>
    </row>
    <row r="207" spans="2:3">
      <c r="B207" s="476"/>
      <c r="C207"/>
    </row>
    <row r="208" spans="2:3">
      <c r="B208" s="476"/>
      <c r="C208"/>
    </row>
    <row r="209" spans="2:3">
      <c r="B209" s="476"/>
      <c r="C209"/>
    </row>
    <row r="210" spans="2:3">
      <c r="B210" s="476"/>
      <c r="C210"/>
    </row>
    <row r="211" spans="2:3">
      <c r="B211" s="476"/>
      <c r="C211"/>
    </row>
    <row r="212" spans="2:3">
      <c r="B212" s="476"/>
      <c r="C212"/>
    </row>
    <row r="213" spans="2:3">
      <c r="B213" s="476"/>
      <c r="C213"/>
    </row>
    <row r="214" spans="2:3">
      <c r="B214" s="476"/>
      <c r="C214"/>
    </row>
    <row r="215" spans="2:3">
      <c r="B215" s="476"/>
      <c r="C215"/>
    </row>
    <row r="216" spans="2:3">
      <c r="B216" s="476"/>
      <c r="C216"/>
    </row>
    <row r="217" spans="2:3">
      <c r="B217" s="476"/>
      <c r="C217"/>
    </row>
    <row r="218" spans="2:3">
      <c r="B218" s="476"/>
      <c r="C218"/>
    </row>
    <row r="219" spans="2:3">
      <c r="B219" s="476"/>
      <c r="C219"/>
    </row>
    <row r="220" spans="2:3">
      <c r="B220" s="476"/>
      <c r="C220"/>
    </row>
    <row r="221" spans="2:3">
      <c r="B221" s="476"/>
      <c r="C221"/>
    </row>
    <row r="222" spans="2:3">
      <c r="B222" s="476"/>
      <c r="C222"/>
    </row>
    <row r="223" spans="2:3">
      <c r="B223" s="476"/>
      <c r="C223"/>
    </row>
    <row r="224" spans="2:3">
      <c r="B224" s="476"/>
      <c r="C224"/>
    </row>
    <row r="225" spans="2:3">
      <c r="B225" s="476"/>
      <c r="C225"/>
    </row>
    <row r="226" spans="2:3">
      <c r="B226" s="476"/>
      <c r="C226"/>
    </row>
    <row r="227" spans="2:3">
      <c r="B227" s="476"/>
      <c r="C227"/>
    </row>
    <row r="228" spans="2:3">
      <c r="B228" s="476"/>
      <c r="C228"/>
    </row>
    <row r="229" spans="2:3">
      <c r="B229" s="476"/>
      <c r="C229"/>
    </row>
    <row r="230" spans="2:3">
      <c r="B230" s="476"/>
      <c r="C230"/>
    </row>
    <row r="231" spans="2:3">
      <c r="B231" s="476"/>
      <c r="C231"/>
    </row>
    <row r="232" spans="2:3">
      <c r="B232" s="476"/>
      <c r="C232"/>
    </row>
    <row r="233" spans="2:3">
      <c r="B233" s="476"/>
      <c r="C233"/>
    </row>
    <row r="234" spans="2:3">
      <c r="B234" s="476"/>
      <c r="C234"/>
    </row>
    <row r="235" spans="2:3">
      <c r="B235" s="476"/>
      <c r="C235"/>
    </row>
    <row r="236" spans="2:3">
      <c r="B236" s="476"/>
      <c r="C236"/>
    </row>
    <row r="237" spans="2:3">
      <c r="B237" s="476"/>
      <c r="C237"/>
    </row>
    <row r="238" spans="2:3">
      <c r="B238" s="476"/>
      <c r="C238"/>
    </row>
    <row r="239" spans="2:3">
      <c r="B239" s="476"/>
      <c r="C239"/>
    </row>
    <row r="240" spans="2:3">
      <c r="B240" s="476"/>
      <c r="C240"/>
    </row>
    <row r="241" spans="2:3">
      <c r="B241" s="476"/>
      <c r="C241"/>
    </row>
    <row r="242" spans="2:3">
      <c r="B242" s="476"/>
      <c r="C242"/>
    </row>
    <row r="243" spans="2:3">
      <c r="B243" s="476"/>
      <c r="C243"/>
    </row>
    <row r="244" spans="2:3">
      <c r="B244" s="476"/>
      <c r="C244"/>
    </row>
    <row r="245" spans="2:3">
      <c r="B245" s="476"/>
      <c r="C245"/>
    </row>
    <row r="246" spans="2:3">
      <c r="B246" s="476"/>
      <c r="C246"/>
    </row>
    <row r="247" spans="2:3">
      <c r="B247" s="476"/>
      <c r="C247"/>
    </row>
    <row r="248" spans="2:3">
      <c r="B248" s="476"/>
      <c r="C248"/>
    </row>
    <row r="249" spans="2:3">
      <c r="B249" s="476"/>
      <c r="C249"/>
    </row>
    <row r="250" spans="2:3">
      <c r="B250" s="476"/>
      <c r="C250"/>
    </row>
    <row r="251" spans="2:3">
      <c r="B251" s="476"/>
      <c r="C251"/>
    </row>
    <row r="252" spans="2:3">
      <c r="B252" s="476"/>
      <c r="C252"/>
    </row>
    <row r="253" spans="2:3">
      <c r="B253" s="476"/>
      <c r="C253"/>
    </row>
    <row r="254" spans="2:3">
      <c r="B254" s="476"/>
      <c r="C254"/>
    </row>
    <row r="255" spans="2:3">
      <c r="B255" s="476"/>
      <c r="C255"/>
    </row>
    <row r="256" spans="2:3">
      <c r="B256" s="476"/>
      <c r="C256"/>
    </row>
    <row r="257" spans="2:3">
      <c r="B257" s="476"/>
      <c r="C257"/>
    </row>
    <row r="258" spans="2:3">
      <c r="B258" s="476"/>
      <c r="C258"/>
    </row>
    <row r="259" spans="2:3">
      <c r="B259" s="476"/>
      <c r="C259"/>
    </row>
    <row r="260" spans="2:3">
      <c r="B260" s="476"/>
      <c r="C260"/>
    </row>
    <row r="261" spans="2:3">
      <c r="B261" s="476"/>
      <c r="C261"/>
    </row>
    <row r="262" spans="2:3">
      <c r="B262" s="476"/>
      <c r="C262"/>
    </row>
    <row r="263" spans="2:3">
      <c r="B263" s="476"/>
      <c r="C263"/>
    </row>
    <row r="264" spans="2:3">
      <c r="B264" s="476"/>
      <c r="C264"/>
    </row>
    <row r="265" spans="2:3">
      <c r="B265" s="476"/>
      <c r="C265"/>
    </row>
    <row r="266" spans="2:3">
      <c r="B266" s="476"/>
      <c r="C266"/>
    </row>
    <row r="267" spans="2:3">
      <c r="B267" s="476"/>
      <c r="C267"/>
    </row>
    <row r="268" spans="2:3">
      <c r="B268" s="476"/>
      <c r="C268"/>
    </row>
    <row r="269" spans="2:3">
      <c r="B269" s="476"/>
      <c r="C269"/>
    </row>
    <row r="270" spans="2:3">
      <c r="B270" s="476"/>
      <c r="C270"/>
    </row>
    <row r="271" spans="2:3">
      <c r="B271" s="476"/>
      <c r="C271"/>
    </row>
    <row r="272" spans="2:3">
      <c r="B272" s="476"/>
      <c r="C272"/>
    </row>
    <row r="273" spans="2:3">
      <c r="B273" s="476"/>
      <c r="C273"/>
    </row>
    <row r="274" spans="2:3">
      <c r="B274" s="476"/>
      <c r="C274"/>
    </row>
    <row r="275" spans="2:3">
      <c r="B275" s="476"/>
      <c r="C275"/>
    </row>
    <row r="276" spans="2:3">
      <c r="B276" s="476"/>
      <c r="C276"/>
    </row>
    <row r="277" spans="2:3">
      <c r="B277" s="476"/>
      <c r="C277"/>
    </row>
    <row r="278" spans="2:3">
      <c r="B278" s="476"/>
      <c r="C278"/>
    </row>
    <row r="279" spans="2:3">
      <c r="B279" s="476"/>
      <c r="C279"/>
    </row>
    <row r="280" spans="2:3">
      <c r="B280" s="476"/>
      <c r="C280"/>
    </row>
    <row r="281" spans="2:3">
      <c r="B281" s="476"/>
      <c r="C281"/>
    </row>
    <row r="282" spans="2:3">
      <c r="B282" s="476"/>
      <c r="C282"/>
    </row>
    <row r="283" spans="2:3">
      <c r="B283" s="476"/>
      <c r="C283"/>
    </row>
    <row r="284" spans="2:3">
      <c r="B284" s="476"/>
      <c r="C284"/>
    </row>
    <row r="285" spans="2:3">
      <c r="B285" s="476"/>
      <c r="C285"/>
    </row>
    <row r="286" spans="2:3">
      <c r="B286" s="476"/>
      <c r="C286"/>
    </row>
    <row r="287" spans="2:3">
      <c r="B287" s="476"/>
      <c r="C287"/>
    </row>
    <row r="288" spans="2:3">
      <c r="B288" s="476"/>
      <c r="C288"/>
    </row>
    <row r="289" spans="2:3">
      <c r="B289" s="476"/>
      <c r="C289"/>
    </row>
    <row r="290" spans="2:3">
      <c r="B290" s="476"/>
      <c r="C290"/>
    </row>
    <row r="291" spans="2:3">
      <c r="B291" s="476"/>
      <c r="C291"/>
    </row>
    <row r="292" spans="2:3">
      <c r="B292" s="476"/>
      <c r="C292"/>
    </row>
    <row r="293" spans="2:3">
      <c r="B293" s="476"/>
      <c r="C293"/>
    </row>
    <row r="294" spans="2:3">
      <c r="B294" s="476"/>
      <c r="C294"/>
    </row>
    <row r="295" spans="2:3">
      <c r="B295" s="476"/>
      <c r="C295"/>
    </row>
    <row r="296" spans="2:3">
      <c r="B296" s="476"/>
      <c r="C296"/>
    </row>
    <row r="297" spans="2:3">
      <c r="B297" s="476"/>
      <c r="C297"/>
    </row>
    <row r="298" spans="2:3">
      <c r="B298" s="476"/>
      <c r="C298"/>
    </row>
    <row r="299" spans="2:3">
      <c r="B299" s="476"/>
      <c r="C299"/>
    </row>
    <row r="300" spans="2:3">
      <c r="B300" s="476"/>
      <c r="C300"/>
    </row>
    <row r="301" spans="2:3">
      <c r="B301" s="476"/>
      <c r="C301"/>
    </row>
    <row r="302" spans="2:3">
      <c r="B302" s="476"/>
      <c r="C302"/>
    </row>
    <row r="303" spans="2:3">
      <c r="B303" s="476"/>
      <c r="C303"/>
    </row>
    <row r="304" spans="2:3">
      <c r="B304" s="476"/>
      <c r="C304"/>
    </row>
    <row r="305" spans="2:3">
      <c r="B305" s="476"/>
      <c r="C305"/>
    </row>
    <row r="306" spans="2:3">
      <c r="B306" s="476"/>
      <c r="C306"/>
    </row>
    <row r="307" spans="2:3">
      <c r="B307" s="476"/>
      <c r="C307"/>
    </row>
    <row r="308" spans="2:3">
      <c r="B308" s="476"/>
      <c r="C308"/>
    </row>
    <row r="309" spans="2:3">
      <c r="B309" s="476"/>
      <c r="C309"/>
    </row>
    <row r="310" spans="2:3">
      <c r="B310" s="476"/>
      <c r="C310"/>
    </row>
    <row r="311" spans="2:3">
      <c r="B311" s="476"/>
      <c r="C311"/>
    </row>
    <row r="312" spans="2:3">
      <c r="B312" s="476"/>
      <c r="C312"/>
    </row>
    <row r="313" spans="2:3">
      <c r="B313" s="476"/>
      <c r="C313"/>
    </row>
    <row r="314" spans="2:3">
      <c r="B314" s="476"/>
      <c r="C314"/>
    </row>
    <row r="315" spans="2:3">
      <c r="B315" s="476"/>
      <c r="C315"/>
    </row>
    <row r="316" spans="2:3">
      <c r="B316" s="476"/>
      <c r="C316"/>
    </row>
    <row r="317" spans="2:3">
      <c r="B317" s="476"/>
      <c r="C317"/>
    </row>
    <row r="318" spans="2:3">
      <c r="B318" s="476"/>
      <c r="C318"/>
    </row>
    <row r="319" spans="2:3">
      <c r="B319" s="476"/>
      <c r="C319"/>
    </row>
    <row r="320" spans="2:3">
      <c r="B320" s="476"/>
      <c r="C320"/>
    </row>
    <row r="321" spans="2:3">
      <c r="B321" s="476"/>
      <c r="C321"/>
    </row>
    <row r="322" spans="2:3">
      <c r="B322" s="476"/>
      <c r="C322"/>
    </row>
    <row r="323" spans="2:3">
      <c r="B323" s="476"/>
      <c r="C323"/>
    </row>
    <row r="324" spans="2:3">
      <c r="B324" s="476"/>
      <c r="C324"/>
    </row>
    <row r="325" spans="2:3">
      <c r="B325" s="476"/>
      <c r="C325"/>
    </row>
    <row r="326" spans="2:3">
      <c r="B326" s="476"/>
      <c r="C326"/>
    </row>
    <row r="327" spans="2:3">
      <c r="B327" s="476"/>
      <c r="C327"/>
    </row>
    <row r="328" spans="2:3">
      <c r="B328" s="476"/>
      <c r="C328"/>
    </row>
    <row r="329" spans="2:3">
      <c r="B329" s="476"/>
      <c r="C329"/>
    </row>
    <row r="330" spans="2:3">
      <c r="B330" s="476"/>
      <c r="C330"/>
    </row>
    <row r="331" spans="2:3">
      <c r="B331" s="476"/>
      <c r="C331"/>
    </row>
    <row r="332" spans="2:3">
      <c r="B332" s="476"/>
      <c r="C332"/>
    </row>
    <row r="333" spans="2:3">
      <c r="B333" s="476"/>
      <c r="C333"/>
    </row>
    <row r="334" spans="2:3">
      <c r="B334" s="476"/>
      <c r="C334"/>
    </row>
    <row r="335" spans="2:3">
      <c r="B335" s="476"/>
      <c r="C335"/>
    </row>
    <row r="336" spans="2:3">
      <c r="B336" s="476"/>
      <c r="C336"/>
    </row>
    <row r="337" spans="2:3">
      <c r="B337" s="476"/>
      <c r="C337"/>
    </row>
    <row r="338" spans="2:3">
      <c r="B338" s="476"/>
      <c r="C338"/>
    </row>
    <row r="339" spans="2:3">
      <c r="B339" s="476"/>
      <c r="C339"/>
    </row>
    <row r="340" spans="2:3">
      <c r="B340" s="476"/>
      <c r="C340"/>
    </row>
    <row r="341" spans="2:3">
      <c r="B341" s="476"/>
      <c r="C341"/>
    </row>
    <row r="342" spans="2:3">
      <c r="B342" s="476"/>
      <c r="C342"/>
    </row>
    <row r="343" spans="2:3">
      <c r="B343" s="476"/>
      <c r="C343"/>
    </row>
    <row r="344" spans="2:3">
      <c r="B344" s="476"/>
      <c r="C344"/>
    </row>
    <row r="345" spans="2:3">
      <c r="B345" s="476"/>
      <c r="C345"/>
    </row>
    <row r="346" spans="2:3">
      <c r="B346" s="476"/>
      <c r="C346"/>
    </row>
    <row r="347" spans="2:3">
      <c r="B347" s="476"/>
      <c r="C347"/>
    </row>
    <row r="348" spans="2:3">
      <c r="B348" s="476"/>
      <c r="C348"/>
    </row>
    <row r="349" spans="2:3">
      <c r="B349" s="476"/>
      <c r="C349"/>
    </row>
    <row r="350" spans="2:3">
      <c r="B350" s="476"/>
      <c r="C350"/>
    </row>
    <row r="351" spans="2:3">
      <c r="B351" s="476"/>
      <c r="C351"/>
    </row>
    <row r="352" spans="2:3">
      <c r="B352" s="476"/>
      <c r="C352"/>
    </row>
    <row r="353" spans="2:3">
      <c r="B353" s="476"/>
      <c r="C353"/>
    </row>
    <row r="354" spans="2:3">
      <c r="B354" s="476"/>
      <c r="C354"/>
    </row>
    <row r="355" spans="2:3">
      <c r="B355" s="476"/>
      <c r="C355"/>
    </row>
    <row r="356" spans="2:3">
      <c r="B356" s="476"/>
      <c r="C356"/>
    </row>
    <row r="357" spans="2:3">
      <c r="B357" s="476"/>
      <c r="C357"/>
    </row>
    <row r="358" spans="2:3">
      <c r="B358" s="476"/>
      <c r="C358"/>
    </row>
    <row r="359" spans="2:3">
      <c r="B359" s="476"/>
      <c r="C359"/>
    </row>
    <row r="360" spans="2:3">
      <c r="B360" s="476"/>
      <c r="C360"/>
    </row>
    <row r="361" spans="2:3">
      <c r="B361" s="476"/>
      <c r="C361"/>
    </row>
    <row r="362" spans="2:3">
      <c r="B362" s="476"/>
      <c r="C362"/>
    </row>
    <row r="363" spans="2:3">
      <c r="B363" s="476"/>
      <c r="C363"/>
    </row>
    <row r="364" spans="2:3">
      <c r="B364" s="476"/>
      <c r="C364"/>
    </row>
    <row r="365" spans="2:3">
      <c r="B365" s="476"/>
      <c r="C365"/>
    </row>
    <row r="366" spans="2:3">
      <c r="B366" s="476"/>
      <c r="C366"/>
    </row>
    <row r="367" spans="2:3">
      <c r="B367" s="476"/>
      <c r="C367"/>
    </row>
    <row r="368" spans="2:3">
      <c r="B368" s="476"/>
      <c r="C368"/>
    </row>
    <row r="369" spans="2:3">
      <c r="B369" s="476"/>
      <c r="C369"/>
    </row>
    <row r="370" spans="2:3">
      <c r="B370" s="476"/>
      <c r="C370"/>
    </row>
    <row r="371" spans="2:3">
      <c r="B371" s="476"/>
      <c r="C371"/>
    </row>
    <row r="372" spans="2:3">
      <c r="B372" s="476"/>
      <c r="C372"/>
    </row>
    <row r="373" spans="2:3">
      <c r="B373" s="476"/>
      <c r="C373"/>
    </row>
    <row r="374" spans="2:3">
      <c r="B374" s="476"/>
      <c r="C374"/>
    </row>
    <row r="375" spans="2:3">
      <c r="B375" s="476"/>
      <c r="C375"/>
    </row>
    <row r="376" spans="2:3">
      <c r="B376" s="476"/>
      <c r="C376"/>
    </row>
    <row r="377" spans="2:3">
      <c r="B377" s="476"/>
      <c r="C377"/>
    </row>
    <row r="378" spans="2:3">
      <c r="B378" s="476"/>
      <c r="C378"/>
    </row>
    <row r="379" spans="2:3">
      <c r="B379" s="476"/>
      <c r="C379"/>
    </row>
    <row r="380" spans="2:3">
      <c r="B380" s="476"/>
      <c r="C380"/>
    </row>
    <row r="381" spans="2:3">
      <c r="B381" s="476"/>
      <c r="C381"/>
    </row>
    <row r="382" spans="2:3">
      <c r="B382" s="476"/>
      <c r="C382"/>
    </row>
    <row r="383" spans="2:3">
      <c r="B383" s="476"/>
      <c r="C383"/>
    </row>
    <row r="384" spans="2:3">
      <c r="B384" s="476"/>
      <c r="C384"/>
    </row>
    <row r="385" spans="2:3">
      <c r="B385" s="476"/>
      <c r="C385"/>
    </row>
    <row r="386" spans="2:3">
      <c r="B386" s="476"/>
      <c r="C386"/>
    </row>
    <row r="387" spans="2:3">
      <c r="B387" s="476"/>
      <c r="C387"/>
    </row>
    <row r="388" spans="2:3">
      <c r="B388" s="476"/>
      <c r="C388"/>
    </row>
    <row r="389" spans="2:3">
      <c r="B389" s="476"/>
      <c r="C389"/>
    </row>
    <row r="390" spans="2:3">
      <c r="B390" s="476"/>
      <c r="C390"/>
    </row>
    <row r="391" spans="2:3">
      <c r="B391" s="476"/>
      <c r="C391"/>
    </row>
    <row r="392" spans="2:3">
      <c r="B392" s="476"/>
      <c r="C392"/>
    </row>
    <row r="393" spans="2:3">
      <c r="B393" s="476"/>
      <c r="C393"/>
    </row>
    <row r="394" spans="2:3">
      <c r="B394" s="476"/>
      <c r="C394"/>
    </row>
    <row r="395" spans="2:3">
      <c r="B395" s="476"/>
      <c r="C395"/>
    </row>
    <row r="396" spans="2:3">
      <c r="B396" s="476"/>
      <c r="C396"/>
    </row>
    <row r="397" spans="2:3">
      <c r="B397" s="476"/>
      <c r="C397"/>
    </row>
    <row r="398" spans="2:3">
      <c r="B398" s="476"/>
      <c r="C398"/>
    </row>
    <row r="399" spans="2:3">
      <c r="B399" s="476"/>
      <c r="C399"/>
    </row>
    <row r="400" spans="2:3">
      <c r="B400" s="476"/>
      <c r="C400"/>
    </row>
    <row r="401" spans="2:3">
      <c r="B401" s="476"/>
      <c r="C401"/>
    </row>
    <row r="402" spans="2:3">
      <c r="B402" s="476"/>
      <c r="C402"/>
    </row>
    <row r="403" spans="2:3">
      <c r="B403" s="476"/>
      <c r="C403"/>
    </row>
    <row r="404" spans="2:3">
      <c r="B404" s="476"/>
      <c r="C404"/>
    </row>
    <row r="405" spans="2:3">
      <c r="B405" s="476"/>
      <c r="C405"/>
    </row>
    <row r="406" spans="2:3">
      <c r="B406" s="476"/>
      <c r="C406"/>
    </row>
    <row r="407" spans="2:3">
      <c r="B407" s="476"/>
      <c r="C407"/>
    </row>
    <row r="408" spans="2:3">
      <c r="B408" s="476"/>
      <c r="C408"/>
    </row>
    <row r="409" spans="2:3">
      <c r="B409" s="476"/>
      <c r="C409"/>
    </row>
    <row r="410" spans="2:3">
      <c r="B410" s="476"/>
      <c r="C410"/>
    </row>
    <row r="411" spans="2:3">
      <c r="B411" s="476"/>
      <c r="C411"/>
    </row>
    <row r="412" spans="2:3">
      <c r="B412" s="476"/>
      <c r="C412"/>
    </row>
    <row r="413" spans="2:3">
      <c r="B413" s="476"/>
      <c r="C413"/>
    </row>
    <row r="414" spans="2:3">
      <c r="B414" s="476"/>
      <c r="C414"/>
    </row>
    <row r="415" spans="2:3">
      <c r="B415" s="476"/>
      <c r="C415"/>
    </row>
    <row r="416" spans="2:3">
      <c r="B416" s="476"/>
      <c r="C416"/>
    </row>
    <row r="417" spans="2:3">
      <c r="B417" s="476"/>
      <c r="C417"/>
    </row>
    <row r="418" spans="2:3">
      <c r="B418" s="476"/>
      <c r="C418"/>
    </row>
    <row r="419" spans="2:3">
      <c r="B419" s="476"/>
      <c r="C419"/>
    </row>
    <row r="420" spans="2:3">
      <c r="B420" s="476"/>
      <c r="C420"/>
    </row>
    <row r="421" spans="2:3">
      <c r="B421" s="476"/>
      <c r="C421"/>
    </row>
    <row r="422" spans="2:3">
      <c r="B422" s="476"/>
      <c r="C422"/>
    </row>
    <row r="423" spans="2:3">
      <c r="B423" s="476"/>
      <c r="C423"/>
    </row>
    <row r="424" spans="2:3">
      <c r="B424" s="476"/>
      <c r="C424"/>
    </row>
    <row r="425" spans="2:3">
      <c r="B425" s="476"/>
      <c r="C425"/>
    </row>
    <row r="426" spans="2:3">
      <c r="B426" s="476"/>
      <c r="C426"/>
    </row>
    <row r="427" spans="2:3">
      <c r="B427" s="476"/>
      <c r="C427"/>
    </row>
    <row r="428" spans="2:3">
      <c r="B428" s="476"/>
      <c r="C428"/>
    </row>
    <row r="429" spans="2:3">
      <c r="B429" s="476"/>
      <c r="C429"/>
    </row>
    <row r="430" spans="2:3">
      <c r="B430" s="476"/>
      <c r="C430"/>
    </row>
    <row r="431" spans="2:3">
      <c r="B431" s="476"/>
      <c r="C431"/>
    </row>
    <row r="432" spans="2:3">
      <c r="B432" s="476"/>
      <c r="C432"/>
    </row>
    <row r="433" spans="2:3">
      <c r="B433" s="476"/>
      <c r="C433"/>
    </row>
    <row r="434" spans="2:3">
      <c r="B434" s="476"/>
      <c r="C434"/>
    </row>
    <row r="435" spans="2:3">
      <c r="B435" s="476"/>
      <c r="C435"/>
    </row>
    <row r="436" spans="2:3">
      <c r="B436" s="476"/>
      <c r="C436"/>
    </row>
    <row r="437" spans="2:3">
      <c r="B437" s="476"/>
      <c r="C437"/>
    </row>
    <row r="438" spans="2:3">
      <c r="B438" s="476"/>
      <c r="C438"/>
    </row>
    <row r="439" spans="2:3">
      <c r="B439" s="476"/>
      <c r="C439"/>
    </row>
    <row r="440" spans="2:3">
      <c r="B440" s="476"/>
      <c r="C440"/>
    </row>
    <row r="441" spans="2:3">
      <c r="B441" s="476"/>
      <c r="C441"/>
    </row>
    <row r="442" spans="2:3">
      <c r="B442" s="476"/>
      <c r="C442"/>
    </row>
    <row r="443" spans="2:3">
      <c r="B443" s="476"/>
      <c r="C443"/>
    </row>
    <row r="444" spans="2:3">
      <c r="B444" s="476"/>
      <c r="C444"/>
    </row>
    <row r="445" spans="2:3">
      <c r="B445" s="476"/>
      <c r="C445"/>
    </row>
    <row r="446" spans="2:3">
      <c r="B446" s="476"/>
      <c r="C446"/>
    </row>
    <row r="447" spans="2:3">
      <c r="B447" s="476"/>
      <c r="C447"/>
    </row>
    <row r="448" spans="2:3">
      <c r="B448" s="476"/>
      <c r="C448"/>
    </row>
    <row r="449" spans="2:3">
      <c r="B449" s="476"/>
      <c r="C449"/>
    </row>
    <row r="450" spans="2:3">
      <c r="B450" s="476"/>
      <c r="C450"/>
    </row>
    <row r="451" spans="2:3">
      <c r="B451" s="476"/>
      <c r="C451"/>
    </row>
    <row r="452" spans="2:3">
      <c r="B452" s="476"/>
      <c r="C452"/>
    </row>
    <row r="453" spans="2:3">
      <c r="B453" s="476"/>
      <c r="C453"/>
    </row>
    <row r="454" spans="2:3">
      <c r="B454" s="476"/>
      <c r="C454"/>
    </row>
    <row r="455" spans="2:3">
      <c r="B455" s="476"/>
      <c r="C455"/>
    </row>
    <row r="456" spans="2:3">
      <c r="B456" s="476"/>
      <c r="C456"/>
    </row>
    <row r="457" spans="2:3">
      <c r="B457" s="476"/>
      <c r="C457"/>
    </row>
    <row r="458" spans="2:3">
      <c r="B458" s="476"/>
      <c r="C458"/>
    </row>
    <row r="459" spans="2:3">
      <c r="B459" s="476"/>
      <c r="C459"/>
    </row>
    <row r="460" spans="2:3">
      <c r="B460" s="476"/>
      <c r="C460"/>
    </row>
    <row r="461" spans="2:3">
      <c r="B461" s="476"/>
      <c r="C461"/>
    </row>
    <row r="462" spans="2:3">
      <c r="B462" s="476"/>
      <c r="C462"/>
    </row>
    <row r="463" spans="2:3">
      <c r="B463" s="476"/>
      <c r="C463"/>
    </row>
    <row r="464" spans="2:3">
      <c r="B464" s="476"/>
      <c r="C464"/>
    </row>
    <row r="465" spans="2:3">
      <c r="B465" s="476"/>
      <c r="C465"/>
    </row>
    <row r="466" spans="2:3">
      <c r="B466" s="476"/>
      <c r="C466"/>
    </row>
    <row r="467" spans="2:3">
      <c r="B467" s="476"/>
      <c r="C467"/>
    </row>
    <row r="468" spans="2:3">
      <c r="B468" s="476"/>
      <c r="C468"/>
    </row>
    <row r="469" spans="2:3">
      <c r="B469" s="476"/>
      <c r="C469"/>
    </row>
    <row r="470" spans="2:3">
      <c r="B470" s="476"/>
      <c r="C470"/>
    </row>
    <row r="471" spans="2:3">
      <c r="B471" s="476"/>
      <c r="C471"/>
    </row>
    <row r="472" spans="2:3">
      <c r="B472" s="476"/>
      <c r="C472"/>
    </row>
    <row r="473" spans="2:3">
      <c r="B473" s="476"/>
      <c r="C473"/>
    </row>
    <row r="474" spans="2:3">
      <c r="B474" s="476"/>
      <c r="C474"/>
    </row>
    <row r="475" spans="2:3">
      <c r="B475" s="476"/>
      <c r="C475"/>
    </row>
    <row r="476" spans="2:3">
      <c r="B476" s="476"/>
      <c r="C476"/>
    </row>
    <row r="477" spans="2:3">
      <c r="B477" s="476"/>
      <c r="C477"/>
    </row>
    <row r="478" spans="2:3">
      <c r="B478" s="476"/>
      <c r="C478"/>
    </row>
    <row r="479" spans="2:3">
      <c r="B479" s="476"/>
      <c r="C479"/>
    </row>
    <row r="480" spans="2:3">
      <c r="B480" s="476"/>
      <c r="C480"/>
    </row>
    <row r="481" spans="2:3">
      <c r="B481" s="476"/>
      <c r="C481"/>
    </row>
    <row r="482" spans="2:3">
      <c r="B482" s="476"/>
      <c r="C482"/>
    </row>
    <row r="483" spans="2:3">
      <c r="B483" s="476"/>
      <c r="C483"/>
    </row>
    <row r="484" spans="2:3">
      <c r="B484" s="476"/>
      <c r="C484"/>
    </row>
    <row r="485" spans="2:3">
      <c r="B485" s="476"/>
      <c r="C485"/>
    </row>
    <row r="486" spans="2:3">
      <c r="B486" s="476"/>
      <c r="C486"/>
    </row>
    <row r="487" spans="2:3">
      <c r="B487" s="476"/>
      <c r="C487"/>
    </row>
    <row r="488" spans="2:3">
      <c r="B488" s="476"/>
      <c r="C488"/>
    </row>
    <row r="489" spans="2:3">
      <c r="B489" s="476"/>
      <c r="C489"/>
    </row>
    <row r="490" spans="2:3">
      <c r="B490" s="476"/>
      <c r="C490"/>
    </row>
    <row r="491" spans="2:3">
      <c r="B491" s="476"/>
      <c r="C491"/>
    </row>
    <row r="492" spans="2:3">
      <c r="B492" s="476"/>
      <c r="C492"/>
    </row>
    <row r="493" spans="2:3">
      <c r="B493" s="476"/>
      <c r="C493"/>
    </row>
    <row r="494" spans="2:3">
      <c r="B494" s="476"/>
      <c r="C494"/>
    </row>
    <row r="495" spans="2:3">
      <c r="B495" s="476"/>
      <c r="C495"/>
    </row>
    <row r="496" spans="2:3">
      <c r="B496" s="476"/>
      <c r="C496"/>
    </row>
    <row r="497" spans="2:3">
      <c r="B497" s="476"/>
      <c r="C497"/>
    </row>
    <row r="498" spans="2:3">
      <c r="B498" s="476"/>
      <c r="C498"/>
    </row>
    <row r="499" spans="2:3">
      <c r="B499" s="476"/>
      <c r="C499"/>
    </row>
    <row r="500" spans="2:3">
      <c r="B500" s="476"/>
      <c r="C500"/>
    </row>
    <row r="501" spans="2:3">
      <c r="B501" s="476"/>
      <c r="C501"/>
    </row>
    <row r="502" spans="2:3">
      <c r="B502" s="476"/>
      <c r="C502"/>
    </row>
    <row r="503" spans="2:3">
      <c r="B503" s="476"/>
      <c r="C503"/>
    </row>
    <row r="504" spans="2:3">
      <c r="B504" s="476"/>
      <c r="C504"/>
    </row>
    <row r="505" spans="2:3">
      <c r="B505" s="476"/>
      <c r="C505"/>
    </row>
    <row r="506" spans="2:3">
      <c r="B506" s="476"/>
      <c r="C506"/>
    </row>
    <row r="507" spans="2:3">
      <c r="B507" s="476"/>
      <c r="C507"/>
    </row>
    <row r="508" spans="2:3">
      <c r="B508" s="476"/>
      <c r="C508"/>
    </row>
    <row r="509" spans="2:3">
      <c r="B509" s="476"/>
      <c r="C509"/>
    </row>
    <row r="510" spans="2:3">
      <c r="B510" s="476"/>
      <c r="C510"/>
    </row>
    <row r="511" spans="2:3">
      <c r="B511" s="476"/>
      <c r="C511"/>
    </row>
    <row r="512" spans="2:3">
      <c r="B512" s="476"/>
      <c r="C512"/>
    </row>
    <row r="513" spans="2:3">
      <c r="B513" s="476"/>
      <c r="C513"/>
    </row>
    <row r="514" spans="2:3">
      <c r="B514" s="476"/>
      <c r="C514"/>
    </row>
    <row r="515" spans="2:3">
      <c r="B515" s="476"/>
      <c r="C515"/>
    </row>
    <row r="516" spans="2:3">
      <c r="B516" s="476"/>
      <c r="C516"/>
    </row>
    <row r="517" spans="2:3">
      <c r="B517" s="476"/>
      <c r="C517"/>
    </row>
    <row r="518" spans="2:3">
      <c r="B518" s="476"/>
      <c r="C518"/>
    </row>
    <row r="519" spans="2:3">
      <c r="B519" s="476"/>
      <c r="C519"/>
    </row>
    <row r="520" spans="2:3">
      <c r="B520" s="476"/>
      <c r="C520"/>
    </row>
    <row r="521" spans="2:3">
      <c r="B521" s="476"/>
      <c r="C521"/>
    </row>
    <row r="522" spans="2:3">
      <c r="B522" s="476"/>
      <c r="C522"/>
    </row>
    <row r="523" spans="2:3">
      <c r="B523" s="476"/>
      <c r="C523"/>
    </row>
    <row r="524" spans="2:3">
      <c r="B524" s="476"/>
      <c r="C524"/>
    </row>
    <row r="525" spans="2:3">
      <c r="B525" s="476"/>
      <c r="C525"/>
    </row>
    <row r="526" spans="2:3">
      <c r="B526" s="476"/>
      <c r="C526"/>
    </row>
    <row r="527" spans="2:3">
      <c r="B527" s="476"/>
      <c r="C527"/>
    </row>
    <row r="528" spans="2:3">
      <c r="B528" s="476"/>
      <c r="C528"/>
    </row>
    <row r="529" spans="2:3">
      <c r="B529" s="476"/>
      <c r="C529"/>
    </row>
    <row r="530" spans="2:3">
      <c r="B530" s="476"/>
      <c r="C530"/>
    </row>
    <row r="531" spans="2:3">
      <c r="B531" s="476"/>
      <c r="C531"/>
    </row>
    <row r="532" spans="2:3">
      <c r="B532" s="476"/>
      <c r="C532"/>
    </row>
    <row r="533" spans="2:3">
      <c r="B533" s="476"/>
      <c r="C533"/>
    </row>
    <row r="534" spans="2:3">
      <c r="B534" s="476"/>
      <c r="C534"/>
    </row>
    <row r="535" spans="2:3">
      <c r="B535" s="476"/>
      <c r="C535"/>
    </row>
    <row r="536" spans="2:3">
      <c r="B536" s="476"/>
      <c r="C536"/>
    </row>
    <row r="537" spans="2:3">
      <c r="B537" s="476"/>
      <c r="C537"/>
    </row>
    <row r="538" spans="2:3">
      <c r="B538" s="476"/>
      <c r="C538"/>
    </row>
    <row r="539" spans="2:3">
      <c r="B539" s="476"/>
      <c r="C539"/>
    </row>
    <row r="540" spans="2:3">
      <c r="B540" s="476"/>
      <c r="C540"/>
    </row>
    <row r="541" spans="2:3">
      <c r="B541" s="476"/>
      <c r="C541"/>
    </row>
    <row r="542" spans="2:3">
      <c r="B542" s="476"/>
      <c r="C542"/>
    </row>
    <row r="543" spans="2:3">
      <c r="B543" s="476"/>
      <c r="C543"/>
    </row>
    <row r="544" spans="2:3">
      <c r="B544" s="476"/>
      <c r="C544"/>
    </row>
    <row r="545" spans="2:3">
      <c r="B545" s="476"/>
      <c r="C545"/>
    </row>
    <row r="546" spans="2:3">
      <c r="B546" s="476"/>
      <c r="C546"/>
    </row>
    <row r="547" spans="2:3">
      <c r="B547" s="476"/>
      <c r="C547"/>
    </row>
    <row r="548" spans="2:3">
      <c r="B548" s="476"/>
      <c r="C548"/>
    </row>
    <row r="549" spans="2:3">
      <c r="B549" s="476"/>
      <c r="C549"/>
    </row>
    <row r="550" spans="2:3">
      <c r="B550" s="476"/>
      <c r="C550"/>
    </row>
    <row r="551" spans="2:3">
      <c r="B551" s="476"/>
      <c r="C551"/>
    </row>
    <row r="552" spans="2:3">
      <c r="B552" s="476"/>
      <c r="C552"/>
    </row>
    <row r="553" spans="2:3">
      <c r="B553" s="476"/>
      <c r="C553"/>
    </row>
    <row r="554" spans="2:3">
      <c r="B554" s="476"/>
      <c r="C554"/>
    </row>
    <row r="555" spans="2:3">
      <c r="B555" s="476"/>
      <c r="C555"/>
    </row>
    <row r="556" spans="2:3">
      <c r="B556" s="476"/>
      <c r="C556"/>
    </row>
    <row r="557" spans="2:3">
      <c r="B557" s="476"/>
      <c r="C557"/>
    </row>
    <row r="558" spans="2:3">
      <c r="B558" s="476"/>
      <c r="C558"/>
    </row>
    <row r="559" spans="2:3">
      <c r="B559" s="476"/>
      <c r="C559"/>
    </row>
    <row r="560" spans="2:3">
      <c r="B560" s="476"/>
      <c r="C560"/>
    </row>
    <row r="561" spans="2:3">
      <c r="B561" s="476"/>
      <c r="C561"/>
    </row>
    <row r="562" spans="2:3">
      <c r="B562" s="476"/>
      <c r="C562"/>
    </row>
    <row r="563" spans="2:3">
      <c r="B563" s="476"/>
      <c r="C563"/>
    </row>
    <row r="564" spans="2:3">
      <c r="B564" s="476"/>
      <c r="C564"/>
    </row>
    <row r="565" spans="2:3">
      <c r="B565" s="476"/>
      <c r="C565"/>
    </row>
    <row r="566" spans="2:3">
      <c r="B566" s="476"/>
      <c r="C566"/>
    </row>
    <row r="567" spans="2:3">
      <c r="B567" s="476"/>
      <c r="C567"/>
    </row>
    <row r="568" spans="2:3">
      <c r="B568" s="476"/>
      <c r="C568"/>
    </row>
    <row r="569" spans="2:3">
      <c r="B569" s="476"/>
      <c r="C569"/>
    </row>
    <row r="570" spans="2:3">
      <c r="B570" s="476"/>
      <c r="C570"/>
    </row>
    <row r="571" spans="2:3">
      <c r="B571" s="476"/>
      <c r="C571"/>
    </row>
    <row r="572" spans="2:3">
      <c r="B572" s="476"/>
      <c r="C572"/>
    </row>
    <row r="573" spans="2:3">
      <c r="B573" s="476"/>
      <c r="C573"/>
    </row>
    <row r="574" spans="2:3">
      <c r="B574" s="476"/>
      <c r="C574"/>
    </row>
    <row r="575" spans="2:3">
      <c r="B575" s="476"/>
      <c r="C575"/>
    </row>
    <row r="576" spans="2:3">
      <c r="B576" s="476"/>
      <c r="C576"/>
    </row>
    <row r="577" spans="2:3">
      <c r="B577" s="476"/>
      <c r="C577"/>
    </row>
    <row r="578" spans="2:3">
      <c r="B578" s="476"/>
      <c r="C578"/>
    </row>
    <row r="579" spans="2:3">
      <c r="B579" s="476"/>
      <c r="C579"/>
    </row>
    <row r="580" spans="2:3">
      <c r="B580" s="476"/>
      <c r="C580"/>
    </row>
    <row r="581" spans="2:3">
      <c r="B581" s="476"/>
      <c r="C581"/>
    </row>
    <row r="582" spans="2:3">
      <c r="B582" s="476"/>
      <c r="C582"/>
    </row>
    <row r="583" spans="2:3">
      <c r="B583" s="476"/>
      <c r="C583"/>
    </row>
    <row r="584" spans="2:3">
      <c r="B584" s="476"/>
      <c r="C584"/>
    </row>
    <row r="585" spans="2:3">
      <c r="B585" s="476"/>
      <c r="C585"/>
    </row>
    <row r="586" spans="2:3">
      <c r="B586" s="476"/>
      <c r="C586"/>
    </row>
    <row r="587" spans="2:3">
      <c r="B587" s="476"/>
      <c r="C587"/>
    </row>
    <row r="588" spans="2:3">
      <c r="B588" s="476"/>
      <c r="C588"/>
    </row>
    <row r="589" spans="2:3">
      <c r="B589" s="476"/>
      <c r="C589"/>
    </row>
    <row r="590" spans="2:3">
      <c r="B590" s="476"/>
      <c r="C590"/>
    </row>
    <row r="591" spans="2:3">
      <c r="B591" s="476"/>
      <c r="C591"/>
    </row>
    <row r="592" spans="2:3">
      <c r="B592" s="476"/>
      <c r="C592"/>
    </row>
    <row r="593" spans="2:3">
      <c r="B593" s="476"/>
      <c r="C593"/>
    </row>
    <row r="594" spans="2:3">
      <c r="B594" s="476"/>
      <c r="C594"/>
    </row>
    <row r="595" spans="2:3">
      <c r="B595" s="476"/>
      <c r="C595"/>
    </row>
    <row r="596" spans="2:3">
      <c r="B596" s="476"/>
      <c r="C596"/>
    </row>
    <row r="597" spans="2:3">
      <c r="B597" s="476"/>
      <c r="C597"/>
    </row>
    <row r="598" spans="2:3">
      <c r="B598" s="476"/>
      <c r="C598"/>
    </row>
    <row r="599" spans="2:3">
      <c r="B599" s="476"/>
      <c r="C599"/>
    </row>
    <row r="600" spans="2:3">
      <c r="B600" s="476"/>
      <c r="C600"/>
    </row>
    <row r="601" spans="2:3">
      <c r="B601" s="476"/>
      <c r="C601"/>
    </row>
    <row r="602" spans="2:3">
      <c r="B602" s="476"/>
      <c r="C602"/>
    </row>
    <row r="603" spans="2:3">
      <c r="B603" s="476"/>
      <c r="C603"/>
    </row>
    <row r="604" spans="2:3">
      <c r="B604" s="476"/>
      <c r="C604"/>
    </row>
    <row r="605" spans="2:3">
      <c r="B605" s="476"/>
      <c r="C605"/>
    </row>
    <row r="606" spans="2:3">
      <c r="B606" s="476"/>
      <c r="C606"/>
    </row>
    <row r="607" spans="2:3">
      <c r="B607" s="476"/>
      <c r="C607"/>
    </row>
    <row r="608" spans="2:3">
      <c r="B608" s="476"/>
      <c r="C608"/>
    </row>
    <row r="609" spans="2:3">
      <c r="B609" s="476"/>
      <c r="C609"/>
    </row>
    <row r="610" spans="2:3">
      <c r="B610" s="476"/>
      <c r="C610"/>
    </row>
    <row r="611" spans="2:3">
      <c r="B611" s="476"/>
      <c r="C611"/>
    </row>
    <row r="612" spans="2:3">
      <c r="B612" s="476"/>
      <c r="C612"/>
    </row>
    <row r="613" spans="2:3">
      <c r="B613" s="476"/>
      <c r="C613"/>
    </row>
    <row r="614" spans="2:3">
      <c r="B614" s="476"/>
      <c r="C614"/>
    </row>
    <row r="615" spans="2:3">
      <c r="B615" s="476"/>
      <c r="C615"/>
    </row>
    <row r="616" spans="2:3">
      <c r="B616" s="476"/>
      <c r="C616"/>
    </row>
    <row r="617" spans="2:3">
      <c r="B617" s="476"/>
      <c r="C617"/>
    </row>
    <row r="618" spans="2:3">
      <c r="B618" s="476"/>
      <c r="C618"/>
    </row>
    <row r="619" spans="2:3">
      <c r="B619" s="476"/>
      <c r="C619"/>
    </row>
    <row r="620" spans="2:3">
      <c r="B620" s="476"/>
      <c r="C620"/>
    </row>
    <row r="621" spans="2:3">
      <c r="B621" s="476"/>
      <c r="C621"/>
    </row>
    <row r="622" spans="2:3">
      <c r="B622" s="476"/>
      <c r="C622"/>
    </row>
    <row r="623" spans="2:3">
      <c r="B623" s="476"/>
      <c r="C623"/>
    </row>
    <row r="624" spans="2:3">
      <c r="B624" s="476"/>
      <c r="C624"/>
    </row>
    <row r="625" spans="2:3">
      <c r="B625" s="476"/>
      <c r="C625"/>
    </row>
    <row r="626" spans="2:3">
      <c r="B626" s="476"/>
      <c r="C626"/>
    </row>
    <row r="627" spans="2:3">
      <c r="B627" s="476"/>
      <c r="C627"/>
    </row>
    <row r="628" spans="2:3">
      <c r="B628" s="476"/>
      <c r="C628"/>
    </row>
    <row r="629" spans="2:3">
      <c r="B629" s="476"/>
      <c r="C629"/>
    </row>
    <row r="630" spans="2:3">
      <c r="B630" s="476"/>
      <c r="C630"/>
    </row>
    <row r="631" spans="2:3">
      <c r="B631" s="476"/>
      <c r="C631"/>
    </row>
    <row r="632" spans="2:3">
      <c r="B632" s="476"/>
      <c r="C632"/>
    </row>
    <row r="633" spans="2:3">
      <c r="B633" s="476"/>
      <c r="C633"/>
    </row>
    <row r="634" spans="2:3">
      <c r="B634" s="476"/>
      <c r="C634"/>
    </row>
    <row r="635" spans="2:3">
      <c r="B635" s="476"/>
      <c r="C635"/>
    </row>
    <row r="636" spans="2:3">
      <c r="B636" s="476"/>
      <c r="C636"/>
    </row>
    <row r="637" spans="2:3">
      <c r="B637" s="476"/>
      <c r="C637"/>
    </row>
    <row r="638" spans="2:3">
      <c r="B638" s="476"/>
      <c r="C638"/>
    </row>
    <row r="639" spans="2:3">
      <c r="B639" s="476"/>
      <c r="C639"/>
    </row>
    <row r="640" spans="2:3">
      <c r="B640" s="476"/>
      <c r="C640"/>
    </row>
    <row r="641" spans="2:3">
      <c r="B641" s="476"/>
      <c r="C641"/>
    </row>
    <row r="642" spans="2:3">
      <c r="B642" s="476"/>
      <c r="C642"/>
    </row>
    <row r="643" spans="2:3">
      <c r="B643" s="476"/>
      <c r="C643"/>
    </row>
    <row r="644" spans="2:3">
      <c r="B644" s="476"/>
      <c r="C644"/>
    </row>
    <row r="645" spans="2:3">
      <c r="B645" s="476"/>
      <c r="C645"/>
    </row>
    <row r="646" spans="2:3">
      <c r="B646" s="476"/>
      <c r="C646"/>
    </row>
    <row r="647" spans="2:3">
      <c r="B647" s="476"/>
      <c r="C647"/>
    </row>
    <row r="648" spans="2:3">
      <c r="B648" s="476"/>
      <c r="C648"/>
    </row>
    <row r="649" spans="2:3">
      <c r="B649" s="476"/>
      <c r="C649"/>
    </row>
    <row r="650" spans="2:3">
      <c r="B650" s="476"/>
      <c r="C650"/>
    </row>
    <row r="651" spans="2:3">
      <c r="B651" s="476"/>
      <c r="C651"/>
    </row>
    <row r="652" spans="2:3">
      <c r="B652" s="476"/>
      <c r="C652"/>
    </row>
    <row r="653" spans="2:3">
      <c r="B653" s="476"/>
      <c r="C653"/>
    </row>
    <row r="654" spans="2:3">
      <c r="B654" s="476"/>
      <c r="C654"/>
    </row>
    <row r="655" spans="2:3">
      <c r="B655" s="476"/>
      <c r="C655"/>
    </row>
    <row r="656" spans="2:3">
      <c r="B656" s="476"/>
      <c r="C656"/>
    </row>
    <row r="657" spans="2:3">
      <c r="B657" s="476"/>
      <c r="C657"/>
    </row>
    <row r="658" spans="2:3">
      <c r="B658" s="476"/>
      <c r="C658"/>
    </row>
    <row r="659" spans="2:3">
      <c r="B659" s="476"/>
      <c r="C659"/>
    </row>
    <row r="660" spans="2:3">
      <c r="B660" s="476"/>
      <c r="C660"/>
    </row>
    <row r="661" spans="2:3">
      <c r="B661" s="476"/>
      <c r="C661"/>
    </row>
    <row r="662" spans="2:3">
      <c r="B662" s="476"/>
      <c r="C662"/>
    </row>
    <row r="663" spans="2:3">
      <c r="B663" s="476"/>
      <c r="C663"/>
    </row>
    <row r="664" spans="2:3">
      <c r="B664" s="476"/>
      <c r="C664"/>
    </row>
    <row r="665" spans="2:3">
      <c r="B665" s="476"/>
      <c r="C665"/>
    </row>
    <row r="666" spans="2:3">
      <c r="B666" s="476"/>
      <c r="C666"/>
    </row>
    <row r="667" spans="2:3">
      <c r="B667" s="476"/>
      <c r="C667"/>
    </row>
    <row r="668" spans="2:3">
      <c r="B668" s="476"/>
      <c r="C668"/>
    </row>
    <row r="669" spans="2:3">
      <c r="B669" s="476"/>
      <c r="C669"/>
    </row>
    <row r="670" spans="2:3">
      <c r="B670" s="476"/>
      <c r="C670"/>
    </row>
    <row r="671" spans="2:3">
      <c r="B671" s="476"/>
      <c r="C671"/>
    </row>
    <row r="672" spans="2:3">
      <c r="B672" s="476"/>
      <c r="C672"/>
    </row>
    <row r="673" spans="2:3">
      <c r="B673" s="476"/>
      <c r="C673"/>
    </row>
    <row r="674" spans="2:3">
      <c r="B674" s="476"/>
      <c r="C674"/>
    </row>
    <row r="675" spans="2:3">
      <c r="B675" s="476"/>
      <c r="C675"/>
    </row>
    <row r="676" spans="2:3">
      <c r="B676" s="476"/>
      <c r="C676"/>
    </row>
    <row r="677" spans="2:3">
      <c r="B677" s="476"/>
      <c r="C677"/>
    </row>
    <row r="678" spans="2:3">
      <c r="B678" s="476"/>
      <c r="C678"/>
    </row>
    <row r="679" spans="2:3">
      <c r="B679" s="476"/>
      <c r="C679"/>
    </row>
    <row r="680" spans="2:3">
      <c r="B680" s="476"/>
      <c r="C680"/>
    </row>
    <row r="681" spans="2:3">
      <c r="B681" s="476"/>
      <c r="C681"/>
    </row>
    <row r="682" spans="2:3">
      <c r="B682" s="476"/>
      <c r="C682"/>
    </row>
    <row r="683" spans="2:3">
      <c r="B683" s="476"/>
      <c r="C683"/>
    </row>
    <row r="684" spans="2:3">
      <c r="B684" s="476"/>
      <c r="C684"/>
    </row>
    <row r="685" spans="2:3">
      <c r="B685" s="476"/>
      <c r="C685"/>
    </row>
    <row r="686" spans="2:3">
      <c r="B686" s="476"/>
      <c r="C686"/>
    </row>
    <row r="687" spans="2:3">
      <c r="B687" s="476"/>
      <c r="C687"/>
    </row>
    <row r="688" spans="2:3">
      <c r="B688" s="476"/>
      <c r="C688"/>
    </row>
    <row r="689" spans="2:3">
      <c r="B689" s="476"/>
      <c r="C689"/>
    </row>
    <row r="690" spans="2:3">
      <c r="B690" s="476"/>
      <c r="C690"/>
    </row>
    <row r="691" spans="2:3">
      <c r="B691" s="476"/>
      <c r="C691"/>
    </row>
    <row r="692" spans="2:3">
      <c r="B692" s="476"/>
      <c r="C692"/>
    </row>
    <row r="693" spans="2:3">
      <c r="B693" s="476"/>
      <c r="C693"/>
    </row>
    <row r="694" spans="2:3">
      <c r="B694" s="476"/>
      <c r="C694"/>
    </row>
    <row r="695" spans="2:3">
      <c r="B695" s="476"/>
      <c r="C695"/>
    </row>
    <row r="696" spans="2:3">
      <c r="B696" s="476"/>
      <c r="C696"/>
    </row>
    <row r="697" spans="2:3">
      <c r="B697" s="476"/>
      <c r="C697"/>
    </row>
    <row r="698" spans="2:3">
      <c r="B698" s="476"/>
      <c r="C698"/>
    </row>
    <row r="699" spans="2:3">
      <c r="B699" s="476"/>
      <c r="C699"/>
    </row>
    <row r="700" spans="2:3">
      <c r="B700" s="476"/>
      <c r="C700"/>
    </row>
    <row r="701" spans="2:3">
      <c r="B701" s="476"/>
      <c r="C701"/>
    </row>
    <row r="702" spans="2:3">
      <c r="B702" s="476"/>
      <c r="C702"/>
    </row>
    <row r="703" spans="2:3">
      <c r="B703" s="476"/>
      <c r="C703"/>
    </row>
    <row r="704" spans="2:3">
      <c r="B704" s="476"/>
      <c r="C704"/>
    </row>
    <row r="705" spans="2:3">
      <c r="B705" s="476"/>
      <c r="C705"/>
    </row>
    <row r="706" spans="2:3">
      <c r="B706" s="476"/>
      <c r="C706"/>
    </row>
    <row r="707" spans="2:3">
      <c r="B707" s="476"/>
      <c r="C707"/>
    </row>
    <row r="708" spans="2:3">
      <c r="B708" s="476"/>
      <c r="C708"/>
    </row>
    <row r="709" spans="2:3">
      <c r="B709" s="476"/>
      <c r="C709"/>
    </row>
    <row r="710" spans="2:3">
      <c r="B710" s="476"/>
      <c r="C710"/>
    </row>
    <row r="711" spans="2:3">
      <c r="B711" s="476"/>
      <c r="C711"/>
    </row>
    <row r="712" spans="2:3">
      <c r="B712" s="476"/>
      <c r="C712"/>
    </row>
    <row r="713" spans="2:3">
      <c r="B713" s="476"/>
      <c r="C713"/>
    </row>
    <row r="714" spans="2:3">
      <c r="B714" s="476"/>
      <c r="C714"/>
    </row>
    <row r="715" spans="2:3">
      <c r="B715" s="476"/>
      <c r="C715"/>
    </row>
    <row r="716" spans="2:3">
      <c r="B716" s="476"/>
      <c r="C716"/>
    </row>
    <row r="717" spans="2:3">
      <c r="B717" s="476"/>
      <c r="C717"/>
    </row>
    <row r="718" spans="2:3">
      <c r="B718" s="476"/>
      <c r="C718"/>
    </row>
    <row r="719" spans="2:3">
      <c r="B719" s="476"/>
      <c r="C719"/>
    </row>
    <row r="720" spans="2:3">
      <c r="B720" s="476"/>
      <c r="C720"/>
    </row>
    <row r="721" spans="2:3">
      <c r="B721" s="476"/>
      <c r="C721"/>
    </row>
    <row r="722" spans="2:3">
      <c r="B722" s="476"/>
      <c r="C722"/>
    </row>
    <row r="723" spans="2:3">
      <c r="B723" s="476"/>
      <c r="C723"/>
    </row>
    <row r="724" spans="2:3">
      <c r="B724" s="476"/>
      <c r="C724"/>
    </row>
    <row r="725" spans="2:3">
      <c r="B725" s="476"/>
      <c r="C725"/>
    </row>
    <row r="726" spans="2:3">
      <c r="B726" s="476"/>
      <c r="C726"/>
    </row>
    <row r="727" spans="2:3">
      <c r="B727" s="476"/>
      <c r="C727"/>
    </row>
    <row r="728" spans="2:3">
      <c r="B728" s="476"/>
      <c r="C728"/>
    </row>
    <row r="729" spans="2:3">
      <c r="B729" s="476"/>
      <c r="C729"/>
    </row>
    <row r="730" spans="2:3">
      <c r="B730" s="476"/>
      <c r="C730"/>
    </row>
    <row r="731" spans="2:3">
      <c r="B731" s="476"/>
      <c r="C731"/>
    </row>
    <row r="732" spans="2:3">
      <c r="B732" s="476"/>
      <c r="C732"/>
    </row>
    <row r="733" spans="2:3">
      <c r="B733" s="476"/>
      <c r="C733"/>
    </row>
    <row r="734" spans="2:3">
      <c r="B734" s="476"/>
      <c r="C734"/>
    </row>
    <row r="735" spans="2:3">
      <c r="B735" s="476"/>
      <c r="C735"/>
    </row>
    <row r="736" spans="2:3">
      <c r="B736" s="476"/>
      <c r="C736"/>
    </row>
    <row r="737" spans="2:3">
      <c r="B737" s="476"/>
      <c r="C737"/>
    </row>
    <row r="738" spans="2:3">
      <c r="B738" s="476"/>
      <c r="C738"/>
    </row>
    <row r="739" spans="2:3">
      <c r="B739" s="476"/>
      <c r="C739"/>
    </row>
    <row r="740" spans="2:3">
      <c r="B740" s="476"/>
      <c r="C740"/>
    </row>
    <row r="741" spans="2:3">
      <c r="B741" s="476"/>
      <c r="C741"/>
    </row>
    <row r="742" spans="2:3">
      <c r="B742" s="476"/>
      <c r="C742"/>
    </row>
    <row r="743" spans="2:3">
      <c r="B743" s="476"/>
      <c r="C743"/>
    </row>
    <row r="744" spans="2:3">
      <c r="B744" s="476"/>
      <c r="C744"/>
    </row>
    <row r="745" spans="2:3">
      <c r="B745" s="476"/>
      <c r="C745"/>
    </row>
    <row r="746" spans="2:3">
      <c r="B746" s="476"/>
      <c r="C746"/>
    </row>
    <row r="747" spans="2:3">
      <c r="B747" s="476"/>
      <c r="C747"/>
    </row>
    <row r="748" spans="2:3">
      <c r="B748" s="476"/>
      <c r="C748"/>
    </row>
    <row r="749" spans="2:3">
      <c r="B749" s="476"/>
      <c r="C749"/>
    </row>
    <row r="750" spans="2:3">
      <c r="B750" s="476"/>
      <c r="C750"/>
    </row>
    <row r="751" spans="2:3">
      <c r="B751" s="476"/>
      <c r="C751"/>
    </row>
    <row r="752" spans="2:3">
      <c r="B752" s="476"/>
      <c r="C752"/>
    </row>
    <row r="753" spans="2:3">
      <c r="B753" s="476"/>
      <c r="C753"/>
    </row>
    <row r="754" spans="2:3">
      <c r="B754" s="476"/>
      <c r="C754"/>
    </row>
    <row r="755" spans="2:3">
      <c r="B755" s="476"/>
      <c r="C755"/>
    </row>
    <row r="756" spans="2:3">
      <c r="B756" s="476"/>
      <c r="C756"/>
    </row>
    <row r="757" spans="2:3">
      <c r="B757" s="476"/>
      <c r="C757"/>
    </row>
    <row r="758" spans="2:3">
      <c r="B758" s="476"/>
      <c r="C758"/>
    </row>
    <row r="759" spans="2:3">
      <c r="B759" s="476"/>
      <c r="C759"/>
    </row>
    <row r="760" spans="2:3">
      <c r="B760" s="476"/>
      <c r="C760"/>
    </row>
    <row r="761" spans="2:3">
      <c r="B761" s="476"/>
      <c r="C761"/>
    </row>
    <row r="762" spans="2:3">
      <c r="B762" s="476"/>
      <c r="C762"/>
    </row>
    <row r="763" spans="2:3">
      <c r="B763" s="476"/>
      <c r="C763"/>
    </row>
    <row r="764" spans="2:3">
      <c r="B764" s="476"/>
      <c r="C764"/>
    </row>
    <row r="765" spans="2:3">
      <c r="B765" s="476"/>
      <c r="C765"/>
    </row>
    <row r="766" spans="2:3">
      <c r="B766" s="476"/>
      <c r="C766"/>
    </row>
    <row r="767" spans="2:3">
      <c r="B767" s="476"/>
      <c r="C767"/>
    </row>
    <row r="768" spans="2:3">
      <c r="B768" s="476"/>
      <c r="C768"/>
    </row>
    <row r="769" spans="2:3">
      <c r="B769" s="476"/>
      <c r="C769"/>
    </row>
    <row r="770" spans="2:3">
      <c r="B770" s="476"/>
      <c r="C770"/>
    </row>
    <row r="771" spans="2:3">
      <c r="B771" s="476"/>
      <c r="C771"/>
    </row>
    <row r="772" spans="2:3">
      <c r="B772" s="476"/>
      <c r="C772"/>
    </row>
    <row r="773" spans="2:3">
      <c r="B773" s="476"/>
      <c r="C773"/>
    </row>
    <row r="774" spans="2:3">
      <c r="B774" s="476"/>
      <c r="C774"/>
    </row>
    <row r="775" spans="2:3">
      <c r="B775" s="476"/>
      <c r="C775"/>
    </row>
    <row r="776" spans="2:3">
      <c r="B776" s="476"/>
      <c r="C776"/>
    </row>
    <row r="777" spans="2:3">
      <c r="B777" s="476"/>
      <c r="C777"/>
    </row>
    <row r="778" spans="2:3">
      <c r="B778" s="476"/>
      <c r="C778"/>
    </row>
    <row r="779" spans="2:3">
      <c r="B779" s="476"/>
      <c r="C779"/>
    </row>
    <row r="780" spans="2:3">
      <c r="B780" s="476"/>
      <c r="C780"/>
    </row>
    <row r="781" spans="2:3">
      <c r="B781" s="476"/>
      <c r="C781"/>
    </row>
    <row r="782" spans="2:3">
      <c r="B782" s="476"/>
      <c r="C782"/>
    </row>
    <row r="783" spans="2:3">
      <c r="B783" s="476"/>
      <c r="C783"/>
    </row>
    <row r="784" spans="2:3">
      <c r="B784" s="476"/>
      <c r="C784"/>
    </row>
    <row r="785" spans="2:3">
      <c r="B785" s="476"/>
      <c r="C785"/>
    </row>
    <row r="786" spans="2:3">
      <c r="B786" s="476"/>
      <c r="C786"/>
    </row>
    <row r="787" spans="2:3">
      <c r="B787" s="476"/>
      <c r="C787"/>
    </row>
    <row r="788" spans="2:3">
      <c r="B788" s="476"/>
      <c r="C788"/>
    </row>
    <row r="789" spans="2:3">
      <c r="B789" s="476"/>
      <c r="C789"/>
    </row>
    <row r="790" spans="2:3">
      <c r="B790" s="476"/>
      <c r="C790"/>
    </row>
    <row r="791" spans="2:3">
      <c r="B791" s="476"/>
      <c r="C791"/>
    </row>
    <row r="792" spans="2:3">
      <c r="B792" s="476"/>
      <c r="C792"/>
    </row>
    <row r="793" spans="2:3">
      <c r="B793" s="476"/>
      <c r="C793"/>
    </row>
    <row r="794" spans="2:3">
      <c r="B794" s="476"/>
      <c r="C794"/>
    </row>
    <row r="795" spans="2:3">
      <c r="B795" s="476"/>
      <c r="C795"/>
    </row>
    <row r="796" spans="2:3">
      <c r="B796" s="476"/>
      <c r="C796"/>
    </row>
    <row r="797" spans="2:3">
      <c r="B797" s="476"/>
      <c r="C797"/>
    </row>
    <row r="798" spans="2:3">
      <c r="B798" s="476"/>
      <c r="C798"/>
    </row>
    <row r="799" spans="2:3">
      <c r="B799" s="476"/>
      <c r="C799"/>
    </row>
    <row r="800" spans="2:3">
      <c r="B800" s="476"/>
      <c r="C800"/>
    </row>
    <row r="801" spans="2:3">
      <c r="B801" s="476"/>
      <c r="C801"/>
    </row>
    <row r="802" spans="2:3">
      <c r="B802" s="476"/>
      <c r="C802"/>
    </row>
    <row r="803" spans="2:3">
      <c r="B803" s="476"/>
      <c r="C803"/>
    </row>
    <row r="804" spans="2:3">
      <c r="B804" s="476"/>
      <c r="C804"/>
    </row>
    <row r="805" spans="2:3">
      <c r="B805" s="476"/>
      <c r="C805"/>
    </row>
    <row r="806" spans="2:3">
      <c r="B806" s="476"/>
      <c r="C806"/>
    </row>
    <row r="807" spans="2:3">
      <c r="B807" s="476"/>
      <c r="C807"/>
    </row>
    <row r="808" spans="2:3">
      <c r="B808" s="476"/>
      <c r="C808"/>
    </row>
    <row r="809" spans="2:3">
      <c r="B809" s="476"/>
      <c r="C809"/>
    </row>
    <row r="810" spans="2:3">
      <c r="B810" s="476"/>
      <c r="C810"/>
    </row>
    <row r="811" spans="2:3">
      <c r="B811" s="476"/>
      <c r="C811"/>
    </row>
    <row r="812" spans="2:3">
      <c r="B812" s="476"/>
      <c r="C812"/>
    </row>
    <row r="813" spans="2:3">
      <c r="B813" s="476"/>
      <c r="C813"/>
    </row>
    <row r="814" spans="2:3">
      <c r="B814" s="476"/>
      <c r="C814"/>
    </row>
    <row r="815" spans="2:3">
      <c r="B815" s="476"/>
      <c r="C815"/>
    </row>
    <row r="816" spans="2:3">
      <c r="B816" s="476"/>
      <c r="C816"/>
    </row>
    <row r="817" spans="2:3">
      <c r="B817" s="476"/>
      <c r="C817"/>
    </row>
    <row r="818" spans="2:3">
      <c r="B818" s="476"/>
      <c r="C818"/>
    </row>
    <row r="819" spans="2:3">
      <c r="B819" s="476"/>
      <c r="C819"/>
    </row>
    <row r="820" spans="2:3">
      <c r="B820" s="476"/>
      <c r="C820"/>
    </row>
    <row r="821" spans="2:3">
      <c r="B821" s="476"/>
      <c r="C821"/>
    </row>
    <row r="822" spans="2:3">
      <c r="B822" s="476"/>
      <c r="C822"/>
    </row>
    <row r="823" spans="2:3">
      <c r="B823" s="476"/>
      <c r="C823"/>
    </row>
    <row r="824" spans="2:3">
      <c r="B824" s="476"/>
      <c r="C824"/>
    </row>
    <row r="825" spans="2:3">
      <c r="B825" s="476"/>
      <c r="C825"/>
    </row>
    <row r="826" spans="2:3">
      <c r="B826" s="476"/>
      <c r="C826"/>
    </row>
    <row r="827" spans="2:3">
      <c r="B827" s="476"/>
      <c r="C827"/>
    </row>
    <row r="828" spans="2:3">
      <c r="B828" s="476"/>
      <c r="C828"/>
    </row>
    <row r="829" spans="2:3">
      <c r="B829" s="476"/>
      <c r="C829"/>
    </row>
    <row r="830" spans="2:3">
      <c r="B830" s="476"/>
      <c r="C830"/>
    </row>
    <row r="831" spans="2:3">
      <c r="B831" s="476"/>
      <c r="C831"/>
    </row>
    <row r="832" spans="2:3">
      <c r="B832" s="476"/>
      <c r="C832"/>
    </row>
    <row r="833" spans="2:3">
      <c r="B833" s="476"/>
      <c r="C833"/>
    </row>
    <row r="834" spans="2:3">
      <c r="B834" s="476"/>
      <c r="C834"/>
    </row>
    <row r="835" spans="2:3">
      <c r="B835" s="476"/>
      <c r="C835"/>
    </row>
    <row r="836" spans="2:3">
      <c r="B836" s="476"/>
      <c r="C836"/>
    </row>
    <row r="837" spans="2:3">
      <c r="B837" s="476"/>
      <c r="C837"/>
    </row>
    <row r="838" spans="2:3">
      <c r="B838" s="476"/>
      <c r="C838"/>
    </row>
    <row r="839" spans="2:3">
      <c r="B839" s="476"/>
      <c r="C839"/>
    </row>
    <row r="840" spans="2:3">
      <c r="B840" s="476"/>
      <c r="C840"/>
    </row>
    <row r="841" spans="2:3">
      <c r="B841" s="476"/>
      <c r="C841"/>
    </row>
    <row r="842" spans="2:3">
      <c r="B842" s="476"/>
      <c r="C842"/>
    </row>
    <row r="843" spans="2:3">
      <c r="B843" s="476"/>
      <c r="C843"/>
    </row>
    <row r="844" spans="2:3">
      <c r="B844" s="476"/>
      <c r="C844"/>
    </row>
    <row r="845" spans="2:3">
      <c r="B845" s="476"/>
      <c r="C845"/>
    </row>
    <row r="846" spans="2:3">
      <c r="B846" s="476"/>
      <c r="C846"/>
    </row>
    <row r="847" spans="2:3">
      <c r="B847" s="476"/>
      <c r="C847"/>
    </row>
    <row r="848" spans="2:3">
      <c r="B848" s="476"/>
      <c r="C848"/>
    </row>
    <row r="849" spans="2:3">
      <c r="B849" s="476"/>
      <c r="C849"/>
    </row>
    <row r="850" spans="2:3">
      <c r="B850" s="476"/>
      <c r="C850"/>
    </row>
    <row r="851" spans="2:3">
      <c r="B851" s="476"/>
      <c r="C851"/>
    </row>
    <row r="852" spans="2:3">
      <c r="B852" s="476"/>
      <c r="C852"/>
    </row>
    <row r="853" spans="2:3">
      <c r="B853" s="476"/>
      <c r="C853"/>
    </row>
    <row r="854" spans="2:3">
      <c r="B854" s="476"/>
      <c r="C854"/>
    </row>
    <row r="855" spans="2:3">
      <c r="B855" s="476"/>
      <c r="C855"/>
    </row>
    <row r="856" spans="2:3">
      <c r="B856" s="476"/>
      <c r="C856"/>
    </row>
    <row r="857" spans="2:3">
      <c r="B857" s="476"/>
      <c r="C857"/>
    </row>
    <row r="858" spans="2:3">
      <c r="B858" s="476"/>
      <c r="C858"/>
    </row>
    <row r="859" spans="2:3">
      <c r="B859" s="476"/>
      <c r="C859"/>
    </row>
    <row r="860" spans="2:3">
      <c r="B860" s="476"/>
      <c r="C860"/>
    </row>
    <row r="861" spans="2:3">
      <c r="B861" s="476"/>
      <c r="C861"/>
    </row>
    <row r="862" spans="2:3">
      <c r="B862" s="476"/>
      <c r="C862"/>
    </row>
    <row r="863" spans="2:3">
      <c r="B863" s="476"/>
      <c r="C863"/>
    </row>
    <row r="864" spans="2:3">
      <c r="B864" s="476"/>
      <c r="C864"/>
    </row>
    <row r="865" spans="2:3">
      <c r="B865" s="476"/>
      <c r="C865"/>
    </row>
    <row r="866" spans="2:3">
      <c r="B866" s="476"/>
      <c r="C866"/>
    </row>
    <row r="867" spans="2:3">
      <c r="B867" s="476"/>
      <c r="C867"/>
    </row>
    <row r="868" spans="2:3">
      <c r="B868" s="476"/>
      <c r="C868"/>
    </row>
    <row r="869" spans="2:3">
      <c r="B869" s="476"/>
      <c r="C869"/>
    </row>
    <row r="870" spans="2:3">
      <c r="B870" s="476"/>
      <c r="C870"/>
    </row>
    <row r="871" spans="2:3">
      <c r="B871" s="476"/>
      <c r="C871"/>
    </row>
    <row r="872" spans="2:3">
      <c r="B872" s="476"/>
      <c r="C872"/>
    </row>
    <row r="873" spans="2:3">
      <c r="B873" s="476"/>
      <c r="C873"/>
    </row>
    <row r="874" spans="2:3">
      <c r="B874" s="476"/>
      <c r="C874"/>
    </row>
    <row r="875" spans="2:3">
      <c r="B875" s="476"/>
      <c r="C875"/>
    </row>
    <row r="876" spans="2:3">
      <c r="B876" s="476"/>
      <c r="C876"/>
    </row>
    <row r="877" spans="2:3">
      <c r="B877" s="476"/>
      <c r="C877"/>
    </row>
    <row r="878" spans="2:3">
      <c r="B878" s="476"/>
      <c r="C878"/>
    </row>
    <row r="879" spans="2:3">
      <c r="B879" s="476"/>
      <c r="C879"/>
    </row>
    <row r="880" spans="2:3">
      <c r="B880" s="476"/>
      <c r="C880"/>
    </row>
    <row r="881" spans="2:3">
      <c r="B881" s="476"/>
      <c r="C881"/>
    </row>
    <row r="882" spans="2:3">
      <c r="B882" s="476"/>
      <c r="C882"/>
    </row>
    <row r="883" spans="2:3">
      <c r="B883" s="476"/>
      <c r="C883"/>
    </row>
    <row r="884" spans="2:3">
      <c r="B884" s="476"/>
      <c r="C884"/>
    </row>
    <row r="885" spans="2:3">
      <c r="B885" s="476"/>
      <c r="C885"/>
    </row>
    <row r="886" spans="2:3">
      <c r="B886" s="476"/>
      <c r="C886"/>
    </row>
    <row r="887" spans="2:3">
      <c r="B887" s="476"/>
      <c r="C887"/>
    </row>
    <row r="888" spans="2:3">
      <c r="B888" s="476"/>
      <c r="C888"/>
    </row>
    <row r="889" spans="2:3">
      <c r="B889" s="476"/>
      <c r="C889"/>
    </row>
    <row r="890" spans="2:3">
      <c r="B890" s="476"/>
      <c r="C890"/>
    </row>
    <row r="891" spans="2:3">
      <c r="B891" s="476"/>
      <c r="C891"/>
    </row>
    <row r="892" spans="2:3">
      <c r="B892" s="476"/>
      <c r="C892"/>
    </row>
    <row r="893" spans="2:3">
      <c r="B893" s="476"/>
      <c r="C893"/>
    </row>
    <row r="894" spans="2:3">
      <c r="B894" s="476"/>
      <c r="C894"/>
    </row>
    <row r="895" spans="2:3">
      <c r="B895" s="476"/>
      <c r="C895"/>
    </row>
    <row r="896" spans="2:3">
      <c r="B896" s="476"/>
      <c r="C896"/>
    </row>
    <row r="897" spans="2:3">
      <c r="B897" s="476"/>
      <c r="C897"/>
    </row>
    <row r="898" spans="2:3">
      <c r="B898" s="476"/>
      <c r="C898"/>
    </row>
    <row r="899" spans="2:3">
      <c r="B899" s="476"/>
      <c r="C899"/>
    </row>
    <row r="900" spans="2:3">
      <c r="B900" s="476"/>
      <c r="C900"/>
    </row>
    <row r="901" spans="2:3">
      <c r="B901" s="476"/>
      <c r="C901"/>
    </row>
    <row r="902" spans="2:3">
      <c r="B902" s="476"/>
      <c r="C902"/>
    </row>
    <row r="903" spans="2:3">
      <c r="B903" s="476"/>
      <c r="C903"/>
    </row>
    <row r="904" spans="2:3">
      <c r="B904" s="476"/>
      <c r="C904"/>
    </row>
    <row r="905" spans="2:3">
      <c r="B905" s="476"/>
      <c r="C905"/>
    </row>
    <row r="906" spans="2:3">
      <c r="B906" s="476"/>
      <c r="C906"/>
    </row>
    <row r="907" spans="2:3">
      <c r="B907" s="476"/>
      <c r="C907"/>
    </row>
    <row r="908" spans="2:3">
      <c r="B908" s="476"/>
      <c r="C908"/>
    </row>
    <row r="909" spans="2:3">
      <c r="B909" s="476"/>
      <c r="C909"/>
    </row>
    <row r="910" spans="2:3">
      <c r="B910" s="476"/>
      <c r="C910"/>
    </row>
    <row r="911" spans="2:3">
      <c r="B911" s="476"/>
      <c r="C911"/>
    </row>
    <row r="912" spans="2:3">
      <c r="B912" s="476"/>
      <c r="C912"/>
    </row>
    <row r="913" spans="2:3">
      <c r="B913" s="476"/>
      <c r="C913"/>
    </row>
    <row r="914" spans="2:3">
      <c r="B914" s="476"/>
      <c r="C914"/>
    </row>
    <row r="915" spans="2:3">
      <c r="B915" s="476"/>
      <c r="C915"/>
    </row>
    <row r="916" spans="2:3">
      <c r="B916" s="476"/>
      <c r="C916"/>
    </row>
    <row r="917" spans="2:3">
      <c r="B917" s="476"/>
      <c r="C917"/>
    </row>
    <row r="918" spans="2:3">
      <c r="B918" s="476"/>
      <c r="C918"/>
    </row>
    <row r="919" spans="2:3">
      <c r="B919" s="476"/>
      <c r="C919"/>
    </row>
    <row r="920" spans="2:3">
      <c r="B920" s="476"/>
      <c r="C920"/>
    </row>
    <row r="921" spans="2:3">
      <c r="B921" s="476"/>
      <c r="C921"/>
    </row>
    <row r="922" spans="2:3">
      <c r="B922" s="476"/>
      <c r="C922"/>
    </row>
    <row r="923" spans="2:3">
      <c r="B923" s="476"/>
      <c r="C923"/>
    </row>
    <row r="924" spans="2:3">
      <c r="B924" s="476"/>
      <c r="C924"/>
    </row>
    <row r="925" spans="2:3">
      <c r="B925" s="476"/>
      <c r="C925"/>
    </row>
    <row r="926" spans="2:3">
      <c r="B926" s="476"/>
      <c r="C926"/>
    </row>
    <row r="927" spans="2:3">
      <c r="B927" s="476"/>
      <c r="C927"/>
    </row>
    <row r="928" spans="2:3">
      <c r="B928" s="476"/>
      <c r="C928"/>
    </row>
    <row r="929" spans="2:3">
      <c r="B929" s="476"/>
      <c r="C929"/>
    </row>
    <row r="930" spans="2:3">
      <c r="B930" s="476"/>
      <c r="C930"/>
    </row>
    <row r="931" spans="2:3">
      <c r="B931" s="476"/>
      <c r="C931"/>
    </row>
    <row r="932" spans="2:3">
      <c r="B932" s="476"/>
      <c r="C932"/>
    </row>
    <row r="933" spans="2:3">
      <c r="B933" s="476"/>
      <c r="C933"/>
    </row>
    <row r="934" spans="2:3">
      <c r="B934" s="476"/>
      <c r="C934"/>
    </row>
    <row r="935" spans="2:3">
      <c r="B935" s="476"/>
      <c r="C935"/>
    </row>
    <row r="936" spans="2:3">
      <c r="B936" s="476"/>
      <c r="C936"/>
    </row>
    <row r="937" spans="2:3">
      <c r="B937" s="476"/>
      <c r="C937"/>
    </row>
    <row r="938" spans="2:3">
      <c r="B938" s="476"/>
      <c r="C938"/>
    </row>
    <row r="939" spans="2:3">
      <c r="B939" s="476"/>
      <c r="C939"/>
    </row>
    <row r="940" spans="2:3">
      <c r="B940" s="476"/>
      <c r="C940"/>
    </row>
    <row r="941" spans="2:3">
      <c r="B941" s="476"/>
      <c r="C941"/>
    </row>
    <row r="942" spans="2:3">
      <c r="B942" s="476"/>
      <c r="C942"/>
    </row>
    <row r="943" spans="2:3">
      <c r="B943" s="476"/>
      <c r="C943"/>
    </row>
    <row r="944" spans="2:3">
      <c r="B944" s="476"/>
      <c r="C944"/>
    </row>
    <row r="945" spans="2:3">
      <c r="B945" s="476"/>
      <c r="C945"/>
    </row>
    <row r="946" spans="2:3">
      <c r="B946" s="476"/>
      <c r="C946"/>
    </row>
    <row r="947" spans="2:3">
      <c r="B947" s="476"/>
      <c r="C947"/>
    </row>
    <row r="948" spans="2:3">
      <c r="B948" s="476"/>
      <c r="C948"/>
    </row>
    <row r="949" spans="2:3">
      <c r="B949" s="476"/>
      <c r="C949"/>
    </row>
    <row r="950" spans="2:3">
      <c r="B950" s="476"/>
      <c r="C950"/>
    </row>
    <row r="951" spans="2:3">
      <c r="B951" s="476"/>
      <c r="C951"/>
    </row>
    <row r="952" spans="2:3">
      <c r="B952" s="476"/>
      <c r="C952"/>
    </row>
    <row r="953" spans="2:3">
      <c r="B953" s="476"/>
      <c r="C953"/>
    </row>
    <row r="954" spans="2:3">
      <c r="B954" s="476"/>
      <c r="C954"/>
    </row>
    <row r="955" spans="2:3">
      <c r="B955" s="476"/>
      <c r="C955"/>
    </row>
    <row r="956" spans="2:3">
      <c r="B956" s="476"/>
      <c r="C956"/>
    </row>
    <row r="957" spans="2:3">
      <c r="B957" s="476"/>
      <c r="C957"/>
    </row>
    <row r="958" spans="2:3">
      <c r="B958" s="476"/>
      <c r="C958"/>
    </row>
    <row r="959" spans="2:3">
      <c r="B959" s="476"/>
      <c r="C959"/>
    </row>
    <row r="960" spans="2:3">
      <c r="B960" s="476"/>
      <c r="C960"/>
    </row>
    <row r="961" spans="2:3">
      <c r="B961" s="476"/>
      <c r="C961"/>
    </row>
    <row r="962" spans="2:3">
      <c r="B962" s="476"/>
      <c r="C962"/>
    </row>
    <row r="963" spans="2:3">
      <c r="B963" s="476"/>
      <c r="C963"/>
    </row>
    <row r="964" spans="2:3">
      <c r="B964" s="476"/>
      <c r="C964"/>
    </row>
    <row r="965" spans="2:3">
      <c r="B965" s="476"/>
      <c r="C965"/>
    </row>
    <row r="966" spans="2:3">
      <c r="B966" s="476"/>
      <c r="C966"/>
    </row>
    <row r="967" spans="2:3">
      <c r="B967" s="476"/>
      <c r="C967"/>
    </row>
    <row r="968" spans="2:3">
      <c r="B968" s="476"/>
      <c r="C968"/>
    </row>
    <row r="969" spans="2:3">
      <c r="B969" s="476"/>
      <c r="C969"/>
    </row>
    <row r="970" spans="2:3">
      <c r="B970" s="476"/>
      <c r="C970"/>
    </row>
    <row r="971" spans="2:3">
      <c r="B971" s="476"/>
      <c r="C971"/>
    </row>
    <row r="972" spans="2:3">
      <c r="B972" s="476"/>
      <c r="C972"/>
    </row>
    <row r="973" spans="2:3">
      <c r="B973" s="476"/>
      <c r="C973"/>
    </row>
    <row r="974" spans="2:3">
      <c r="B974" s="476"/>
      <c r="C974"/>
    </row>
    <row r="975" spans="2:3">
      <c r="B975" s="476"/>
      <c r="C975"/>
    </row>
    <row r="976" spans="2:3">
      <c r="B976" s="476"/>
      <c r="C976"/>
    </row>
    <row r="977" spans="2:3">
      <c r="B977" s="476"/>
      <c r="C977"/>
    </row>
    <row r="978" spans="2:3">
      <c r="B978" s="476"/>
      <c r="C978"/>
    </row>
    <row r="979" spans="2:3">
      <c r="B979" s="476"/>
      <c r="C979"/>
    </row>
    <row r="980" spans="2:3">
      <c r="B980" s="476"/>
      <c r="C980"/>
    </row>
    <row r="981" spans="2:3">
      <c r="B981" s="476"/>
      <c r="C981"/>
    </row>
    <row r="982" spans="2:3">
      <c r="B982" s="476"/>
      <c r="C982"/>
    </row>
    <row r="983" spans="2:3">
      <c r="B983" s="476"/>
      <c r="C983"/>
    </row>
    <row r="984" spans="2:3">
      <c r="B984" s="476"/>
      <c r="C984"/>
    </row>
    <row r="985" spans="2:3">
      <c r="B985" s="476"/>
      <c r="C985"/>
    </row>
    <row r="986" spans="2:3">
      <c r="B986" s="476"/>
      <c r="C986"/>
    </row>
    <row r="987" spans="2:3">
      <c r="B987" s="476"/>
      <c r="C987"/>
    </row>
    <row r="988" spans="2:3">
      <c r="B988" s="476"/>
      <c r="C988"/>
    </row>
    <row r="989" spans="2:3">
      <c r="B989" s="476"/>
      <c r="C989"/>
    </row>
    <row r="990" spans="2:3">
      <c r="B990" s="476"/>
      <c r="C990"/>
    </row>
    <row r="991" spans="2:3">
      <c r="B991" s="476"/>
      <c r="C991"/>
    </row>
    <row r="992" spans="2:3">
      <c r="B992" s="476"/>
      <c r="C992"/>
    </row>
    <row r="993" spans="2:3">
      <c r="B993" s="476"/>
      <c r="C993"/>
    </row>
    <row r="994" spans="2:3">
      <c r="B994" s="476"/>
      <c r="C994"/>
    </row>
    <row r="995" spans="2:3">
      <c r="B995" s="476"/>
      <c r="C995"/>
    </row>
    <row r="996" spans="2:3">
      <c r="B996" s="476"/>
      <c r="C996"/>
    </row>
    <row r="997" spans="2:3">
      <c r="B997" s="476"/>
      <c r="C997"/>
    </row>
    <row r="998" spans="2:3">
      <c r="B998" s="476"/>
      <c r="C998"/>
    </row>
    <row r="999" spans="2:3">
      <c r="B999" s="476"/>
      <c r="C999"/>
    </row>
    <row r="1000" spans="2:3">
      <c r="B1000" s="476"/>
      <c r="C1000"/>
    </row>
    <row r="1001" spans="2:3">
      <c r="B1001" s="476"/>
      <c r="C1001"/>
    </row>
    <row r="1002" spans="2:3">
      <c r="B1002" s="476"/>
      <c r="C1002"/>
    </row>
    <row r="1003" spans="2:3">
      <c r="B1003" s="476"/>
      <c r="C1003"/>
    </row>
    <row r="1004" spans="2:3">
      <c r="B1004" s="476"/>
      <c r="C1004"/>
    </row>
    <row r="1005" spans="2:3">
      <c r="B1005" s="476"/>
      <c r="C1005"/>
    </row>
    <row r="1006" spans="2:3">
      <c r="B1006" s="476"/>
      <c r="C1006"/>
    </row>
    <row r="1007" spans="2:3">
      <c r="B1007" s="476"/>
      <c r="C1007"/>
    </row>
    <row r="1008" spans="2:3">
      <c r="B1008" s="476"/>
      <c r="C1008"/>
    </row>
    <row r="1009" spans="2:3">
      <c r="B1009" s="476"/>
      <c r="C1009"/>
    </row>
    <row r="1010" spans="2:3">
      <c r="B1010" s="476"/>
      <c r="C1010"/>
    </row>
    <row r="1011" spans="2:3">
      <c r="B1011" s="476"/>
      <c r="C1011"/>
    </row>
    <row r="1012" spans="2:3">
      <c r="B1012" s="476"/>
      <c r="C1012"/>
    </row>
    <row r="1013" spans="2:3">
      <c r="B1013" s="476"/>
      <c r="C1013"/>
    </row>
    <row r="1014" spans="2:3">
      <c r="B1014" s="476"/>
      <c r="C1014"/>
    </row>
    <row r="1015" spans="2:3">
      <c r="B1015" s="476"/>
      <c r="C1015"/>
    </row>
    <row r="1016" spans="2:3">
      <c r="B1016" s="476"/>
      <c r="C1016"/>
    </row>
    <row r="1017" spans="2:3">
      <c r="B1017" s="476"/>
      <c r="C1017"/>
    </row>
    <row r="1018" spans="2:3">
      <c r="B1018" s="476"/>
      <c r="C1018"/>
    </row>
    <row r="1019" spans="2:3">
      <c r="B1019" s="476"/>
      <c r="C1019"/>
    </row>
    <row r="1020" spans="2:3">
      <c r="B1020" s="476"/>
      <c r="C1020"/>
    </row>
    <row r="1021" spans="2:3">
      <c r="B1021" s="476"/>
      <c r="C1021"/>
    </row>
    <row r="1022" spans="2:3">
      <c r="B1022" s="476"/>
      <c r="C1022"/>
    </row>
    <row r="1023" spans="2:3">
      <c r="B1023" s="476"/>
      <c r="C1023"/>
    </row>
    <row r="1024" spans="2:3">
      <c r="B1024" s="476"/>
      <c r="C1024"/>
    </row>
    <row r="1025" spans="2:3">
      <c r="B1025" s="476"/>
      <c r="C1025"/>
    </row>
    <row r="1026" spans="2:3">
      <c r="B1026" s="476"/>
      <c r="C1026"/>
    </row>
    <row r="1027" spans="2:3">
      <c r="B1027" s="476"/>
      <c r="C1027"/>
    </row>
    <row r="1028" spans="2:3">
      <c r="B1028" s="476"/>
      <c r="C1028"/>
    </row>
    <row r="1029" spans="2:3">
      <c r="B1029" s="476"/>
      <c r="C1029"/>
    </row>
    <row r="1030" spans="2:3">
      <c r="B1030" s="476"/>
      <c r="C1030"/>
    </row>
    <row r="1031" spans="2:3">
      <c r="B1031" s="476"/>
      <c r="C1031"/>
    </row>
    <row r="1032" spans="2:3">
      <c r="B1032" s="476"/>
      <c r="C1032"/>
    </row>
    <row r="1033" spans="2:3">
      <c r="B1033" s="476"/>
      <c r="C1033"/>
    </row>
    <row r="1034" spans="2:3">
      <c r="B1034" s="476"/>
      <c r="C1034"/>
    </row>
    <row r="1035" spans="2:3">
      <c r="B1035" s="476"/>
      <c r="C1035"/>
    </row>
    <row r="1036" spans="2:3">
      <c r="B1036" s="476"/>
      <c r="C1036"/>
    </row>
    <row r="1037" spans="2:3">
      <c r="B1037" s="476"/>
      <c r="C1037"/>
    </row>
    <row r="1038" spans="2:3">
      <c r="B1038" s="476"/>
      <c r="C1038"/>
    </row>
    <row r="1039" spans="2:3">
      <c r="B1039" s="476"/>
      <c r="C1039"/>
    </row>
    <row r="1040" spans="2:3">
      <c r="B1040" s="476"/>
      <c r="C1040"/>
    </row>
    <row r="1041" spans="2:3">
      <c r="B1041" s="476"/>
      <c r="C1041"/>
    </row>
    <row r="1042" spans="2:3">
      <c r="B1042" s="476"/>
      <c r="C1042"/>
    </row>
    <row r="1043" spans="2:3">
      <c r="B1043" s="476"/>
      <c r="C1043"/>
    </row>
    <row r="1044" spans="2:3">
      <c r="B1044" s="476"/>
      <c r="C1044"/>
    </row>
    <row r="1045" spans="2:3">
      <c r="B1045" s="476"/>
      <c r="C1045"/>
    </row>
    <row r="1046" spans="2:3">
      <c r="B1046" s="476"/>
      <c r="C1046"/>
    </row>
    <row r="1047" spans="2:3">
      <c r="B1047" s="476"/>
      <c r="C1047"/>
    </row>
    <row r="1048" spans="2:3">
      <c r="B1048" s="476"/>
      <c r="C1048"/>
    </row>
    <row r="1049" spans="2:3">
      <c r="B1049" s="476"/>
      <c r="C1049"/>
    </row>
    <row r="1050" spans="2:3">
      <c r="B1050" s="476"/>
      <c r="C1050"/>
    </row>
    <row r="1051" spans="2:3">
      <c r="B1051" s="476"/>
      <c r="C1051"/>
    </row>
    <row r="1052" spans="2:3">
      <c r="B1052" s="476"/>
      <c r="C1052"/>
    </row>
    <row r="1053" spans="2:3">
      <c r="B1053" s="476"/>
      <c r="C1053"/>
    </row>
    <row r="1054" spans="2:3">
      <c r="B1054" s="476"/>
      <c r="C1054"/>
    </row>
    <row r="1055" spans="2:3">
      <c r="B1055" s="476"/>
      <c r="C1055"/>
    </row>
    <row r="1056" spans="2:3">
      <c r="B1056" s="476"/>
      <c r="C1056"/>
    </row>
    <row r="1057" spans="2:3">
      <c r="B1057" s="476"/>
      <c r="C1057"/>
    </row>
    <row r="1058" spans="2:3">
      <c r="B1058" s="476"/>
      <c r="C1058"/>
    </row>
    <row r="1059" spans="2:3">
      <c r="B1059" s="476"/>
      <c r="C1059"/>
    </row>
    <row r="1060" spans="2:3">
      <c r="B1060" s="476"/>
      <c r="C1060"/>
    </row>
    <row r="1061" spans="2:3">
      <c r="B1061" s="476"/>
      <c r="C1061"/>
    </row>
    <row r="1062" spans="2:3">
      <c r="B1062" s="476"/>
      <c r="C1062"/>
    </row>
    <row r="1063" spans="2:3">
      <c r="B1063" s="476"/>
      <c r="C1063"/>
    </row>
    <row r="1064" spans="2:3">
      <c r="B1064" s="476"/>
      <c r="C1064"/>
    </row>
    <row r="1065" spans="2:3">
      <c r="B1065" s="476"/>
      <c r="C1065"/>
    </row>
    <row r="1066" spans="2:3">
      <c r="B1066" s="476"/>
      <c r="C1066"/>
    </row>
    <row r="1067" spans="2:3">
      <c r="B1067" s="476"/>
      <c r="C1067"/>
    </row>
    <row r="1068" spans="2:3">
      <c r="B1068" s="476"/>
      <c r="C1068"/>
    </row>
    <row r="1069" spans="2:3">
      <c r="B1069" s="476"/>
      <c r="C1069"/>
    </row>
    <row r="1070" spans="2:3">
      <c r="B1070" s="476"/>
      <c r="C1070"/>
    </row>
    <row r="1071" spans="2:3">
      <c r="B1071" s="476"/>
      <c r="C1071"/>
    </row>
    <row r="1072" spans="2:3">
      <c r="B1072" s="476"/>
      <c r="C1072"/>
    </row>
    <row r="1073" spans="2:3">
      <c r="B1073" s="476"/>
      <c r="C1073"/>
    </row>
    <row r="1074" spans="2:3">
      <c r="B1074" s="476"/>
      <c r="C1074"/>
    </row>
    <row r="1075" spans="2:3">
      <c r="B1075" s="476"/>
      <c r="C1075"/>
    </row>
    <row r="1076" spans="2:3">
      <c r="B1076" s="476"/>
      <c r="C1076"/>
    </row>
    <row r="1077" spans="2:3">
      <c r="B1077" s="476"/>
      <c r="C1077"/>
    </row>
    <row r="1078" spans="2:3">
      <c r="B1078" s="476"/>
      <c r="C1078"/>
    </row>
    <row r="1079" spans="2:3">
      <c r="B1079" s="476"/>
      <c r="C1079"/>
    </row>
    <row r="1080" spans="2:3">
      <c r="B1080" s="476"/>
      <c r="C1080"/>
    </row>
    <row r="1081" spans="2:3">
      <c r="B1081" s="476"/>
      <c r="C1081"/>
    </row>
    <row r="1082" spans="2:3">
      <c r="B1082" s="476"/>
      <c r="C1082"/>
    </row>
    <row r="1083" spans="2:3">
      <c r="B1083" s="476"/>
      <c r="C1083"/>
    </row>
    <row r="1084" spans="2:3">
      <c r="B1084" s="476"/>
      <c r="C1084"/>
    </row>
    <row r="1085" spans="2:3">
      <c r="B1085" s="476"/>
      <c r="C1085"/>
    </row>
    <row r="1086" spans="2:3">
      <c r="B1086" s="476"/>
      <c r="C1086"/>
    </row>
    <row r="1087" spans="2:3">
      <c r="B1087" s="476"/>
      <c r="C1087"/>
    </row>
    <row r="1088" spans="2:3">
      <c r="B1088" s="476"/>
      <c r="C1088"/>
    </row>
    <row r="1089" spans="2:3">
      <c r="B1089" s="476"/>
      <c r="C1089"/>
    </row>
    <row r="1090" spans="2:3">
      <c r="B1090" s="476"/>
      <c r="C1090"/>
    </row>
    <row r="1091" spans="2:3">
      <c r="B1091" s="476"/>
      <c r="C1091"/>
    </row>
    <row r="1092" spans="2:3">
      <c r="B1092" s="476"/>
      <c r="C1092"/>
    </row>
    <row r="1093" spans="2:3">
      <c r="B1093" s="476"/>
      <c r="C1093"/>
    </row>
    <row r="1094" spans="2:3">
      <c r="B1094" s="476"/>
      <c r="C1094"/>
    </row>
    <row r="1095" spans="2:3">
      <c r="B1095" s="476"/>
      <c r="C1095"/>
    </row>
    <row r="1096" spans="2:3">
      <c r="B1096" s="476"/>
      <c r="C1096"/>
    </row>
    <row r="1097" spans="2:3">
      <c r="B1097" s="476"/>
      <c r="C1097"/>
    </row>
    <row r="1098" spans="2:3">
      <c r="B1098" s="476"/>
      <c r="C1098"/>
    </row>
    <row r="1099" spans="2:3">
      <c r="B1099" s="476"/>
      <c r="C1099"/>
    </row>
    <row r="1100" spans="2:3">
      <c r="B1100" s="476"/>
      <c r="C1100"/>
    </row>
    <row r="1101" spans="2:3">
      <c r="B1101" s="476"/>
      <c r="C1101"/>
    </row>
    <row r="1102" spans="2:3">
      <c r="B1102" s="476"/>
      <c r="C1102"/>
    </row>
    <row r="1103" spans="2:3">
      <c r="B1103" s="476"/>
      <c r="C1103"/>
    </row>
    <row r="1104" spans="2:3">
      <c r="B1104" s="476"/>
      <c r="C1104"/>
    </row>
    <row r="1105" spans="2:3">
      <c r="B1105" s="476"/>
      <c r="C1105"/>
    </row>
    <row r="1106" spans="2:3">
      <c r="B1106" s="476"/>
      <c r="C1106"/>
    </row>
    <row r="1107" spans="2:3">
      <c r="B1107" s="476"/>
      <c r="C1107"/>
    </row>
    <row r="1108" spans="2:3">
      <c r="B1108" s="476"/>
      <c r="C1108"/>
    </row>
    <row r="1109" spans="2:3">
      <c r="B1109" s="476"/>
      <c r="C1109"/>
    </row>
    <row r="1110" spans="2:3">
      <c r="B1110" s="476"/>
      <c r="C1110"/>
    </row>
    <row r="1111" spans="2:3">
      <c r="B1111" s="476"/>
      <c r="C1111"/>
    </row>
    <row r="1112" spans="2:3">
      <c r="B1112" s="476"/>
      <c r="C1112"/>
    </row>
    <row r="1113" spans="2:3">
      <c r="B1113" s="476"/>
      <c r="C1113"/>
    </row>
    <row r="1114" spans="2:3">
      <c r="B1114" s="476"/>
      <c r="C1114"/>
    </row>
    <row r="1115" spans="2:3">
      <c r="B1115" s="476"/>
      <c r="C1115"/>
    </row>
    <row r="1116" spans="2:3">
      <c r="B1116" s="476"/>
      <c r="C1116"/>
    </row>
    <row r="1117" spans="2:3">
      <c r="B1117" s="476"/>
      <c r="C1117"/>
    </row>
    <row r="1118" spans="2:3">
      <c r="B1118" s="476"/>
      <c r="C1118"/>
    </row>
    <row r="1119" spans="2:3">
      <c r="B1119" s="476"/>
      <c r="C1119"/>
    </row>
    <row r="1120" spans="2:3">
      <c r="B1120" s="476"/>
      <c r="C1120"/>
    </row>
    <row r="1121" spans="2:3">
      <c r="B1121" s="476"/>
      <c r="C1121"/>
    </row>
    <row r="1122" spans="2:3">
      <c r="B1122" s="476"/>
      <c r="C1122"/>
    </row>
    <row r="1123" spans="2:3">
      <c r="B1123" s="476"/>
      <c r="C1123"/>
    </row>
    <row r="1124" spans="2:3">
      <c r="B1124" s="476"/>
      <c r="C1124"/>
    </row>
    <row r="1125" spans="2:3">
      <c r="B1125" s="476"/>
      <c r="C1125"/>
    </row>
    <row r="1126" spans="2:3">
      <c r="B1126" s="476"/>
      <c r="C1126"/>
    </row>
    <row r="1127" spans="2:3">
      <c r="B1127" s="476"/>
      <c r="C1127"/>
    </row>
    <row r="1128" spans="2:3">
      <c r="B1128" s="476"/>
      <c r="C1128"/>
    </row>
    <row r="1129" spans="2:3">
      <c r="B1129" s="476"/>
      <c r="C1129"/>
    </row>
    <row r="1130" spans="2:3">
      <c r="B1130" s="476"/>
      <c r="C1130"/>
    </row>
    <row r="1131" spans="2:3">
      <c r="B1131" s="476"/>
      <c r="C1131"/>
    </row>
    <row r="1132" spans="2:3">
      <c r="B1132" s="476"/>
      <c r="C1132"/>
    </row>
    <row r="1133" spans="2:3">
      <c r="B1133" s="476"/>
      <c r="C1133"/>
    </row>
    <row r="1134" spans="2:3">
      <c r="B1134" s="476"/>
      <c r="C1134"/>
    </row>
    <row r="1135" spans="2:3">
      <c r="B1135" s="476"/>
      <c r="C1135"/>
    </row>
    <row r="1136" spans="2:3">
      <c r="B1136" s="476"/>
      <c r="C1136"/>
    </row>
    <row r="1137" spans="2:3">
      <c r="B1137" s="476"/>
      <c r="C1137"/>
    </row>
    <row r="1138" spans="2:3">
      <c r="B1138" s="476"/>
      <c r="C1138"/>
    </row>
    <row r="1139" spans="2:3">
      <c r="B1139" s="476"/>
      <c r="C1139"/>
    </row>
    <row r="1140" spans="2:3">
      <c r="B1140" s="476"/>
      <c r="C1140"/>
    </row>
    <row r="1141" spans="2:3">
      <c r="B1141" s="476"/>
      <c r="C1141"/>
    </row>
    <row r="1142" spans="2:3">
      <c r="B1142" s="476"/>
      <c r="C1142"/>
    </row>
    <row r="1143" spans="2:3">
      <c r="B1143" s="476"/>
      <c r="C1143"/>
    </row>
    <row r="1144" spans="2:3">
      <c r="B1144" s="476"/>
      <c r="C1144"/>
    </row>
    <row r="1145" spans="2:3">
      <c r="B1145" s="476"/>
      <c r="C1145"/>
    </row>
    <row r="1146" spans="2:3">
      <c r="B1146" s="476"/>
      <c r="C1146"/>
    </row>
    <row r="1147" spans="2:3">
      <c r="B1147" s="476"/>
      <c r="C1147"/>
    </row>
    <row r="1148" spans="2:3">
      <c r="B1148" s="476"/>
      <c r="C1148"/>
    </row>
    <row r="1149" spans="2:3">
      <c r="B1149" s="476"/>
      <c r="C1149"/>
    </row>
    <row r="1150" spans="2:3">
      <c r="B1150" s="476"/>
      <c r="C1150"/>
    </row>
    <row r="1151" spans="2:3">
      <c r="B1151" s="476"/>
      <c r="C1151"/>
    </row>
    <row r="1152" spans="2:3">
      <c r="B1152" s="476"/>
      <c r="C1152"/>
    </row>
    <row r="1153" spans="2:3">
      <c r="B1153" s="476"/>
      <c r="C1153"/>
    </row>
    <row r="1154" spans="2:3">
      <c r="B1154" s="476"/>
      <c r="C1154"/>
    </row>
    <row r="1155" spans="2:3">
      <c r="B1155" s="476"/>
      <c r="C1155"/>
    </row>
    <row r="1156" spans="2:3">
      <c r="B1156" s="476"/>
      <c r="C1156"/>
    </row>
    <row r="1157" spans="2:3">
      <c r="B1157" s="476"/>
      <c r="C1157"/>
    </row>
    <row r="1158" spans="2:3">
      <c r="B1158" s="476"/>
      <c r="C1158"/>
    </row>
    <row r="1159" spans="2:3">
      <c r="B1159" s="476"/>
      <c r="C1159"/>
    </row>
    <row r="1160" spans="2:3">
      <c r="B1160" s="476"/>
      <c r="C1160"/>
    </row>
    <row r="1161" spans="2:3">
      <c r="B1161" s="476"/>
      <c r="C1161"/>
    </row>
    <row r="1162" spans="2:3">
      <c r="B1162" s="476"/>
      <c r="C1162"/>
    </row>
    <row r="1163" spans="2:3">
      <c r="B1163" s="476"/>
      <c r="C1163"/>
    </row>
    <row r="1164" spans="2:3">
      <c r="B1164" s="476"/>
      <c r="C1164"/>
    </row>
    <row r="1165" spans="2:3">
      <c r="B1165" s="476"/>
      <c r="C1165"/>
    </row>
    <row r="1166" spans="2:3">
      <c r="B1166" s="476"/>
      <c r="C1166"/>
    </row>
    <row r="1167" spans="2:3">
      <c r="B1167" s="476"/>
      <c r="C1167"/>
    </row>
    <row r="1168" spans="2:3">
      <c r="B1168" s="476"/>
      <c r="C1168"/>
    </row>
    <row r="1169" spans="2:3">
      <c r="B1169" s="476"/>
      <c r="C1169"/>
    </row>
    <row r="1170" spans="2:3">
      <c r="B1170" s="476"/>
      <c r="C1170"/>
    </row>
    <row r="1171" spans="2:3">
      <c r="B1171" s="476"/>
      <c r="C1171"/>
    </row>
    <row r="1172" spans="2:3">
      <c r="B1172" s="476"/>
      <c r="C1172"/>
    </row>
    <row r="1173" spans="2:3">
      <c r="B1173" s="476"/>
      <c r="C1173"/>
    </row>
    <row r="1174" spans="2:3">
      <c r="B1174" s="476"/>
      <c r="C1174"/>
    </row>
    <row r="1175" spans="2:3">
      <c r="B1175" s="476"/>
      <c r="C1175"/>
    </row>
    <row r="1176" spans="2:3">
      <c r="B1176" s="476"/>
      <c r="C1176"/>
    </row>
    <row r="1177" spans="2:3">
      <c r="B1177" s="476"/>
      <c r="C1177"/>
    </row>
    <row r="1178" spans="2:3">
      <c r="B1178" s="476"/>
      <c r="C1178"/>
    </row>
    <row r="1179" spans="2:3">
      <c r="B1179" s="476"/>
      <c r="C1179"/>
    </row>
    <row r="1180" spans="2:3">
      <c r="B1180" s="476"/>
      <c r="C1180"/>
    </row>
    <row r="1181" spans="2:3">
      <c r="B1181" s="476"/>
      <c r="C1181"/>
    </row>
    <row r="1182" spans="2:3">
      <c r="B1182" s="476"/>
      <c r="C1182"/>
    </row>
    <row r="1183" spans="2:3">
      <c r="B1183" s="476"/>
      <c r="C1183"/>
    </row>
    <row r="1184" spans="2:3">
      <c r="B1184" s="476"/>
      <c r="C1184"/>
    </row>
    <row r="1185" spans="2:3">
      <c r="B1185" s="476"/>
      <c r="C1185"/>
    </row>
    <row r="1186" spans="2:3">
      <c r="B1186" s="476"/>
      <c r="C1186"/>
    </row>
    <row r="1187" spans="2:3">
      <c r="B1187" s="476"/>
      <c r="C1187"/>
    </row>
    <row r="1188" spans="2:3">
      <c r="B1188" s="476"/>
      <c r="C1188"/>
    </row>
    <row r="1189" spans="2:3">
      <c r="B1189" s="476"/>
      <c r="C1189"/>
    </row>
    <row r="1190" spans="2:3">
      <c r="B1190" s="476"/>
      <c r="C1190"/>
    </row>
    <row r="1191" spans="2:3">
      <c r="B1191" s="476"/>
      <c r="C1191"/>
    </row>
    <row r="1192" spans="2:3">
      <c r="B1192" s="476"/>
      <c r="C1192"/>
    </row>
    <row r="1193" spans="2:3">
      <c r="B1193" s="476"/>
      <c r="C1193"/>
    </row>
    <row r="1194" spans="2:3">
      <c r="B1194" s="476"/>
      <c r="C1194"/>
    </row>
    <row r="1195" spans="2:3">
      <c r="B1195" s="476"/>
      <c r="C1195"/>
    </row>
    <row r="1196" spans="2:3">
      <c r="B1196" s="476"/>
      <c r="C1196"/>
    </row>
    <row r="1197" spans="2:3">
      <c r="B1197" s="476"/>
      <c r="C1197"/>
    </row>
    <row r="1198" spans="2:3">
      <c r="B1198" s="476"/>
      <c r="C1198"/>
    </row>
    <row r="1199" spans="2:3">
      <c r="B1199" s="476"/>
      <c r="C1199"/>
    </row>
    <row r="1200" spans="2:3">
      <c r="B1200" s="476"/>
      <c r="C1200"/>
    </row>
    <row r="1201" spans="2:3">
      <c r="B1201" s="476"/>
      <c r="C1201"/>
    </row>
    <row r="1202" spans="2:3">
      <c r="B1202" s="476"/>
      <c r="C1202"/>
    </row>
    <row r="1203" spans="2:3">
      <c r="B1203" s="476"/>
      <c r="C1203"/>
    </row>
    <row r="1204" spans="2:3">
      <c r="B1204" s="476"/>
      <c r="C1204"/>
    </row>
    <row r="1205" spans="2:3">
      <c r="B1205" s="476"/>
      <c r="C1205"/>
    </row>
    <row r="1206" spans="2:3">
      <c r="B1206" s="476"/>
      <c r="C1206"/>
    </row>
    <row r="1207" spans="2:3">
      <c r="B1207" s="476"/>
      <c r="C1207"/>
    </row>
    <row r="1208" spans="2:3">
      <c r="B1208" s="476"/>
      <c r="C1208"/>
    </row>
    <row r="1209" spans="2:3">
      <c r="B1209" s="476"/>
      <c r="C1209"/>
    </row>
    <row r="1210" spans="2:3">
      <c r="B1210" s="476"/>
      <c r="C1210"/>
    </row>
    <row r="1211" spans="2:3">
      <c r="B1211" s="476"/>
      <c r="C1211"/>
    </row>
    <row r="1212" spans="2:3">
      <c r="B1212" s="476"/>
      <c r="C1212"/>
    </row>
    <row r="1213" spans="2:3">
      <c r="B1213" s="476"/>
      <c r="C1213"/>
    </row>
    <row r="1214" spans="2:3">
      <c r="B1214" s="476"/>
      <c r="C1214"/>
    </row>
    <row r="1215" spans="2:3">
      <c r="B1215" s="476"/>
      <c r="C1215"/>
    </row>
    <row r="1216" spans="2:3">
      <c r="B1216" s="476"/>
      <c r="C1216"/>
    </row>
    <row r="1217" spans="2:3">
      <c r="B1217" s="476"/>
      <c r="C1217"/>
    </row>
    <row r="1218" spans="2:3">
      <c r="B1218" s="476"/>
      <c r="C1218"/>
    </row>
    <row r="1219" spans="2:3">
      <c r="B1219" s="476"/>
      <c r="C1219"/>
    </row>
    <row r="1220" spans="2:3">
      <c r="B1220" s="476"/>
      <c r="C1220"/>
    </row>
    <row r="1221" spans="2:3">
      <c r="B1221" s="476"/>
      <c r="C1221"/>
    </row>
    <row r="1222" spans="2:3">
      <c r="B1222" s="476"/>
      <c r="C1222"/>
    </row>
    <row r="1223" spans="2:3">
      <c r="B1223" s="476"/>
      <c r="C1223"/>
    </row>
    <row r="1224" spans="2:3">
      <c r="B1224" s="476"/>
      <c r="C1224"/>
    </row>
    <row r="1225" spans="2:3">
      <c r="B1225" s="476"/>
      <c r="C1225"/>
    </row>
    <row r="1226" spans="2:3">
      <c r="B1226" s="476"/>
      <c r="C1226"/>
    </row>
    <row r="1227" spans="2:3">
      <c r="B1227" s="476"/>
      <c r="C1227"/>
    </row>
    <row r="1228" spans="2:3">
      <c r="B1228" s="476"/>
      <c r="C1228"/>
    </row>
    <row r="1229" spans="2:3">
      <c r="B1229" s="476"/>
      <c r="C1229"/>
    </row>
    <row r="1230" spans="2:3">
      <c r="B1230" s="476"/>
      <c r="C1230"/>
    </row>
    <row r="1231" spans="2:3">
      <c r="B1231" s="476"/>
      <c r="C1231"/>
    </row>
    <row r="1232" spans="2:3">
      <c r="B1232" s="476"/>
      <c r="C1232"/>
    </row>
    <row r="1233" spans="2:3">
      <c r="B1233" s="476"/>
      <c r="C1233"/>
    </row>
    <row r="1234" spans="2:3">
      <c r="B1234" s="476"/>
      <c r="C1234"/>
    </row>
    <row r="1235" spans="2:3">
      <c r="B1235" s="476"/>
      <c r="C1235"/>
    </row>
    <row r="1236" spans="2:3">
      <c r="B1236" s="476"/>
      <c r="C1236"/>
    </row>
    <row r="1237" spans="2:3">
      <c r="B1237" s="476"/>
      <c r="C1237"/>
    </row>
    <row r="1238" spans="2:3">
      <c r="B1238" s="476"/>
      <c r="C1238"/>
    </row>
    <row r="1239" spans="2:3">
      <c r="B1239" s="476"/>
      <c r="C1239"/>
    </row>
    <row r="1240" spans="2:3">
      <c r="B1240" s="476"/>
      <c r="C1240"/>
    </row>
    <row r="1241" spans="2:3">
      <c r="B1241" s="476"/>
      <c r="C1241"/>
    </row>
    <row r="1242" spans="2:3">
      <c r="B1242" s="476"/>
      <c r="C1242"/>
    </row>
    <row r="1243" spans="2:3">
      <c r="B1243" s="476"/>
      <c r="C1243"/>
    </row>
    <row r="1244" spans="2:3">
      <c r="B1244" s="476"/>
      <c r="C1244"/>
    </row>
    <row r="1245" spans="2:3">
      <c r="B1245" s="476"/>
      <c r="C1245"/>
    </row>
    <row r="1246" spans="2:3">
      <c r="B1246" s="476"/>
      <c r="C1246"/>
    </row>
    <row r="1247" spans="2:3">
      <c r="B1247" s="476"/>
      <c r="C1247"/>
    </row>
    <row r="1248" spans="2:3">
      <c r="B1248" s="476"/>
      <c r="C1248"/>
    </row>
    <row r="1249" spans="2:3">
      <c r="B1249" s="476"/>
      <c r="C1249"/>
    </row>
    <row r="1250" spans="2:3">
      <c r="B1250" s="476"/>
      <c r="C1250"/>
    </row>
    <row r="1251" spans="2:3">
      <c r="B1251" s="476"/>
      <c r="C1251"/>
    </row>
    <row r="1252" spans="2:3">
      <c r="B1252" s="476"/>
      <c r="C1252"/>
    </row>
    <row r="1253" spans="2:3">
      <c r="B1253" s="476"/>
      <c r="C1253"/>
    </row>
    <row r="1254" spans="2:3">
      <c r="B1254" s="476"/>
      <c r="C1254"/>
    </row>
    <row r="1255" spans="2:3">
      <c r="B1255" s="476"/>
      <c r="C1255"/>
    </row>
    <row r="1256" spans="2:3">
      <c r="B1256" s="476"/>
      <c r="C1256"/>
    </row>
    <row r="1257" spans="2:3">
      <c r="B1257" s="476"/>
      <c r="C1257"/>
    </row>
    <row r="1258" spans="2:3">
      <c r="B1258" s="476"/>
      <c r="C1258"/>
    </row>
    <row r="1259" spans="2:3">
      <c r="B1259" s="476"/>
      <c r="C1259"/>
    </row>
    <row r="1260" spans="2:3">
      <c r="B1260" s="476"/>
      <c r="C1260"/>
    </row>
    <row r="1261" spans="2:3">
      <c r="B1261" s="476"/>
      <c r="C1261"/>
    </row>
    <row r="1262" spans="2:3">
      <c r="B1262" s="476"/>
      <c r="C1262"/>
    </row>
    <row r="1263" spans="2:3">
      <c r="B1263" s="476"/>
      <c r="C1263"/>
    </row>
    <row r="1264" spans="2:3">
      <c r="B1264" s="476"/>
      <c r="C1264"/>
    </row>
    <row r="1265" spans="2:3">
      <c r="B1265" s="476"/>
      <c r="C1265"/>
    </row>
    <row r="1266" spans="2:3">
      <c r="B1266" s="476"/>
      <c r="C1266"/>
    </row>
    <row r="1267" spans="2:3">
      <c r="B1267" s="476"/>
      <c r="C1267"/>
    </row>
    <row r="1268" spans="2:3">
      <c r="B1268" s="476"/>
      <c r="C1268"/>
    </row>
    <row r="1269" spans="2:3">
      <c r="B1269" s="476"/>
      <c r="C1269"/>
    </row>
    <row r="1270" spans="2:3">
      <c r="B1270" s="476"/>
      <c r="C1270"/>
    </row>
    <row r="1271" spans="2:3">
      <c r="B1271" s="476"/>
      <c r="C1271"/>
    </row>
    <row r="1272" spans="2:3">
      <c r="B1272" s="476"/>
      <c r="C1272"/>
    </row>
    <row r="1273" spans="2:3">
      <c r="B1273" s="476"/>
      <c r="C1273"/>
    </row>
    <row r="1274" spans="2:3">
      <c r="B1274" s="476"/>
      <c r="C1274"/>
    </row>
    <row r="1275" spans="2:3">
      <c r="B1275" s="476"/>
      <c r="C1275"/>
    </row>
    <row r="1276" spans="2:3">
      <c r="B1276" s="476"/>
      <c r="C1276"/>
    </row>
    <row r="1277" spans="2:3">
      <c r="B1277" s="476"/>
      <c r="C1277"/>
    </row>
    <row r="1278" spans="2:3">
      <c r="B1278" s="476"/>
      <c r="C1278"/>
    </row>
    <row r="1279" spans="2:3">
      <c r="B1279" s="476"/>
      <c r="C1279"/>
    </row>
    <row r="1280" spans="2:3">
      <c r="B1280" s="476"/>
      <c r="C1280"/>
    </row>
    <row r="1281" spans="2:3">
      <c r="B1281" s="476"/>
      <c r="C1281"/>
    </row>
    <row r="1282" spans="2:3">
      <c r="B1282" s="476"/>
      <c r="C1282"/>
    </row>
    <row r="1283" spans="2:3">
      <c r="B1283" s="476"/>
      <c r="C1283"/>
    </row>
    <row r="1284" spans="2:3">
      <c r="B1284" s="476"/>
      <c r="C1284"/>
    </row>
    <row r="1285" spans="2:3">
      <c r="B1285" s="476"/>
      <c r="C1285"/>
    </row>
    <row r="1286" spans="2:3">
      <c r="B1286" s="476"/>
      <c r="C1286"/>
    </row>
    <row r="1287" spans="2:3">
      <c r="B1287" s="476"/>
      <c r="C1287"/>
    </row>
    <row r="1288" spans="2:3">
      <c r="B1288" s="476"/>
      <c r="C1288"/>
    </row>
    <row r="1289" spans="2:3">
      <c r="B1289" s="476"/>
      <c r="C1289"/>
    </row>
    <row r="1290" spans="2:3">
      <c r="B1290" s="476"/>
      <c r="C1290"/>
    </row>
    <row r="1291" spans="2:3">
      <c r="B1291" s="476"/>
      <c r="C1291"/>
    </row>
    <row r="1292" spans="2:3">
      <c r="B1292" s="476"/>
      <c r="C1292"/>
    </row>
    <row r="1293" spans="2:3">
      <c r="B1293" s="476"/>
      <c r="C1293"/>
    </row>
    <row r="1294" spans="2:3">
      <c r="B1294" s="476"/>
      <c r="C1294"/>
    </row>
    <row r="1295" spans="2:3">
      <c r="B1295" s="476"/>
      <c r="C1295"/>
    </row>
    <row r="1296" spans="2:3">
      <c r="B1296" s="476"/>
      <c r="C1296"/>
    </row>
    <row r="1297" spans="2:3">
      <c r="B1297" s="476"/>
      <c r="C1297"/>
    </row>
    <row r="1298" spans="2:3">
      <c r="B1298" s="476"/>
      <c r="C1298"/>
    </row>
    <row r="1299" spans="2:3">
      <c r="B1299" s="476"/>
      <c r="C1299"/>
    </row>
    <row r="1300" spans="2:3">
      <c r="B1300" s="476"/>
      <c r="C1300"/>
    </row>
    <row r="1301" spans="2:3">
      <c r="B1301" s="476"/>
      <c r="C1301"/>
    </row>
    <row r="1302" spans="2:3">
      <c r="B1302" s="476"/>
      <c r="C1302"/>
    </row>
    <row r="1303" spans="2:3">
      <c r="B1303" s="476"/>
      <c r="C1303"/>
    </row>
    <row r="1304" spans="2:3">
      <c r="B1304" s="476"/>
      <c r="C1304"/>
    </row>
    <row r="1305" spans="2:3">
      <c r="B1305" s="476"/>
      <c r="C1305"/>
    </row>
    <row r="1306" spans="2:3">
      <c r="B1306" s="476"/>
      <c r="C1306"/>
    </row>
    <row r="1307" spans="2:3">
      <c r="B1307" s="476"/>
      <c r="C1307"/>
    </row>
    <row r="1308" spans="2:3">
      <c r="B1308" s="476"/>
      <c r="C1308"/>
    </row>
    <row r="1309" spans="2:3">
      <c r="B1309" s="476"/>
      <c r="C1309"/>
    </row>
    <row r="1310" spans="2:3">
      <c r="B1310" s="476"/>
      <c r="C1310"/>
    </row>
    <row r="1311" spans="2:3">
      <c r="B1311" s="476"/>
      <c r="C1311"/>
    </row>
    <row r="1312" spans="2:3">
      <c r="B1312" s="476"/>
      <c r="C1312"/>
    </row>
    <row r="1313" spans="2:3">
      <c r="B1313" s="476"/>
      <c r="C1313"/>
    </row>
    <row r="1314" spans="2:3">
      <c r="B1314" s="476"/>
      <c r="C1314"/>
    </row>
    <row r="1315" spans="2:3">
      <c r="B1315" s="476"/>
      <c r="C1315"/>
    </row>
    <row r="1316" spans="2:3">
      <c r="B1316" s="476"/>
      <c r="C1316"/>
    </row>
    <row r="1317" spans="2:3">
      <c r="B1317" s="476"/>
      <c r="C1317"/>
    </row>
    <row r="1318" spans="2:3">
      <c r="B1318" s="476"/>
      <c r="C1318"/>
    </row>
    <row r="1319" spans="2:3">
      <c r="B1319" s="476"/>
      <c r="C1319"/>
    </row>
    <row r="1320" spans="2:3">
      <c r="B1320" s="476"/>
      <c r="C1320"/>
    </row>
    <row r="1321" spans="2:3">
      <c r="B1321" s="476"/>
      <c r="C1321"/>
    </row>
    <row r="1322" spans="2:3">
      <c r="B1322" s="476"/>
      <c r="C1322"/>
    </row>
    <row r="1323" spans="2:3">
      <c r="B1323" s="476"/>
      <c r="C1323"/>
    </row>
    <row r="1324" spans="2:3">
      <c r="B1324" s="476"/>
      <c r="C1324"/>
    </row>
    <row r="1325" spans="2:3">
      <c r="B1325" s="476"/>
      <c r="C1325"/>
    </row>
    <row r="1326" spans="2:3">
      <c r="B1326" s="476"/>
      <c r="C1326"/>
    </row>
    <row r="1327" spans="2:3">
      <c r="B1327" s="476"/>
      <c r="C1327"/>
    </row>
    <row r="1328" spans="2:3">
      <c r="B1328" s="476"/>
      <c r="C1328"/>
    </row>
    <row r="1329" spans="2:3">
      <c r="B1329" s="476"/>
      <c r="C1329"/>
    </row>
    <row r="1330" spans="2:3">
      <c r="B1330" s="476"/>
      <c r="C1330"/>
    </row>
    <row r="1331" spans="2:3">
      <c r="B1331" s="476"/>
      <c r="C1331"/>
    </row>
    <row r="1332" spans="2:3">
      <c r="B1332" s="476"/>
      <c r="C1332"/>
    </row>
    <row r="1333" spans="2:3">
      <c r="B1333" s="476"/>
      <c r="C1333"/>
    </row>
    <row r="1334" spans="2:3">
      <c r="B1334" s="476"/>
      <c r="C1334"/>
    </row>
    <row r="1335" spans="2:3">
      <c r="B1335" s="476"/>
      <c r="C1335"/>
    </row>
    <row r="1336" spans="2:3">
      <c r="B1336" s="476"/>
      <c r="C1336"/>
    </row>
    <row r="1337" spans="2:3">
      <c r="B1337" s="476"/>
      <c r="C1337"/>
    </row>
    <row r="1338" spans="2:3">
      <c r="B1338" s="476"/>
      <c r="C1338"/>
    </row>
    <row r="1339" spans="2:3">
      <c r="B1339" s="476"/>
      <c r="C1339"/>
    </row>
    <row r="1340" spans="2:3">
      <c r="B1340" s="476"/>
      <c r="C1340"/>
    </row>
    <row r="1341" spans="2:3">
      <c r="B1341" s="476"/>
      <c r="C1341"/>
    </row>
    <row r="1342" spans="2:3">
      <c r="B1342" s="476"/>
      <c r="C1342"/>
    </row>
    <row r="1343" spans="2:3">
      <c r="B1343" s="476"/>
      <c r="C1343"/>
    </row>
    <row r="1344" spans="2:3">
      <c r="B1344" s="476"/>
      <c r="C1344"/>
    </row>
    <row r="1345" spans="2:3">
      <c r="B1345" s="476"/>
      <c r="C1345"/>
    </row>
    <row r="1346" spans="2:3">
      <c r="B1346" s="476"/>
      <c r="C1346"/>
    </row>
    <row r="1347" spans="2:3">
      <c r="B1347" s="476"/>
      <c r="C1347"/>
    </row>
    <row r="1348" spans="2:3">
      <c r="B1348" s="476"/>
      <c r="C1348"/>
    </row>
    <row r="1349" spans="2:3">
      <c r="B1349" s="476"/>
      <c r="C1349"/>
    </row>
    <row r="1350" spans="2:3">
      <c r="B1350" s="476"/>
      <c r="C1350"/>
    </row>
    <row r="1351" spans="2:3">
      <c r="B1351" s="476"/>
      <c r="C1351"/>
    </row>
    <row r="1352" spans="2:3">
      <c r="B1352" s="476"/>
      <c r="C1352"/>
    </row>
    <row r="1353" spans="2:3">
      <c r="B1353" s="476"/>
      <c r="C1353"/>
    </row>
    <row r="1354" spans="2:3">
      <c r="B1354" s="476"/>
      <c r="C1354"/>
    </row>
    <row r="1355" spans="2:3">
      <c r="B1355" s="476"/>
      <c r="C1355"/>
    </row>
    <row r="1356" spans="2:3">
      <c r="B1356" s="476"/>
      <c r="C1356"/>
    </row>
    <row r="1357" spans="2:3">
      <c r="B1357" s="476"/>
      <c r="C1357"/>
    </row>
    <row r="1358" spans="2:3">
      <c r="B1358" s="476"/>
      <c r="C1358"/>
    </row>
    <row r="1359" spans="2:3">
      <c r="B1359" s="476"/>
      <c r="C1359"/>
    </row>
    <row r="1360" spans="2:3">
      <c r="B1360" s="476"/>
      <c r="C1360"/>
    </row>
    <row r="1361" spans="2:3">
      <c r="B1361" s="476"/>
      <c r="C1361"/>
    </row>
    <row r="1362" spans="2:3">
      <c r="B1362" s="476"/>
      <c r="C1362"/>
    </row>
    <row r="1363" spans="2:3">
      <c r="B1363" s="476"/>
      <c r="C1363"/>
    </row>
    <row r="1364" spans="2:3">
      <c r="B1364" s="476"/>
      <c r="C1364"/>
    </row>
    <row r="1365" spans="2:3">
      <c r="B1365" s="476"/>
      <c r="C1365"/>
    </row>
    <row r="1366" spans="2:3">
      <c r="B1366" s="476"/>
      <c r="C1366"/>
    </row>
    <row r="1367" spans="2:3">
      <c r="B1367" s="476"/>
      <c r="C1367"/>
    </row>
    <row r="1368" spans="2:3">
      <c r="B1368" s="476"/>
      <c r="C1368"/>
    </row>
    <row r="1369" spans="2:3">
      <c r="B1369" s="476"/>
      <c r="C1369"/>
    </row>
    <row r="1370" spans="2:3">
      <c r="B1370" s="476"/>
      <c r="C1370"/>
    </row>
    <row r="1371" spans="2:3">
      <c r="B1371" s="476"/>
      <c r="C1371"/>
    </row>
    <row r="1372" spans="2:3">
      <c r="B1372" s="476"/>
      <c r="C1372"/>
    </row>
    <row r="1373" spans="2:3">
      <c r="B1373" s="476"/>
      <c r="C1373"/>
    </row>
    <row r="1374" spans="2:3">
      <c r="B1374" s="476"/>
      <c r="C1374"/>
    </row>
    <row r="1375" spans="2:3">
      <c r="B1375" s="476"/>
      <c r="C1375"/>
    </row>
    <row r="1376" spans="2:3">
      <c r="B1376" s="476"/>
      <c r="C1376"/>
    </row>
    <row r="1377" spans="2:3">
      <c r="B1377" s="476"/>
      <c r="C1377"/>
    </row>
    <row r="1378" spans="2:3">
      <c r="B1378" s="476"/>
      <c r="C1378"/>
    </row>
    <row r="1379" spans="2:3">
      <c r="B1379" s="476"/>
      <c r="C1379"/>
    </row>
    <row r="1380" spans="2:3">
      <c r="B1380" s="476"/>
      <c r="C1380"/>
    </row>
    <row r="1381" spans="2:3">
      <c r="B1381" s="476"/>
      <c r="C1381"/>
    </row>
    <row r="1382" spans="2:3">
      <c r="B1382" s="476"/>
      <c r="C1382"/>
    </row>
    <row r="1383" spans="2:3">
      <c r="B1383" s="476"/>
      <c r="C1383"/>
    </row>
    <row r="1384" spans="2:3">
      <c r="B1384" s="476"/>
      <c r="C1384"/>
    </row>
    <row r="1385" spans="2:3">
      <c r="B1385" s="476"/>
      <c r="C1385"/>
    </row>
    <row r="1386" spans="2:3">
      <c r="B1386" s="476"/>
      <c r="C1386"/>
    </row>
    <row r="1387" spans="2:3">
      <c r="B1387" s="476"/>
      <c r="C1387"/>
    </row>
    <row r="1388" spans="2:3">
      <c r="B1388" s="476"/>
      <c r="C1388"/>
    </row>
    <row r="1389" spans="2:3">
      <c r="B1389" s="476"/>
      <c r="C1389"/>
    </row>
    <row r="1390" spans="2:3">
      <c r="B1390" s="476"/>
      <c r="C1390"/>
    </row>
    <row r="1391" spans="2:3">
      <c r="B1391" s="476"/>
      <c r="C1391"/>
    </row>
    <row r="1392" spans="2:3">
      <c r="B1392" s="476"/>
      <c r="C1392"/>
    </row>
    <row r="1393" spans="2:3">
      <c r="B1393" s="476"/>
      <c r="C1393"/>
    </row>
    <row r="1394" spans="2:3">
      <c r="B1394" s="476"/>
      <c r="C1394"/>
    </row>
    <row r="1395" spans="2:3">
      <c r="B1395" s="476"/>
      <c r="C1395"/>
    </row>
    <row r="1396" spans="2:3">
      <c r="B1396" s="476"/>
      <c r="C1396"/>
    </row>
    <row r="1397" spans="2:3">
      <c r="B1397" s="476"/>
      <c r="C1397"/>
    </row>
    <row r="1398" spans="2:3">
      <c r="B1398" s="476"/>
      <c r="C1398"/>
    </row>
    <row r="1399" spans="2:3">
      <c r="B1399" s="476"/>
      <c r="C1399"/>
    </row>
    <row r="1400" spans="2:3">
      <c r="B1400" s="476"/>
      <c r="C1400"/>
    </row>
    <row r="1401" spans="2:3">
      <c r="B1401" s="476"/>
      <c r="C1401"/>
    </row>
    <row r="1402" spans="2:3">
      <c r="B1402" s="476"/>
      <c r="C1402"/>
    </row>
    <row r="1403" spans="2:3">
      <c r="B1403" s="476"/>
      <c r="C1403"/>
    </row>
    <row r="1404" spans="2:3">
      <c r="B1404" s="476"/>
      <c r="C1404"/>
    </row>
    <row r="1405" spans="2:3">
      <c r="B1405" s="476"/>
      <c r="C1405"/>
    </row>
    <row r="1406" spans="2:3">
      <c r="B1406" s="476"/>
      <c r="C1406"/>
    </row>
    <row r="1407" spans="2:3">
      <c r="B1407" s="476"/>
      <c r="C1407"/>
    </row>
    <row r="1408" spans="2:3">
      <c r="B1408" s="476"/>
      <c r="C1408"/>
    </row>
    <row r="1409" spans="2:3">
      <c r="B1409" s="476"/>
      <c r="C1409"/>
    </row>
    <row r="1410" spans="2:3">
      <c r="B1410" s="476"/>
      <c r="C1410"/>
    </row>
    <row r="1411" spans="2:3">
      <c r="B1411" s="476"/>
      <c r="C1411"/>
    </row>
    <row r="1412" spans="2:3">
      <c r="B1412" s="476"/>
      <c r="C1412"/>
    </row>
    <row r="1413" spans="2:3">
      <c r="B1413" s="476"/>
      <c r="C1413"/>
    </row>
    <row r="1414" spans="2:3">
      <c r="B1414" s="476"/>
      <c r="C1414"/>
    </row>
    <row r="1415" spans="2:3">
      <c r="B1415" s="476"/>
      <c r="C1415"/>
    </row>
    <row r="1416" spans="2:3">
      <c r="B1416" s="476"/>
      <c r="C1416"/>
    </row>
    <row r="1417" spans="2:3">
      <c r="B1417" s="476"/>
      <c r="C1417"/>
    </row>
    <row r="1418" spans="2:3">
      <c r="B1418" s="476"/>
      <c r="C1418"/>
    </row>
    <row r="1419" spans="2:3">
      <c r="B1419" s="476"/>
      <c r="C1419"/>
    </row>
    <row r="1420" spans="2:3">
      <c r="B1420" s="476"/>
      <c r="C1420"/>
    </row>
    <row r="1421" spans="2:3">
      <c r="B1421" s="476"/>
      <c r="C1421"/>
    </row>
    <row r="1422" spans="2:3">
      <c r="B1422" s="476"/>
      <c r="C1422"/>
    </row>
    <row r="1423" spans="2:3">
      <c r="B1423" s="476"/>
      <c r="C1423"/>
    </row>
    <row r="1424" spans="2:3">
      <c r="B1424" s="476"/>
      <c r="C1424"/>
    </row>
    <row r="1425" spans="2:3">
      <c r="B1425" s="476"/>
      <c r="C1425"/>
    </row>
    <row r="1426" spans="2:3">
      <c r="B1426" s="476"/>
      <c r="C1426"/>
    </row>
    <row r="1427" spans="2:3">
      <c r="B1427" s="476"/>
      <c r="C1427"/>
    </row>
    <row r="1428" spans="2:3">
      <c r="B1428" s="476"/>
      <c r="C1428"/>
    </row>
    <row r="1429" spans="2:3">
      <c r="B1429" s="476"/>
      <c r="C1429"/>
    </row>
    <row r="1430" spans="2:3">
      <c r="B1430" s="476"/>
      <c r="C1430"/>
    </row>
    <row r="1431" spans="2:3">
      <c r="B1431" s="476"/>
      <c r="C1431"/>
    </row>
    <row r="1432" spans="2:3">
      <c r="B1432" s="476"/>
      <c r="C1432"/>
    </row>
    <row r="1433" spans="2:3">
      <c r="B1433" s="476"/>
      <c r="C1433"/>
    </row>
    <row r="1434" spans="2:3">
      <c r="B1434" s="476"/>
      <c r="C1434"/>
    </row>
    <row r="1435" spans="2:3">
      <c r="B1435" s="476"/>
      <c r="C1435"/>
    </row>
    <row r="1436" spans="2:3">
      <c r="B1436" s="476"/>
      <c r="C1436"/>
    </row>
    <row r="1437" spans="2:3">
      <c r="B1437" s="476"/>
      <c r="C1437"/>
    </row>
    <row r="1438" spans="2:3">
      <c r="B1438" s="476"/>
      <c r="C1438"/>
    </row>
    <row r="1439" spans="2:3">
      <c r="B1439" s="476"/>
      <c r="C1439"/>
    </row>
    <row r="1440" spans="2:3">
      <c r="B1440" s="476"/>
      <c r="C1440"/>
    </row>
    <row r="1441" spans="2:3">
      <c r="B1441" s="476"/>
      <c r="C1441"/>
    </row>
    <row r="1442" spans="2:3">
      <c r="B1442" s="476"/>
      <c r="C1442"/>
    </row>
    <row r="1443" spans="2:3">
      <c r="B1443" s="476"/>
      <c r="C1443"/>
    </row>
    <row r="1444" spans="2:3">
      <c r="B1444" s="476"/>
      <c r="C1444"/>
    </row>
    <row r="1445" spans="2:3">
      <c r="B1445" s="476"/>
      <c r="C1445"/>
    </row>
    <row r="1446" spans="2:3">
      <c r="B1446" s="476"/>
      <c r="C1446"/>
    </row>
    <row r="1447" spans="2:3">
      <c r="B1447" s="476"/>
      <c r="C1447"/>
    </row>
    <row r="1448" spans="2:3">
      <c r="B1448" s="476"/>
      <c r="C1448"/>
    </row>
    <row r="1449" spans="2:3">
      <c r="B1449" s="476"/>
      <c r="C1449"/>
    </row>
    <row r="1450" spans="2:3">
      <c r="B1450" s="476"/>
      <c r="C1450"/>
    </row>
    <row r="1451" spans="2:3">
      <c r="B1451" s="476"/>
      <c r="C1451"/>
    </row>
    <row r="1452" spans="2:3">
      <c r="B1452" s="476"/>
      <c r="C1452"/>
    </row>
    <row r="1453" spans="2:3">
      <c r="B1453" s="476"/>
      <c r="C1453"/>
    </row>
    <row r="1454" spans="2:3">
      <c r="B1454" s="476"/>
      <c r="C1454"/>
    </row>
    <row r="1455" spans="2:3">
      <c r="B1455" s="476"/>
      <c r="C1455"/>
    </row>
    <row r="1456" spans="2:3">
      <c r="B1456" s="476"/>
      <c r="C1456"/>
    </row>
    <row r="1457" spans="2:3">
      <c r="B1457" s="476"/>
      <c r="C1457"/>
    </row>
    <row r="1458" spans="2:3">
      <c r="B1458" s="476"/>
      <c r="C1458"/>
    </row>
    <row r="1459" spans="2:3">
      <c r="B1459" s="476"/>
      <c r="C1459"/>
    </row>
    <row r="1460" spans="2:3">
      <c r="B1460" s="476"/>
      <c r="C1460"/>
    </row>
    <row r="1461" spans="2:3">
      <c r="B1461" s="476"/>
      <c r="C1461"/>
    </row>
    <row r="1462" spans="2:3">
      <c r="B1462" s="476"/>
      <c r="C1462"/>
    </row>
    <row r="1463" spans="2:3">
      <c r="B1463" s="476"/>
      <c r="C1463"/>
    </row>
    <row r="1464" spans="2:3">
      <c r="B1464" s="476"/>
      <c r="C1464"/>
    </row>
    <row r="1465" spans="2:3">
      <c r="B1465" s="476"/>
      <c r="C1465"/>
    </row>
    <row r="1466" spans="2:3">
      <c r="B1466" s="476"/>
      <c r="C1466"/>
    </row>
    <row r="1467" spans="2:3">
      <c r="B1467" s="476"/>
      <c r="C1467"/>
    </row>
    <row r="1468" spans="2:3">
      <c r="B1468" s="476"/>
      <c r="C1468"/>
    </row>
    <row r="1469" spans="2:3">
      <c r="B1469" s="476"/>
      <c r="C1469"/>
    </row>
    <row r="1470" spans="2:3">
      <c r="B1470" s="476"/>
      <c r="C1470"/>
    </row>
    <row r="1471" spans="2:3">
      <c r="B1471" s="476"/>
      <c r="C1471"/>
    </row>
    <row r="1472" spans="2:3">
      <c r="B1472" s="476"/>
      <c r="C1472"/>
    </row>
    <row r="1473" spans="2:3">
      <c r="B1473" s="476"/>
      <c r="C1473"/>
    </row>
    <row r="1474" spans="2:3">
      <c r="B1474" s="476"/>
      <c r="C1474"/>
    </row>
    <row r="1475" spans="2:3">
      <c r="B1475" s="476"/>
      <c r="C1475"/>
    </row>
    <row r="1476" spans="2:3">
      <c r="B1476" s="476"/>
      <c r="C1476"/>
    </row>
    <row r="1477" spans="2:3">
      <c r="B1477" s="476"/>
      <c r="C1477"/>
    </row>
    <row r="1478" spans="2:3">
      <c r="B1478" s="476"/>
      <c r="C1478"/>
    </row>
    <row r="1479" spans="2:3">
      <c r="B1479" s="476"/>
      <c r="C1479"/>
    </row>
    <row r="1480" spans="2:3">
      <c r="B1480" s="476"/>
      <c r="C1480"/>
    </row>
    <row r="1481" spans="2:3">
      <c r="B1481" s="476"/>
      <c r="C1481"/>
    </row>
    <row r="1482" spans="2:3">
      <c r="B1482" s="476"/>
      <c r="C1482"/>
    </row>
    <row r="1483" spans="2:3">
      <c r="B1483" s="476"/>
      <c r="C1483"/>
    </row>
    <row r="1484" spans="2:3">
      <c r="B1484" s="476"/>
      <c r="C1484"/>
    </row>
    <row r="1485" spans="2:3">
      <c r="B1485" s="476"/>
      <c r="C1485"/>
    </row>
    <row r="1486" spans="2:3">
      <c r="B1486" s="476"/>
      <c r="C1486"/>
    </row>
    <row r="1487" spans="2:3">
      <c r="B1487" s="476"/>
      <c r="C1487"/>
    </row>
    <row r="1488" spans="2:3">
      <c r="B1488" s="476"/>
      <c r="C1488"/>
    </row>
    <row r="1489" spans="2:3">
      <c r="B1489" s="476"/>
      <c r="C1489"/>
    </row>
    <row r="1490" spans="2:3">
      <c r="B1490" s="476"/>
      <c r="C1490"/>
    </row>
    <row r="1491" spans="2:3">
      <c r="B1491" s="476"/>
      <c r="C1491"/>
    </row>
    <row r="1492" spans="2:3">
      <c r="B1492" s="476"/>
      <c r="C1492"/>
    </row>
    <row r="1493" spans="2:3">
      <c r="B1493" s="476"/>
      <c r="C1493"/>
    </row>
    <row r="1494" spans="2:3">
      <c r="B1494" s="476"/>
      <c r="C1494"/>
    </row>
    <row r="1495" spans="2:3">
      <c r="B1495" s="476"/>
      <c r="C1495"/>
    </row>
    <row r="1496" spans="2:3">
      <c r="B1496" s="476"/>
      <c r="C1496"/>
    </row>
    <row r="1497" spans="2:3">
      <c r="B1497" s="476"/>
      <c r="C1497"/>
    </row>
    <row r="1498" spans="2:3">
      <c r="B1498" s="476"/>
      <c r="C1498"/>
    </row>
    <row r="1499" spans="2:3">
      <c r="B1499" s="476"/>
      <c r="C1499"/>
    </row>
    <row r="1500" spans="2:3">
      <c r="B1500" s="476"/>
      <c r="C1500"/>
    </row>
    <row r="1501" spans="2:3">
      <c r="B1501" s="476"/>
      <c r="C1501"/>
    </row>
    <row r="1502" spans="2:3">
      <c r="B1502" s="476"/>
      <c r="C1502"/>
    </row>
    <row r="1503" spans="2:3">
      <c r="B1503" s="476"/>
      <c r="C1503"/>
    </row>
    <row r="1504" spans="2:3">
      <c r="B1504" s="476"/>
      <c r="C1504"/>
    </row>
    <row r="1505" spans="2:3">
      <c r="B1505" s="476"/>
      <c r="C1505"/>
    </row>
    <row r="1506" spans="2:3">
      <c r="B1506" s="476"/>
      <c r="C1506"/>
    </row>
    <row r="1507" spans="2:3">
      <c r="B1507" s="476"/>
      <c r="C1507"/>
    </row>
    <row r="1508" spans="2:3">
      <c r="B1508" s="476"/>
      <c r="C1508"/>
    </row>
    <row r="1509" spans="2:3">
      <c r="B1509" s="476"/>
      <c r="C1509"/>
    </row>
    <row r="1510" spans="2:3">
      <c r="B1510" s="476"/>
      <c r="C1510"/>
    </row>
    <row r="1511" spans="2:3">
      <c r="B1511" s="476"/>
      <c r="C1511"/>
    </row>
    <row r="1512" spans="2:3">
      <c r="B1512" s="476"/>
      <c r="C1512"/>
    </row>
    <row r="1513" spans="2:3">
      <c r="B1513" s="476"/>
      <c r="C1513"/>
    </row>
    <row r="1514" spans="2:3">
      <c r="B1514" s="476"/>
      <c r="C1514"/>
    </row>
    <row r="1515" spans="2:3">
      <c r="B1515" s="476"/>
      <c r="C1515"/>
    </row>
    <row r="1516" spans="2:3">
      <c r="B1516" s="476"/>
      <c r="C1516"/>
    </row>
    <row r="1517" spans="2:3">
      <c r="B1517" s="476"/>
      <c r="C1517"/>
    </row>
    <row r="1518" spans="2:3">
      <c r="B1518" s="476"/>
      <c r="C1518"/>
    </row>
    <row r="1519" spans="2:3">
      <c r="B1519" s="476"/>
      <c r="C1519"/>
    </row>
    <row r="1520" spans="2:3">
      <c r="B1520" s="476"/>
      <c r="C1520"/>
    </row>
    <row r="1521" spans="2:3">
      <c r="B1521" s="476"/>
      <c r="C1521"/>
    </row>
    <row r="1522" spans="2:3">
      <c r="B1522" s="476"/>
      <c r="C1522"/>
    </row>
    <row r="1523" spans="2:3">
      <c r="B1523" s="476"/>
      <c r="C1523"/>
    </row>
    <row r="1524" spans="2:3">
      <c r="B1524" s="476"/>
      <c r="C1524"/>
    </row>
    <row r="1525" spans="2:3">
      <c r="B1525" s="476"/>
      <c r="C1525"/>
    </row>
    <row r="1526" spans="2:3">
      <c r="B1526" s="476"/>
      <c r="C1526"/>
    </row>
    <row r="1527" spans="2:3">
      <c r="B1527" s="476"/>
      <c r="C1527"/>
    </row>
    <row r="1528" spans="2:3">
      <c r="B1528" s="476"/>
      <c r="C1528"/>
    </row>
    <row r="1529" spans="2:3">
      <c r="B1529" s="476"/>
      <c r="C1529"/>
    </row>
    <row r="1530" spans="2:3">
      <c r="B1530" s="476"/>
      <c r="C1530"/>
    </row>
    <row r="1531" spans="2:3">
      <c r="B1531" s="476"/>
      <c r="C1531"/>
    </row>
    <row r="1532" spans="2:3">
      <c r="B1532" s="476"/>
      <c r="C1532"/>
    </row>
    <row r="1533" spans="2:3">
      <c r="B1533" s="476"/>
      <c r="C1533"/>
    </row>
    <row r="1534" spans="2:3">
      <c r="B1534" s="476"/>
      <c r="C1534"/>
    </row>
    <row r="1535" spans="2:3">
      <c r="B1535" s="476"/>
      <c r="C1535"/>
    </row>
    <row r="1536" spans="2:3">
      <c r="B1536" s="476"/>
      <c r="C1536"/>
    </row>
    <row r="1537" spans="2:3">
      <c r="B1537" s="476"/>
      <c r="C1537"/>
    </row>
    <row r="1538" spans="2:3">
      <c r="B1538" s="476"/>
      <c r="C1538"/>
    </row>
    <row r="1539" spans="2:3">
      <c r="B1539" s="476"/>
      <c r="C1539"/>
    </row>
    <row r="1540" spans="2:3">
      <c r="B1540" s="476"/>
      <c r="C1540"/>
    </row>
    <row r="1541" spans="2:3">
      <c r="B1541" s="476"/>
      <c r="C1541"/>
    </row>
    <row r="1542" spans="2:3">
      <c r="B1542" s="476"/>
      <c r="C1542"/>
    </row>
    <row r="1543" spans="2:3">
      <c r="B1543" s="476"/>
      <c r="C1543"/>
    </row>
    <row r="1544" spans="2:3">
      <c r="B1544" s="476"/>
      <c r="C1544"/>
    </row>
    <row r="1545" spans="2:3">
      <c r="B1545" s="476"/>
      <c r="C1545"/>
    </row>
    <row r="1546" spans="2:3">
      <c r="B1546" s="476"/>
      <c r="C1546"/>
    </row>
    <row r="1547" spans="2:3">
      <c r="B1547" s="476"/>
      <c r="C1547"/>
    </row>
    <row r="1548" spans="2:3">
      <c r="B1548" s="476"/>
      <c r="C1548"/>
    </row>
    <row r="1549" spans="2:3">
      <c r="B1549" s="476"/>
      <c r="C1549"/>
    </row>
    <row r="1550" spans="2:3">
      <c r="B1550" s="476"/>
      <c r="C1550"/>
    </row>
    <row r="1551" spans="2:3">
      <c r="B1551" s="476"/>
      <c r="C1551"/>
    </row>
    <row r="1552" spans="2:3">
      <c r="B1552" s="476"/>
      <c r="C1552"/>
    </row>
    <row r="1553" spans="2:3">
      <c r="B1553" s="476"/>
      <c r="C1553"/>
    </row>
    <row r="1554" spans="2:3">
      <c r="B1554" s="476"/>
      <c r="C1554"/>
    </row>
    <row r="1555" spans="2:3">
      <c r="B1555" s="476"/>
      <c r="C1555"/>
    </row>
    <row r="1556" spans="2:3">
      <c r="B1556" s="476"/>
      <c r="C1556"/>
    </row>
    <row r="1557" spans="2:3">
      <c r="B1557" s="476"/>
      <c r="C1557"/>
    </row>
    <row r="1558" spans="2:3">
      <c r="B1558" s="476"/>
      <c r="C1558"/>
    </row>
    <row r="1559" spans="2:3">
      <c r="B1559" s="476"/>
      <c r="C1559"/>
    </row>
    <row r="1560" spans="2:3">
      <c r="B1560" s="476"/>
      <c r="C1560"/>
    </row>
    <row r="1561" spans="2:3">
      <c r="B1561" s="476"/>
      <c r="C1561"/>
    </row>
    <row r="1562" spans="2:3">
      <c r="B1562" s="476"/>
      <c r="C1562"/>
    </row>
    <row r="1563" spans="2:3">
      <c r="B1563" s="476"/>
      <c r="C1563"/>
    </row>
    <row r="1564" spans="2:3">
      <c r="B1564" s="476"/>
      <c r="C1564"/>
    </row>
    <row r="1565" spans="2:3">
      <c r="B1565" s="476"/>
      <c r="C1565"/>
    </row>
    <row r="1566" spans="2:3">
      <c r="B1566" s="476"/>
      <c r="C1566"/>
    </row>
    <row r="1567" spans="2:3">
      <c r="B1567" s="476"/>
      <c r="C1567"/>
    </row>
    <row r="1568" spans="2:3">
      <c r="B1568" s="476"/>
      <c r="C1568"/>
    </row>
    <row r="1569" spans="2:3">
      <c r="B1569" s="476"/>
      <c r="C1569"/>
    </row>
    <row r="1570" spans="2:3">
      <c r="B1570" s="476"/>
      <c r="C1570"/>
    </row>
    <row r="1571" spans="2:3">
      <c r="B1571" s="476"/>
      <c r="C1571"/>
    </row>
    <row r="1572" spans="2:3">
      <c r="B1572" s="476"/>
      <c r="C1572"/>
    </row>
    <row r="1573" spans="2:3">
      <c r="B1573" s="476"/>
      <c r="C1573"/>
    </row>
    <row r="1574" spans="2:3">
      <c r="B1574" s="476"/>
      <c r="C1574"/>
    </row>
    <row r="1575" spans="2:3">
      <c r="B1575" s="476"/>
      <c r="C1575"/>
    </row>
    <row r="1576" spans="2:3">
      <c r="B1576" s="476"/>
      <c r="C1576"/>
    </row>
    <row r="1577" spans="2:3">
      <c r="B1577" s="476"/>
      <c r="C1577"/>
    </row>
    <row r="1578" spans="2:3">
      <c r="B1578" s="476"/>
      <c r="C1578"/>
    </row>
    <row r="1579" spans="2:3">
      <c r="B1579" s="476"/>
      <c r="C1579"/>
    </row>
    <row r="1580" spans="2:3">
      <c r="B1580" s="476"/>
      <c r="C1580"/>
    </row>
    <row r="1581" spans="2:3">
      <c r="B1581" s="476"/>
      <c r="C1581"/>
    </row>
    <row r="1582" spans="2:3">
      <c r="B1582" s="476"/>
      <c r="C1582"/>
    </row>
    <row r="1583" spans="2:3">
      <c r="B1583" s="476"/>
      <c r="C1583"/>
    </row>
    <row r="1584" spans="2:3">
      <c r="B1584" s="476"/>
      <c r="C1584"/>
    </row>
    <row r="1585" spans="2:3">
      <c r="B1585" s="476"/>
      <c r="C1585"/>
    </row>
    <row r="1586" spans="2:3">
      <c r="B1586" s="476"/>
      <c r="C1586"/>
    </row>
    <row r="1587" spans="2:3">
      <c r="B1587" s="476"/>
      <c r="C1587"/>
    </row>
    <row r="1588" spans="2:3">
      <c r="B1588" s="476"/>
      <c r="C1588"/>
    </row>
    <row r="1589" spans="2:3">
      <c r="B1589" s="476"/>
      <c r="C1589"/>
    </row>
    <row r="1590" spans="2:3">
      <c r="B1590" s="476"/>
      <c r="C1590"/>
    </row>
    <row r="1591" spans="2:3">
      <c r="B1591" s="476"/>
      <c r="C1591"/>
    </row>
    <row r="1592" spans="2:3">
      <c r="B1592" s="476"/>
      <c r="C1592"/>
    </row>
    <row r="1593" spans="2:3">
      <c r="B1593" s="476"/>
      <c r="C1593"/>
    </row>
    <row r="1594" spans="2:3">
      <c r="B1594" s="476"/>
      <c r="C1594"/>
    </row>
    <row r="1595" spans="2:3">
      <c r="B1595" s="476"/>
      <c r="C1595"/>
    </row>
    <row r="1596" spans="2:3">
      <c r="B1596" s="476"/>
      <c r="C1596"/>
    </row>
    <row r="1597" spans="2:3">
      <c r="B1597" s="476"/>
      <c r="C1597"/>
    </row>
    <row r="1598" spans="2:3">
      <c r="B1598" s="476"/>
      <c r="C1598"/>
    </row>
    <row r="1599" spans="2:3">
      <c r="B1599" s="476"/>
      <c r="C1599"/>
    </row>
    <row r="1600" spans="2:3">
      <c r="B1600" s="476"/>
      <c r="C1600"/>
    </row>
    <row r="1601" spans="2:3">
      <c r="B1601" s="476"/>
      <c r="C1601"/>
    </row>
    <row r="1602" spans="2:3">
      <c r="B1602" s="476"/>
      <c r="C1602"/>
    </row>
    <row r="1603" spans="2:3">
      <c r="B1603" s="476"/>
      <c r="C1603"/>
    </row>
    <row r="1604" spans="2:3">
      <c r="B1604" s="476"/>
      <c r="C1604"/>
    </row>
    <row r="1605" spans="2:3">
      <c r="B1605" s="476"/>
      <c r="C1605"/>
    </row>
    <row r="1606" spans="2:3">
      <c r="B1606" s="476"/>
      <c r="C1606"/>
    </row>
    <row r="1607" spans="2:3">
      <c r="B1607" s="476"/>
      <c r="C1607"/>
    </row>
    <row r="1608" spans="2:3">
      <c r="B1608" s="476"/>
      <c r="C1608"/>
    </row>
    <row r="1609" spans="2:3">
      <c r="B1609" s="476"/>
      <c r="C1609"/>
    </row>
    <row r="1610" spans="2:3">
      <c r="B1610" s="476"/>
      <c r="C1610"/>
    </row>
    <row r="1611" spans="2:3">
      <c r="B1611" s="476"/>
      <c r="C1611"/>
    </row>
    <row r="1612" spans="2:3">
      <c r="B1612" s="476"/>
      <c r="C1612"/>
    </row>
    <row r="1613" spans="2:3">
      <c r="B1613" s="476"/>
      <c r="C1613"/>
    </row>
    <row r="1614" spans="2:3">
      <c r="B1614" s="476"/>
      <c r="C1614"/>
    </row>
    <row r="1615" spans="2:3">
      <c r="B1615" s="476"/>
      <c r="C1615"/>
    </row>
    <row r="1616" spans="2:3">
      <c r="B1616" s="476"/>
      <c r="C1616"/>
    </row>
    <row r="1617" spans="2:3">
      <c r="B1617" s="476"/>
      <c r="C1617"/>
    </row>
    <row r="1618" spans="2:3">
      <c r="B1618" s="476"/>
      <c r="C1618"/>
    </row>
    <row r="1619" spans="2:3">
      <c r="B1619" s="476"/>
      <c r="C1619"/>
    </row>
    <row r="1620" spans="2:3">
      <c r="B1620" s="476"/>
      <c r="C1620"/>
    </row>
    <row r="1621" spans="2:3">
      <c r="B1621" s="476"/>
      <c r="C1621"/>
    </row>
    <row r="1622" spans="2:3">
      <c r="B1622" s="476"/>
      <c r="C1622"/>
    </row>
    <row r="1623" spans="2:3">
      <c r="B1623" s="476"/>
      <c r="C1623"/>
    </row>
    <row r="1624" spans="2:3">
      <c r="B1624" s="476"/>
      <c r="C1624"/>
    </row>
    <row r="1625" spans="2:3">
      <c r="B1625" s="476"/>
      <c r="C1625"/>
    </row>
    <row r="1626" spans="2:3">
      <c r="B1626" s="476"/>
      <c r="C1626"/>
    </row>
    <row r="1627" spans="2:3">
      <c r="B1627" s="476"/>
      <c r="C1627"/>
    </row>
    <row r="1628" spans="2:3">
      <c r="B1628" s="476"/>
      <c r="C1628"/>
    </row>
    <row r="1629" spans="2:3">
      <c r="B1629" s="476"/>
      <c r="C1629"/>
    </row>
    <row r="1630" spans="2:3">
      <c r="B1630" s="476"/>
      <c r="C1630"/>
    </row>
    <row r="1631" spans="2:3">
      <c r="B1631" s="476"/>
      <c r="C1631"/>
    </row>
    <row r="1632" spans="2:3">
      <c r="B1632" s="476"/>
      <c r="C1632"/>
    </row>
    <row r="1633" spans="2:3">
      <c r="B1633" s="476"/>
      <c r="C1633"/>
    </row>
    <row r="1634" spans="2:3">
      <c r="B1634" s="476"/>
      <c r="C1634"/>
    </row>
    <row r="1635" spans="2:3">
      <c r="B1635" s="476"/>
      <c r="C1635"/>
    </row>
    <row r="1636" spans="2:3">
      <c r="B1636" s="476"/>
      <c r="C1636"/>
    </row>
    <row r="1637" spans="2:3">
      <c r="B1637" s="476"/>
      <c r="C1637"/>
    </row>
    <row r="1638" spans="2:3">
      <c r="B1638" s="476"/>
      <c r="C1638"/>
    </row>
    <row r="1639" spans="2:3">
      <c r="B1639" s="476"/>
      <c r="C1639"/>
    </row>
    <row r="1640" spans="2:3">
      <c r="B1640" s="476"/>
      <c r="C1640"/>
    </row>
    <row r="1641" spans="2:3">
      <c r="B1641" s="476"/>
      <c r="C1641"/>
    </row>
    <row r="1642" spans="2:3">
      <c r="B1642" s="476"/>
      <c r="C1642"/>
    </row>
    <row r="1643" spans="2:3">
      <c r="B1643" s="476"/>
      <c r="C1643"/>
    </row>
    <row r="1644" spans="2:3">
      <c r="B1644" s="476"/>
      <c r="C1644"/>
    </row>
    <row r="1645" spans="2:3">
      <c r="B1645" s="476"/>
      <c r="C1645"/>
    </row>
    <row r="1646" spans="2:3">
      <c r="B1646" s="476"/>
      <c r="C1646"/>
    </row>
    <row r="1647" spans="2:3">
      <c r="B1647" s="476"/>
      <c r="C1647"/>
    </row>
    <row r="1648" spans="2:3">
      <c r="B1648" s="476"/>
      <c r="C1648"/>
    </row>
    <row r="1649" spans="2:3">
      <c r="B1649" s="476"/>
      <c r="C1649"/>
    </row>
    <row r="1650" spans="2:3">
      <c r="B1650" s="476"/>
      <c r="C1650"/>
    </row>
    <row r="1651" spans="2:3">
      <c r="B1651" s="476"/>
      <c r="C1651"/>
    </row>
    <row r="1652" spans="2:3">
      <c r="B1652" s="476"/>
      <c r="C1652"/>
    </row>
    <row r="1653" spans="2:3">
      <c r="B1653" s="476"/>
      <c r="C1653"/>
    </row>
    <row r="1654" spans="2:3">
      <c r="B1654" s="476"/>
      <c r="C1654"/>
    </row>
    <row r="1655" spans="2:3">
      <c r="B1655" s="476"/>
      <c r="C1655"/>
    </row>
    <row r="1656" spans="2:3">
      <c r="B1656" s="476"/>
      <c r="C1656"/>
    </row>
    <row r="1657" spans="2:3">
      <c r="B1657" s="476"/>
      <c r="C1657"/>
    </row>
    <row r="1658" spans="2:3">
      <c r="B1658" s="476"/>
      <c r="C1658"/>
    </row>
    <row r="1659" spans="2:3">
      <c r="B1659" s="476"/>
      <c r="C1659"/>
    </row>
    <row r="1660" spans="2:3">
      <c r="B1660" s="476"/>
      <c r="C1660"/>
    </row>
    <row r="1661" spans="2:3">
      <c r="B1661" s="476"/>
      <c r="C1661"/>
    </row>
    <row r="1662" spans="2:3">
      <c r="B1662" s="476"/>
      <c r="C1662"/>
    </row>
    <row r="1663" spans="2:3">
      <c r="B1663" s="476"/>
      <c r="C1663"/>
    </row>
    <row r="1664" spans="2:3">
      <c r="B1664" s="476"/>
      <c r="C1664"/>
    </row>
    <row r="1665" spans="2:3">
      <c r="B1665" s="476"/>
      <c r="C1665"/>
    </row>
    <row r="1666" spans="2:3">
      <c r="B1666" s="476"/>
      <c r="C1666"/>
    </row>
    <row r="1667" spans="2:3">
      <c r="B1667" s="476"/>
      <c r="C1667"/>
    </row>
    <row r="1668" spans="2:3">
      <c r="B1668" s="476"/>
      <c r="C1668"/>
    </row>
    <row r="1669" spans="2:3">
      <c r="B1669" s="476"/>
      <c r="C1669"/>
    </row>
    <row r="1670" spans="2:3">
      <c r="B1670" s="476"/>
      <c r="C1670"/>
    </row>
    <row r="1671" spans="2:3">
      <c r="B1671" s="476"/>
      <c r="C1671"/>
    </row>
    <row r="1672" spans="2:3">
      <c r="B1672" s="476"/>
      <c r="C1672"/>
    </row>
    <row r="1673" spans="2:3">
      <c r="B1673" s="476"/>
      <c r="C1673"/>
    </row>
    <row r="1674" spans="2:3">
      <c r="B1674" s="476"/>
      <c r="C1674"/>
    </row>
    <row r="1675" spans="2:3">
      <c r="B1675" s="476"/>
      <c r="C1675"/>
    </row>
    <row r="1676" spans="2:3">
      <c r="B1676" s="476"/>
      <c r="C1676"/>
    </row>
    <row r="1677" spans="2:3">
      <c r="B1677" s="476"/>
      <c r="C1677"/>
    </row>
    <row r="1678" spans="2:3">
      <c r="B1678" s="476"/>
      <c r="C1678"/>
    </row>
    <row r="1679" spans="2:3">
      <c r="B1679" s="476"/>
      <c r="C1679"/>
    </row>
    <row r="1680" spans="2:3">
      <c r="B1680" s="476"/>
      <c r="C1680"/>
    </row>
    <row r="1681" spans="2:3">
      <c r="B1681" s="476"/>
      <c r="C1681"/>
    </row>
    <row r="1682" spans="2:3">
      <c r="B1682" s="476"/>
      <c r="C1682"/>
    </row>
    <row r="1683" spans="2:3">
      <c r="B1683" s="476"/>
      <c r="C1683"/>
    </row>
    <row r="1684" spans="2:3">
      <c r="B1684" s="476"/>
      <c r="C1684"/>
    </row>
    <row r="1685" spans="2:3">
      <c r="B1685" s="476"/>
      <c r="C1685"/>
    </row>
    <row r="1686" spans="2:3">
      <c r="B1686" s="476"/>
      <c r="C1686"/>
    </row>
    <row r="1687" spans="2:3">
      <c r="B1687" s="476"/>
      <c r="C1687"/>
    </row>
    <row r="1688" spans="2:3">
      <c r="B1688" s="476"/>
      <c r="C1688"/>
    </row>
    <row r="1689" spans="2:3">
      <c r="B1689" s="476"/>
      <c r="C1689"/>
    </row>
    <row r="1690" spans="2:3">
      <c r="B1690" s="476"/>
      <c r="C1690"/>
    </row>
    <row r="1691" spans="2:3">
      <c r="B1691" s="476"/>
      <c r="C1691"/>
    </row>
    <row r="1692" spans="2:3">
      <c r="B1692" s="476"/>
      <c r="C1692"/>
    </row>
    <row r="1693" spans="2:3">
      <c r="B1693" s="476"/>
      <c r="C1693"/>
    </row>
    <row r="1694" spans="2:3">
      <c r="B1694" s="476"/>
      <c r="C1694"/>
    </row>
    <row r="1695" spans="2:3">
      <c r="B1695" s="476"/>
      <c r="C1695"/>
    </row>
    <row r="1696" spans="2:3">
      <c r="B1696" s="476"/>
      <c r="C1696"/>
    </row>
    <row r="1697" spans="2:3">
      <c r="B1697" s="476"/>
      <c r="C1697"/>
    </row>
    <row r="1698" spans="2:3">
      <c r="B1698" s="476"/>
      <c r="C1698"/>
    </row>
    <row r="1699" spans="2:3">
      <c r="B1699" s="476"/>
      <c r="C1699"/>
    </row>
    <row r="1700" spans="2:3">
      <c r="B1700" s="476"/>
      <c r="C1700"/>
    </row>
    <row r="1701" spans="2:3">
      <c r="B1701" s="476"/>
      <c r="C1701"/>
    </row>
    <row r="1702" spans="2:3">
      <c r="B1702" s="476"/>
      <c r="C1702"/>
    </row>
    <row r="1703" spans="2:3">
      <c r="B1703" s="476"/>
      <c r="C1703"/>
    </row>
    <row r="1704" spans="2:3">
      <c r="B1704" s="476"/>
      <c r="C1704"/>
    </row>
    <row r="1705" spans="2:3">
      <c r="B1705" s="476"/>
      <c r="C1705"/>
    </row>
    <row r="1706" spans="2:3">
      <c r="B1706" s="476"/>
      <c r="C1706"/>
    </row>
    <row r="1707" spans="2:3">
      <c r="B1707" s="476"/>
      <c r="C1707"/>
    </row>
    <row r="1708" spans="2:3">
      <c r="B1708" s="476"/>
      <c r="C1708"/>
    </row>
    <row r="1709" spans="2:3">
      <c r="B1709" s="476"/>
      <c r="C1709"/>
    </row>
    <row r="1710" spans="2:3">
      <c r="B1710" s="476"/>
      <c r="C1710"/>
    </row>
    <row r="1711" spans="2:3">
      <c r="B1711" s="476"/>
      <c r="C1711"/>
    </row>
    <row r="1712" spans="2:3">
      <c r="B1712" s="476"/>
      <c r="C1712"/>
    </row>
    <row r="1713" spans="2:3">
      <c r="B1713" s="476"/>
      <c r="C1713"/>
    </row>
    <row r="1714" spans="2:3">
      <c r="B1714" s="476"/>
      <c r="C1714"/>
    </row>
    <row r="1715" spans="2:3">
      <c r="B1715" s="476"/>
      <c r="C1715"/>
    </row>
    <row r="1716" spans="2:3">
      <c r="B1716" s="476"/>
      <c r="C1716"/>
    </row>
    <row r="1717" spans="2:3">
      <c r="B1717" s="476"/>
      <c r="C1717"/>
    </row>
    <row r="1718" spans="2:3">
      <c r="B1718" s="476"/>
      <c r="C1718"/>
    </row>
    <row r="1719" spans="2:3">
      <c r="B1719" s="476"/>
      <c r="C1719"/>
    </row>
    <row r="1720" spans="2:3">
      <c r="B1720" s="476"/>
      <c r="C1720"/>
    </row>
    <row r="1721" spans="2:3">
      <c r="B1721" s="476"/>
      <c r="C1721"/>
    </row>
    <row r="1722" spans="2:3">
      <c r="B1722" s="476"/>
      <c r="C1722"/>
    </row>
    <row r="1723" spans="2:3">
      <c r="B1723" s="476"/>
      <c r="C1723"/>
    </row>
    <row r="1724" spans="2:3">
      <c r="B1724" s="476"/>
      <c r="C1724"/>
    </row>
    <row r="1725" spans="2:3">
      <c r="B1725" s="476"/>
      <c r="C1725"/>
    </row>
    <row r="1726" spans="2:3">
      <c r="B1726" s="476"/>
      <c r="C1726"/>
    </row>
    <row r="1727" spans="2:3">
      <c r="B1727" s="476"/>
      <c r="C1727"/>
    </row>
    <row r="1728" spans="2:3">
      <c r="B1728" s="476"/>
      <c r="C1728"/>
    </row>
    <row r="1729" spans="2:3">
      <c r="B1729" s="476"/>
      <c r="C1729"/>
    </row>
    <row r="1730" spans="2:3">
      <c r="B1730" s="476"/>
      <c r="C1730"/>
    </row>
    <row r="1731" spans="2:3">
      <c r="B1731" s="476"/>
      <c r="C1731"/>
    </row>
    <row r="1732" spans="2:3">
      <c r="B1732" s="476"/>
      <c r="C1732"/>
    </row>
    <row r="1733" spans="2:3">
      <c r="B1733" s="476"/>
      <c r="C1733"/>
    </row>
    <row r="1734" spans="2:3">
      <c r="B1734" s="476"/>
      <c r="C1734"/>
    </row>
    <row r="1735" spans="2:3">
      <c r="B1735" s="476"/>
      <c r="C1735"/>
    </row>
    <row r="1736" spans="2:3">
      <c r="B1736" s="476"/>
      <c r="C1736"/>
    </row>
    <row r="1737" spans="2:3">
      <c r="B1737" s="476"/>
      <c r="C1737"/>
    </row>
    <row r="1738" spans="2:3">
      <c r="B1738" s="476"/>
      <c r="C1738"/>
    </row>
    <row r="1739" spans="2:3">
      <c r="B1739" s="476"/>
      <c r="C1739"/>
    </row>
    <row r="1740" spans="2:3">
      <c r="B1740" s="476"/>
      <c r="C1740"/>
    </row>
    <row r="1741" spans="2:3">
      <c r="B1741" s="476"/>
      <c r="C1741"/>
    </row>
    <row r="1742" spans="2:3">
      <c r="B1742" s="476"/>
      <c r="C1742"/>
    </row>
    <row r="1743" spans="2:3">
      <c r="B1743" s="476"/>
      <c r="C1743"/>
    </row>
    <row r="1744" spans="2:3">
      <c r="B1744" s="476"/>
      <c r="C1744"/>
    </row>
    <row r="1745" spans="2:3">
      <c r="B1745" s="476"/>
      <c r="C1745"/>
    </row>
    <row r="1746" spans="2:3">
      <c r="B1746" s="476"/>
      <c r="C1746"/>
    </row>
    <row r="1747" spans="2:3">
      <c r="B1747" s="476"/>
      <c r="C1747"/>
    </row>
    <row r="1748" spans="2:3">
      <c r="B1748" s="476"/>
      <c r="C1748"/>
    </row>
    <row r="1749" spans="2:3">
      <c r="B1749" s="476"/>
      <c r="C1749"/>
    </row>
    <row r="1750" spans="2:3">
      <c r="B1750" s="476"/>
      <c r="C1750"/>
    </row>
    <row r="1751" spans="2:3">
      <c r="B1751" s="476"/>
      <c r="C1751"/>
    </row>
    <row r="1752" spans="2:3">
      <c r="B1752" s="476"/>
      <c r="C1752"/>
    </row>
    <row r="1753" spans="2:3">
      <c r="B1753" s="476"/>
      <c r="C1753"/>
    </row>
    <row r="1754" spans="2:3">
      <c r="B1754" s="476"/>
      <c r="C1754"/>
    </row>
    <row r="1755" spans="2:3">
      <c r="B1755" s="476"/>
      <c r="C1755"/>
    </row>
    <row r="1756" spans="2:3">
      <c r="B1756" s="476"/>
      <c r="C1756"/>
    </row>
    <row r="1757" spans="2:3">
      <c r="B1757" s="476"/>
      <c r="C1757"/>
    </row>
    <row r="1758" spans="2:3">
      <c r="B1758" s="476"/>
      <c r="C1758"/>
    </row>
    <row r="1759" spans="2:3">
      <c r="B1759" s="476"/>
      <c r="C1759"/>
    </row>
    <row r="1760" spans="2:3">
      <c r="B1760" s="476"/>
      <c r="C1760"/>
    </row>
    <row r="1761" spans="2:3">
      <c r="B1761" s="476"/>
      <c r="C1761"/>
    </row>
    <row r="1762" spans="2:3">
      <c r="B1762" s="476"/>
      <c r="C1762"/>
    </row>
    <row r="1763" spans="2:3">
      <c r="B1763" s="476"/>
      <c r="C1763"/>
    </row>
    <row r="1764" spans="2:3">
      <c r="B1764" s="476"/>
      <c r="C1764"/>
    </row>
    <row r="1765" spans="2:3">
      <c r="B1765" s="476"/>
      <c r="C1765"/>
    </row>
    <row r="1766" spans="2:3">
      <c r="B1766" s="476"/>
      <c r="C1766"/>
    </row>
    <row r="1767" spans="2:3">
      <c r="B1767" s="476"/>
      <c r="C1767"/>
    </row>
    <row r="1768" spans="2:3">
      <c r="B1768" s="476"/>
      <c r="C1768"/>
    </row>
    <row r="1769" spans="2:3">
      <c r="B1769" s="476"/>
      <c r="C1769"/>
    </row>
    <row r="1770" spans="2:3">
      <c r="B1770" s="476"/>
      <c r="C1770"/>
    </row>
    <row r="1771" spans="2:3">
      <c r="B1771" s="476"/>
      <c r="C1771"/>
    </row>
    <row r="1772" spans="2:3">
      <c r="B1772" s="476"/>
      <c r="C1772"/>
    </row>
    <row r="1773" spans="2:3">
      <c r="B1773" s="476"/>
      <c r="C1773"/>
    </row>
    <row r="1774" spans="2:3">
      <c r="B1774" s="476"/>
      <c r="C1774"/>
    </row>
    <row r="1775" spans="2:3">
      <c r="B1775" s="476"/>
      <c r="C1775"/>
    </row>
    <row r="1776" spans="2:3">
      <c r="B1776" s="476"/>
      <c r="C1776"/>
    </row>
    <row r="1777" spans="2:3">
      <c r="B1777" s="476"/>
      <c r="C1777"/>
    </row>
    <row r="1778" spans="2:3">
      <c r="B1778" s="476"/>
      <c r="C1778"/>
    </row>
    <row r="1779" spans="2:3">
      <c r="B1779" s="476"/>
      <c r="C1779"/>
    </row>
    <row r="1780" spans="2:3">
      <c r="B1780" s="476"/>
      <c r="C1780"/>
    </row>
    <row r="1781" spans="2:3">
      <c r="B1781" s="476"/>
      <c r="C1781"/>
    </row>
    <row r="1782" spans="2:3">
      <c r="B1782" s="476"/>
      <c r="C1782"/>
    </row>
    <row r="1783" spans="2:3">
      <c r="B1783" s="476"/>
      <c r="C1783"/>
    </row>
    <row r="1784" spans="2:3">
      <c r="B1784" s="476"/>
      <c r="C1784"/>
    </row>
    <row r="1785" spans="2:3">
      <c r="B1785" s="476"/>
      <c r="C1785"/>
    </row>
    <row r="1786" spans="2:3">
      <c r="B1786" s="476"/>
      <c r="C1786"/>
    </row>
    <row r="1787" spans="2:3">
      <c r="B1787" s="476"/>
      <c r="C1787"/>
    </row>
    <row r="1788" spans="2:3">
      <c r="B1788" s="476"/>
      <c r="C1788"/>
    </row>
    <row r="1789" spans="2:3">
      <c r="B1789" s="476"/>
      <c r="C1789"/>
    </row>
    <row r="1790" spans="2:3">
      <c r="B1790" s="476"/>
      <c r="C1790"/>
    </row>
    <row r="1791" spans="2:3">
      <c r="B1791" s="476"/>
      <c r="C1791"/>
    </row>
    <row r="1792" spans="2:3">
      <c r="B1792" s="476"/>
      <c r="C1792"/>
    </row>
    <row r="1793" spans="2:3">
      <c r="B1793" s="476"/>
      <c r="C1793"/>
    </row>
    <row r="1794" spans="2:3">
      <c r="B1794" s="476"/>
      <c r="C1794"/>
    </row>
    <row r="1795" spans="2:3">
      <c r="B1795" s="476"/>
      <c r="C1795"/>
    </row>
    <row r="1796" spans="2:3">
      <c r="B1796" s="476"/>
      <c r="C1796"/>
    </row>
    <row r="1797" spans="2:3">
      <c r="B1797" s="476"/>
      <c r="C1797"/>
    </row>
    <row r="1798" spans="2:3">
      <c r="B1798" s="476"/>
      <c r="C1798"/>
    </row>
    <row r="1799" spans="2:3">
      <c r="B1799" s="476"/>
      <c r="C1799"/>
    </row>
    <row r="1800" spans="2:3">
      <c r="B1800" s="476"/>
      <c r="C1800"/>
    </row>
    <row r="1801" spans="2:3">
      <c r="B1801" s="476"/>
      <c r="C1801"/>
    </row>
    <row r="1802" spans="2:3">
      <c r="B1802" s="476"/>
      <c r="C1802"/>
    </row>
    <row r="1803" spans="2:3">
      <c r="B1803" s="476"/>
      <c r="C1803"/>
    </row>
    <row r="1804" spans="2:3">
      <c r="B1804" s="476"/>
      <c r="C1804"/>
    </row>
    <row r="1805" spans="2:3">
      <c r="B1805" s="476"/>
      <c r="C1805"/>
    </row>
    <row r="1806" spans="2:3">
      <c r="B1806" s="476"/>
      <c r="C1806"/>
    </row>
    <row r="1807" spans="2:3">
      <c r="B1807" s="476"/>
      <c r="C1807"/>
    </row>
    <row r="1808" spans="2:3">
      <c r="B1808" s="476"/>
      <c r="C1808"/>
    </row>
    <row r="1809" spans="2:3">
      <c r="B1809" s="476"/>
      <c r="C1809"/>
    </row>
    <row r="1810" spans="2:3">
      <c r="B1810" s="476"/>
      <c r="C1810"/>
    </row>
    <row r="1811" spans="2:3">
      <c r="B1811" s="476"/>
      <c r="C1811"/>
    </row>
    <row r="1812" spans="2:3">
      <c r="B1812" s="476"/>
      <c r="C1812"/>
    </row>
    <row r="1813" spans="2:3">
      <c r="B1813" s="476"/>
      <c r="C1813"/>
    </row>
    <row r="1814" spans="2:3">
      <c r="B1814" s="476"/>
      <c r="C1814"/>
    </row>
    <row r="1815" spans="2:3">
      <c r="B1815" s="476"/>
      <c r="C1815"/>
    </row>
    <row r="1816" spans="2:3">
      <c r="B1816" s="476"/>
      <c r="C1816"/>
    </row>
    <row r="1817" spans="2:3">
      <c r="B1817" s="476"/>
      <c r="C1817"/>
    </row>
    <row r="1818" spans="2:3">
      <c r="B1818" s="476"/>
      <c r="C1818"/>
    </row>
    <row r="1819" spans="2:3">
      <c r="B1819" s="476"/>
      <c r="C1819"/>
    </row>
    <row r="1820" spans="2:3">
      <c r="B1820" s="476"/>
      <c r="C1820"/>
    </row>
    <row r="1821" spans="2:3">
      <c r="B1821" s="476"/>
      <c r="C1821"/>
    </row>
    <row r="1822" spans="2:3">
      <c r="B1822" s="476"/>
      <c r="C1822"/>
    </row>
    <row r="1823" spans="2:3">
      <c r="B1823" s="476"/>
      <c r="C1823"/>
    </row>
    <row r="1824" spans="2:3">
      <c r="B1824" s="476"/>
      <c r="C1824"/>
    </row>
    <row r="1825" spans="2:3">
      <c r="B1825" s="476"/>
      <c r="C1825"/>
    </row>
    <row r="1826" spans="2:3">
      <c r="B1826" s="476"/>
      <c r="C1826"/>
    </row>
    <row r="1827" spans="2:3">
      <c r="B1827" s="476"/>
      <c r="C1827"/>
    </row>
    <row r="1828" spans="2:3">
      <c r="B1828" s="476"/>
      <c r="C1828"/>
    </row>
    <row r="1829" spans="2:3">
      <c r="B1829" s="476"/>
      <c r="C1829"/>
    </row>
    <row r="1830" spans="2:3">
      <c r="B1830" s="476"/>
      <c r="C1830"/>
    </row>
    <row r="1831" spans="2:3">
      <c r="B1831" s="476"/>
      <c r="C1831"/>
    </row>
    <row r="1832" spans="2:3">
      <c r="B1832" s="476"/>
      <c r="C1832"/>
    </row>
    <row r="1833" spans="2:3">
      <c r="B1833" s="476"/>
      <c r="C1833"/>
    </row>
    <row r="1834" spans="2:3">
      <c r="B1834" s="476"/>
      <c r="C1834"/>
    </row>
    <row r="1835" spans="2:3">
      <c r="B1835" s="476"/>
      <c r="C1835"/>
    </row>
    <row r="1836" spans="2:3">
      <c r="B1836" s="476"/>
      <c r="C1836"/>
    </row>
    <row r="1837" spans="2:3">
      <c r="B1837" s="476"/>
      <c r="C1837"/>
    </row>
    <row r="1838" spans="2:3">
      <c r="B1838" s="476"/>
      <c r="C1838"/>
    </row>
    <row r="1839" spans="2:3">
      <c r="B1839" s="476"/>
      <c r="C1839"/>
    </row>
    <row r="1840" spans="2:3">
      <c r="B1840" s="476"/>
      <c r="C1840"/>
    </row>
    <row r="1841" spans="2:3">
      <c r="B1841" s="476"/>
      <c r="C1841"/>
    </row>
    <row r="1842" spans="2:3">
      <c r="B1842" s="476"/>
      <c r="C1842"/>
    </row>
    <row r="1843" spans="2:3">
      <c r="B1843" s="476"/>
      <c r="C1843"/>
    </row>
    <row r="1844" spans="2:3">
      <c r="B1844" s="476"/>
      <c r="C1844"/>
    </row>
    <row r="1845" spans="2:3">
      <c r="B1845" s="476"/>
      <c r="C1845"/>
    </row>
    <row r="1846" spans="2:3">
      <c r="B1846" s="476"/>
      <c r="C1846"/>
    </row>
    <row r="1847" spans="2:3">
      <c r="B1847" s="476"/>
      <c r="C1847"/>
    </row>
    <row r="1848" spans="2:3">
      <c r="B1848" s="476"/>
      <c r="C1848"/>
    </row>
    <row r="1849" spans="2:3">
      <c r="B1849" s="476"/>
      <c r="C1849"/>
    </row>
    <row r="1850" spans="2:3">
      <c r="B1850" s="476"/>
      <c r="C1850"/>
    </row>
    <row r="1851" spans="2:3">
      <c r="B1851" s="476"/>
      <c r="C1851"/>
    </row>
    <row r="1852" spans="2:3">
      <c r="B1852" s="476"/>
      <c r="C1852"/>
    </row>
    <row r="1853" spans="2:3">
      <c r="B1853" s="476"/>
      <c r="C1853"/>
    </row>
    <row r="1854" spans="2:3">
      <c r="B1854" s="476"/>
      <c r="C1854"/>
    </row>
    <row r="1855" spans="2:3">
      <c r="B1855" s="476"/>
      <c r="C1855"/>
    </row>
    <row r="1856" spans="2:3">
      <c r="B1856" s="476"/>
      <c r="C1856"/>
    </row>
    <row r="1857" spans="2:3">
      <c r="B1857" s="476"/>
      <c r="C1857"/>
    </row>
    <row r="1858" spans="2:3">
      <c r="B1858" s="476"/>
      <c r="C1858"/>
    </row>
    <row r="1859" spans="2:3">
      <c r="B1859" s="476"/>
      <c r="C1859"/>
    </row>
    <row r="1860" spans="2:3">
      <c r="B1860" s="476"/>
      <c r="C1860"/>
    </row>
    <row r="1861" spans="2:3">
      <c r="B1861" s="476"/>
      <c r="C1861"/>
    </row>
    <row r="1862" spans="2:3">
      <c r="B1862" s="476"/>
      <c r="C1862"/>
    </row>
    <row r="1863" spans="2:3">
      <c r="B1863" s="476"/>
      <c r="C1863"/>
    </row>
    <row r="1864" spans="2:3">
      <c r="B1864" s="476"/>
      <c r="C1864"/>
    </row>
    <row r="1865" spans="2:3">
      <c r="B1865" s="476"/>
      <c r="C1865"/>
    </row>
    <row r="1866" spans="2:3">
      <c r="B1866" s="476"/>
      <c r="C1866"/>
    </row>
    <row r="1867" spans="2:3">
      <c r="B1867" s="476"/>
      <c r="C1867"/>
    </row>
    <row r="1868" spans="2:3">
      <c r="B1868" s="476"/>
      <c r="C1868"/>
    </row>
    <row r="1869" spans="2:3">
      <c r="B1869" s="476"/>
      <c r="C1869"/>
    </row>
    <row r="1870" spans="2:3">
      <c r="B1870" s="476"/>
      <c r="C1870"/>
    </row>
    <row r="1871" spans="2:3">
      <c r="B1871" s="476"/>
      <c r="C1871"/>
    </row>
    <row r="1872" spans="2:3">
      <c r="B1872" s="476"/>
      <c r="C1872"/>
    </row>
    <row r="1873" spans="2:3">
      <c r="B1873" s="476"/>
      <c r="C1873"/>
    </row>
    <row r="1874" spans="2:3">
      <c r="B1874" s="476"/>
      <c r="C1874"/>
    </row>
    <row r="1875" spans="2:3">
      <c r="B1875" s="476"/>
      <c r="C1875"/>
    </row>
    <row r="1876" spans="2:3">
      <c r="B1876" s="476"/>
      <c r="C1876"/>
    </row>
    <row r="1877" spans="2:3">
      <c r="B1877" s="476"/>
      <c r="C1877"/>
    </row>
    <row r="1878" spans="2:3">
      <c r="B1878" s="476"/>
      <c r="C1878"/>
    </row>
    <row r="1879" spans="2:3">
      <c r="B1879" s="476"/>
      <c r="C1879"/>
    </row>
    <row r="1880" spans="2:3">
      <c r="B1880" s="476"/>
      <c r="C1880"/>
    </row>
    <row r="1881" spans="2:3">
      <c r="B1881" s="476"/>
      <c r="C1881"/>
    </row>
    <row r="1882" spans="2:3">
      <c r="B1882" s="476"/>
      <c r="C1882"/>
    </row>
    <row r="1883" spans="2:3">
      <c r="B1883" s="476"/>
      <c r="C1883"/>
    </row>
    <row r="1884" spans="2:3">
      <c r="B1884" s="476"/>
      <c r="C1884"/>
    </row>
    <row r="1885" spans="2:3">
      <c r="B1885" s="476"/>
      <c r="C1885"/>
    </row>
    <row r="1886" spans="2:3">
      <c r="B1886" s="476"/>
      <c r="C1886"/>
    </row>
    <row r="1887" spans="2:3">
      <c r="B1887" s="476"/>
      <c r="C1887"/>
    </row>
    <row r="1888" spans="2:3">
      <c r="B1888" s="476"/>
      <c r="C1888"/>
    </row>
    <row r="1889" spans="2:3">
      <c r="B1889" s="476"/>
      <c r="C1889"/>
    </row>
    <row r="1890" spans="2:3">
      <c r="B1890" s="476"/>
      <c r="C1890"/>
    </row>
    <row r="1891" spans="2:3">
      <c r="B1891" s="476"/>
      <c r="C1891"/>
    </row>
    <row r="1892" spans="2:3">
      <c r="B1892" s="476"/>
      <c r="C1892"/>
    </row>
    <row r="1893" spans="2:3">
      <c r="B1893" s="476"/>
      <c r="C1893"/>
    </row>
    <row r="1894" spans="2:3">
      <c r="B1894" s="476"/>
      <c r="C1894"/>
    </row>
    <row r="1895" spans="2:3">
      <c r="B1895" s="476"/>
      <c r="C1895"/>
    </row>
    <row r="1896" spans="2:3">
      <c r="B1896" s="476"/>
      <c r="C1896"/>
    </row>
    <row r="1897" spans="2:3">
      <c r="B1897" s="476"/>
      <c r="C1897"/>
    </row>
    <row r="1898" spans="2:3">
      <c r="B1898" s="476"/>
      <c r="C1898"/>
    </row>
    <row r="1899" spans="2:3">
      <c r="B1899" s="476"/>
      <c r="C1899"/>
    </row>
    <row r="1900" spans="2:3">
      <c r="B1900" s="476"/>
      <c r="C1900"/>
    </row>
    <row r="1901" spans="2:3">
      <c r="B1901" s="476"/>
      <c r="C1901"/>
    </row>
    <row r="1902" spans="2:3">
      <c r="B1902" s="476"/>
      <c r="C1902"/>
    </row>
    <row r="1903" spans="2:3">
      <c r="B1903" s="476"/>
      <c r="C1903"/>
    </row>
    <row r="1904" spans="2:3">
      <c r="B1904" s="476"/>
      <c r="C1904"/>
    </row>
    <row r="1905" spans="2:3">
      <c r="B1905" s="476"/>
      <c r="C1905"/>
    </row>
    <row r="1906" spans="2:3">
      <c r="B1906" s="476"/>
      <c r="C1906"/>
    </row>
    <row r="1907" spans="2:3">
      <c r="B1907" s="476"/>
      <c r="C1907"/>
    </row>
    <row r="1908" spans="2:3">
      <c r="B1908" s="476"/>
      <c r="C1908"/>
    </row>
    <row r="1909" spans="2:3">
      <c r="B1909" s="476"/>
      <c r="C1909"/>
    </row>
    <row r="1910" spans="2:3">
      <c r="B1910" s="476"/>
      <c r="C1910"/>
    </row>
    <row r="1911" spans="2:3">
      <c r="B1911" s="476"/>
      <c r="C1911"/>
    </row>
    <row r="1912" spans="2:3">
      <c r="B1912" s="476"/>
      <c r="C1912"/>
    </row>
    <row r="1913" spans="2:3">
      <c r="B1913" s="476"/>
      <c r="C1913"/>
    </row>
    <row r="1914" spans="2:3">
      <c r="B1914" s="476"/>
      <c r="C1914"/>
    </row>
    <row r="1915" spans="2:3">
      <c r="B1915" s="476"/>
      <c r="C1915"/>
    </row>
    <row r="1916" spans="2:3">
      <c r="B1916" s="476"/>
      <c r="C1916"/>
    </row>
    <row r="1917" spans="2:3">
      <c r="B1917" s="476"/>
      <c r="C1917"/>
    </row>
    <row r="1918" spans="2:3">
      <c r="B1918" s="476"/>
      <c r="C1918"/>
    </row>
    <row r="1919" spans="2:3">
      <c r="B1919" s="476"/>
      <c r="C1919"/>
    </row>
    <row r="1920" spans="2:3">
      <c r="B1920" s="476"/>
      <c r="C1920"/>
    </row>
    <row r="1921" spans="2:3">
      <c r="B1921" s="476"/>
      <c r="C1921"/>
    </row>
    <row r="1922" spans="2:3">
      <c r="B1922" s="476"/>
      <c r="C1922"/>
    </row>
    <row r="1923" spans="2:3">
      <c r="B1923" s="476"/>
      <c r="C1923"/>
    </row>
    <row r="1924" spans="2:3">
      <c r="B1924" s="476"/>
      <c r="C1924"/>
    </row>
    <row r="1925" spans="2:3">
      <c r="B1925" s="476"/>
      <c r="C1925"/>
    </row>
    <row r="1926" spans="2:3">
      <c r="B1926" s="476"/>
      <c r="C1926"/>
    </row>
    <row r="1927" spans="2:3">
      <c r="B1927" s="476"/>
      <c r="C1927"/>
    </row>
    <row r="1928" spans="2:3">
      <c r="B1928" s="476"/>
      <c r="C1928"/>
    </row>
    <row r="1929" spans="2:3">
      <c r="B1929" s="476"/>
      <c r="C1929"/>
    </row>
    <row r="1930" spans="2:3">
      <c r="B1930" s="476"/>
      <c r="C1930"/>
    </row>
    <row r="1931" spans="2:3">
      <c r="B1931" s="476"/>
      <c r="C1931"/>
    </row>
    <row r="1932" spans="2:3">
      <c r="B1932" s="476"/>
      <c r="C1932"/>
    </row>
    <row r="1933" spans="2:3">
      <c r="B1933" s="476"/>
      <c r="C1933"/>
    </row>
    <row r="1934" spans="2:3">
      <c r="B1934" s="476"/>
      <c r="C1934"/>
    </row>
    <row r="1935" spans="2:3">
      <c r="B1935" s="476"/>
      <c r="C1935"/>
    </row>
    <row r="1936" spans="2:3">
      <c r="B1936" s="476"/>
      <c r="C1936"/>
    </row>
    <row r="1937" spans="2:3">
      <c r="B1937" s="476"/>
      <c r="C1937"/>
    </row>
    <row r="1938" spans="2:3">
      <c r="B1938" s="476"/>
      <c r="C1938"/>
    </row>
    <row r="1939" spans="2:3">
      <c r="B1939" s="476"/>
      <c r="C1939"/>
    </row>
  </sheetData>
  <autoFilter ref="B4:L157" xr:uid="{D6673FD6-EF5F-486D-890F-8D10F379A878}"/>
  <mergeCells count="1">
    <mergeCell ref="B8:F8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A1:Q116"/>
  <sheetViews>
    <sheetView topLeftCell="A63" zoomScale="86" zoomScaleNormal="70" workbookViewId="0">
      <selection activeCell="E76" sqref="E76"/>
    </sheetView>
  </sheetViews>
  <sheetFormatPr defaultColWidth="8.7109375" defaultRowHeight="13.9" outlineLevelRow="2"/>
  <cols>
    <col min="1" max="1" width="1.7109375" style="599" customWidth="1"/>
    <col min="2" max="2" width="14.7109375" style="599" customWidth="1"/>
    <col min="3" max="3" width="78.42578125" style="599" customWidth="1"/>
    <col min="4" max="4" width="10.5703125" style="617" customWidth="1"/>
    <col min="5" max="5" width="12.5703125" style="617" customWidth="1"/>
    <col min="6" max="6" width="12.5703125" style="617" bestFit="1" customWidth="1"/>
    <col min="7" max="7" width="113.42578125" style="599" customWidth="1"/>
    <col min="8" max="16384" width="8.7109375" style="599"/>
  </cols>
  <sheetData>
    <row r="1" spans="1:7" s="593" customFormat="1" ht="39" customHeight="1">
      <c r="A1" s="650"/>
      <c r="B1" s="592" t="s">
        <v>11</v>
      </c>
      <c r="C1" s="592" t="s">
        <v>612</v>
      </c>
      <c r="D1" s="592" t="s">
        <v>613</v>
      </c>
      <c r="E1" s="592" t="s">
        <v>614</v>
      </c>
      <c r="F1" s="592" t="s">
        <v>615</v>
      </c>
      <c r="G1" s="592" t="s">
        <v>616</v>
      </c>
    </row>
    <row r="2" spans="1:7" s="593" customFormat="1" ht="39" customHeight="1">
      <c r="A2" s="650"/>
      <c r="B2" s="592"/>
      <c r="C2" s="592"/>
      <c r="D2" s="594">
        <f>SUM(D3:D115)</f>
        <v>112.68298786211534</v>
      </c>
      <c r="E2" s="595">
        <f>SUM(E3:E112)</f>
        <v>55</v>
      </c>
      <c r="F2" s="594">
        <f>SUM(F3:F112)</f>
        <v>3.5166916608190832</v>
      </c>
      <c r="G2" s="592"/>
    </row>
    <row r="3" spans="1:7">
      <c r="A3" s="632"/>
      <c r="B3" s="651" t="s">
        <v>617</v>
      </c>
      <c r="C3" s="651" t="s">
        <v>618</v>
      </c>
      <c r="D3" s="596">
        <v>10.4</v>
      </c>
      <c r="E3" s="597"/>
      <c r="F3" s="598"/>
      <c r="G3" s="632"/>
    </row>
    <row r="4" spans="1:7">
      <c r="A4" s="632"/>
      <c r="B4" s="651" t="s">
        <v>617</v>
      </c>
      <c r="C4" s="651" t="s">
        <v>619</v>
      </c>
      <c r="D4" s="600">
        <v>2.2000000000000002</v>
      </c>
      <c r="E4" s="601"/>
      <c r="F4" s="598"/>
      <c r="G4" s="632" t="s">
        <v>620</v>
      </c>
    </row>
    <row r="5" spans="1:7" ht="41.45">
      <c r="A5" s="632"/>
      <c r="B5" s="651" t="s">
        <v>621</v>
      </c>
      <c r="C5" s="651" t="s">
        <v>622</v>
      </c>
      <c r="D5" s="596">
        <v>11.71</v>
      </c>
      <c r="E5" s="602"/>
      <c r="F5" s="603"/>
      <c r="G5" s="651" t="s">
        <v>623</v>
      </c>
    </row>
    <row r="6" spans="1:7" ht="27.6">
      <c r="A6" s="632"/>
      <c r="B6" s="651" t="s">
        <v>621</v>
      </c>
      <c r="C6" s="651" t="s">
        <v>624</v>
      </c>
      <c r="D6" s="604">
        <v>1.4</v>
      </c>
      <c r="E6" s="602"/>
      <c r="F6" s="598"/>
      <c r="G6" s="651" t="s">
        <v>625</v>
      </c>
    </row>
    <row r="7" spans="1:7">
      <c r="A7" s="632"/>
      <c r="B7" s="651" t="s">
        <v>621</v>
      </c>
      <c r="C7" s="651" t="s">
        <v>626</v>
      </c>
      <c r="D7" s="596">
        <v>0.78</v>
      </c>
      <c r="E7" s="597"/>
      <c r="F7" s="598"/>
      <c r="G7" s="632"/>
    </row>
    <row r="8" spans="1:7">
      <c r="A8" s="632"/>
      <c r="B8" s="651" t="s">
        <v>621</v>
      </c>
      <c r="C8" s="651" t="s">
        <v>627</v>
      </c>
      <c r="D8" s="596">
        <v>13.81</v>
      </c>
      <c r="E8" s="597"/>
      <c r="F8" s="598"/>
      <c r="G8" s="447" t="s">
        <v>628</v>
      </c>
    </row>
    <row r="9" spans="1:7">
      <c r="A9" s="632"/>
      <c r="B9" s="651" t="s">
        <v>621</v>
      </c>
      <c r="C9" s="651" t="s">
        <v>629</v>
      </c>
      <c r="D9" s="596">
        <v>0.11</v>
      </c>
      <c r="E9" s="597"/>
      <c r="F9" s="598"/>
      <c r="G9" s="632"/>
    </row>
    <row r="10" spans="1:7">
      <c r="A10" s="632"/>
      <c r="B10" s="651" t="s">
        <v>621</v>
      </c>
      <c r="C10" s="651" t="s">
        <v>630</v>
      </c>
      <c r="D10" s="596">
        <v>1.18</v>
      </c>
      <c r="E10" s="597"/>
      <c r="F10" s="598"/>
      <c r="G10" s="651" t="s">
        <v>628</v>
      </c>
    </row>
    <row r="11" spans="1:7">
      <c r="A11" s="632"/>
      <c r="B11" s="651" t="s">
        <v>631</v>
      </c>
      <c r="C11" s="651" t="s">
        <v>632</v>
      </c>
      <c r="D11" s="596">
        <v>0.36</v>
      </c>
      <c r="E11" s="597"/>
      <c r="F11" s="598"/>
      <c r="G11" s="632"/>
    </row>
    <row r="12" spans="1:7">
      <c r="A12" s="632"/>
      <c r="B12" s="651" t="s">
        <v>631</v>
      </c>
      <c r="C12" s="651" t="s">
        <v>633</v>
      </c>
      <c r="D12" s="596">
        <v>0.62</v>
      </c>
      <c r="E12" s="597"/>
      <c r="F12" s="598"/>
      <c r="G12" s="632"/>
    </row>
    <row r="13" spans="1:7">
      <c r="A13" s="632"/>
      <c r="B13" s="651" t="s">
        <v>631</v>
      </c>
      <c r="C13" s="651" t="s">
        <v>634</v>
      </c>
      <c r="D13" s="596">
        <v>14.74</v>
      </c>
      <c r="E13" s="597"/>
      <c r="F13" s="598"/>
      <c r="G13" s="447" t="s">
        <v>628</v>
      </c>
    </row>
    <row r="14" spans="1:7">
      <c r="A14" s="632"/>
      <c r="B14" s="651" t="s">
        <v>631</v>
      </c>
      <c r="C14" s="651" t="s">
        <v>635</v>
      </c>
      <c r="D14" s="596">
        <v>2.75</v>
      </c>
      <c r="E14" s="597"/>
      <c r="F14" s="598"/>
      <c r="G14" s="440" t="s">
        <v>636</v>
      </c>
    </row>
    <row r="15" spans="1:7">
      <c r="A15" s="632"/>
      <c r="B15" s="651" t="s">
        <v>631</v>
      </c>
      <c r="C15" s="651" t="s">
        <v>637</v>
      </c>
      <c r="D15" s="596">
        <v>1.61</v>
      </c>
      <c r="E15" s="597"/>
      <c r="F15" s="598"/>
      <c r="G15" s="632"/>
    </row>
    <row r="16" spans="1:7" s="620" customFormat="1">
      <c r="A16" s="652"/>
      <c r="B16" s="653" t="s">
        <v>638</v>
      </c>
      <c r="C16" s="653" t="s">
        <v>639</v>
      </c>
      <c r="D16" s="598">
        <v>5.88</v>
      </c>
      <c r="E16" s="619"/>
      <c r="F16" s="618"/>
      <c r="G16" s="729" t="s">
        <v>640</v>
      </c>
    </row>
    <row r="17" spans="1:17">
      <c r="A17" s="632"/>
      <c r="B17" s="651" t="s">
        <v>638</v>
      </c>
      <c r="C17" s="651" t="s">
        <v>641</v>
      </c>
      <c r="D17" s="596">
        <v>0.85</v>
      </c>
      <c r="E17" s="597"/>
      <c r="F17" s="598"/>
      <c r="G17" s="632"/>
      <c r="H17" s="654"/>
      <c r="I17" s="654"/>
      <c r="J17" s="654"/>
      <c r="K17" s="654"/>
      <c r="L17" s="654"/>
      <c r="M17" s="654"/>
      <c r="N17" s="654"/>
      <c r="O17" s="654"/>
      <c r="P17" s="654"/>
      <c r="Q17" s="654"/>
    </row>
    <row r="18" spans="1:17">
      <c r="A18" s="632"/>
      <c r="B18" s="651" t="s">
        <v>638</v>
      </c>
      <c r="C18" s="651" t="s">
        <v>642</v>
      </c>
      <c r="D18" s="596">
        <v>0.33</v>
      </c>
      <c r="E18" s="597"/>
      <c r="F18" s="598"/>
      <c r="G18" s="632" t="s">
        <v>643</v>
      </c>
      <c r="H18" s="654"/>
      <c r="I18" s="654"/>
      <c r="J18" s="654"/>
      <c r="K18" s="654"/>
      <c r="L18" s="654"/>
      <c r="M18" s="654"/>
      <c r="N18" s="654"/>
      <c r="O18" s="654"/>
      <c r="P18" s="654"/>
      <c r="Q18" s="654"/>
    </row>
    <row r="19" spans="1:17">
      <c r="A19" s="632"/>
      <c r="B19" s="651" t="s">
        <v>638</v>
      </c>
      <c r="C19" s="651" t="s">
        <v>644</v>
      </c>
      <c r="D19" s="596">
        <v>0.38</v>
      </c>
      <c r="E19" s="597"/>
      <c r="F19" s="598"/>
      <c r="G19" s="632"/>
      <c r="H19" s="654"/>
      <c r="I19" s="654"/>
      <c r="J19" s="654"/>
      <c r="K19" s="654"/>
      <c r="L19" s="654"/>
      <c r="M19" s="654"/>
      <c r="N19" s="654"/>
      <c r="O19" s="654"/>
      <c r="P19" s="654"/>
      <c r="Q19" s="654"/>
    </row>
    <row r="20" spans="1:17">
      <c r="A20" s="632"/>
      <c r="B20" s="651" t="s">
        <v>638</v>
      </c>
      <c r="C20" s="651" t="s">
        <v>645</v>
      </c>
      <c r="D20" s="596">
        <v>0.17</v>
      </c>
      <c r="E20" s="597"/>
      <c r="F20" s="598"/>
      <c r="G20" s="632"/>
      <c r="H20" s="654"/>
      <c r="I20" s="654"/>
      <c r="J20" s="654"/>
      <c r="K20" s="654"/>
      <c r="L20" s="654"/>
      <c r="M20" s="654"/>
      <c r="N20" s="654"/>
      <c r="O20" s="654"/>
      <c r="P20" s="654"/>
      <c r="Q20" s="654"/>
    </row>
    <row r="21" spans="1:17">
      <c r="A21" s="632"/>
      <c r="B21" s="651" t="s">
        <v>638</v>
      </c>
      <c r="C21" s="651" t="s">
        <v>646</v>
      </c>
      <c r="D21" s="596">
        <v>0.06</v>
      </c>
      <c r="E21" s="597"/>
      <c r="F21" s="598"/>
      <c r="G21" s="659" t="s">
        <v>279</v>
      </c>
      <c r="H21" s="654"/>
      <c r="I21" s="654"/>
      <c r="J21" s="654"/>
      <c r="K21" s="654"/>
      <c r="L21" s="654"/>
      <c r="M21" s="654"/>
      <c r="N21" s="654"/>
      <c r="O21" s="654"/>
      <c r="P21" s="654"/>
      <c r="Q21" s="654"/>
    </row>
    <row r="22" spans="1:17">
      <c r="A22" s="632"/>
      <c r="B22" s="651" t="s">
        <v>638</v>
      </c>
      <c r="C22" s="651" t="s">
        <v>647</v>
      </c>
      <c r="D22" s="596">
        <v>0.28999999999999998</v>
      </c>
      <c r="E22" s="597"/>
      <c r="F22" s="598"/>
      <c r="G22" s="420" t="s">
        <v>565</v>
      </c>
      <c r="H22" s="654"/>
      <c r="I22" s="654"/>
      <c r="J22" s="654"/>
      <c r="K22" s="654"/>
      <c r="L22" s="654"/>
      <c r="M22" s="654"/>
      <c r="N22" s="654"/>
      <c r="O22" s="654"/>
      <c r="P22" s="654"/>
      <c r="Q22" s="654"/>
    </row>
    <row r="23" spans="1:17">
      <c r="A23" s="632"/>
      <c r="B23" s="651" t="s">
        <v>638</v>
      </c>
      <c r="C23" s="651" t="s">
        <v>648</v>
      </c>
      <c r="D23" s="596">
        <v>0.51</v>
      </c>
      <c r="E23" s="597"/>
      <c r="F23" s="598"/>
      <c r="G23" s="632"/>
      <c r="H23" s="654"/>
      <c r="I23" s="654"/>
      <c r="J23" s="654"/>
      <c r="K23" s="654"/>
      <c r="L23" s="654"/>
      <c r="M23" s="654"/>
      <c r="N23" s="654"/>
      <c r="O23" s="654"/>
      <c r="P23" s="654"/>
      <c r="Q23" s="654"/>
    </row>
    <row r="24" spans="1:17">
      <c r="A24" s="632"/>
      <c r="B24" s="651" t="s">
        <v>649</v>
      </c>
      <c r="C24" s="651" t="s">
        <v>650</v>
      </c>
      <c r="D24" s="596">
        <v>4.0000000000000001E-3</v>
      </c>
      <c r="E24" s="597"/>
      <c r="F24" s="598"/>
      <c r="G24" s="632"/>
      <c r="H24" s="654"/>
      <c r="I24" s="654"/>
      <c r="J24" s="654"/>
      <c r="K24" s="654"/>
      <c r="L24" s="654"/>
      <c r="M24" s="654"/>
      <c r="N24" s="654"/>
      <c r="O24" s="654"/>
      <c r="P24" s="654"/>
      <c r="Q24" s="654"/>
    </row>
    <row r="25" spans="1:17">
      <c r="A25" s="632"/>
      <c r="B25" s="651" t="s">
        <v>649</v>
      </c>
      <c r="C25" s="651" t="s">
        <v>651</v>
      </c>
      <c r="D25" s="596">
        <v>0.7</v>
      </c>
      <c r="E25" s="597"/>
      <c r="F25" s="598"/>
      <c r="G25" s="632"/>
      <c r="H25" s="654"/>
      <c r="I25" s="654"/>
      <c r="J25" s="654"/>
      <c r="K25" s="654"/>
      <c r="L25" s="654"/>
      <c r="M25" s="654"/>
      <c r="N25" s="654"/>
      <c r="O25" s="654"/>
      <c r="P25" s="654"/>
      <c r="Q25" s="654"/>
    </row>
    <row r="26" spans="1:17">
      <c r="A26" s="632"/>
      <c r="B26" s="651" t="s">
        <v>649</v>
      </c>
      <c r="C26" s="605" t="s">
        <v>652</v>
      </c>
      <c r="D26" s="596"/>
      <c r="E26" s="597"/>
      <c r="F26" s="598"/>
      <c r="G26" s="632"/>
      <c r="H26" s="654"/>
      <c r="I26" s="654"/>
      <c r="J26" s="654"/>
      <c r="K26" s="654"/>
      <c r="L26" s="654"/>
      <c r="M26" s="654"/>
      <c r="N26" s="654"/>
      <c r="O26" s="654"/>
      <c r="P26" s="654"/>
      <c r="Q26" s="654"/>
    </row>
    <row r="27" spans="1:17">
      <c r="A27" s="632"/>
      <c r="B27" s="651" t="s">
        <v>649</v>
      </c>
      <c r="C27" s="651" t="s">
        <v>653</v>
      </c>
      <c r="D27" s="596">
        <v>0.15</v>
      </c>
      <c r="E27" s="597"/>
      <c r="F27" s="598"/>
      <c r="G27" s="632"/>
      <c r="H27" s="654"/>
      <c r="I27" s="654"/>
      <c r="J27" s="654"/>
      <c r="K27" s="654"/>
      <c r="L27" s="654"/>
      <c r="M27" s="654"/>
      <c r="N27" s="654"/>
      <c r="O27" s="654"/>
      <c r="P27" s="654"/>
      <c r="Q27" s="654"/>
    </row>
    <row r="28" spans="1:17">
      <c r="A28" s="632"/>
      <c r="B28" s="632"/>
      <c r="C28" s="651"/>
      <c r="D28" s="596"/>
      <c r="E28" s="597"/>
      <c r="F28" s="598"/>
      <c r="G28" s="632"/>
      <c r="H28" s="654"/>
      <c r="I28" s="654"/>
      <c r="J28" s="654"/>
      <c r="K28" s="654"/>
      <c r="L28" s="654"/>
      <c r="M28" s="654"/>
      <c r="N28" s="654"/>
      <c r="O28" s="654"/>
      <c r="P28" s="654"/>
      <c r="Q28" s="654"/>
    </row>
    <row r="29" spans="1:17">
      <c r="A29" s="632"/>
      <c r="B29" s="606" t="s">
        <v>654</v>
      </c>
      <c r="C29" s="606" t="s">
        <v>655</v>
      </c>
      <c r="D29" s="607">
        <f>SUM(D30:D34)</f>
        <v>0</v>
      </c>
      <c r="E29" s="597"/>
      <c r="F29" s="598"/>
      <c r="G29" s="632"/>
      <c r="H29" s="654"/>
      <c r="I29" s="654"/>
      <c r="J29" s="654"/>
      <c r="K29" s="654"/>
      <c r="L29" s="654"/>
      <c r="M29" s="654"/>
      <c r="N29" s="654"/>
      <c r="O29" s="654"/>
      <c r="P29" s="654"/>
      <c r="Q29" s="654"/>
    </row>
    <row r="30" spans="1:17" s="613" customFormat="1" ht="14.45" outlineLevel="2">
      <c r="A30" s="608"/>
      <c r="B30" s="632" t="s">
        <v>311</v>
      </c>
      <c r="C30" s="655" t="s">
        <v>656</v>
      </c>
      <c r="D30" s="596"/>
      <c r="E30" s="597"/>
      <c r="F30" s="609"/>
      <c r="G30" s="655" t="s">
        <v>657</v>
      </c>
      <c r="H30" s="611"/>
      <c r="I30" s="610"/>
      <c r="J30" s="610"/>
      <c r="K30" s="610"/>
      <c r="L30" s="482"/>
      <c r="M30" s="612"/>
      <c r="N30" s="612"/>
      <c r="O30" s="612"/>
      <c r="P30" s="612"/>
      <c r="Q30" s="612"/>
    </row>
    <row r="31" spans="1:17" s="613" customFormat="1" ht="14.45" outlineLevel="2">
      <c r="A31" s="608"/>
      <c r="B31" s="632" t="s">
        <v>311</v>
      </c>
      <c r="C31" s="655" t="s">
        <v>658</v>
      </c>
      <c r="D31" s="596"/>
      <c r="E31" s="597"/>
      <c r="F31" s="609"/>
      <c r="G31" s="655" t="s">
        <v>659</v>
      </c>
      <c r="H31" s="611"/>
      <c r="I31" s="610"/>
      <c r="J31" s="610"/>
      <c r="K31" s="610"/>
      <c r="L31" s="482"/>
      <c r="M31" s="612"/>
      <c r="N31" s="612"/>
      <c r="O31" s="612"/>
      <c r="P31" s="612"/>
      <c r="Q31" s="612"/>
    </row>
    <row r="32" spans="1:17" s="613" customFormat="1" ht="14.45" outlineLevel="2">
      <c r="A32" s="608"/>
      <c r="B32" s="632" t="s">
        <v>311</v>
      </c>
      <c r="C32" s="655" t="s">
        <v>660</v>
      </c>
      <c r="D32" s="596"/>
      <c r="E32" s="597"/>
      <c r="F32" s="609"/>
      <c r="G32" s="655" t="s">
        <v>661</v>
      </c>
      <c r="H32" s="611"/>
      <c r="I32" s="610"/>
      <c r="J32" s="610"/>
      <c r="K32" s="610"/>
      <c r="L32" s="482"/>
      <c r="M32" s="612"/>
      <c r="N32" s="612"/>
      <c r="O32" s="612"/>
      <c r="P32" s="612"/>
      <c r="Q32" s="612"/>
    </row>
    <row r="33" spans="1:17" s="613" customFormat="1" ht="14.45" outlineLevel="2">
      <c r="A33" s="608"/>
      <c r="B33" s="632" t="s">
        <v>311</v>
      </c>
      <c r="C33" s="655" t="s">
        <v>662</v>
      </c>
      <c r="D33" s="596"/>
      <c r="E33" s="597"/>
      <c r="F33" s="609"/>
      <c r="G33" s="610"/>
      <c r="H33" s="611"/>
      <c r="I33" s="610"/>
      <c r="J33" s="610"/>
      <c r="K33" s="610"/>
      <c r="L33" s="482"/>
      <c r="M33" s="612"/>
      <c r="N33" s="612"/>
      <c r="O33" s="612"/>
      <c r="P33" s="612"/>
      <c r="Q33" s="612"/>
    </row>
    <row r="34" spans="1:17" s="613" customFormat="1" ht="14.45" outlineLevel="2">
      <c r="A34" s="608"/>
      <c r="B34" s="632" t="s">
        <v>311</v>
      </c>
      <c r="C34" s="655" t="s">
        <v>663</v>
      </c>
      <c r="D34" s="596"/>
      <c r="E34" s="597"/>
      <c r="F34" s="609"/>
      <c r="G34" s="610"/>
      <c r="H34" s="611"/>
      <c r="I34" s="610"/>
      <c r="J34" s="610"/>
      <c r="K34" s="610"/>
      <c r="L34" s="482"/>
      <c r="M34" s="612"/>
      <c r="N34" s="612"/>
      <c r="O34" s="612"/>
      <c r="P34" s="612"/>
      <c r="Q34" s="612"/>
    </row>
    <row r="35" spans="1:17">
      <c r="A35" s="632"/>
      <c r="B35" s="632"/>
      <c r="C35" s="632"/>
      <c r="D35" s="596"/>
      <c r="E35" s="597"/>
      <c r="F35" s="598"/>
      <c r="G35" s="632"/>
      <c r="H35" s="654"/>
      <c r="I35" s="654"/>
      <c r="J35" s="654"/>
      <c r="K35" s="654"/>
      <c r="L35" s="654"/>
      <c r="M35" s="654"/>
      <c r="N35" s="654"/>
      <c r="O35" s="654"/>
      <c r="P35" s="654"/>
      <c r="Q35" s="654"/>
    </row>
    <row r="36" spans="1:17" s="613" customFormat="1" ht="14.45" outlineLevel="2">
      <c r="A36" s="608"/>
      <c r="B36" s="632" t="s">
        <v>27</v>
      </c>
      <c r="C36" s="655" t="s">
        <v>664</v>
      </c>
      <c r="D36" s="614">
        <v>0.01</v>
      </c>
      <c r="E36" s="597"/>
      <c r="F36" s="598"/>
      <c r="G36" s="610"/>
      <c r="H36" s="611"/>
      <c r="I36" s="610"/>
      <c r="J36" s="610"/>
      <c r="K36" s="610"/>
      <c r="L36" s="482"/>
      <c r="M36" s="612"/>
      <c r="N36" s="612"/>
      <c r="O36" s="612"/>
      <c r="P36" s="615"/>
      <c r="Q36" s="612"/>
    </row>
    <row r="37" spans="1:17" s="613" customFormat="1" ht="14.45" outlineLevel="2">
      <c r="A37" s="608"/>
      <c r="B37" s="632" t="s">
        <v>27</v>
      </c>
      <c r="C37" s="655" t="s">
        <v>665</v>
      </c>
      <c r="D37" s="614">
        <v>0.02</v>
      </c>
      <c r="E37" s="597"/>
      <c r="F37" s="598"/>
      <c r="G37" s="610"/>
      <c r="H37" s="611"/>
      <c r="I37" s="610"/>
      <c r="J37" s="610"/>
      <c r="K37" s="610"/>
      <c r="L37" s="482"/>
      <c r="M37" s="612"/>
      <c r="N37" s="612"/>
      <c r="O37" s="612"/>
      <c r="P37" s="615"/>
      <c r="Q37" s="612"/>
    </row>
    <row r="38" spans="1:17" s="613" customFormat="1" ht="14.45" outlineLevel="2">
      <c r="A38" s="608"/>
      <c r="B38" s="632" t="s">
        <v>27</v>
      </c>
      <c r="C38" s="655" t="s">
        <v>666</v>
      </c>
      <c r="D38" s="614">
        <v>0.36</v>
      </c>
      <c r="E38" s="597">
        <v>2</v>
      </c>
      <c r="F38" s="598">
        <v>0.01</v>
      </c>
      <c r="G38" s="610"/>
      <c r="H38" s="611"/>
      <c r="I38" s="610"/>
      <c r="J38" s="610"/>
      <c r="K38" s="610"/>
      <c r="L38" s="482"/>
      <c r="M38" s="612"/>
      <c r="N38" s="612"/>
      <c r="O38" s="612"/>
      <c r="P38" s="615"/>
      <c r="Q38" s="612"/>
    </row>
    <row r="39" spans="1:17" s="613" customFormat="1" ht="14.45" outlineLevel="2">
      <c r="A39" s="608"/>
      <c r="B39" s="632" t="s">
        <v>27</v>
      </c>
      <c r="C39" s="655" t="s">
        <v>667</v>
      </c>
      <c r="D39" s="614">
        <v>0.41</v>
      </c>
      <c r="E39" s="597">
        <v>1</v>
      </c>
      <c r="F39" s="598">
        <v>0.13</v>
      </c>
      <c r="G39" s="610"/>
      <c r="H39" s="611"/>
      <c r="I39" s="610"/>
      <c r="J39" s="610"/>
      <c r="K39" s="610"/>
      <c r="L39" s="482"/>
      <c r="M39" s="612"/>
      <c r="N39" s="612"/>
      <c r="O39" s="612"/>
      <c r="P39" s="615"/>
      <c r="Q39" s="612"/>
    </row>
    <row r="40" spans="1:17" s="613" customFormat="1" ht="14.45" outlineLevel="2">
      <c r="A40" s="608"/>
      <c r="B40" s="632" t="s">
        <v>27</v>
      </c>
      <c r="C40" s="655" t="s">
        <v>668</v>
      </c>
      <c r="D40" s="614">
        <v>0.36</v>
      </c>
      <c r="E40" s="597"/>
      <c r="F40" s="598"/>
      <c r="G40" s="610"/>
      <c r="H40" s="611"/>
      <c r="I40" s="610"/>
      <c r="J40" s="610"/>
      <c r="K40" s="610"/>
      <c r="L40" s="482"/>
      <c r="M40" s="612"/>
      <c r="N40" s="612"/>
      <c r="O40" s="612"/>
      <c r="P40" s="615"/>
      <c r="Q40" s="612"/>
    </row>
    <row r="41" spans="1:17" s="613" customFormat="1" ht="14.45" outlineLevel="2">
      <c r="A41" s="608"/>
      <c r="B41" s="632" t="s">
        <v>27</v>
      </c>
      <c r="C41" s="655" t="s">
        <v>669</v>
      </c>
      <c r="D41" s="614">
        <v>2.1</v>
      </c>
      <c r="E41" s="597"/>
      <c r="F41" s="598"/>
      <c r="G41" s="610"/>
      <c r="H41" s="611"/>
      <c r="I41" s="610"/>
      <c r="J41" s="610"/>
      <c r="K41" s="610"/>
      <c r="L41" s="482"/>
      <c r="M41" s="612"/>
      <c r="N41" s="612"/>
      <c r="O41" s="612"/>
      <c r="P41" s="615"/>
      <c r="Q41" s="612"/>
    </row>
    <row r="42" spans="1:17" s="613" customFormat="1" ht="14.45" outlineLevel="2">
      <c r="A42" s="608"/>
      <c r="B42" s="632" t="s">
        <v>27</v>
      </c>
      <c r="C42" s="655" t="s">
        <v>670</v>
      </c>
      <c r="D42" s="614">
        <v>0.08</v>
      </c>
      <c r="E42" s="597"/>
      <c r="F42" s="598"/>
      <c r="G42" s="651" t="s">
        <v>671</v>
      </c>
      <c r="H42" s="611"/>
      <c r="I42" s="610"/>
      <c r="J42" s="610"/>
      <c r="K42" s="610"/>
      <c r="L42" s="482"/>
      <c r="M42" s="612"/>
      <c r="N42" s="612"/>
      <c r="O42" s="612"/>
      <c r="P42" s="615"/>
      <c r="Q42" s="612"/>
    </row>
    <row r="43" spans="1:17" s="613" customFormat="1" ht="27.6" outlineLevel="2">
      <c r="A43" s="608"/>
      <c r="B43" s="632" t="s">
        <v>27</v>
      </c>
      <c r="C43" s="655" t="s">
        <v>672</v>
      </c>
      <c r="D43" s="614">
        <v>0.17</v>
      </c>
      <c r="E43" s="597"/>
      <c r="F43" s="598"/>
      <c r="G43" s="651" t="s">
        <v>673</v>
      </c>
      <c r="H43" s="611"/>
      <c r="I43" s="610"/>
      <c r="J43" s="610"/>
      <c r="K43" s="610"/>
      <c r="L43" s="482"/>
      <c r="M43" s="612"/>
      <c r="N43" s="612"/>
      <c r="O43" s="612"/>
      <c r="P43" s="615"/>
      <c r="Q43" s="612"/>
    </row>
    <row r="44" spans="1:17" s="613" customFormat="1" ht="41.45" outlineLevel="2">
      <c r="A44" s="608"/>
      <c r="B44" s="632" t="s">
        <v>27</v>
      </c>
      <c r="C44" s="655" t="s">
        <v>674</v>
      </c>
      <c r="D44" s="614">
        <v>1.1200000000000001</v>
      </c>
      <c r="E44" s="602">
        <v>2</v>
      </c>
      <c r="F44" s="603">
        <v>0.14000000000000001</v>
      </c>
      <c r="G44" s="651" t="s">
        <v>675</v>
      </c>
      <c r="H44" s="611"/>
      <c r="I44" s="610"/>
      <c r="J44" s="610"/>
      <c r="K44" s="610"/>
      <c r="L44" s="482"/>
      <c r="M44" s="612"/>
      <c r="N44" s="612"/>
      <c r="O44" s="612"/>
      <c r="P44" s="615"/>
      <c r="Q44" s="612"/>
    </row>
    <row r="45" spans="1:17" s="613" customFormat="1" ht="14.45" outlineLevel="2">
      <c r="A45" s="608"/>
      <c r="B45" s="632" t="s">
        <v>27</v>
      </c>
      <c r="C45" s="655" t="s">
        <v>676</v>
      </c>
      <c r="D45" s="614">
        <v>0.28000000000000003</v>
      </c>
      <c r="E45" s="597"/>
      <c r="F45" s="598"/>
      <c r="G45" s="610"/>
      <c r="H45" s="611"/>
      <c r="I45" s="610"/>
      <c r="J45" s="610"/>
      <c r="K45" s="610"/>
      <c r="L45" s="482"/>
      <c r="M45" s="612"/>
      <c r="N45" s="612"/>
      <c r="O45" s="612"/>
      <c r="P45" s="615"/>
      <c r="Q45" s="612"/>
    </row>
    <row r="46" spans="1:17" s="613" customFormat="1" ht="14.45" outlineLevel="2">
      <c r="A46" s="608"/>
      <c r="B46" s="632" t="s">
        <v>27</v>
      </c>
      <c r="C46" s="655" t="s">
        <v>677</v>
      </c>
      <c r="D46" s="614">
        <v>3.26</v>
      </c>
      <c r="E46" s="597"/>
      <c r="F46" s="598"/>
      <c r="G46" s="610"/>
      <c r="H46" s="611"/>
      <c r="I46" s="610"/>
      <c r="J46" s="610"/>
      <c r="K46" s="610"/>
      <c r="L46" s="482"/>
      <c r="M46" s="612"/>
      <c r="N46" s="612"/>
      <c r="O46" s="612"/>
      <c r="P46" s="615"/>
      <c r="Q46" s="612"/>
    </row>
    <row r="47" spans="1:17" s="613" customFormat="1" ht="14.45" outlineLevel="2">
      <c r="A47" s="608"/>
      <c r="B47" s="632" t="s">
        <v>27</v>
      </c>
      <c r="C47" s="655" t="s">
        <v>678</v>
      </c>
      <c r="D47" s="614">
        <v>0.38</v>
      </c>
      <c r="E47" s="597"/>
      <c r="F47" s="598"/>
      <c r="G47" s="651" t="s">
        <v>679</v>
      </c>
      <c r="H47" s="611"/>
      <c r="I47" s="610"/>
      <c r="J47" s="610"/>
      <c r="K47" s="610"/>
      <c r="L47" s="482"/>
      <c r="M47" s="612"/>
      <c r="N47" s="612"/>
      <c r="O47" s="612"/>
      <c r="P47" s="615"/>
      <c r="Q47" s="612"/>
    </row>
    <row r="48" spans="1:17" s="613" customFormat="1" ht="14.45" outlineLevel="2">
      <c r="A48" s="608"/>
      <c r="B48" s="632" t="s">
        <v>27</v>
      </c>
      <c r="C48" s="655" t="s">
        <v>680</v>
      </c>
      <c r="D48" s="614">
        <v>0.8</v>
      </c>
      <c r="E48" s="597">
        <v>1</v>
      </c>
      <c r="F48" s="598">
        <v>6.1981660819083101E-2</v>
      </c>
      <c r="G48" s="610"/>
      <c r="H48" s="611"/>
      <c r="I48" s="610"/>
      <c r="J48" s="610"/>
      <c r="K48" s="610"/>
      <c r="L48" s="482"/>
      <c r="M48" s="612"/>
      <c r="N48" s="612"/>
      <c r="O48" s="612"/>
      <c r="P48" s="615"/>
      <c r="Q48" s="612"/>
    </row>
    <row r="49" spans="1:17" s="613" customFormat="1" ht="14.45" outlineLevel="2">
      <c r="A49" s="608"/>
      <c r="B49" s="632" t="s">
        <v>27</v>
      </c>
      <c r="C49" s="655" t="s">
        <v>681</v>
      </c>
      <c r="D49" s="614">
        <v>0.03</v>
      </c>
      <c r="E49" s="597"/>
      <c r="F49" s="598"/>
      <c r="G49" s="655" t="s">
        <v>215</v>
      </c>
      <c r="H49" s="611"/>
      <c r="I49" s="610"/>
      <c r="J49" s="610"/>
      <c r="K49" s="610"/>
      <c r="L49" s="482"/>
      <c r="M49" s="612"/>
      <c r="N49" s="612"/>
      <c r="O49" s="612"/>
      <c r="P49" s="615"/>
      <c r="Q49" s="612"/>
    </row>
    <row r="50" spans="1:17" s="613" customFormat="1" ht="28.15" outlineLevel="2">
      <c r="A50" s="608"/>
      <c r="B50" s="632" t="s">
        <v>27</v>
      </c>
      <c r="C50" s="655" t="s">
        <v>682</v>
      </c>
      <c r="D50" s="614">
        <v>3.64</v>
      </c>
      <c r="E50" s="597">
        <v>1</v>
      </c>
      <c r="F50" s="598">
        <v>2.25</v>
      </c>
      <c r="G50" s="294" t="s">
        <v>683</v>
      </c>
      <c r="H50" s="611"/>
      <c r="I50" s="610"/>
      <c r="J50" s="610"/>
      <c r="K50" s="610"/>
      <c r="L50" s="482"/>
      <c r="M50" s="612"/>
      <c r="N50" s="612"/>
      <c r="O50" s="612"/>
      <c r="P50" s="615"/>
      <c r="Q50" s="612"/>
    </row>
    <row r="51" spans="1:17" s="613" customFormat="1" ht="14.45" outlineLevel="2">
      <c r="A51" s="608"/>
      <c r="B51" s="632" t="s">
        <v>27</v>
      </c>
      <c r="C51" s="655" t="s">
        <v>684</v>
      </c>
      <c r="D51" s="614">
        <v>0.35</v>
      </c>
      <c r="E51" s="597"/>
      <c r="F51" s="598"/>
      <c r="G51" s="610"/>
      <c r="H51" s="611"/>
      <c r="I51" s="610"/>
      <c r="J51" s="610"/>
      <c r="K51" s="610"/>
      <c r="L51" s="482"/>
      <c r="M51" s="612"/>
      <c r="N51" s="612"/>
      <c r="O51" s="612"/>
      <c r="P51" s="615"/>
      <c r="Q51" s="612"/>
    </row>
    <row r="52" spans="1:17" s="613" customFormat="1" ht="14.45" outlineLevel="2">
      <c r="A52" s="608"/>
      <c r="B52" s="632" t="s">
        <v>27</v>
      </c>
      <c r="C52" s="655" t="s">
        <v>685</v>
      </c>
      <c r="D52" s="614">
        <v>0</v>
      </c>
      <c r="E52" s="597"/>
      <c r="F52" s="598"/>
      <c r="G52" s="610"/>
      <c r="H52" s="611"/>
      <c r="I52" s="610"/>
      <c r="J52" s="610"/>
      <c r="K52" s="610"/>
      <c r="L52" s="482"/>
      <c r="M52" s="612"/>
      <c r="N52" s="612"/>
      <c r="O52" s="612"/>
      <c r="P52" s="615"/>
      <c r="Q52" s="612"/>
    </row>
    <row r="53" spans="1:17" s="613" customFormat="1" ht="14.45" outlineLevel="2">
      <c r="A53" s="608"/>
      <c r="B53" s="632" t="s">
        <v>27</v>
      </c>
      <c r="C53" s="616" t="s">
        <v>686</v>
      </c>
      <c r="D53" s="614">
        <v>0</v>
      </c>
      <c r="E53" s="597"/>
      <c r="F53" s="598"/>
      <c r="G53" s="610"/>
      <c r="H53" s="611"/>
      <c r="I53" s="610"/>
      <c r="J53" s="610"/>
      <c r="K53" s="610"/>
      <c r="L53" s="482"/>
      <c r="M53" s="612"/>
      <c r="N53" s="612"/>
      <c r="O53" s="612"/>
      <c r="P53" s="615"/>
      <c r="Q53" s="612"/>
    </row>
    <row r="54" spans="1:17" s="613" customFormat="1" ht="14.45" outlineLevel="2">
      <c r="A54" s="608"/>
      <c r="B54" s="632" t="s">
        <v>27</v>
      </c>
      <c r="C54" s="655" t="s">
        <v>687</v>
      </c>
      <c r="D54" s="614">
        <v>0.02</v>
      </c>
      <c r="E54" s="597"/>
      <c r="F54" s="598"/>
      <c r="G54" s="610"/>
      <c r="H54" s="611"/>
      <c r="I54" s="610"/>
      <c r="J54" s="610"/>
      <c r="K54" s="610"/>
      <c r="L54" s="482"/>
      <c r="M54" s="612"/>
      <c r="N54" s="612"/>
      <c r="O54" s="612"/>
      <c r="P54" s="615"/>
      <c r="Q54" s="612"/>
    </row>
    <row r="55" spans="1:17" s="613" customFormat="1" ht="14.45" outlineLevel="2">
      <c r="A55" s="608"/>
      <c r="B55" s="632" t="s">
        <v>27</v>
      </c>
      <c r="C55" s="655" t="s">
        <v>688</v>
      </c>
      <c r="D55" s="614">
        <v>0.22</v>
      </c>
      <c r="E55" s="597"/>
      <c r="F55" s="598"/>
      <c r="G55" s="610"/>
      <c r="H55" s="611"/>
      <c r="I55" s="610"/>
      <c r="J55" s="610"/>
      <c r="K55" s="610"/>
      <c r="L55" s="482"/>
      <c r="M55" s="612"/>
      <c r="N55" s="612"/>
      <c r="O55" s="612"/>
      <c r="P55" s="615"/>
      <c r="Q55" s="612"/>
    </row>
    <row r="56" spans="1:17" s="613" customFormat="1" ht="14.45" outlineLevel="2">
      <c r="A56" s="608"/>
      <c r="B56" s="632" t="s">
        <v>27</v>
      </c>
      <c r="C56" s="655" t="s">
        <v>689</v>
      </c>
      <c r="D56" s="614">
        <v>0</v>
      </c>
      <c r="E56" s="597"/>
      <c r="F56" s="598"/>
      <c r="G56" s="610"/>
      <c r="H56" s="611"/>
      <c r="I56" s="610"/>
      <c r="J56" s="610"/>
      <c r="K56" s="610"/>
      <c r="L56" s="482"/>
      <c r="M56" s="612"/>
      <c r="N56" s="612"/>
      <c r="O56" s="612"/>
      <c r="P56" s="615"/>
      <c r="Q56" s="612"/>
    </row>
    <row r="57" spans="1:17" s="613" customFormat="1" ht="14.45" outlineLevel="2">
      <c r="A57" s="608"/>
      <c r="B57" s="632" t="s">
        <v>27</v>
      </c>
      <c r="C57" s="655" t="s">
        <v>690</v>
      </c>
      <c r="D57" s="614">
        <v>0</v>
      </c>
      <c r="E57" s="597"/>
      <c r="F57" s="598"/>
      <c r="G57" s="610"/>
      <c r="H57" s="611"/>
      <c r="I57" s="610"/>
      <c r="J57" s="610"/>
      <c r="K57" s="610"/>
      <c r="L57" s="482"/>
      <c r="M57" s="612"/>
      <c r="N57" s="612"/>
      <c r="O57" s="612"/>
      <c r="P57" s="615"/>
      <c r="Q57" s="612"/>
    </row>
    <row r="58" spans="1:17" s="613" customFormat="1" ht="14.45" outlineLevel="2">
      <c r="A58" s="608"/>
      <c r="B58" s="632" t="s">
        <v>27</v>
      </c>
      <c r="C58" s="655" t="s">
        <v>691</v>
      </c>
      <c r="D58" s="614">
        <v>0.19</v>
      </c>
      <c r="E58" s="597"/>
      <c r="F58" s="598"/>
      <c r="G58" s="610"/>
      <c r="H58" s="611"/>
      <c r="I58" s="610"/>
      <c r="J58" s="610"/>
      <c r="K58" s="610"/>
      <c r="L58" s="482"/>
      <c r="M58" s="612"/>
      <c r="N58" s="612"/>
      <c r="O58" s="612"/>
      <c r="P58" s="615"/>
      <c r="Q58" s="612"/>
    </row>
    <row r="59" spans="1:17" s="613" customFormat="1" ht="14.45" outlineLevel="2">
      <c r="A59" s="608"/>
      <c r="B59" s="632" t="s">
        <v>27</v>
      </c>
      <c r="C59" s="655" t="s">
        <v>692</v>
      </c>
      <c r="D59" s="614">
        <v>0.17</v>
      </c>
      <c r="E59" s="597"/>
      <c r="F59" s="598"/>
      <c r="G59" s="610"/>
      <c r="H59" s="611"/>
      <c r="I59" s="610"/>
      <c r="J59" s="610"/>
      <c r="K59" s="610"/>
      <c r="L59" s="482"/>
      <c r="M59" s="612"/>
      <c r="N59" s="612"/>
      <c r="O59" s="612"/>
      <c r="P59" s="615"/>
      <c r="Q59" s="612"/>
    </row>
    <row r="60" spans="1:17" s="613" customFormat="1" ht="14.45" outlineLevel="2">
      <c r="A60" s="608"/>
      <c r="B60" s="632" t="s">
        <v>27</v>
      </c>
      <c r="C60" s="655" t="s">
        <v>693</v>
      </c>
      <c r="D60" s="614">
        <v>0.08</v>
      </c>
      <c r="E60" s="597"/>
      <c r="F60" s="598"/>
      <c r="G60" s="610"/>
      <c r="H60" s="611"/>
      <c r="I60" s="610"/>
      <c r="J60" s="610"/>
      <c r="K60" s="610"/>
      <c r="L60" s="482"/>
      <c r="M60" s="612"/>
      <c r="N60" s="612"/>
      <c r="O60" s="612"/>
      <c r="P60" s="615"/>
      <c r="Q60" s="612"/>
    </row>
    <row r="61" spans="1:17" s="613" customFormat="1" ht="14.45" outlineLevel="2">
      <c r="A61" s="608"/>
      <c r="B61" s="632" t="s">
        <v>27</v>
      </c>
      <c r="C61" s="655" t="s">
        <v>694</v>
      </c>
      <c r="D61" s="614">
        <v>2.02</v>
      </c>
      <c r="E61" s="597"/>
      <c r="F61" s="598"/>
      <c r="G61" s="610"/>
      <c r="H61" s="611"/>
      <c r="I61" s="610"/>
      <c r="J61" s="610"/>
      <c r="K61" s="610"/>
      <c r="L61" s="482"/>
      <c r="M61" s="612"/>
      <c r="N61" s="612"/>
      <c r="O61" s="612"/>
      <c r="P61" s="615"/>
      <c r="Q61" s="612"/>
    </row>
    <row r="62" spans="1:17" s="613" customFormat="1" ht="14.45" outlineLevel="2">
      <c r="A62" s="608"/>
      <c r="B62" s="632" t="s">
        <v>27</v>
      </c>
      <c r="C62" s="655" t="s">
        <v>695</v>
      </c>
      <c r="D62" s="614">
        <v>1.56</v>
      </c>
      <c r="E62" s="597"/>
      <c r="F62" s="598"/>
      <c r="G62" s="610"/>
      <c r="H62" s="611"/>
      <c r="I62" s="610"/>
      <c r="J62" s="610"/>
      <c r="K62" s="610"/>
      <c r="L62" s="482"/>
      <c r="M62" s="612"/>
      <c r="N62" s="612"/>
      <c r="O62" s="612"/>
      <c r="P62" s="615"/>
      <c r="Q62" s="612"/>
    </row>
    <row r="63" spans="1:17" s="613" customFormat="1" ht="14.45" outlineLevel="2">
      <c r="A63" s="608"/>
      <c r="B63" s="632" t="s">
        <v>27</v>
      </c>
      <c r="C63" s="655" t="s">
        <v>696</v>
      </c>
      <c r="D63" s="614">
        <v>0.52</v>
      </c>
      <c r="E63" s="597"/>
      <c r="F63" s="598"/>
      <c r="G63" s="610"/>
      <c r="H63" s="611"/>
      <c r="I63" s="610"/>
      <c r="J63" s="610"/>
      <c r="K63" s="610"/>
      <c r="L63" s="482"/>
      <c r="M63" s="612"/>
      <c r="N63" s="612"/>
      <c r="O63" s="612"/>
      <c r="P63" s="615"/>
      <c r="Q63" s="612"/>
    </row>
    <row r="64" spans="1:17" s="613" customFormat="1" ht="14.45" outlineLevel="2">
      <c r="A64" s="608"/>
      <c r="B64" s="632" t="s">
        <v>27</v>
      </c>
      <c r="C64" s="655" t="s">
        <v>697</v>
      </c>
      <c r="D64" s="614">
        <v>0.56999999999999995</v>
      </c>
      <c r="E64" s="597"/>
      <c r="F64" s="598"/>
      <c r="G64" s="610"/>
      <c r="H64" s="611"/>
      <c r="I64" s="610"/>
      <c r="J64" s="610"/>
      <c r="K64" s="610"/>
      <c r="L64" s="482"/>
      <c r="M64" s="612"/>
      <c r="N64" s="612"/>
      <c r="O64" s="612"/>
      <c r="P64" s="615"/>
      <c r="Q64" s="612"/>
    </row>
    <row r="65" spans="1:17" s="613" customFormat="1" ht="14.45" outlineLevel="2">
      <c r="A65" s="608"/>
      <c r="B65" s="632" t="s">
        <v>27</v>
      </c>
      <c r="C65" s="655" t="s">
        <v>698</v>
      </c>
      <c r="D65" s="614">
        <v>0.73</v>
      </c>
      <c r="E65" s="597"/>
      <c r="F65" s="598"/>
      <c r="G65" s="610"/>
      <c r="H65" s="611"/>
      <c r="I65" s="610"/>
      <c r="J65" s="610"/>
      <c r="K65" s="610"/>
      <c r="L65" s="482"/>
      <c r="M65" s="612"/>
      <c r="N65" s="612"/>
      <c r="O65" s="612"/>
      <c r="P65" s="615"/>
      <c r="Q65" s="612"/>
    </row>
    <row r="66" spans="1:17" s="613" customFormat="1" ht="14.45" outlineLevel="2">
      <c r="A66" s="608"/>
      <c r="B66" s="632" t="s">
        <v>27</v>
      </c>
      <c r="C66" s="655" t="s">
        <v>699</v>
      </c>
      <c r="D66" s="614">
        <v>0.2</v>
      </c>
      <c r="E66" s="597"/>
      <c r="F66" s="598"/>
      <c r="G66" s="610"/>
      <c r="H66" s="611"/>
      <c r="I66" s="610"/>
      <c r="J66" s="610"/>
      <c r="K66" s="610"/>
      <c r="L66" s="482"/>
      <c r="M66" s="612"/>
      <c r="N66" s="612"/>
      <c r="O66" s="612"/>
      <c r="P66" s="615"/>
      <c r="Q66" s="612"/>
    </row>
    <row r="67" spans="1:17" s="613" customFormat="1" ht="42" outlineLevel="2">
      <c r="A67" s="608"/>
      <c r="B67" s="632" t="s">
        <v>27</v>
      </c>
      <c r="C67" s="655" t="s">
        <v>700</v>
      </c>
      <c r="D67" s="614">
        <v>0.56999999999999995</v>
      </c>
      <c r="E67" s="597"/>
      <c r="F67" s="598"/>
      <c r="G67" s="690" t="s">
        <v>701</v>
      </c>
      <c r="H67" s="611"/>
      <c r="I67" s="610"/>
      <c r="J67" s="610"/>
      <c r="K67" s="610"/>
      <c r="L67" s="482"/>
      <c r="M67" s="612"/>
      <c r="N67" s="612"/>
      <c r="O67" s="612"/>
      <c r="P67" s="615"/>
      <c r="Q67" s="612"/>
    </row>
    <row r="68" spans="1:17" s="613" customFormat="1" ht="14.45" outlineLevel="2">
      <c r="A68" s="608"/>
      <c r="B68" s="632" t="s">
        <v>27</v>
      </c>
      <c r="C68" s="655" t="s">
        <v>702</v>
      </c>
      <c r="D68" s="614">
        <v>0</v>
      </c>
      <c r="E68" s="597"/>
      <c r="F68" s="598"/>
      <c r="G68" s="610"/>
      <c r="H68" s="611"/>
      <c r="I68" s="610"/>
      <c r="J68" s="610"/>
      <c r="K68" s="610"/>
      <c r="L68" s="482"/>
      <c r="M68" s="612"/>
      <c r="N68" s="612"/>
      <c r="O68" s="612"/>
      <c r="P68" s="615"/>
      <c r="Q68" s="612"/>
    </row>
    <row r="69" spans="1:17" s="613" customFormat="1" ht="14.45" outlineLevel="2">
      <c r="A69" s="608"/>
      <c r="B69" s="632" t="s">
        <v>27</v>
      </c>
      <c r="C69" s="655" t="s">
        <v>703</v>
      </c>
      <c r="D69" s="614">
        <v>0</v>
      </c>
      <c r="E69" s="597"/>
      <c r="F69" s="598"/>
      <c r="G69" s="610"/>
      <c r="H69" s="611"/>
      <c r="I69" s="610"/>
      <c r="J69" s="610"/>
      <c r="K69" s="610"/>
      <c r="L69" s="482"/>
      <c r="M69" s="612"/>
      <c r="N69" s="612"/>
      <c r="O69" s="612"/>
      <c r="P69" s="615"/>
      <c r="Q69" s="612"/>
    </row>
    <row r="70" spans="1:17" s="613" customFormat="1" ht="14.45" outlineLevel="2">
      <c r="A70" s="608"/>
      <c r="B70" s="632" t="s">
        <v>27</v>
      </c>
      <c r="C70" s="655" t="s">
        <v>704</v>
      </c>
      <c r="D70" s="614">
        <v>0</v>
      </c>
      <c r="E70" s="597"/>
      <c r="F70" s="598"/>
      <c r="G70" s="610"/>
      <c r="H70" s="611"/>
      <c r="I70" s="610"/>
      <c r="J70" s="610"/>
      <c r="K70" s="610"/>
      <c r="L70" s="482"/>
      <c r="M70" s="612"/>
      <c r="N70" s="612"/>
      <c r="O70" s="612"/>
      <c r="P70" s="615"/>
      <c r="Q70" s="612"/>
    </row>
    <row r="71" spans="1:17" s="613" customFormat="1" ht="14.45" outlineLevel="2">
      <c r="A71" s="608"/>
      <c r="B71" s="632" t="s">
        <v>27</v>
      </c>
      <c r="C71" s="655" t="s">
        <v>705</v>
      </c>
      <c r="D71" s="614">
        <v>0</v>
      </c>
      <c r="E71" s="597"/>
      <c r="F71" s="598"/>
      <c r="G71" s="730" t="s">
        <v>706</v>
      </c>
      <c r="H71" s="611"/>
      <c r="I71" s="610"/>
      <c r="J71" s="610"/>
      <c r="K71" s="610"/>
      <c r="L71" s="482"/>
      <c r="M71" s="612"/>
      <c r="N71" s="612"/>
      <c r="O71" s="612"/>
      <c r="P71" s="615"/>
      <c r="Q71" s="612"/>
    </row>
    <row r="72" spans="1:17" s="613" customFormat="1" ht="14.45" outlineLevel="2">
      <c r="A72" s="608"/>
      <c r="B72" s="632" t="s">
        <v>27</v>
      </c>
      <c r="C72" s="655" t="s">
        <v>707</v>
      </c>
      <c r="D72" s="614">
        <v>0.02</v>
      </c>
      <c r="E72" s="597"/>
      <c r="F72" s="598"/>
      <c r="G72" s="610"/>
      <c r="H72" s="611"/>
      <c r="I72" s="610"/>
      <c r="J72" s="610"/>
      <c r="K72" s="610"/>
      <c r="L72" s="482"/>
      <c r="M72" s="612"/>
      <c r="N72" s="612"/>
      <c r="O72" s="612"/>
      <c r="P72" s="615"/>
      <c r="Q72" s="612"/>
    </row>
    <row r="73" spans="1:17">
      <c r="A73" s="632"/>
      <c r="B73" s="632"/>
      <c r="C73" s="632"/>
      <c r="D73" s="596"/>
      <c r="E73" s="597"/>
      <c r="F73" s="598"/>
      <c r="G73" s="632"/>
      <c r="H73" s="654"/>
      <c r="I73" s="654"/>
      <c r="J73" s="654"/>
      <c r="K73" s="654"/>
      <c r="L73" s="654"/>
      <c r="M73" s="654"/>
      <c r="N73" s="654"/>
      <c r="O73" s="654"/>
      <c r="P73" s="654"/>
      <c r="Q73" s="654"/>
    </row>
    <row r="74" spans="1:17" s="613" customFormat="1" ht="14.45" outlineLevel="1">
      <c r="A74" s="608"/>
      <c r="B74" s="632" t="s">
        <v>708</v>
      </c>
      <c r="C74" s="655" t="s">
        <v>709</v>
      </c>
      <c r="D74" s="598">
        <v>1.4336873100000001E-2</v>
      </c>
      <c r="E74" s="597"/>
      <c r="F74" s="598"/>
      <c r="G74" s="651" t="s">
        <v>260</v>
      </c>
    </row>
    <row r="75" spans="1:17" s="613" customFormat="1" ht="14.45" outlineLevel="1">
      <c r="A75" s="608"/>
      <c r="B75" s="632" t="s">
        <v>708</v>
      </c>
      <c r="C75" s="655" t="s">
        <v>710</v>
      </c>
      <c r="D75" s="598">
        <v>0.36573175713220468</v>
      </c>
      <c r="E75" s="597"/>
      <c r="F75" s="598"/>
      <c r="G75" s="651" t="s">
        <v>711</v>
      </c>
    </row>
    <row r="76" spans="1:17" s="613" customFormat="1" ht="14.45" outlineLevel="1">
      <c r="A76" s="608"/>
      <c r="B76" s="632" t="s">
        <v>708</v>
      </c>
      <c r="C76" s="655" t="s">
        <v>712</v>
      </c>
      <c r="D76" s="598">
        <v>0.16750548359999998</v>
      </c>
      <c r="E76" s="597"/>
      <c r="F76" s="598"/>
      <c r="G76" s="608"/>
    </row>
    <row r="77" spans="1:17" s="613" customFormat="1" ht="14.45" outlineLevel="1">
      <c r="A77" s="608"/>
      <c r="B77" s="632" t="s">
        <v>708</v>
      </c>
      <c r="C77" s="655" t="s">
        <v>713</v>
      </c>
      <c r="D77" s="598">
        <v>0.40327449999999998</v>
      </c>
      <c r="E77" s="597"/>
      <c r="F77" s="598"/>
      <c r="G77" s="608"/>
    </row>
    <row r="78" spans="1:17" s="613" customFormat="1" ht="14.45" outlineLevel="1">
      <c r="A78" s="608"/>
      <c r="B78" s="632" t="s">
        <v>708</v>
      </c>
      <c r="C78" s="655" t="s">
        <v>714</v>
      </c>
      <c r="D78" s="598">
        <v>0.14000000000000001</v>
      </c>
      <c r="E78" s="597"/>
      <c r="F78" s="598"/>
      <c r="G78" s="608"/>
    </row>
    <row r="79" spans="1:17" s="613" customFormat="1" ht="14.45" outlineLevel="1">
      <c r="A79" s="608"/>
      <c r="B79" s="632" t="s">
        <v>708</v>
      </c>
      <c r="C79" s="655" t="s">
        <v>715</v>
      </c>
      <c r="D79" s="598">
        <v>3.1655887211519997E-2</v>
      </c>
      <c r="E79" s="597"/>
      <c r="F79" s="598"/>
      <c r="G79" s="651" t="s">
        <v>716</v>
      </c>
    </row>
    <row r="80" spans="1:17" s="613" customFormat="1" ht="14.45" outlineLevel="1">
      <c r="A80" s="608"/>
      <c r="B80" s="632" t="s">
        <v>708</v>
      </c>
      <c r="C80" s="655" t="s">
        <v>717</v>
      </c>
      <c r="D80" s="598">
        <v>4.7122779914999996E-2</v>
      </c>
      <c r="E80" s="597"/>
      <c r="F80" s="598"/>
      <c r="G80" s="608"/>
    </row>
    <row r="81" spans="1:7" s="613" customFormat="1" ht="14.45" outlineLevel="1">
      <c r="A81" s="608"/>
      <c r="B81" s="632" t="s">
        <v>708</v>
      </c>
      <c r="C81" s="655" t="s">
        <v>718</v>
      </c>
      <c r="D81" s="598">
        <v>2.1646138109098385</v>
      </c>
      <c r="E81" s="597"/>
      <c r="F81" s="598"/>
      <c r="G81" s="608"/>
    </row>
    <row r="82" spans="1:7" s="613" customFormat="1" ht="14.45" outlineLevel="1">
      <c r="A82" s="608"/>
      <c r="B82" s="632" t="s">
        <v>708</v>
      </c>
      <c r="C82" s="655" t="s">
        <v>719</v>
      </c>
      <c r="D82" s="598">
        <v>0.04</v>
      </c>
      <c r="E82" s="597"/>
      <c r="F82" s="598"/>
      <c r="G82" s="608"/>
    </row>
    <row r="83" spans="1:7" s="613" customFormat="1" ht="14.45" outlineLevel="1">
      <c r="A83" s="608"/>
      <c r="B83" s="632" t="s">
        <v>708</v>
      </c>
      <c r="C83" s="655" t="s">
        <v>720</v>
      </c>
      <c r="D83" s="598">
        <v>0.32</v>
      </c>
      <c r="E83" s="597">
        <v>1</v>
      </c>
      <c r="F83" s="598">
        <v>0.02</v>
      </c>
      <c r="G83" s="502" t="s">
        <v>721</v>
      </c>
    </row>
    <row r="84" spans="1:7" s="613" customFormat="1" ht="14.45" outlineLevel="1">
      <c r="A84" s="608"/>
      <c r="B84" s="632" t="s">
        <v>708</v>
      </c>
      <c r="C84" s="655" t="s">
        <v>722</v>
      </c>
      <c r="D84" s="598">
        <v>3.6853334887931043E-2</v>
      </c>
      <c r="E84" s="597"/>
      <c r="F84" s="598"/>
      <c r="G84" s="608"/>
    </row>
    <row r="85" spans="1:7" s="613" customFormat="1" ht="14.45" outlineLevel="1">
      <c r="A85" s="608"/>
      <c r="B85" s="632" t="s">
        <v>708</v>
      </c>
      <c r="C85" s="655" t="s">
        <v>723</v>
      </c>
      <c r="D85" s="598">
        <v>2.1397857699999998E-2</v>
      </c>
      <c r="E85" s="597"/>
      <c r="F85" s="598"/>
      <c r="G85" s="608"/>
    </row>
    <row r="86" spans="1:7" s="613" customFormat="1" ht="14.45" outlineLevel="1">
      <c r="A86" s="608"/>
      <c r="B86" s="632" t="s">
        <v>708</v>
      </c>
      <c r="C86" s="655" t="s">
        <v>724</v>
      </c>
      <c r="D86" s="598">
        <v>0</v>
      </c>
      <c r="E86" s="597"/>
      <c r="F86" s="598"/>
      <c r="G86" s="608"/>
    </row>
    <row r="87" spans="1:7" s="613" customFormat="1" ht="14.45" outlineLevel="1">
      <c r="A87" s="608"/>
      <c r="B87" s="632" t="s">
        <v>708</v>
      </c>
      <c r="C87" s="605" t="s">
        <v>725</v>
      </c>
      <c r="D87" s="598">
        <v>3.3E-3</v>
      </c>
      <c r="E87" s="597"/>
      <c r="F87" s="598"/>
      <c r="G87" s="608"/>
    </row>
    <row r="88" spans="1:7" s="613" customFormat="1" ht="14.45" outlineLevel="1">
      <c r="A88" s="608"/>
      <c r="B88" s="632" t="s">
        <v>708</v>
      </c>
      <c r="C88" s="655" t="s">
        <v>726</v>
      </c>
      <c r="D88" s="598">
        <v>1.6800000000000002E-2</v>
      </c>
      <c r="E88" s="597"/>
      <c r="F88" s="598"/>
      <c r="G88" s="608"/>
    </row>
    <row r="89" spans="1:7" s="613" customFormat="1" ht="14.45" outlineLevel="1">
      <c r="A89" s="608"/>
      <c r="B89" s="632" t="s">
        <v>708</v>
      </c>
      <c r="C89" s="655" t="s">
        <v>727</v>
      </c>
      <c r="D89" s="598">
        <v>0.23026800000000003</v>
      </c>
      <c r="E89" s="597">
        <v>1</v>
      </c>
      <c r="F89" s="598">
        <v>0.02</v>
      </c>
      <c r="G89" s="655" t="s">
        <v>728</v>
      </c>
    </row>
    <row r="90" spans="1:7" s="613" customFormat="1" ht="14.45" outlineLevel="1">
      <c r="A90" s="608"/>
      <c r="B90" s="632" t="s">
        <v>708</v>
      </c>
      <c r="C90" s="655" t="s">
        <v>729</v>
      </c>
      <c r="D90" s="598">
        <v>1.13E-4</v>
      </c>
      <c r="E90" s="597"/>
      <c r="F90" s="598"/>
      <c r="G90" s="730" t="s">
        <v>730</v>
      </c>
    </row>
    <row r="91" spans="1:7" s="613" customFormat="1" ht="14.45" outlineLevel="1">
      <c r="A91" s="608"/>
      <c r="B91" s="632" t="s">
        <v>708</v>
      </c>
      <c r="C91" s="655" t="s">
        <v>731</v>
      </c>
      <c r="D91" s="598">
        <v>0</v>
      </c>
      <c r="E91" s="597"/>
      <c r="F91" s="598"/>
      <c r="G91" s="608"/>
    </row>
    <row r="92" spans="1:7" s="613" customFormat="1" ht="14.45" outlineLevel="1">
      <c r="A92" s="608"/>
      <c r="B92" s="632" t="s">
        <v>708</v>
      </c>
      <c r="C92" s="655" t="s">
        <v>732</v>
      </c>
      <c r="D92" s="598">
        <v>0</v>
      </c>
      <c r="E92" s="597"/>
      <c r="F92" s="598"/>
      <c r="G92" s="730" t="s">
        <v>733</v>
      </c>
    </row>
    <row r="93" spans="1:7" s="613" customFormat="1" ht="14.45" outlineLevel="1">
      <c r="A93" s="608"/>
      <c r="B93" s="632" t="s">
        <v>708</v>
      </c>
      <c r="C93" s="655" t="s">
        <v>734</v>
      </c>
      <c r="D93" s="598">
        <v>0.15000000000000002</v>
      </c>
      <c r="E93" s="597"/>
      <c r="F93" s="598"/>
      <c r="G93" s="608"/>
    </row>
    <row r="94" spans="1:7" s="613" customFormat="1" ht="14.45" outlineLevel="1">
      <c r="A94" s="608"/>
      <c r="B94" s="632" t="s">
        <v>708</v>
      </c>
      <c r="C94" s="655" t="s">
        <v>735</v>
      </c>
      <c r="D94" s="598">
        <v>0.16686000000000001</v>
      </c>
      <c r="E94" s="597"/>
      <c r="F94" s="598"/>
      <c r="G94" s="608"/>
    </row>
    <row r="95" spans="1:7" s="613" customFormat="1" ht="14.45" outlineLevel="1">
      <c r="A95" s="608"/>
      <c r="B95" s="632" t="s">
        <v>708</v>
      </c>
      <c r="C95" s="655" t="s">
        <v>736</v>
      </c>
      <c r="D95" s="598">
        <v>7.6409520000000009E-2</v>
      </c>
      <c r="E95" s="597"/>
      <c r="F95" s="598"/>
      <c r="G95" s="608"/>
    </row>
    <row r="96" spans="1:7" s="613" customFormat="1" ht="14.45" outlineLevel="1">
      <c r="A96" s="608"/>
      <c r="B96" s="632" t="s">
        <v>708</v>
      </c>
      <c r="C96" s="655" t="s">
        <v>737</v>
      </c>
      <c r="D96" s="609">
        <v>1.7570528000000003</v>
      </c>
      <c r="E96" s="601"/>
      <c r="F96" s="598"/>
      <c r="G96" s="608"/>
    </row>
    <row r="97" spans="1:7" s="613" customFormat="1" ht="14.45" outlineLevel="1">
      <c r="A97" s="608"/>
      <c r="B97" s="632" t="s">
        <v>708</v>
      </c>
      <c r="C97" s="655" t="s">
        <v>738</v>
      </c>
      <c r="D97" s="609">
        <v>0.86951285400000011</v>
      </c>
      <c r="E97" s="601"/>
      <c r="F97" s="598"/>
      <c r="G97" s="608"/>
    </row>
    <row r="98" spans="1:7" s="613" customFormat="1" ht="14.45" outlineLevel="1">
      <c r="A98" s="608"/>
      <c r="B98" s="632" t="s">
        <v>708</v>
      </c>
      <c r="C98" s="655" t="s">
        <v>739</v>
      </c>
      <c r="D98" s="609">
        <v>0.28983761800000002</v>
      </c>
      <c r="E98" s="601"/>
      <c r="F98" s="598"/>
      <c r="G98" s="608"/>
    </row>
    <row r="99" spans="1:7" s="613" customFormat="1" ht="14.45" outlineLevel="1">
      <c r="A99" s="608"/>
      <c r="B99" s="632" t="s">
        <v>708</v>
      </c>
      <c r="C99" s="655" t="s">
        <v>740</v>
      </c>
      <c r="D99" s="598">
        <v>0.32804999999999995</v>
      </c>
      <c r="E99" s="597"/>
      <c r="F99" s="598"/>
      <c r="G99" s="608"/>
    </row>
    <row r="100" spans="1:7" s="613" customFormat="1" ht="14.45" outlineLevel="1">
      <c r="A100" s="608"/>
      <c r="B100" s="632" t="s">
        <v>708</v>
      </c>
      <c r="C100" s="655" t="s">
        <v>741</v>
      </c>
      <c r="D100" s="598">
        <v>5.2621400000000005</v>
      </c>
      <c r="E100" s="597"/>
      <c r="F100" s="598"/>
      <c r="G100" s="730" t="s">
        <v>733</v>
      </c>
    </row>
    <row r="101" spans="1:7" s="613" customFormat="1" ht="14.45" outlineLevel="1">
      <c r="A101" s="608"/>
      <c r="B101" s="632" t="s">
        <v>708</v>
      </c>
      <c r="C101" s="655" t="s">
        <v>742</v>
      </c>
      <c r="D101" s="598">
        <v>2.5074143979111465</v>
      </c>
      <c r="E101" s="597"/>
      <c r="F101" s="598"/>
      <c r="G101" s="608"/>
    </row>
    <row r="102" spans="1:7" s="613" customFormat="1" ht="28.15" outlineLevel="1">
      <c r="A102" s="608"/>
      <c r="B102" s="632" t="s">
        <v>708</v>
      </c>
      <c r="C102" s="655" t="s">
        <v>743</v>
      </c>
      <c r="D102" s="598">
        <v>2.7927693686277002</v>
      </c>
      <c r="E102" s="597"/>
      <c r="F102" s="598"/>
      <c r="G102" s="690" t="s">
        <v>744</v>
      </c>
    </row>
    <row r="103" spans="1:7" s="613" customFormat="1" ht="28.15" outlineLevel="1">
      <c r="A103" s="608"/>
      <c r="B103" s="632" t="s">
        <v>708</v>
      </c>
      <c r="C103" s="655" t="s">
        <v>745</v>
      </c>
      <c r="D103" s="598">
        <v>0</v>
      </c>
      <c r="E103" s="597"/>
      <c r="F103" s="598"/>
      <c r="G103" s="690" t="s">
        <v>744</v>
      </c>
    </row>
    <row r="104" spans="1:7" s="613" customFormat="1" ht="14.45" outlineLevel="1">
      <c r="A104" s="608"/>
      <c r="B104" s="632" t="s">
        <v>708</v>
      </c>
      <c r="C104" s="655" t="s">
        <v>746</v>
      </c>
      <c r="D104" s="598">
        <v>0</v>
      </c>
      <c r="E104" s="597"/>
      <c r="F104" s="598"/>
      <c r="G104" s="608"/>
    </row>
    <row r="105" spans="1:7" s="613" customFormat="1" ht="14.45" outlineLevel="1">
      <c r="A105" s="608"/>
      <c r="B105" s="632" t="s">
        <v>708</v>
      </c>
      <c r="C105" s="655" t="s">
        <v>747</v>
      </c>
      <c r="D105" s="598">
        <v>0</v>
      </c>
      <c r="E105" s="597"/>
      <c r="F105" s="598"/>
      <c r="G105" s="608"/>
    </row>
    <row r="106" spans="1:7" s="613" customFormat="1" ht="14.45" outlineLevel="1">
      <c r="A106" s="608"/>
      <c r="B106" s="632" t="s">
        <v>708</v>
      </c>
      <c r="C106" s="655" t="s">
        <v>748</v>
      </c>
      <c r="D106" s="614"/>
      <c r="E106" s="597"/>
      <c r="F106" s="614"/>
      <c r="G106" s="608"/>
    </row>
    <row r="107" spans="1:7">
      <c r="A107" s="654"/>
      <c r="B107" s="654"/>
      <c r="C107" s="654"/>
      <c r="D107" s="656"/>
      <c r="E107" s="656"/>
      <c r="F107" s="656"/>
      <c r="G107" s="654"/>
    </row>
    <row r="108" spans="1:7">
      <c r="A108" s="632"/>
      <c r="B108" s="632"/>
      <c r="C108" s="632"/>
      <c r="D108" s="596"/>
      <c r="E108" s="597"/>
      <c r="F108" s="598"/>
      <c r="G108" s="632"/>
    </row>
    <row r="109" spans="1:7">
      <c r="A109" s="632"/>
      <c r="B109" s="592" t="s">
        <v>11</v>
      </c>
      <c r="C109" s="592" t="s">
        <v>612</v>
      </c>
      <c r="D109" s="592" t="s">
        <v>613</v>
      </c>
      <c r="E109" s="592" t="s">
        <v>614</v>
      </c>
      <c r="F109" s="592" t="s">
        <v>615</v>
      </c>
      <c r="G109" s="632"/>
    </row>
    <row r="110" spans="1:7" ht="3" customHeight="1">
      <c r="A110" s="632"/>
      <c r="B110" s="632"/>
      <c r="C110" s="632"/>
      <c r="D110" s="596"/>
      <c r="E110" s="597"/>
      <c r="F110" s="598"/>
      <c r="G110" s="632"/>
    </row>
    <row r="111" spans="1:7">
      <c r="A111" s="632"/>
      <c r="B111" s="632" t="s">
        <v>749</v>
      </c>
      <c r="C111" s="632" t="s">
        <v>750</v>
      </c>
      <c r="D111" s="596">
        <f>((8000*632)/10^7)+((8000*525)/10^7)</f>
        <v>0.92559999999999998</v>
      </c>
      <c r="E111" s="596"/>
      <c r="F111" s="596">
        <f>((8000*549)/10^7)+((8000*0)/10^7)</f>
        <v>0.43919999999999998</v>
      </c>
      <c r="G111" s="632"/>
    </row>
    <row r="112" spans="1:7">
      <c r="A112" s="632"/>
      <c r="B112" s="632" t="s">
        <v>749</v>
      </c>
      <c r="C112" s="632" t="s">
        <v>751</v>
      </c>
      <c r="D112" s="596">
        <f>SUM(D113:D115)</f>
        <v>1.16018400956</v>
      </c>
      <c r="E112" s="597">
        <f>SUM(E113:E115)</f>
        <v>46</v>
      </c>
      <c r="F112" s="596">
        <f>SUM(F113:F115)</f>
        <v>0.44551000000000002</v>
      </c>
      <c r="G112" s="632"/>
    </row>
    <row r="113" spans="1:7" outlineLevel="1">
      <c r="A113" s="632"/>
      <c r="B113" s="632" t="s">
        <v>749</v>
      </c>
      <c r="C113" s="632" t="s">
        <v>752</v>
      </c>
      <c r="D113" s="596">
        <f>((41374*160)/10^7)+((4.78*2%)/10^7)</f>
        <v>0.66198400956000003</v>
      </c>
      <c r="E113" s="597">
        <v>2</v>
      </c>
      <c r="F113" s="598">
        <f>((11338*160)/10^7)+(((11338*1000)*2%)/10^7)</f>
        <v>0.20408400000000002</v>
      </c>
      <c r="G113" s="632"/>
    </row>
    <row r="114" spans="1:7" outlineLevel="1">
      <c r="A114" s="632"/>
      <c r="B114" s="632" t="s">
        <v>749</v>
      </c>
      <c r="C114" s="632" t="s">
        <v>753</v>
      </c>
      <c r="D114" s="596">
        <v>0.49820000000000003</v>
      </c>
      <c r="E114" s="597">
        <v>39</v>
      </c>
      <c r="F114" s="598">
        <f>(((8550*1200)+(110453*1000))*2%)/10^7</f>
        <v>0.241426</v>
      </c>
      <c r="G114" s="632"/>
    </row>
    <row r="115" spans="1:7" outlineLevel="1">
      <c r="A115" s="632"/>
      <c r="B115" s="632" t="s">
        <v>749</v>
      </c>
      <c r="C115" s="632" t="s">
        <v>754</v>
      </c>
      <c r="D115" s="596">
        <v>0</v>
      </c>
      <c r="E115" s="597">
        <v>5</v>
      </c>
      <c r="F115" s="598"/>
      <c r="G115" s="632"/>
    </row>
    <row r="116" spans="1:7">
      <c r="A116" s="632"/>
      <c r="B116" s="632"/>
      <c r="C116" s="632"/>
      <c r="D116" s="657"/>
      <c r="E116" s="657"/>
      <c r="F116" s="658"/>
      <c r="G116" s="632"/>
    </row>
  </sheetData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AA1101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90" customWidth="1"/>
    <col min="2" max="2" width="11.5703125" style="191" customWidth="1"/>
    <col min="3" max="3" width="26.42578125" style="190" customWidth="1"/>
    <col min="4" max="4" width="13.42578125" style="190" customWidth="1"/>
    <col min="5" max="5" width="0.42578125" style="192" customWidth="1"/>
    <col min="6" max="6" width="0.42578125" style="247" customWidth="1"/>
    <col min="7" max="7" width="0.42578125" style="192" customWidth="1"/>
    <col min="8" max="8" width="77.42578125" style="194" customWidth="1" outlineLevel="1"/>
    <col min="9" max="11" width="30.5703125" style="194" customWidth="1" outlineLevel="1"/>
    <col min="12" max="12" width="0.42578125" style="192" customWidth="1"/>
    <col min="13" max="13" width="0.42578125" style="247" customWidth="1"/>
    <col min="14" max="14" width="0.42578125" style="192" customWidth="1"/>
    <col min="15" max="18" width="10.5703125" style="323" customWidth="1" outlineLevel="1"/>
    <col min="19" max="19" width="0.42578125" style="192" customWidth="1" outlineLevel="1"/>
    <col min="20" max="20" width="0.42578125" style="247" customWidth="1"/>
    <col min="21" max="16384" width="11.5703125" style="190"/>
  </cols>
  <sheetData>
    <row r="1" spans="1:20" ht="17.25" customHeight="1">
      <c r="A1" s="659"/>
      <c r="B1" s="660"/>
      <c r="C1" s="661"/>
      <c r="D1" s="659"/>
      <c r="F1" s="193"/>
      <c r="H1" s="662">
        <f>SUBTOTAL(3,H10:H1427)/2</f>
        <v>353</v>
      </c>
      <c r="I1" s="662">
        <f>SUBTOTAL(3,I10:I1427)/2</f>
        <v>0</v>
      </c>
      <c r="J1" s="662">
        <f>SUBTOTAL(3,J10:J1427)/2</f>
        <v>0</v>
      </c>
      <c r="K1" s="662">
        <f>SUBTOTAL(3,K10:K1427)/2</f>
        <v>0</v>
      </c>
      <c r="M1" s="193"/>
      <c r="O1" s="663">
        <f>SUM(O8)</f>
        <v>157.06980153157573</v>
      </c>
      <c r="P1" s="663">
        <f>SUM(P8)</f>
        <v>0</v>
      </c>
      <c r="Q1" s="663">
        <f>SUM(Q8)</f>
        <v>0</v>
      </c>
      <c r="R1" s="663">
        <f>SUM(R8)</f>
        <v>0</v>
      </c>
      <c r="T1" s="193"/>
    </row>
    <row r="2" spans="1:20" s="195" customFormat="1" ht="17.45">
      <c r="B2" s="196" t="s">
        <v>755</v>
      </c>
      <c r="C2" s="196"/>
      <c r="D2" s="196"/>
      <c r="E2" s="197"/>
      <c r="F2" s="198"/>
      <c r="G2" s="197"/>
      <c r="H2" s="2" t="s">
        <v>612</v>
      </c>
      <c r="I2" s="2" t="s">
        <v>612</v>
      </c>
      <c r="J2" s="2" t="s">
        <v>612</v>
      </c>
      <c r="K2" s="2" t="s">
        <v>612</v>
      </c>
      <c r="L2" s="197"/>
      <c r="M2" s="198"/>
      <c r="N2" s="197"/>
      <c r="O2" s="346" t="s">
        <v>756</v>
      </c>
      <c r="P2" s="346" t="s">
        <v>756</v>
      </c>
      <c r="Q2" s="346" t="s">
        <v>756</v>
      </c>
      <c r="R2" s="346" t="s">
        <v>756</v>
      </c>
      <c r="S2" s="197"/>
      <c r="T2" s="198"/>
    </row>
    <row r="3" spans="1:20" s="195" customFormat="1" ht="2.1" customHeight="1">
      <c r="A3" s="199"/>
      <c r="B3" s="200"/>
      <c r="C3" s="201"/>
      <c r="D3" s="201"/>
      <c r="E3" s="202"/>
      <c r="F3" s="198"/>
      <c r="G3" s="202"/>
      <c r="H3" s="203"/>
      <c r="I3" s="203"/>
      <c r="J3" s="203"/>
      <c r="K3" s="203"/>
      <c r="L3" s="202"/>
      <c r="M3" s="198"/>
      <c r="N3" s="202"/>
      <c r="O3" s="347"/>
      <c r="P3" s="347"/>
      <c r="Q3" s="347"/>
      <c r="R3" s="347"/>
      <c r="S3" s="202"/>
      <c r="T3" s="198"/>
    </row>
    <row r="4" spans="1:20" s="210" customFormat="1" ht="15.6">
      <c r="A4" s="204"/>
      <c r="B4" s="205" t="s">
        <v>757</v>
      </c>
      <c r="C4" s="206"/>
      <c r="D4" s="206"/>
      <c r="E4" s="207"/>
      <c r="F4" s="208"/>
      <c r="G4" s="207"/>
      <c r="H4" s="209" t="s">
        <v>2</v>
      </c>
      <c r="I4" s="209" t="s">
        <v>3</v>
      </c>
      <c r="J4" s="209" t="s">
        <v>4</v>
      </c>
      <c r="K4" s="209" t="s">
        <v>5</v>
      </c>
      <c r="L4" s="207"/>
      <c r="M4" s="208"/>
      <c r="N4" s="207"/>
      <c r="O4" s="209" t="s">
        <v>2</v>
      </c>
      <c r="P4" s="209" t="s">
        <v>3</v>
      </c>
      <c r="Q4" s="209" t="s">
        <v>4</v>
      </c>
      <c r="R4" s="209" t="s">
        <v>5</v>
      </c>
      <c r="S4" s="207"/>
      <c r="T4" s="208"/>
    </row>
    <row r="5" spans="1:20" s="215" customFormat="1" ht="2.1" customHeight="1">
      <c r="A5" s="664"/>
      <c r="B5" s="211"/>
      <c r="C5" s="212"/>
      <c r="D5" s="212"/>
      <c r="E5" s="213"/>
      <c r="F5" s="193"/>
      <c r="G5" s="213"/>
      <c r="H5" s="214"/>
      <c r="I5" s="214"/>
      <c r="J5" s="214"/>
      <c r="K5" s="214"/>
      <c r="L5" s="213"/>
      <c r="M5" s="193"/>
      <c r="N5" s="213"/>
      <c r="O5" s="348"/>
      <c r="P5" s="348"/>
      <c r="Q5" s="348"/>
      <c r="R5" s="348"/>
      <c r="S5" s="213"/>
      <c r="T5" s="193"/>
    </row>
    <row r="6" spans="1:20" s="215" customFormat="1" ht="2.1" customHeight="1">
      <c r="A6" s="664"/>
      <c r="B6" s="216"/>
      <c r="C6" s="217"/>
      <c r="D6" s="217"/>
      <c r="E6" s="213"/>
      <c r="F6" s="193"/>
      <c r="G6" s="213"/>
      <c r="H6" s="218"/>
      <c r="I6" s="218"/>
      <c r="J6" s="218"/>
      <c r="K6" s="218"/>
      <c r="L6" s="213"/>
      <c r="M6" s="193"/>
      <c r="N6" s="213"/>
      <c r="O6" s="349"/>
      <c r="P6" s="349"/>
      <c r="Q6" s="349"/>
      <c r="R6" s="349"/>
      <c r="S6" s="213"/>
      <c r="T6" s="193"/>
    </row>
    <row r="7" spans="1:20" ht="2.1" customHeight="1">
      <c r="A7" s="659"/>
      <c r="B7" s="660"/>
      <c r="C7" s="659"/>
      <c r="D7" s="659"/>
      <c r="F7" s="193"/>
      <c r="H7" s="662"/>
      <c r="I7" s="662"/>
      <c r="J7" s="662"/>
      <c r="K7" s="662"/>
      <c r="M7" s="193"/>
      <c r="O7" s="663"/>
      <c r="P7" s="663"/>
      <c r="Q7" s="663"/>
      <c r="R7" s="663"/>
      <c r="T7" s="193"/>
    </row>
    <row r="8" spans="1:20" s="219" customFormat="1" ht="15.6">
      <c r="B8" s="220"/>
      <c r="E8" s="221"/>
      <c r="F8" s="208"/>
      <c r="G8" s="221"/>
      <c r="H8" s="222">
        <f>SUM(H10+H22+H113+H235+H308+H415+H809+H354)</f>
        <v>582</v>
      </c>
      <c r="I8" s="222">
        <f>SUM(I10+I22+I113+I235+I308+I415+I809+I354)</f>
        <v>0</v>
      </c>
      <c r="J8" s="222">
        <f>SUM(J10+J22+J113+J235+J308+J415+J809+J354)</f>
        <v>0</v>
      </c>
      <c r="K8" s="222">
        <f>SUM(K10+K22+K113+K235+K308+K415+K809+K354)</f>
        <v>0</v>
      </c>
      <c r="L8" s="223"/>
      <c r="M8" s="208"/>
      <c r="N8" s="223"/>
      <c r="O8" s="374">
        <f>SUM(O10+O22+O113+O235+O308+O415+O809+O354)</f>
        <v>157.06980153157573</v>
      </c>
      <c r="P8" s="374">
        <f>SUM(P10+P22+P113+P235+P308+P415+P809+P354)</f>
        <v>0</v>
      </c>
      <c r="Q8" s="374">
        <f>SUM(Q10+Q22+Q113+Q235+Q308+Q415+Q809+Q354)</f>
        <v>0</v>
      </c>
      <c r="R8" s="374">
        <f>SUM(R10+R22+R113+R235+R308+R415+R809+R354)</f>
        <v>0</v>
      </c>
      <c r="S8" s="221"/>
      <c r="T8" s="208"/>
    </row>
    <row r="9" spans="1:20" s="195" customFormat="1" ht="2.1" customHeight="1">
      <c r="A9" s="199"/>
      <c r="B9" s="200"/>
      <c r="C9" s="201"/>
      <c r="D9" s="201"/>
      <c r="E9" s="202"/>
      <c r="F9" s="198"/>
      <c r="G9" s="202"/>
      <c r="H9" s="203"/>
      <c r="I9" s="203"/>
      <c r="J9" s="203"/>
      <c r="K9" s="203"/>
      <c r="L9" s="224"/>
      <c r="M9" s="198"/>
      <c r="N9" s="224"/>
      <c r="O9" s="347"/>
      <c r="P9" s="347"/>
      <c r="Q9" s="347"/>
      <c r="R9" s="347"/>
      <c r="S9" s="202"/>
      <c r="T9" s="198"/>
    </row>
    <row r="10" spans="1:20" s="232" customFormat="1" ht="15.6">
      <c r="A10" s="225"/>
      <c r="B10" s="226" t="s">
        <v>758</v>
      </c>
      <c r="C10" s="227" t="s">
        <v>759</v>
      </c>
      <c r="D10" s="228" t="s">
        <v>18</v>
      </c>
      <c r="E10" s="229"/>
      <c r="F10" s="230"/>
      <c r="G10" s="229"/>
      <c r="H10" s="231">
        <f>SUM(H12+H19)</f>
        <v>16</v>
      </c>
      <c r="I10" s="231"/>
      <c r="J10" s="231"/>
      <c r="K10" s="231"/>
      <c r="L10" s="229"/>
      <c r="M10" s="230"/>
      <c r="N10" s="229"/>
      <c r="O10" s="350">
        <f>SUM(O12+O19)</f>
        <v>0.45</v>
      </c>
      <c r="P10" s="350"/>
      <c r="Q10" s="350"/>
      <c r="R10" s="350"/>
      <c r="S10" s="229"/>
      <c r="T10" s="230"/>
    </row>
    <row r="11" spans="1:20" ht="3" customHeight="1" outlineLevel="1">
      <c r="A11" s="665"/>
      <c r="B11" s="233"/>
      <c r="C11" s="234"/>
      <c r="D11" s="235"/>
      <c r="E11" s="236"/>
      <c r="F11" s="193"/>
      <c r="G11" s="236"/>
      <c r="H11" s="237"/>
      <c r="I11" s="237"/>
      <c r="J11" s="237"/>
      <c r="K11" s="237"/>
      <c r="L11" s="236"/>
      <c r="M11" s="193"/>
      <c r="N11" s="236"/>
      <c r="O11" s="351"/>
      <c r="P11" s="351"/>
      <c r="Q11" s="351"/>
      <c r="R11" s="351"/>
      <c r="S11" s="236"/>
      <c r="T11" s="193"/>
    </row>
    <row r="12" spans="1:20" s="238" customFormat="1" outlineLevel="1">
      <c r="B12" s="239" t="s">
        <v>309</v>
      </c>
      <c r="C12" s="325" t="s">
        <v>760</v>
      </c>
      <c r="D12" s="239"/>
      <c r="E12" s="236"/>
      <c r="F12" s="193"/>
      <c r="G12" s="236"/>
      <c r="H12" s="240">
        <f>SUM(H13:H17)</f>
        <v>10</v>
      </c>
      <c r="I12" s="240"/>
      <c r="J12" s="240"/>
      <c r="K12" s="240"/>
      <c r="L12" s="236"/>
      <c r="M12" s="193"/>
      <c r="N12" s="236"/>
      <c r="O12" s="265">
        <f>SUM(O13:O17)</f>
        <v>0</v>
      </c>
      <c r="P12" s="265"/>
      <c r="Q12" s="265"/>
      <c r="R12" s="265"/>
      <c r="S12" s="241"/>
      <c r="T12" s="193"/>
    </row>
    <row r="13" spans="1:20" outlineLevel="2">
      <c r="A13" s="659"/>
      <c r="B13" s="242" t="s">
        <v>617</v>
      </c>
      <c r="C13" s="246" t="s">
        <v>200</v>
      </c>
      <c r="D13" s="253" t="s">
        <v>18</v>
      </c>
      <c r="E13" s="243"/>
      <c r="F13" s="193"/>
      <c r="G13" s="243"/>
      <c r="H13" s="253">
        <v>3</v>
      </c>
      <c r="I13" s="253"/>
      <c r="J13" s="253"/>
      <c r="K13" s="253"/>
      <c r="L13" s="243"/>
      <c r="M13" s="193"/>
      <c r="N13" s="243"/>
      <c r="O13" s="321"/>
      <c r="P13" s="321"/>
      <c r="Q13" s="321"/>
      <c r="R13" s="321"/>
      <c r="S13" s="257"/>
      <c r="T13" s="193"/>
    </row>
    <row r="14" spans="1:20" outlineLevel="2">
      <c r="A14" s="659"/>
      <c r="B14" s="242" t="s">
        <v>617</v>
      </c>
      <c r="C14" s="246" t="s">
        <v>313</v>
      </c>
      <c r="D14" s="253" t="s">
        <v>18</v>
      </c>
      <c r="E14" s="243"/>
      <c r="F14" s="193"/>
      <c r="G14" s="243"/>
      <c r="H14" s="253">
        <v>2</v>
      </c>
      <c r="I14" s="253"/>
      <c r="J14" s="253"/>
      <c r="K14" s="253"/>
      <c r="L14" s="243"/>
      <c r="M14" s="193"/>
      <c r="N14" s="243"/>
      <c r="O14" s="321"/>
      <c r="P14" s="321"/>
      <c r="Q14" s="321"/>
      <c r="R14" s="321"/>
      <c r="S14" s="257"/>
      <c r="T14" s="193"/>
    </row>
    <row r="15" spans="1:20" outlineLevel="2">
      <c r="A15" s="659"/>
      <c r="B15" s="242"/>
      <c r="C15" s="246" t="s">
        <v>315</v>
      </c>
      <c r="D15" s="253" t="s">
        <v>18</v>
      </c>
      <c r="E15" s="243"/>
      <c r="F15" s="193"/>
      <c r="G15" s="243"/>
      <c r="H15" s="253">
        <v>1</v>
      </c>
      <c r="I15" s="253"/>
      <c r="J15" s="253"/>
      <c r="K15" s="253"/>
      <c r="L15" s="243"/>
      <c r="M15" s="193"/>
      <c r="N15" s="243"/>
      <c r="O15" s="321"/>
      <c r="P15" s="321"/>
      <c r="Q15" s="321"/>
      <c r="R15" s="321"/>
      <c r="S15" s="257"/>
      <c r="T15" s="193"/>
    </row>
    <row r="16" spans="1:20" outlineLevel="2">
      <c r="A16" s="659"/>
      <c r="B16" s="242"/>
      <c r="C16" s="246" t="s">
        <v>317</v>
      </c>
      <c r="D16" s="253" t="s">
        <v>18</v>
      </c>
      <c r="E16" s="243"/>
      <c r="F16" s="193"/>
      <c r="G16" s="243"/>
      <c r="H16" s="253">
        <v>2</v>
      </c>
      <c r="I16" s="253"/>
      <c r="J16" s="253"/>
      <c r="K16" s="253"/>
      <c r="L16" s="243"/>
      <c r="M16" s="193"/>
      <c r="N16" s="243"/>
      <c r="O16" s="321"/>
      <c r="P16" s="321"/>
      <c r="Q16" s="321"/>
      <c r="R16" s="321"/>
      <c r="S16" s="257"/>
      <c r="T16" s="193"/>
    </row>
    <row r="17" spans="1:20" outlineLevel="2">
      <c r="A17" s="659"/>
      <c r="B17" s="242"/>
      <c r="C17" s="246" t="s">
        <v>761</v>
      </c>
      <c r="D17" s="253" t="s">
        <v>18</v>
      </c>
      <c r="E17" s="243"/>
      <c r="F17" s="193"/>
      <c r="G17" s="243"/>
      <c r="H17" s="253">
        <v>2</v>
      </c>
      <c r="I17" s="253"/>
      <c r="J17" s="253"/>
      <c r="K17" s="253"/>
      <c r="L17" s="243"/>
      <c r="M17" s="193"/>
      <c r="N17" s="243"/>
      <c r="O17" s="321"/>
      <c r="P17" s="321"/>
      <c r="Q17" s="321"/>
      <c r="R17" s="321"/>
      <c r="S17" s="257"/>
      <c r="T17" s="193"/>
    </row>
    <row r="18" spans="1:20" ht="3" customHeight="1" outlineLevel="1">
      <c r="A18" s="659"/>
      <c r="B18" s="666"/>
      <c r="C18" s="666"/>
      <c r="D18" s="667"/>
      <c r="E18" s="252"/>
      <c r="F18" s="193"/>
      <c r="G18" s="252"/>
      <c r="H18" s="264"/>
      <c r="I18" s="264"/>
      <c r="J18" s="264"/>
      <c r="K18" s="264"/>
      <c r="L18" s="252"/>
      <c r="M18" s="193"/>
      <c r="N18" s="252"/>
      <c r="O18" s="352"/>
      <c r="P18" s="352"/>
      <c r="Q18" s="352"/>
      <c r="R18" s="352"/>
      <c r="S18" s="252"/>
      <c r="T18" s="193"/>
    </row>
    <row r="19" spans="1:20" s="238" customFormat="1" outlineLevel="1">
      <c r="B19" s="239" t="s">
        <v>762</v>
      </c>
      <c r="C19" s="239"/>
      <c r="D19" s="239"/>
      <c r="E19" s="236"/>
      <c r="F19" s="254"/>
      <c r="G19" s="236"/>
      <c r="H19" s="240">
        <f t="shared" ref="H19" si="0">SUM(H20:H20)</f>
        <v>6</v>
      </c>
      <c r="I19" s="240"/>
      <c r="J19" s="240"/>
      <c r="K19" s="240"/>
      <c r="L19" s="236"/>
      <c r="M19" s="254"/>
      <c r="N19" s="236"/>
      <c r="O19" s="265">
        <f>SUM(O20:O20)</f>
        <v>0.45</v>
      </c>
      <c r="P19" s="265"/>
      <c r="Q19" s="265"/>
      <c r="R19" s="265"/>
      <c r="S19" s="236"/>
      <c r="T19" s="254"/>
    </row>
    <row r="20" spans="1:20" outlineLevel="2">
      <c r="A20" s="659"/>
      <c r="B20" s="242"/>
      <c r="C20" s="666" t="s">
        <v>763</v>
      </c>
      <c r="D20" s="667" t="s">
        <v>18</v>
      </c>
      <c r="E20" s="236"/>
      <c r="F20" s="254"/>
      <c r="G20" s="236"/>
      <c r="H20" s="668">
        <v>6</v>
      </c>
      <c r="I20" s="253"/>
      <c r="J20" s="253"/>
      <c r="K20" s="253"/>
      <c r="L20" s="236"/>
      <c r="M20" s="254"/>
      <c r="N20" s="236"/>
      <c r="O20" s="663">
        <v>0.45</v>
      </c>
      <c r="P20" s="663"/>
      <c r="Q20" s="663"/>
      <c r="R20" s="663"/>
      <c r="S20" s="236"/>
      <c r="T20" s="254"/>
    </row>
    <row r="21" spans="1:20" ht="3" customHeight="1">
      <c r="A21" s="659"/>
      <c r="B21" s="666"/>
      <c r="C21" s="666"/>
      <c r="D21" s="667"/>
      <c r="E21" s="252"/>
      <c r="F21" s="193"/>
      <c r="G21" s="252"/>
      <c r="H21" s="264"/>
      <c r="I21" s="264"/>
      <c r="J21" s="264"/>
      <c r="K21" s="264"/>
      <c r="L21" s="252"/>
      <c r="M21" s="193"/>
      <c r="N21" s="252"/>
      <c r="O21" s="352"/>
      <c r="P21" s="352"/>
      <c r="Q21" s="352"/>
      <c r="R21" s="352"/>
      <c r="S21" s="252"/>
      <c r="T21" s="193"/>
    </row>
    <row r="22" spans="1:20" s="232" customFormat="1" ht="15.6">
      <c r="A22" s="225"/>
      <c r="B22" s="226" t="s">
        <v>621</v>
      </c>
      <c r="C22" s="227" t="s">
        <v>764</v>
      </c>
      <c r="D22" s="228" t="s">
        <v>18</v>
      </c>
      <c r="E22" s="229"/>
      <c r="F22" s="230"/>
      <c r="G22" s="229"/>
      <c r="H22" s="231">
        <f>SUM(H24+H55+H63+H70+H84+H90+H101+H105+H110+H66+H94)</f>
        <v>65</v>
      </c>
      <c r="I22" s="231"/>
      <c r="J22" s="231"/>
      <c r="K22" s="231"/>
      <c r="L22" s="229"/>
      <c r="M22" s="230"/>
      <c r="N22" s="229"/>
      <c r="O22" s="350">
        <f>SUM(O24+O55+O63+O70+O84+O90+O101+O105+O110+O66+O94)</f>
        <v>51.697725000000013</v>
      </c>
      <c r="P22" s="350"/>
      <c r="Q22" s="350"/>
      <c r="R22" s="350"/>
      <c r="S22" s="229"/>
      <c r="T22" s="230"/>
    </row>
    <row r="23" spans="1:20" ht="3" customHeight="1" outlineLevel="1">
      <c r="A23" s="665"/>
      <c r="B23" s="233"/>
      <c r="C23" s="234"/>
      <c r="D23" s="235"/>
      <c r="E23" s="236"/>
      <c r="F23" s="193"/>
      <c r="G23" s="236"/>
      <c r="H23" s="237"/>
      <c r="I23" s="237"/>
      <c r="J23" s="237"/>
      <c r="K23" s="237"/>
      <c r="L23" s="236"/>
      <c r="M23" s="193"/>
      <c r="N23" s="236"/>
      <c r="O23" s="351"/>
      <c r="P23" s="351"/>
      <c r="Q23" s="351"/>
      <c r="R23" s="351"/>
      <c r="S23" s="236"/>
      <c r="T23" s="193"/>
    </row>
    <row r="24" spans="1:20" s="238" customFormat="1" outlineLevel="1">
      <c r="B24" s="239" t="s">
        <v>765</v>
      </c>
      <c r="C24" s="239"/>
      <c r="D24" s="239"/>
      <c r="E24" s="236"/>
      <c r="F24" s="193"/>
      <c r="G24" s="236"/>
      <c r="H24" s="240">
        <f>COUNTA(H25:H53)</f>
        <v>29</v>
      </c>
      <c r="I24" s="240"/>
      <c r="J24" s="240"/>
      <c r="K24" s="240"/>
      <c r="L24" s="236"/>
      <c r="M24" s="193"/>
      <c r="N24" s="236"/>
      <c r="O24" s="265">
        <f>SUM(O25:O53)</f>
        <v>7.5999999999999988</v>
      </c>
      <c r="P24" s="265"/>
      <c r="Q24" s="265"/>
      <c r="R24" s="265"/>
      <c r="S24" s="241"/>
      <c r="T24" s="193"/>
    </row>
    <row r="25" spans="1:20" ht="13.35" customHeight="1" outlineLevel="2">
      <c r="A25" s="659"/>
      <c r="B25" s="246"/>
      <c r="C25" s="666" t="s">
        <v>766</v>
      </c>
      <c r="D25" s="667" t="s">
        <v>18</v>
      </c>
      <c r="E25" s="243"/>
      <c r="F25" s="193"/>
      <c r="G25" s="243"/>
      <c r="H25" s="669" t="s">
        <v>767</v>
      </c>
      <c r="I25" s="669"/>
      <c r="J25" s="669"/>
      <c r="K25" s="669"/>
      <c r="L25" s="243"/>
      <c r="M25" s="193"/>
      <c r="N25" s="243"/>
      <c r="O25" s="353">
        <v>0.26</v>
      </c>
      <c r="P25" s="353"/>
      <c r="Q25" s="353"/>
      <c r="R25" s="353"/>
      <c r="S25" s="243"/>
      <c r="T25" s="193"/>
    </row>
    <row r="26" spans="1:20" ht="13.35" customHeight="1" outlineLevel="2">
      <c r="A26" s="659"/>
      <c r="B26" s="246"/>
      <c r="C26" s="666" t="s">
        <v>768</v>
      </c>
      <c r="D26" s="666" t="s">
        <v>18</v>
      </c>
      <c r="E26" s="247"/>
      <c r="F26" s="193"/>
      <c r="G26" s="247"/>
      <c r="H26" s="669" t="s">
        <v>137</v>
      </c>
      <c r="I26" s="669"/>
      <c r="J26" s="669"/>
      <c r="K26" s="669"/>
      <c r="L26" s="247"/>
      <c r="M26" s="193"/>
      <c r="N26" s="247"/>
      <c r="O26" s="353">
        <v>7.0000000000000007E-2</v>
      </c>
      <c r="P26" s="353"/>
      <c r="Q26" s="353"/>
      <c r="R26" s="353"/>
      <c r="S26" s="243"/>
      <c r="T26" s="193"/>
    </row>
    <row r="27" spans="1:20" ht="13.35" customHeight="1" outlineLevel="2">
      <c r="A27" s="659"/>
      <c r="B27" s="246"/>
      <c r="C27" s="666" t="s">
        <v>768</v>
      </c>
      <c r="D27" s="666" t="s">
        <v>18</v>
      </c>
      <c r="E27" s="247"/>
      <c r="F27" s="193"/>
      <c r="G27" s="247"/>
      <c r="H27" s="669" t="s">
        <v>145</v>
      </c>
      <c r="I27" s="669"/>
      <c r="J27" s="669"/>
      <c r="K27" s="669"/>
      <c r="L27" s="247"/>
      <c r="M27" s="193"/>
      <c r="N27" s="247"/>
      <c r="O27" s="353">
        <v>0.18</v>
      </c>
      <c r="P27" s="353"/>
      <c r="Q27" s="353"/>
      <c r="R27" s="353"/>
      <c r="S27" s="243"/>
      <c r="T27" s="193"/>
    </row>
    <row r="28" spans="1:20" ht="13.35" customHeight="1" outlineLevel="2">
      <c r="A28" s="659"/>
      <c r="B28" s="246"/>
      <c r="C28" s="666" t="s">
        <v>769</v>
      </c>
      <c r="D28" s="666" t="s">
        <v>18</v>
      </c>
      <c r="E28" s="247"/>
      <c r="F28" s="193"/>
      <c r="G28" s="247"/>
      <c r="H28" s="669" t="s">
        <v>150</v>
      </c>
      <c r="I28" s="669"/>
      <c r="J28" s="669"/>
      <c r="K28" s="669"/>
      <c r="L28" s="247"/>
      <c r="M28" s="193"/>
      <c r="N28" s="247"/>
      <c r="O28" s="353">
        <v>0.13</v>
      </c>
      <c r="P28" s="353"/>
      <c r="Q28" s="353"/>
      <c r="R28" s="353"/>
      <c r="S28" s="243"/>
      <c r="T28" s="193"/>
    </row>
    <row r="29" spans="1:20" ht="13.35" customHeight="1" outlineLevel="2">
      <c r="A29" s="659"/>
      <c r="B29" s="246"/>
      <c r="C29" s="666" t="s">
        <v>769</v>
      </c>
      <c r="D29" s="666" t="s">
        <v>18</v>
      </c>
      <c r="E29" s="247"/>
      <c r="F29" s="193"/>
      <c r="G29" s="247"/>
      <c r="H29" s="669" t="s">
        <v>151</v>
      </c>
      <c r="I29" s="669"/>
      <c r="J29" s="669"/>
      <c r="K29" s="669"/>
      <c r="L29" s="247"/>
      <c r="M29" s="193"/>
      <c r="N29" s="247"/>
      <c r="O29" s="353">
        <v>0.13</v>
      </c>
      <c r="P29" s="353"/>
      <c r="Q29" s="353"/>
      <c r="R29" s="353"/>
      <c r="S29" s="243"/>
      <c r="T29" s="193"/>
    </row>
    <row r="30" spans="1:20" ht="13.35" customHeight="1" outlineLevel="2">
      <c r="A30" s="659"/>
      <c r="B30" s="246"/>
      <c r="C30" s="666" t="s">
        <v>769</v>
      </c>
      <c r="D30" s="666" t="s">
        <v>18</v>
      </c>
      <c r="E30" s="247"/>
      <c r="F30" s="193"/>
      <c r="G30" s="247"/>
      <c r="H30" s="669" t="s">
        <v>152</v>
      </c>
      <c r="I30" s="669"/>
      <c r="J30" s="669"/>
      <c r="K30" s="669"/>
      <c r="L30" s="247"/>
      <c r="M30" s="193"/>
      <c r="N30" s="247"/>
      <c r="O30" s="353">
        <v>0.13</v>
      </c>
      <c r="P30" s="353"/>
      <c r="Q30" s="353"/>
      <c r="R30" s="353"/>
      <c r="S30" s="243"/>
      <c r="T30" s="193"/>
    </row>
    <row r="31" spans="1:20" ht="13.35" customHeight="1" outlineLevel="2">
      <c r="A31" s="659"/>
      <c r="B31" s="246"/>
      <c r="C31" s="666" t="s">
        <v>769</v>
      </c>
      <c r="D31" s="666" t="s">
        <v>18</v>
      </c>
      <c r="E31" s="247"/>
      <c r="F31" s="193"/>
      <c r="G31" s="247"/>
      <c r="H31" s="669" t="s">
        <v>770</v>
      </c>
      <c r="I31" s="669"/>
      <c r="J31" s="669"/>
      <c r="K31" s="669"/>
      <c r="L31" s="247"/>
      <c r="M31" s="193"/>
      <c r="N31" s="247"/>
      <c r="O31" s="353">
        <v>0.08</v>
      </c>
      <c r="P31" s="353"/>
      <c r="Q31" s="353"/>
      <c r="R31" s="353"/>
      <c r="S31" s="243"/>
      <c r="T31" s="193"/>
    </row>
    <row r="32" spans="1:20" ht="13.35" customHeight="1" outlineLevel="2">
      <c r="A32" s="659"/>
      <c r="B32" s="246"/>
      <c r="C32" s="666" t="s">
        <v>769</v>
      </c>
      <c r="D32" s="666" t="s">
        <v>18</v>
      </c>
      <c r="E32" s="247"/>
      <c r="F32" s="193"/>
      <c r="G32" s="247"/>
      <c r="H32" s="669" t="s">
        <v>153</v>
      </c>
      <c r="I32" s="669"/>
      <c r="J32" s="669"/>
      <c r="K32" s="669"/>
      <c r="L32" s="247"/>
      <c r="M32" s="193"/>
      <c r="N32" s="247"/>
      <c r="O32" s="353">
        <v>0.22</v>
      </c>
      <c r="P32" s="353"/>
      <c r="Q32" s="353"/>
      <c r="R32" s="353"/>
      <c r="S32" s="243"/>
      <c r="T32" s="193"/>
    </row>
    <row r="33" spans="2:20" ht="13.35" customHeight="1" outlineLevel="2">
      <c r="B33" s="246"/>
      <c r="C33" s="666" t="s">
        <v>769</v>
      </c>
      <c r="D33" s="666" t="s">
        <v>18</v>
      </c>
      <c r="E33" s="247"/>
      <c r="F33" s="193"/>
      <c r="G33" s="247"/>
      <c r="H33" s="669" t="s">
        <v>771</v>
      </c>
      <c r="I33" s="669"/>
      <c r="J33" s="669"/>
      <c r="K33" s="669"/>
      <c r="L33" s="247"/>
      <c r="M33" s="193"/>
      <c r="N33" s="247"/>
      <c r="O33" s="353">
        <v>0.08</v>
      </c>
      <c r="P33" s="353"/>
      <c r="Q33" s="353"/>
      <c r="R33" s="353"/>
      <c r="S33" s="243"/>
      <c r="T33" s="193"/>
    </row>
    <row r="34" spans="2:20" ht="13.35" customHeight="1" outlineLevel="2">
      <c r="B34" s="246"/>
      <c r="C34" s="666" t="s">
        <v>769</v>
      </c>
      <c r="D34" s="666" t="s">
        <v>18</v>
      </c>
      <c r="E34" s="247"/>
      <c r="F34" s="193"/>
      <c r="G34" s="247"/>
      <c r="H34" s="669" t="s">
        <v>154</v>
      </c>
      <c r="I34" s="669"/>
      <c r="J34" s="669"/>
      <c r="K34" s="669"/>
      <c r="L34" s="247"/>
      <c r="M34" s="193"/>
      <c r="N34" s="247"/>
      <c r="O34" s="353">
        <v>0.22</v>
      </c>
      <c r="P34" s="353"/>
      <c r="Q34" s="353"/>
      <c r="R34" s="353"/>
      <c r="S34" s="243"/>
      <c r="T34" s="193"/>
    </row>
    <row r="35" spans="2:20" ht="13.35" customHeight="1" outlineLevel="2">
      <c r="B35" s="246"/>
      <c r="C35" s="666" t="s">
        <v>769</v>
      </c>
      <c r="D35" s="666" t="s">
        <v>18</v>
      </c>
      <c r="E35" s="247"/>
      <c r="F35" s="193"/>
      <c r="G35" s="247"/>
      <c r="H35" s="669" t="s">
        <v>772</v>
      </c>
      <c r="I35" s="669"/>
      <c r="J35" s="669"/>
      <c r="K35" s="669"/>
      <c r="L35" s="247"/>
      <c r="M35" s="193"/>
      <c r="N35" s="247"/>
      <c r="O35" s="353">
        <v>0.08</v>
      </c>
      <c r="P35" s="353"/>
      <c r="Q35" s="353"/>
      <c r="R35" s="353"/>
      <c r="S35" s="243"/>
      <c r="T35" s="193"/>
    </row>
    <row r="36" spans="2:20" ht="13.35" customHeight="1" outlineLevel="2">
      <c r="B36" s="246"/>
      <c r="C36" s="666" t="s">
        <v>769</v>
      </c>
      <c r="D36" s="666" t="s">
        <v>18</v>
      </c>
      <c r="E36" s="247"/>
      <c r="F36" s="193"/>
      <c r="G36" s="247"/>
      <c r="H36" s="669" t="s">
        <v>155</v>
      </c>
      <c r="I36" s="669"/>
      <c r="J36" s="669"/>
      <c r="K36" s="669"/>
      <c r="L36" s="247"/>
      <c r="M36" s="193"/>
      <c r="N36" s="247"/>
      <c r="O36" s="353">
        <v>0.22</v>
      </c>
      <c r="P36" s="353"/>
      <c r="Q36" s="353"/>
      <c r="R36" s="353"/>
      <c r="S36" s="243"/>
      <c r="T36" s="193"/>
    </row>
    <row r="37" spans="2:20" ht="13.35" customHeight="1" outlineLevel="2">
      <c r="B37" s="246"/>
      <c r="C37" s="666" t="s">
        <v>769</v>
      </c>
      <c r="D37" s="666" t="s">
        <v>18</v>
      </c>
      <c r="E37" s="247"/>
      <c r="F37" s="193"/>
      <c r="G37" s="247"/>
      <c r="H37" s="669" t="s">
        <v>773</v>
      </c>
      <c r="I37" s="669"/>
      <c r="J37" s="669"/>
      <c r="K37" s="669"/>
      <c r="L37" s="247"/>
      <c r="M37" s="193"/>
      <c r="N37" s="247"/>
      <c r="O37" s="353">
        <v>0.2</v>
      </c>
      <c r="P37" s="353"/>
      <c r="Q37" s="353"/>
      <c r="R37" s="353"/>
      <c r="S37" s="243"/>
      <c r="T37" s="193"/>
    </row>
    <row r="38" spans="2:20" ht="13.35" customHeight="1" outlineLevel="2">
      <c r="B38" s="246"/>
      <c r="C38" s="666" t="s">
        <v>769</v>
      </c>
      <c r="D38" s="666" t="s">
        <v>18</v>
      </c>
      <c r="E38" s="247"/>
      <c r="F38" s="193"/>
      <c r="G38" s="247"/>
      <c r="H38" s="669" t="s">
        <v>774</v>
      </c>
      <c r="I38" s="669"/>
      <c r="J38" s="669"/>
      <c r="K38" s="669"/>
      <c r="L38" s="247"/>
      <c r="M38" s="193"/>
      <c r="N38" s="247"/>
      <c r="O38" s="353">
        <v>0.2</v>
      </c>
      <c r="P38" s="353"/>
      <c r="Q38" s="353"/>
      <c r="R38" s="353"/>
      <c r="S38" s="243"/>
      <c r="T38" s="193"/>
    </row>
    <row r="39" spans="2:20" ht="13.35" customHeight="1" outlineLevel="2">
      <c r="B39" s="246"/>
      <c r="C39" s="666" t="s">
        <v>769</v>
      </c>
      <c r="D39" s="666" t="s">
        <v>18</v>
      </c>
      <c r="E39" s="247"/>
      <c r="F39" s="193"/>
      <c r="G39" s="247"/>
      <c r="H39" s="669" t="s">
        <v>156</v>
      </c>
      <c r="I39" s="669"/>
      <c r="J39" s="669"/>
      <c r="K39" s="669"/>
      <c r="L39" s="247"/>
      <c r="M39" s="193"/>
      <c r="N39" s="247"/>
      <c r="O39" s="353">
        <v>0.3</v>
      </c>
      <c r="P39" s="353"/>
      <c r="Q39" s="353"/>
      <c r="R39" s="353"/>
      <c r="S39" s="243"/>
      <c r="T39" s="193"/>
    </row>
    <row r="40" spans="2:20" ht="13.35" customHeight="1" outlineLevel="2">
      <c r="B40" s="246"/>
      <c r="C40" s="666" t="s">
        <v>769</v>
      </c>
      <c r="D40" s="666" t="s">
        <v>18</v>
      </c>
      <c r="E40" s="247"/>
      <c r="F40" s="193"/>
      <c r="G40" s="247"/>
      <c r="H40" s="669" t="s">
        <v>157</v>
      </c>
      <c r="I40" s="669"/>
      <c r="J40" s="669"/>
      <c r="K40" s="669"/>
      <c r="L40" s="247"/>
      <c r="M40" s="193"/>
      <c r="N40" s="247"/>
      <c r="O40" s="353">
        <v>0.3</v>
      </c>
      <c r="P40" s="353"/>
      <c r="Q40" s="353"/>
      <c r="R40" s="353"/>
      <c r="S40" s="243"/>
      <c r="T40" s="193"/>
    </row>
    <row r="41" spans="2:20" ht="13.35" customHeight="1" outlineLevel="2">
      <c r="B41" s="246"/>
      <c r="C41" s="666" t="s">
        <v>769</v>
      </c>
      <c r="D41" s="666" t="s">
        <v>18</v>
      </c>
      <c r="E41" s="247"/>
      <c r="F41" s="193"/>
      <c r="G41" s="247"/>
      <c r="H41" s="669" t="s">
        <v>158</v>
      </c>
      <c r="I41" s="669"/>
      <c r="J41" s="669"/>
      <c r="K41" s="669"/>
      <c r="L41" s="247"/>
      <c r="M41" s="193"/>
      <c r="N41" s="247"/>
      <c r="O41" s="353">
        <v>0.03</v>
      </c>
      <c r="P41" s="353"/>
      <c r="Q41" s="353"/>
      <c r="R41" s="353"/>
      <c r="S41" s="243"/>
      <c r="T41" s="193"/>
    </row>
    <row r="42" spans="2:20" ht="13.35" customHeight="1" outlineLevel="2">
      <c r="B42" s="246"/>
      <c r="C42" s="666" t="s">
        <v>769</v>
      </c>
      <c r="D42" s="666" t="s">
        <v>18</v>
      </c>
      <c r="E42" s="247"/>
      <c r="F42" s="193"/>
      <c r="G42" s="247"/>
      <c r="H42" s="669" t="s">
        <v>159</v>
      </c>
      <c r="I42" s="669"/>
      <c r="J42" s="669"/>
      <c r="K42" s="669"/>
      <c r="L42" s="247"/>
      <c r="M42" s="193"/>
      <c r="N42" s="247"/>
      <c r="O42" s="353">
        <v>0.1</v>
      </c>
      <c r="P42" s="353"/>
      <c r="Q42" s="353"/>
      <c r="R42" s="353"/>
      <c r="S42" s="243"/>
      <c r="T42" s="193"/>
    </row>
    <row r="43" spans="2:20" ht="13.35" customHeight="1" outlineLevel="2">
      <c r="B43" s="246"/>
      <c r="C43" s="666" t="s">
        <v>769</v>
      </c>
      <c r="D43" s="666" t="s">
        <v>18</v>
      </c>
      <c r="E43" s="247"/>
      <c r="F43" s="193"/>
      <c r="G43" s="247"/>
      <c r="H43" s="669" t="s">
        <v>160</v>
      </c>
      <c r="I43" s="669"/>
      <c r="J43" s="669"/>
      <c r="K43" s="669"/>
      <c r="L43" s="247"/>
      <c r="M43" s="193"/>
      <c r="N43" s="247"/>
      <c r="O43" s="353">
        <v>0.1</v>
      </c>
      <c r="P43" s="353"/>
      <c r="Q43" s="353"/>
      <c r="R43" s="353"/>
      <c r="S43" s="243"/>
      <c r="T43" s="193"/>
    </row>
    <row r="44" spans="2:20" ht="13.35" customHeight="1" outlineLevel="2">
      <c r="B44" s="246"/>
      <c r="C44" s="666" t="s">
        <v>769</v>
      </c>
      <c r="D44" s="666" t="s">
        <v>18</v>
      </c>
      <c r="E44" s="247"/>
      <c r="F44" s="193"/>
      <c r="G44" s="247"/>
      <c r="H44" s="669" t="s">
        <v>161</v>
      </c>
      <c r="I44" s="669"/>
      <c r="J44" s="669"/>
      <c r="K44" s="669"/>
      <c r="L44" s="247"/>
      <c r="M44" s="193"/>
      <c r="N44" s="247"/>
      <c r="O44" s="353">
        <v>0.4</v>
      </c>
      <c r="P44" s="353"/>
      <c r="Q44" s="353"/>
      <c r="R44" s="353"/>
      <c r="S44" s="243"/>
      <c r="T44" s="193"/>
    </row>
    <row r="45" spans="2:20" ht="13.35" customHeight="1" outlineLevel="2">
      <c r="B45" s="246"/>
      <c r="C45" s="666" t="s">
        <v>769</v>
      </c>
      <c r="D45" s="666" t="s">
        <v>18</v>
      </c>
      <c r="E45" s="247"/>
      <c r="F45" s="193"/>
      <c r="G45" s="247"/>
      <c r="H45" s="669" t="s">
        <v>162</v>
      </c>
      <c r="I45" s="669"/>
      <c r="J45" s="669"/>
      <c r="K45" s="669"/>
      <c r="L45" s="247"/>
      <c r="M45" s="193"/>
      <c r="N45" s="247"/>
      <c r="O45" s="353">
        <v>0.4</v>
      </c>
      <c r="P45" s="353"/>
      <c r="Q45" s="353"/>
      <c r="R45" s="353"/>
      <c r="S45" s="243"/>
      <c r="T45" s="193"/>
    </row>
    <row r="46" spans="2:20" ht="13.35" customHeight="1" outlineLevel="2">
      <c r="B46" s="246"/>
      <c r="C46" s="666" t="s">
        <v>769</v>
      </c>
      <c r="D46" s="666" t="s">
        <v>18</v>
      </c>
      <c r="E46" s="247"/>
      <c r="F46" s="193"/>
      <c r="G46" s="247"/>
      <c r="H46" s="669" t="s">
        <v>137</v>
      </c>
      <c r="I46" s="669"/>
      <c r="J46" s="669"/>
      <c r="K46" s="669"/>
      <c r="L46" s="247"/>
      <c r="M46" s="193"/>
      <c r="N46" s="247"/>
      <c r="O46" s="353">
        <v>0.02</v>
      </c>
      <c r="P46" s="353"/>
      <c r="Q46" s="353"/>
      <c r="R46" s="353"/>
      <c r="S46" s="243"/>
      <c r="T46" s="193"/>
    </row>
    <row r="47" spans="2:20" ht="13.35" customHeight="1" outlineLevel="2">
      <c r="B47" s="246"/>
      <c r="C47" s="666" t="s">
        <v>769</v>
      </c>
      <c r="D47" s="666" t="s">
        <v>18</v>
      </c>
      <c r="E47" s="247"/>
      <c r="F47" s="193"/>
      <c r="G47" s="247"/>
      <c r="H47" s="669" t="s">
        <v>146</v>
      </c>
      <c r="I47" s="669"/>
      <c r="J47" s="669"/>
      <c r="K47" s="669"/>
      <c r="L47" s="247"/>
      <c r="M47" s="193"/>
      <c r="N47" s="247"/>
      <c r="O47" s="353">
        <v>0.01</v>
      </c>
      <c r="P47" s="353"/>
      <c r="Q47" s="353"/>
      <c r="R47" s="353"/>
      <c r="S47" s="243"/>
      <c r="T47" s="193"/>
    </row>
    <row r="48" spans="2:20" ht="13.35" customHeight="1" outlineLevel="2">
      <c r="B48" s="246"/>
      <c r="C48" s="666" t="s">
        <v>769</v>
      </c>
      <c r="D48" s="666" t="s">
        <v>18</v>
      </c>
      <c r="E48" s="247"/>
      <c r="F48" s="193"/>
      <c r="G48" s="247"/>
      <c r="H48" s="669" t="s">
        <v>775</v>
      </c>
      <c r="I48" s="669"/>
      <c r="J48" s="669"/>
      <c r="K48" s="669"/>
      <c r="L48" s="247"/>
      <c r="M48" s="193"/>
      <c r="N48" s="247"/>
      <c r="O48" s="353">
        <v>0.01</v>
      </c>
      <c r="P48" s="353"/>
      <c r="Q48" s="353"/>
      <c r="R48" s="353"/>
      <c r="S48" s="243"/>
      <c r="T48" s="193"/>
    </row>
    <row r="49" spans="2:21" ht="13.35" customHeight="1" outlineLevel="2">
      <c r="B49" s="246"/>
      <c r="C49" s="666" t="s">
        <v>776</v>
      </c>
      <c r="D49" s="666" t="s">
        <v>18</v>
      </c>
      <c r="E49" s="247"/>
      <c r="F49" s="193"/>
      <c r="G49" s="247"/>
      <c r="H49" s="669" t="s">
        <v>335</v>
      </c>
      <c r="I49" s="669"/>
      <c r="J49" s="669"/>
      <c r="K49" s="669"/>
      <c r="L49" s="247"/>
      <c r="M49" s="193"/>
      <c r="N49" s="247"/>
      <c r="O49" s="353">
        <v>0.88</v>
      </c>
      <c r="P49" s="353"/>
      <c r="Q49" s="353"/>
      <c r="R49" s="353"/>
      <c r="S49" s="243"/>
      <c r="T49" s="193"/>
      <c r="U49" s="659"/>
    </row>
    <row r="50" spans="2:21" ht="13.35" customHeight="1" outlineLevel="2">
      <c r="B50" s="246"/>
      <c r="C50" s="666" t="s">
        <v>776</v>
      </c>
      <c r="D50" s="666" t="s">
        <v>18</v>
      </c>
      <c r="E50" s="243"/>
      <c r="F50" s="193"/>
      <c r="G50" s="243"/>
      <c r="H50" s="249" t="s">
        <v>34</v>
      </c>
      <c r="I50" s="249"/>
      <c r="J50" s="249"/>
      <c r="K50" s="249"/>
      <c r="L50" s="243"/>
      <c r="M50" s="193"/>
      <c r="N50" s="243"/>
      <c r="O50" s="353">
        <v>1.76</v>
      </c>
      <c r="P50" s="353"/>
      <c r="Q50" s="353"/>
      <c r="R50" s="353"/>
      <c r="S50" s="243"/>
      <c r="T50" s="193"/>
      <c r="U50" s="659"/>
    </row>
    <row r="51" spans="2:21" ht="13.35" customHeight="1" outlineLevel="2">
      <c r="B51" s="246"/>
      <c r="C51" s="666" t="s">
        <v>776</v>
      </c>
      <c r="D51" s="666" t="s">
        <v>18</v>
      </c>
      <c r="E51" s="243"/>
      <c r="F51" s="193"/>
      <c r="G51" s="243"/>
      <c r="H51" s="249" t="s">
        <v>777</v>
      </c>
      <c r="I51" s="249"/>
      <c r="J51" s="249"/>
      <c r="K51" s="249"/>
      <c r="L51" s="243"/>
      <c r="M51" s="193"/>
      <c r="N51" s="243"/>
      <c r="O51" s="353">
        <v>0.88</v>
      </c>
      <c r="P51" s="353"/>
      <c r="Q51" s="353"/>
      <c r="R51" s="353"/>
      <c r="S51" s="243"/>
      <c r="T51" s="193"/>
      <c r="U51" s="659"/>
    </row>
    <row r="52" spans="2:21" ht="13.35" customHeight="1" outlineLevel="2">
      <c r="B52" s="246"/>
      <c r="C52" s="666" t="s">
        <v>776</v>
      </c>
      <c r="D52" s="666" t="s">
        <v>18</v>
      </c>
      <c r="E52" s="247"/>
      <c r="F52" s="193"/>
      <c r="G52" s="247"/>
      <c r="H52" s="249" t="s">
        <v>778</v>
      </c>
      <c r="I52" s="249"/>
      <c r="J52" s="249"/>
      <c r="K52" s="249"/>
      <c r="L52" s="247"/>
      <c r="M52" s="193"/>
      <c r="N52" s="247"/>
      <c r="O52" s="353">
        <v>0.11</v>
      </c>
      <c r="P52" s="353"/>
      <c r="Q52" s="353"/>
      <c r="R52" s="353"/>
      <c r="S52" s="243"/>
      <c r="T52" s="193"/>
      <c r="U52" s="659"/>
    </row>
    <row r="53" spans="2:21" ht="13.35" customHeight="1" outlineLevel="2">
      <c r="B53" s="246"/>
      <c r="C53" s="666" t="s">
        <v>776</v>
      </c>
      <c r="D53" s="666" t="s">
        <v>18</v>
      </c>
      <c r="E53" s="243"/>
      <c r="F53" s="193"/>
      <c r="G53" s="243"/>
      <c r="H53" s="249" t="s">
        <v>779</v>
      </c>
      <c r="I53" s="249"/>
      <c r="J53" s="249"/>
      <c r="K53" s="249"/>
      <c r="L53" s="243"/>
      <c r="M53" s="193"/>
      <c r="N53" s="243"/>
      <c r="O53" s="353">
        <v>0.1</v>
      </c>
      <c r="P53" s="353"/>
      <c r="Q53" s="353"/>
      <c r="R53" s="353"/>
      <c r="S53" s="243"/>
      <c r="T53" s="193"/>
      <c r="U53" s="659"/>
    </row>
    <row r="54" spans="2:21" ht="3" customHeight="1" outlineLevel="1">
      <c r="B54" s="660"/>
      <c r="C54" s="659"/>
      <c r="D54" s="659"/>
      <c r="F54" s="193"/>
      <c r="H54" s="670"/>
      <c r="I54" s="670"/>
      <c r="J54" s="670"/>
      <c r="K54" s="670"/>
      <c r="L54" s="252"/>
      <c r="M54" s="193"/>
      <c r="N54" s="252"/>
      <c r="O54" s="671"/>
      <c r="P54" s="671"/>
      <c r="Q54" s="671"/>
      <c r="R54" s="671"/>
      <c r="T54" s="193"/>
      <c r="U54" s="659"/>
    </row>
    <row r="55" spans="2:21" s="238" customFormat="1" outlineLevel="1">
      <c r="B55" s="239" t="s">
        <v>780</v>
      </c>
      <c r="C55" s="239"/>
      <c r="D55" s="239"/>
      <c r="E55" s="236"/>
      <c r="F55" s="254"/>
      <c r="G55" s="236"/>
      <c r="H55" s="240">
        <f>COUNTA(H56:H61)</f>
        <v>6</v>
      </c>
      <c r="I55" s="240"/>
      <c r="J55" s="240"/>
      <c r="K55" s="240"/>
      <c r="L55" s="236"/>
      <c r="M55" s="254"/>
      <c r="N55" s="236"/>
      <c r="O55" s="265">
        <f>SUM(O56:O61)</f>
        <v>36.066825000000009</v>
      </c>
      <c r="P55" s="265"/>
      <c r="Q55" s="265"/>
      <c r="R55" s="265"/>
      <c r="S55" s="236"/>
      <c r="T55" s="254"/>
    </row>
    <row r="56" spans="2:21" ht="12.75" customHeight="1" outlineLevel="2">
      <c r="B56" s="242"/>
      <c r="C56" s="666" t="s">
        <v>781</v>
      </c>
      <c r="D56" s="667" t="s">
        <v>18</v>
      </c>
      <c r="E56" s="236"/>
      <c r="F56" s="254"/>
      <c r="G56" s="236"/>
      <c r="H56" s="672" t="s">
        <v>334</v>
      </c>
      <c r="I56" s="672"/>
      <c r="J56" s="672"/>
      <c r="K56" s="672"/>
      <c r="L56" s="236"/>
      <c r="M56" s="254"/>
      <c r="N56" s="236"/>
      <c r="O56" s="663">
        <v>8.2201500000000021</v>
      </c>
      <c r="P56" s="663"/>
      <c r="Q56" s="663"/>
      <c r="R56" s="663"/>
      <c r="S56" s="236"/>
      <c r="T56" s="254"/>
      <c r="U56" s="659"/>
    </row>
    <row r="57" spans="2:21" ht="12.75" customHeight="1" outlineLevel="2">
      <c r="B57" s="242"/>
      <c r="C57" s="666" t="s">
        <v>781</v>
      </c>
      <c r="D57" s="667" t="s">
        <v>18</v>
      </c>
      <c r="E57" s="236"/>
      <c r="F57" s="254"/>
      <c r="G57" s="236"/>
      <c r="H57" s="256" t="s">
        <v>32</v>
      </c>
      <c r="I57" s="256"/>
      <c r="J57" s="256"/>
      <c r="K57" s="256"/>
      <c r="L57" s="236"/>
      <c r="M57" s="254"/>
      <c r="N57" s="236"/>
      <c r="O57" s="663">
        <v>7.8095500000000015</v>
      </c>
      <c r="P57" s="663"/>
      <c r="Q57" s="663"/>
      <c r="R57" s="663"/>
      <c r="S57" s="236"/>
      <c r="T57" s="254"/>
      <c r="U57" s="659"/>
    </row>
    <row r="58" spans="2:21" ht="12.75" customHeight="1" outlineLevel="2">
      <c r="B58" s="242"/>
      <c r="C58" s="666" t="s">
        <v>781</v>
      </c>
      <c r="D58" s="667" t="s">
        <v>18</v>
      </c>
      <c r="E58" s="236"/>
      <c r="F58" s="254"/>
      <c r="G58" s="236"/>
      <c r="H58" s="256" t="s">
        <v>66</v>
      </c>
      <c r="I58" s="256"/>
      <c r="J58" s="256"/>
      <c r="K58" s="256"/>
      <c r="L58" s="236"/>
      <c r="M58" s="254"/>
      <c r="N58" s="236"/>
      <c r="O58" s="663">
        <v>7.8095500000000015</v>
      </c>
      <c r="P58" s="663"/>
      <c r="Q58" s="663"/>
      <c r="R58" s="663"/>
      <c r="S58" s="236"/>
      <c r="T58" s="254"/>
      <c r="U58" s="659"/>
    </row>
    <row r="59" spans="2:21" ht="12.75" customHeight="1" outlineLevel="2">
      <c r="B59" s="242"/>
      <c r="C59" s="666" t="s">
        <v>781</v>
      </c>
      <c r="D59" s="667" t="s">
        <v>18</v>
      </c>
      <c r="E59" s="236"/>
      <c r="F59" s="254"/>
      <c r="G59" s="236"/>
      <c r="H59" s="256" t="s">
        <v>33</v>
      </c>
      <c r="I59" s="256"/>
      <c r="J59" s="256"/>
      <c r="K59" s="256"/>
      <c r="L59" s="236"/>
      <c r="M59" s="254"/>
      <c r="N59" s="236"/>
      <c r="O59" s="663">
        <v>4.0074250000000013</v>
      </c>
      <c r="P59" s="663"/>
      <c r="Q59" s="663"/>
      <c r="R59" s="663"/>
      <c r="S59" s="236"/>
      <c r="T59" s="254"/>
      <c r="U59" s="659"/>
    </row>
    <row r="60" spans="2:21" ht="12.75" customHeight="1" outlineLevel="2">
      <c r="B60" s="242"/>
      <c r="C60" s="666" t="s">
        <v>781</v>
      </c>
      <c r="D60" s="667" t="s">
        <v>18</v>
      </c>
      <c r="E60" s="236"/>
      <c r="F60" s="254"/>
      <c r="G60" s="236"/>
      <c r="H60" s="672" t="s">
        <v>197</v>
      </c>
      <c r="I60" s="672"/>
      <c r="J60" s="672"/>
      <c r="K60" s="672"/>
      <c r="L60" s="236"/>
      <c r="M60" s="254"/>
      <c r="N60" s="236"/>
      <c r="O60" s="663">
        <v>4.110075000000001</v>
      </c>
      <c r="P60" s="663"/>
      <c r="Q60" s="663"/>
      <c r="R60" s="663"/>
      <c r="S60" s="236"/>
      <c r="T60" s="254"/>
      <c r="U60" s="659"/>
    </row>
    <row r="61" spans="2:21" ht="12.75" customHeight="1" outlineLevel="2">
      <c r="B61" s="242"/>
      <c r="C61" s="666" t="s">
        <v>781</v>
      </c>
      <c r="D61" s="667" t="s">
        <v>18</v>
      </c>
      <c r="E61" s="236"/>
      <c r="F61" s="254"/>
      <c r="G61" s="236"/>
      <c r="H61" s="672" t="s">
        <v>335</v>
      </c>
      <c r="I61" s="672"/>
      <c r="J61" s="672"/>
      <c r="K61" s="672"/>
      <c r="L61" s="236"/>
      <c r="M61" s="254"/>
      <c r="N61" s="236"/>
      <c r="O61" s="663">
        <v>4.110075000000001</v>
      </c>
      <c r="P61" s="663"/>
      <c r="Q61" s="663"/>
      <c r="R61" s="663"/>
      <c r="S61" s="236"/>
      <c r="T61" s="254"/>
      <c r="U61" s="659"/>
    </row>
    <row r="62" spans="2:21" ht="3" customHeight="1" outlineLevel="1">
      <c r="B62" s="242"/>
      <c r="C62" s="666"/>
      <c r="D62" s="667"/>
      <c r="E62" s="236"/>
      <c r="F62" s="254"/>
      <c r="G62" s="236"/>
      <c r="H62" s="670"/>
      <c r="I62" s="670"/>
      <c r="J62" s="670"/>
      <c r="K62" s="670"/>
      <c r="L62" s="236"/>
      <c r="M62" s="254"/>
      <c r="N62" s="236"/>
      <c r="O62" s="671"/>
      <c r="P62" s="671"/>
      <c r="Q62" s="671"/>
      <c r="R62" s="671"/>
      <c r="S62" s="236"/>
      <c r="T62" s="254"/>
      <c r="U62" s="659"/>
    </row>
    <row r="63" spans="2:21" s="238" customFormat="1" outlineLevel="1">
      <c r="B63" s="273" t="s">
        <v>782</v>
      </c>
      <c r="C63" s="239"/>
      <c r="D63" s="239"/>
      <c r="E63" s="236"/>
      <c r="F63" s="254"/>
      <c r="G63" s="236"/>
      <c r="H63" s="240">
        <f>COUNTA(H64:H64)</f>
        <v>1</v>
      </c>
      <c r="I63" s="240"/>
      <c r="J63" s="240"/>
      <c r="K63" s="240"/>
      <c r="L63" s="236"/>
      <c r="M63" s="254"/>
      <c r="N63" s="236"/>
      <c r="O63" s="265">
        <f>SUM(O64:O64)</f>
        <v>1.2875000000000001</v>
      </c>
      <c r="P63" s="265"/>
      <c r="Q63" s="265"/>
      <c r="R63" s="265"/>
      <c r="S63" s="236"/>
      <c r="T63" s="254"/>
    </row>
    <row r="64" spans="2:21" outlineLevel="2">
      <c r="B64" s="242"/>
      <c r="C64" s="666" t="s">
        <v>783</v>
      </c>
      <c r="D64" s="667" t="s">
        <v>18</v>
      </c>
      <c r="E64" s="236"/>
      <c r="F64" s="254"/>
      <c r="G64" s="236"/>
      <c r="H64" s="669" t="s">
        <v>334</v>
      </c>
      <c r="I64" s="669"/>
      <c r="J64" s="669"/>
      <c r="K64" s="669"/>
      <c r="L64" s="236"/>
      <c r="M64" s="254"/>
      <c r="N64" s="236"/>
      <c r="O64" s="673">
        <v>1.2875000000000001</v>
      </c>
      <c r="P64" s="673"/>
      <c r="Q64" s="673"/>
      <c r="R64" s="673"/>
      <c r="S64" s="236"/>
      <c r="T64" s="254"/>
      <c r="U64" s="673"/>
    </row>
    <row r="65" spans="2:20" ht="3" customHeight="1" outlineLevel="1">
      <c r="B65" s="242"/>
      <c r="C65" s="666"/>
      <c r="D65" s="667"/>
      <c r="E65" s="236"/>
      <c r="F65" s="254"/>
      <c r="G65" s="236"/>
      <c r="H65" s="670"/>
      <c r="I65" s="670"/>
      <c r="J65" s="670"/>
      <c r="K65" s="670"/>
      <c r="L65" s="236"/>
      <c r="M65" s="254"/>
      <c r="N65" s="236"/>
      <c r="O65" s="671"/>
      <c r="P65" s="671"/>
      <c r="Q65" s="671"/>
      <c r="R65" s="671"/>
      <c r="S65" s="236"/>
      <c r="T65" s="254"/>
    </row>
    <row r="66" spans="2:20" s="238" customFormat="1" outlineLevel="1">
      <c r="B66" s="239" t="s">
        <v>784</v>
      </c>
      <c r="C66" s="239"/>
      <c r="D66" s="239"/>
      <c r="E66" s="236"/>
      <c r="F66" s="254"/>
      <c r="G66" s="236"/>
      <c r="H66" s="240">
        <f>COUNTA(H67:H68)</f>
        <v>2</v>
      </c>
      <c r="I66" s="240"/>
      <c r="J66" s="240"/>
      <c r="K66" s="240"/>
      <c r="L66" s="236"/>
      <c r="M66" s="254"/>
      <c r="N66" s="236"/>
      <c r="O66" s="265">
        <f>SUM(O67:O68)</f>
        <v>3.003400000000001</v>
      </c>
      <c r="P66" s="265"/>
      <c r="Q66" s="265"/>
      <c r="R66" s="265"/>
      <c r="S66" s="236"/>
      <c r="T66" s="254"/>
    </row>
    <row r="67" spans="2:20" outlineLevel="2">
      <c r="B67" s="242"/>
      <c r="C67" s="666" t="s">
        <v>785</v>
      </c>
      <c r="D67" s="667" t="s">
        <v>18</v>
      </c>
      <c r="E67" s="236"/>
      <c r="F67" s="254"/>
      <c r="G67" s="236"/>
      <c r="H67" s="669" t="s">
        <v>334</v>
      </c>
      <c r="I67" s="669"/>
      <c r="J67" s="669"/>
      <c r="K67" s="669"/>
      <c r="L67" s="236"/>
      <c r="M67" s="254"/>
      <c r="N67" s="236"/>
      <c r="O67" s="673">
        <v>1.5180500000000003</v>
      </c>
      <c r="P67" s="673"/>
      <c r="Q67" s="673"/>
      <c r="R67" s="673"/>
      <c r="S67" s="236"/>
      <c r="T67" s="254"/>
    </row>
    <row r="68" spans="2:20" outlineLevel="2">
      <c r="B68" s="242"/>
      <c r="C68" s="666" t="s">
        <v>785</v>
      </c>
      <c r="D68" s="667" t="s">
        <v>18</v>
      </c>
      <c r="E68" s="236"/>
      <c r="F68" s="254"/>
      <c r="G68" s="236"/>
      <c r="H68" s="256" t="s">
        <v>32</v>
      </c>
      <c r="I68" s="256"/>
      <c r="J68" s="256"/>
      <c r="K68" s="256"/>
      <c r="L68" s="236"/>
      <c r="M68" s="254"/>
      <c r="N68" s="236"/>
      <c r="O68" s="338">
        <v>1.4853500000000004</v>
      </c>
      <c r="P68" s="338"/>
      <c r="Q68" s="338"/>
      <c r="R68" s="338"/>
      <c r="S68" s="236"/>
      <c r="T68" s="254"/>
    </row>
    <row r="69" spans="2:20" ht="3" customHeight="1" outlineLevel="1">
      <c r="B69" s="242"/>
      <c r="C69" s="666"/>
      <c r="D69" s="667"/>
      <c r="E69" s="236"/>
      <c r="F69" s="254"/>
      <c r="G69" s="236"/>
      <c r="H69" s="670"/>
      <c r="I69" s="670"/>
      <c r="J69" s="670"/>
      <c r="K69" s="670"/>
      <c r="L69" s="236"/>
      <c r="M69" s="254"/>
      <c r="N69" s="236"/>
      <c r="O69" s="671"/>
      <c r="P69" s="671"/>
      <c r="Q69" s="671"/>
      <c r="R69" s="671"/>
      <c r="S69" s="236"/>
      <c r="T69" s="254"/>
    </row>
    <row r="70" spans="2:20" s="238" customFormat="1" outlineLevel="1">
      <c r="B70" s="239" t="s">
        <v>786</v>
      </c>
      <c r="C70" s="239"/>
      <c r="D70" s="239"/>
      <c r="E70" s="236"/>
      <c r="F70" s="254"/>
      <c r="G70" s="236"/>
      <c r="H70" s="240">
        <f>COUNTA(H71:H82)</f>
        <v>12</v>
      </c>
      <c r="I70" s="240"/>
      <c r="J70" s="240"/>
      <c r="K70" s="240"/>
      <c r="L70" s="236"/>
      <c r="M70" s="254"/>
      <c r="N70" s="236"/>
      <c r="O70" s="265">
        <f>SUM(O71:O82)</f>
        <v>2.4299999999999997</v>
      </c>
      <c r="P70" s="265"/>
      <c r="Q70" s="265"/>
      <c r="R70" s="265"/>
      <c r="S70" s="241"/>
      <c r="T70" s="254"/>
    </row>
    <row r="71" spans="2:20" outlineLevel="2">
      <c r="B71" s="242"/>
      <c r="C71" s="666" t="s">
        <v>787</v>
      </c>
      <c r="D71" s="667" t="s">
        <v>18</v>
      </c>
      <c r="E71" s="236"/>
      <c r="F71" s="254"/>
      <c r="G71" s="236"/>
      <c r="H71" s="669" t="s">
        <v>34</v>
      </c>
      <c r="I71" s="669"/>
      <c r="J71" s="669"/>
      <c r="K71" s="669"/>
      <c r="L71" s="236"/>
      <c r="M71" s="254"/>
      <c r="N71" s="236"/>
      <c r="O71" s="674">
        <v>0.31</v>
      </c>
      <c r="P71" s="674"/>
      <c r="Q71" s="674"/>
      <c r="R71" s="674"/>
      <c r="S71" s="236"/>
      <c r="T71" s="254"/>
    </row>
    <row r="72" spans="2:20" outlineLevel="2">
      <c r="B72" s="242"/>
      <c r="C72" s="666" t="s">
        <v>787</v>
      </c>
      <c r="D72" s="667" t="s">
        <v>18</v>
      </c>
      <c r="E72" s="236"/>
      <c r="F72" s="254"/>
      <c r="G72" s="236"/>
      <c r="H72" s="675" t="s">
        <v>195</v>
      </c>
      <c r="I72" s="675"/>
      <c r="J72" s="675"/>
      <c r="K72" s="675"/>
      <c r="L72" s="236"/>
      <c r="M72" s="254"/>
      <c r="N72" s="236"/>
      <c r="O72" s="676">
        <v>0.3</v>
      </c>
      <c r="P72" s="676"/>
      <c r="Q72" s="676"/>
      <c r="R72" s="676"/>
      <c r="S72" s="236"/>
      <c r="T72" s="254"/>
    </row>
    <row r="73" spans="2:20" outlineLevel="2">
      <c r="B73" s="242"/>
      <c r="C73" s="666" t="s">
        <v>787</v>
      </c>
      <c r="D73" s="667" t="s">
        <v>18</v>
      </c>
      <c r="E73" s="236"/>
      <c r="F73" s="254"/>
      <c r="G73" s="236"/>
      <c r="H73" s="675" t="s">
        <v>198</v>
      </c>
      <c r="I73" s="675"/>
      <c r="J73" s="675"/>
      <c r="K73" s="675"/>
      <c r="L73" s="236"/>
      <c r="M73" s="254"/>
      <c r="N73" s="236"/>
      <c r="O73" s="676">
        <v>0.3</v>
      </c>
      <c r="P73" s="676"/>
      <c r="Q73" s="676"/>
      <c r="R73" s="676"/>
      <c r="S73" s="236"/>
      <c r="T73" s="254"/>
    </row>
    <row r="74" spans="2:20" outlineLevel="2">
      <c r="B74" s="242"/>
      <c r="C74" s="666" t="s">
        <v>787</v>
      </c>
      <c r="D74" s="667" t="s">
        <v>18</v>
      </c>
      <c r="E74" s="236"/>
      <c r="F74" s="254"/>
      <c r="G74" s="236"/>
      <c r="H74" s="675" t="s">
        <v>196</v>
      </c>
      <c r="I74" s="675"/>
      <c r="J74" s="675"/>
      <c r="K74" s="675"/>
      <c r="L74" s="236"/>
      <c r="M74" s="254"/>
      <c r="N74" s="236"/>
      <c r="O74" s="676">
        <v>0.14000000000000001</v>
      </c>
      <c r="P74" s="676"/>
      <c r="Q74" s="676"/>
      <c r="R74" s="676"/>
      <c r="S74" s="236"/>
      <c r="T74" s="254"/>
    </row>
    <row r="75" spans="2:20" outlineLevel="2">
      <c r="B75" s="242"/>
      <c r="C75" s="666" t="s">
        <v>787</v>
      </c>
      <c r="D75" s="667" t="s">
        <v>18</v>
      </c>
      <c r="E75" s="236"/>
      <c r="F75" s="254"/>
      <c r="G75" s="236"/>
      <c r="H75" s="675" t="s">
        <v>788</v>
      </c>
      <c r="I75" s="675"/>
      <c r="J75" s="675"/>
      <c r="K75" s="675"/>
      <c r="L75" s="236"/>
      <c r="M75" s="254"/>
      <c r="N75" s="236"/>
      <c r="O75" s="676">
        <v>0.09</v>
      </c>
      <c r="P75" s="676"/>
      <c r="Q75" s="676"/>
      <c r="R75" s="676"/>
      <c r="S75" s="236"/>
      <c r="T75" s="254"/>
    </row>
    <row r="76" spans="2:20" outlineLevel="2">
      <c r="B76" s="242"/>
      <c r="C76" s="666" t="s">
        <v>787</v>
      </c>
      <c r="D76" s="667" t="s">
        <v>18</v>
      </c>
      <c r="E76" s="236"/>
      <c r="F76" s="254"/>
      <c r="G76" s="236"/>
      <c r="H76" s="675" t="s">
        <v>789</v>
      </c>
      <c r="I76" s="675"/>
      <c r="J76" s="675"/>
      <c r="K76" s="675"/>
      <c r="L76" s="236"/>
      <c r="M76" s="254"/>
      <c r="N76" s="236"/>
      <c r="O76" s="676">
        <v>0.03</v>
      </c>
      <c r="P76" s="676"/>
      <c r="Q76" s="676"/>
      <c r="R76" s="676"/>
      <c r="S76" s="236"/>
      <c r="T76" s="254"/>
    </row>
    <row r="77" spans="2:20" outlineLevel="2">
      <c r="B77" s="242"/>
      <c r="C77" s="666" t="s">
        <v>787</v>
      </c>
      <c r="D77" s="667" t="s">
        <v>18</v>
      </c>
      <c r="E77" s="236"/>
      <c r="F77" s="254"/>
      <c r="G77" s="236"/>
      <c r="H77" s="675" t="s">
        <v>97</v>
      </c>
      <c r="I77" s="675"/>
      <c r="J77" s="675"/>
      <c r="K77" s="675"/>
      <c r="L77" s="236"/>
      <c r="M77" s="254"/>
      <c r="N77" s="236"/>
      <c r="O77" s="676">
        <v>0.03</v>
      </c>
      <c r="P77" s="676"/>
      <c r="Q77" s="676"/>
      <c r="R77" s="676"/>
      <c r="S77" s="236"/>
      <c r="T77" s="254"/>
    </row>
    <row r="78" spans="2:20" outlineLevel="2">
      <c r="B78" s="242"/>
      <c r="C78" s="666" t="s">
        <v>787</v>
      </c>
      <c r="D78" s="667" t="s">
        <v>18</v>
      </c>
      <c r="E78" s="236"/>
      <c r="F78" s="254"/>
      <c r="G78" s="236"/>
      <c r="H78" s="675" t="s">
        <v>790</v>
      </c>
      <c r="I78" s="675"/>
      <c r="J78" s="675"/>
      <c r="K78" s="675"/>
      <c r="L78" s="236"/>
      <c r="M78" s="254"/>
      <c r="N78" s="236"/>
      <c r="O78" s="676">
        <v>0.15</v>
      </c>
      <c r="P78" s="676"/>
      <c r="Q78" s="676"/>
      <c r="R78" s="676"/>
      <c r="S78" s="236"/>
      <c r="T78" s="254"/>
    </row>
    <row r="79" spans="2:20" outlineLevel="2">
      <c r="B79" s="242"/>
      <c r="C79" s="666" t="s">
        <v>791</v>
      </c>
      <c r="D79" s="667" t="s">
        <v>18</v>
      </c>
      <c r="E79" s="236"/>
      <c r="F79" s="254"/>
      <c r="G79" s="236"/>
      <c r="H79" s="677" t="s">
        <v>334</v>
      </c>
      <c r="I79" s="677"/>
      <c r="J79" s="677"/>
      <c r="K79" s="677"/>
      <c r="L79" s="236"/>
      <c r="M79" s="254"/>
      <c r="N79" s="236"/>
      <c r="O79" s="663">
        <v>0.31</v>
      </c>
      <c r="P79" s="663"/>
      <c r="Q79" s="663"/>
      <c r="R79" s="663"/>
      <c r="S79" s="236"/>
      <c r="T79" s="254"/>
    </row>
    <row r="80" spans="2:20" outlineLevel="2">
      <c r="B80" s="242"/>
      <c r="C80" s="666" t="s">
        <v>791</v>
      </c>
      <c r="D80" s="667" t="s">
        <v>18</v>
      </c>
      <c r="E80" s="236"/>
      <c r="F80" s="254"/>
      <c r="G80" s="236"/>
      <c r="H80" s="677" t="s">
        <v>32</v>
      </c>
      <c r="I80" s="677"/>
      <c r="J80" s="677"/>
      <c r="K80" s="677"/>
      <c r="L80" s="236"/>
      <c r="M80" s="254"/>
      <c r="N80" s="236"/>
      <c r="O80" s="663">
        <v>0.31</v>
      </c>
      <c r="P80" s="663"/>
      <c r="Q80" s="663"/>
      <c r="R80" s="663"/>
      <c r="S80" s="236"/>
      <c r="T80" s="254"/>
    </row>
    <row r="81" spans="2:20" outlineLevel="2">
      <c r="B81" s="242"/>
      <c r="C81" s="666" t="s">
        <v>791</v>
      </c>
      <c r="D81" s="667" t="s">
        <v>18</v>
      </c>
      <c r="E81" s="236"/>
      <c r="F81" s="254"/>
      <c r="G81" s="236"/>
      <c r="H81" s="677" t="s">
        <v>33</v>
      </c>
      <c r="I81" s="677"/>
      <c r="J81" s="677"/>
      <c r="K81" s="677"/>
      <c r="L81" s="236"/>
      <c r="M81" s="254"/>
      <c r="N81" s="236"/>
      <c r="O81" s="663">
        <v>0.31</v>
      </c>
      <c r="P81" s="663"/>
      <c r="Q81" s="663"/>
      <c r="R81" s="663"/>
      <c r="S81" s="236"/>
      <c r="T81" s="254"/>
    </row>
    <row r="82" spans="2:20" outlineLevel="2">
      <c r="B82" s="242"/>
      <c r="C82" s="666" t="s">
        <v>791</v>
      </c>
      <c r="D82" s="667" t="s">
        <v>18</v>
      </c>
      <c r="E82" s="236"/>
      <c r="F82" s="254"/>
      <c r="G82" s="236"/>
      <c r="H82" s="677" t="s">
        <v>335</v>
      </c>
      <c r="I82" s="677"/>
      <c r="J82" s="677"/>
      <c r="K82" s="677"/>
      <c r="L82" s="236"/>
      <c r="M82" s="254"/>
      <c r="N82" s="236"/>
      <c r="O82" s="663">
        <v>0.15</v>
      </c>
      <c r="P82" s="663"/>
      <c r="Q82" s="663"/>
      <c r="R82" s="663"/>
      <c r="S82" s="236"/>
      <c r="T82" s="254"/>
    </row>
    <row r="83" spans="2:20" ht="3" customHeight="1" outlineLevel="1">
      <c r="B83" s="242"/>
      <c r="C83" s="666"/>
      <c r="D83" s="667"/>
      <c r="E83" s="236"/>
      <c r="F83" s="254"/>
      <c r="G83" s="236"/>
      <c r="H83" s="670"/>
      <c r="I83" s="670"/>
      <c r="J83" s="670"/>
      <c r="K83" s="670"/>
      <c r="L83" s="236"/>
      <c r="M83" s="254"/>
      <c r="N83" s="236"/>
      <c r="O83" s="671"/>
      <c r="P83" s="671"/>
      <c r="Q83" s="671"/>
      <c r="R83" s="671"/>
      <c r="S83" s="236"/>
      <c r="T83" s="254"/>
    </row>
    <row r="84" spans="2:20" s="238" customFormat="1" outlineLevel="1">
      <c r="B84" s="239" t="s">
        <v>792</v>
      </c>
      <c r="C84" s="239"/>
      <c r="D84" s="239"/>
      <c r="E84" s="236"/>
      <c r="F84" s="254"/>
      <c r="G84" s="236"/>
      <c r="H84" s="240">
        <f>COUNTA(H85:H88)</f>
        <v>4</v>
      </c>
      <c r="I84" s="240"/>
      <c r="J84" s="240"/>
      <c r="K84" s="240"/>
      <c r="L84" s="236"/>
      <c r="M84" s="254"/>
      <c r="N84" s="236"/>
      <c r="O84" s="265">
        <f>SUM(O85:O88)</f>
        <v>0.27</v>
      </c>
      <c r="P84" s="265"/>
      <c r="Q84" s="265"/>
      <c r="R84" s="265"/>
      <c r="S84" s="236"/>
      <c r="T84" s="254"/>
    </row>
    <row r="85" spans="2:20" outlineLevel="2">
      <c r="B85" s="242"/>
      <c r="C85" s="666" t="s">
        <v>290</v>
      </c>
      <c r="D85" s="667" t="s">
        <v>18</v>
      </c>
      <c r="E85" s="236"/>
      <c r="F85" s="254"/>
      <c r="G85" s="236"/>
      <c r="H85" s="677" t="s">
        <v>278</v>
      </c>
      <c r="I85" s="677"/>
      <c r="J85" s="677"/>
      <c r="K85" s="677"/>
      <c r="L85" s="236"/>
      <c r="M85" s="254"/>
      <c r="N85" s="236"/>
      <c r="O85" s="663">
        <v>0.27</v>
      </c>
      <c r="P85" s="663"/>
      <c r="Q85" s="663"/>
      <c r="R85" s="663"/>
      <c r="S85" s="236"/>
      <c r="T85" s="254"/>
    </row>
    <row r="86" spans="2:20" outlineLevel="2">
      <c r="B86" s="242"/>
      <c r="C86" s="666" t="s">
        <v>290</v>
      </c>
      <c r="D86" s="667" t="s">
        <v>18</v>
      </c>
      <c r="E86" s="236"/>
      <c r="F86" s="254"/>
      <c r="G86" s="236"/>
      <c r="H86" s="677" t="s">
        <v>32</v>
      </c>
      <c r="I86" s="677"/>
      <c r="J86" s="677"/>
      <c r="K86" s="677"/>
      <c r="L86" s="236"/>
      <c r="M86" s="254"/>
      <c r="N86" s="236"/>
      <c r="O86" s="663"/>
      <c r="P86" s="663"/>
      <c r="Q86" s="663"/>
      <c r="R86" s="663"/>
      <c r="S86" s="236"/>
      <c r="T86" s="254"/>
    </row>
    <row r="87" spans="2:20" outlineLevel="2">
      <c r="B87" s="242"/>
      <c r="C87" s="666" t="s">
        <v>290</v>
      </c>
      <c r="D87" s="667" t="s">
        <v>18</v>
      </c>
      <c r="E87" s="236"/>
      <c r="F87" s="254"/>
      <c r="G87" s="236"/>
      <c r="H87" s="677" t="s">
        <v>34</v>
      </c>
      <c r="I87" s="677"/>
      <c r="J87" s="677"/>
      <c r="K87" s="677"/>
      <c r="L87" s="236"/>
      <c r="M87" s="254"/>
      <c r="N87" s="236"/>
      <c r="O87" s="663"/>
      <c r="P87" s="663"/>
      <c r="Q87" s="663"/>
      <c r="R87" s="663"/>
      <c r="S87" s="236"/>
      <c r="T87" s="254"/>
    </row>
    <row r="88" spans="2:20" outlineLevel="2">
      <c r="B88" s="242"/>
      <c r="C88" s="666" t="s">
        <v>290</v>
      </c>
      <c r="D88" s="667" t="s">
        <v>18</v>
      </c>
      <c r="E88" s="236"/>
      <c r="F88" s="254"/>
      <c r="G88" s="236"/>
      <c r="H88" s="678" t="s">
        <v>33</v>
      </c>
      <c r="I88" s="678"/>
      <c r="J88" s="678"/>
      <c r="K88" s="678"/>
      <c r="L88" s="236"/>
      <c r="M88" s="254"/>
      <c r="N88" s="236"/>
      <c r="O88" s="663"/>
      <c r="P88" s="663"/>
      <c r="Q88" s="663"/>
      <c r="R88" s="663"/>
      <c r="S88" s="236"/>
      <c r="T88" s="254"/>
    </row>
    <row r="89" spans="2:20" ht="3" customHeight="1" outlineLevel="1">
      <c r="B89" s="242"/>
      <c r="C89" s="666"/>
      <c r="D89" s="667"/>
      <c r="E89" s="236"/>
      <c r="F89" s="254"/>
      <c r="G89" s="236"/>
      <c r="H89" s="670"/>
      <c r="I89" s="670"/>
      <c r="J89" s="670"/>
      <c r="K89" s="670"/>
      <c r="L89" s="236"/>
      <c r="M89" s="254"/>
      <c r="N89" s="236"/>
      <c r="O89" s="671"/>
      <c r="P89" s="671"/>
      <c r="Q89" s="671"/>
      <c r="R89" s="671"/>
      <c r="S89" s="236"/>
      <c r="T89" s="254"/>
    </row>
    <row r="90" spans="2:20" s="238" customFormat="1" outlineLevel="1">
      <c r="B90" s="273" t="s">
        <v>793</v>
      </c>
      <c r="C90" s="239"/>
      <c r="D90" s="239"/>
      <c r="E90" s="236"/>
      <c r="F90" s="254"/>
      <c r="G90" s="236"/>
      <c r="H90" s="240"/>
      <c r="I90" s="240"/>
      <c r="J90" s="240"/>
      <c r="K90" s="240"/>
      <c r="L90" s="236"/>
      <c r="M90" s="254"/>
      <c r="N90" s="236"/>
      <c r="O90" s="265">
        <f>SUM(O91:O92)</f>
        <v>0</v>
      </c>
      <c r="P90" s="265"/>
      <c r="Q90" s="265"/>
      <c r="R90" s="265"/>
      <c r="S90" s="236"/>
      <c r="T90" s="254"/>
    </row>
    <row r="91" spans="2:20" outlineLevel="2">
      <c r="B91" s="242"/>
      <c r="C91" s="666" t="s">
        <v>794</v>
      </c>
      <c r="D91" s="667" t="s">
        <v>18</v>
      </c>
      <c r="E91" s="236"/>
      <c r="F91" s="254"/>
      <c r="G91" s="236"/>
      <c r="H91" s="672"/>
      <c r="I91" s="672"/>
      <c r="J91" s="672"/>
      <c r="K91" s="672"/>
      <c r="L91" s="236"/>
      <c r="M91" s="254"/>
      <c r="N91" s="236"/>
      <c r="O91" s="673"/>
      <c r="P91" s="673"/>
      <c r="Q91" s="673"/>
      <c r="R91" s="673"/>
      <c r="S91" s="236"/>
      <c r="T91" s="254"/>
    </row>
    <row r="92" spans="2:20" outlineLevel="2">
      <c r="B92" s="242"/>
      <c r="C92" s="666"/>
      <c r="D92" s="667"/>
      <c r="E92" s="236"/>
      <c r="F92" s="254"/>
      <c r="G92" s="236"/>
      <c r="H92" s="256"/>
      <c r="I92" s="256"/>
      <c r="J92" s="256"/>
      <c r="K92" s="256"/>
      <c r="L92" s="236"/>
      <c r="M92" s="254"/>
      <c r="N92" s="236"/>
      <c r="O92" s="673"/>
      <c r="P92" s="673"/>
      <c r="Q92" s="673"/>
      <c r="R92" s="673"/>
      <c r="S92" s="236"/>
      <c r="T92" s="254"/>
    </row>
    <row r="93" spans="2:20" ht="3" customHeight="1" outlineLevel="1">
      <c r="B93" s="242"/>
      <c r="C93" s="666"/>
      <c r="D93" s="667"/>
      <c r="E93" s="236"/>
      <c r="F93" s="254"/>
      <c r="G93" s="236"/>
      <c r="H93" s="670"/>
      <c r="I93" s="670"/>
      <c r="J93" s="670"/>
      <c r="K93" s="670"/>
      <c r="L93" s="236"/>
      <c r="M93" s="254"/>
      <c r="N93" s="236"/>
      <c r="O93" s="671"/>
      <c r="P93" s="671"/>
      <c r="Q93" s="671"/>
      <c r="R93" s="671"/>
      <c r="S93" s="236"/>
      <c r="T93" s="254"/>
    </row>
    <row r="94" spans="2:20" s="238" customFormat="1" outlineLevel="1">
      <c r="B94" s="260" t="s">
        <v>293</v>
      </c>
      <c r="C94" s="239"/>
      <c r="D94" s="239"/>
      <c r="E94" s="236"/>
      <c r="F94" s="254"/>
      <c r="G94" s="236"/>
      <c r="H94" s="240">
        <f>COUNTA(H95:H99)</f>
        <v>5</v>
      </c>
      <c r="I94" s="240"/>
      <c r="J94" s="240"/>
      <c r="K94" s="240"/>
      <c r="L94" s="236"/>
      <c r="M94" s="254"/>
      <c r="N94" s="236"/>
      <c r="O94" s="265">
        <f>SUM(O95:O99)</f>
        <v>0.995</v>
      </c>
      <c r="P94" s="265"/>
      <c r="Q94" s="265"/>
      <c r="R94" s="265"/>
      <c r="S94" s="236"/>
      <c r="T94" s="254"/>
    </row>
    <row r="95" spans="2:20" outlineLevel="2">
      <c r="B95" s="242"/>
      <c r="C95" s="666" t="s">
        <v>293</v>
      </c>
      <c r="D95" s="667" t="s">
        <v>18</v>
      </c>
      <c r="E95" s="236"/>
      <c r="F95" s="254"/>
      <c r="G95" s="236"/>
      <c r="H95" s="678" t="s">
        <v>32</v>
      </c>
      <c r="I95" s="678"/>
      <c r="J95" s="678"/>
      <c r="K95" s="678"/>
      <c r="L95" s="236"/>
      <c r="M95" s="254"/>
      <c r="N95" s="236"/>
      <c r="O95" s="663">
        <v>0.19</v>
      </c>
      <c r="P95" s="663"/>
      <c r="Q95" s="663"/>
      <c r="R95" s="663"/>
      <c r="S95" s="236"/>
      <c r="T95" s="254"/>
    </row>
    <row r="96" spans="2:20" outlineLevel="2">
      <c r="B96" s="242"/>
      <c r="C96" s="666" t="s">
        <v>293</v>
      </c>
      <c r="D96" s="667" t="s">
        <v>18</v>
      </c>
      <c r="E96" s="236"/>
      <c r="F96" s="254"/>
      <c r="G96" s="236"/>
      <c r="H96" s="678" t="s">
        <v>353</v>
      </c>
      <c r="I96" s="678"/>
      <c r="J96" s="678"/>
      <c r="K96" s="678"/>
      <c r="L96" s="236"/>
      <c r="M96" s="254"/>
      <c r="N96" s="236"/>
      <c r="O96" s="663">
        <v>0.19</v>
      </c>
      <c r="P96" s="663"/>
      <c r="Q96" s="663"/>
      <c r="R96" s="663"/>
      <c r="S96" s="236"/>
      <c r="T96" s="254"/>
    </row>
    <row r="97" spans="2:20" outlineLevel="2">
      <c r="B97" s="242"/>
      <c r="C97" s="666" t="s">
        <v>293</v>
      </c>
      <c r="D97" s="667" t="s">
        <v>18</v>
      </c>
      <c r="E97" s="236"/>
      <c r="F97" s="254"/>
      <c r="G97" s="236"/>
      <c r="H97" s="678" t="s">
        <v>795</v>
      </c>
      <c r="I97" s="678"/>
      <c r="J97" s="678"/>
      <c r="K97" s="678"/>
      <c r="L97" s="236"/>
      <c r="M97" s="254"/>
      <c r="N97" s="236"/>
      <c r="O97" s="663">
        <v>0.246</v>
      </c>
      <c r="P97" s="663"/>
      <c r="Q97" s="663"/>
      <c r="R97" s="663"/>
      <c r="S97" s="236"/>
      <c r="T97" s="254"/>
    </row>
    <row r="98" spans="2:20" outlineLevel="2">
      <c r="B98" s="242"/>
      <c r="C98" s="666" t="s">
        <v>293</v>
      </c>
      <c r="D98" s="667" t="s">
        <v>18</v>
      </c>
      <c r="E98" s="236"/>
      <c r="F98" s="254"/>
      <c r="G98" s="236"/>
      <c r="H98" s="678" t="s">
        <v>796</v>
      </c>
      <c r="I98" s="678"/>
      <c r="J98" s="678"/>
      <c r="K98" s="678"/>
      <c r="L98" s="236"/>
      <c r="M98" s="254"/>
      <c r="N98" s="236"/>
      <c r="O98" s="663">
        <v>0.246</v>
      </c>
      <c r="P98" s="663"/>
      <c r="Q98" s="663"/>
      <c r="R98" s="663"/>
      <c r="S98" s="236"/>
      <c r="T98" s="254"/>
    </row>
    <row r="99" spans="2:20" outlineLevel="2">
      <c r="B99" s="242"/>
      <c r="C99" s="666" t="s">
        <v>293</v>
      </c>
      <c r="D99" s="667" t="s">
        <v>18</v>
      </c>
      <c r="E99" s="236"/>
      <c r="F99" s="254"/>
      <c r="G99" s="236"/>
      <c r="H99" s="678" t="s">
        <v>797</v>
      </c>
      <c r="I99" s="678"/>
      <c r="J99" s="678"/>
      <c r="K99" s="678"/>
      <c r="L99" s="236"/>
      <c r="M99" s="254"/>
      <c r="N99" s="236"/>
      <c r="O99" s="663">
        <v>0.123</v>
      </c>
      <c r="P99" s="663"/>
      <c r="Q99" s="663"/>
      <c r="R99" s="663"/>
      <c r="S99" s="236"/>
      <c r="T99" s="254"/>
    </row>
    <row r="100" spans="2:20" ht="3" customHeight="1" outlineLevel="1">
      <c r="B100" s="242"/>
      <c r="C100" s="666"/>
      <c r="D100" s="667"/>
      <c r="E100" s="236"/>
      <c r="F100" s="254"/>
      <c r="G100" s="236"/>
      <c r="H100" s="670"/>
      <c r="I100" s="670"/>
      <c r="J100" s="670"/>
      <c r="K100" s="670"/>
      <c r="L100" s="236"/>
      <c r="M100" s="254"/>
      <c r="N100" s="236"/>
      <c r="O100" s="671"/>
      <c r="P100" s="671"/>
      <c r="Q100" s="671"/>
      <c r="R100" s="671"/>
      <c r="S100" s="236"/>
      <c r="T100" s="254"/>
    </row>
    <row r="101" spans="2:20" s="238" customFormat="1" outlineLevel="1">
      <c r="B101" s="260" t="s">
        <v>798</v>
      </c>
      <c r="C101" s="239"/>
      <c r="D101" s="239"/>
      <c r="E101" s="236"/>
      <c r="F101" s="254"/>
      <c r="G101" s="236"/>
      <c r="H101" s="240">
        <f>COUNTA(H102:H103)</f>
        <v>2</v>
      </c>
      <c r="I101" s="240"/>
      <c r="J101" s="240"/>
      <c r="K101" s="240"/>
      <c r="L101" s="236"/>
      <c r="M101" s="254"/>
      <c r="N101" s="236"/>
      <c r="O101" s="265">
        <f>SUM(O102:O103)</f>
        <v>0</v>
      </c>
      <c r="P101" s="265"/>
      <c r="Q101" s="265"/>
      <c r="R101" s="265"/>
      <c r="S101" s="236"/>
      <c r="T101" s="254"/>
    </row>
    <row r="102" spans="2:20" outlineLevel="2">
      <c r="B102" s="242"/>
      <c r="C102" s="666" t="s">
        <v>798</v>
      </c>
      <c r="D102" s="667" t="s">
        <v>18</v>
      </c>
      <c r="E102" s="236"/>
      <c r="F102" s="254"/>
      <c r="G102" s="236"/>
      <c r="H102" s="678" t="s">
        <v>334</v>
      </c>
      <c r="I102" s="678"/>
      <c r="J102" s="678"/>
      <c r="K102" s="678"/>
      <c r="L102" s="236"/>
      <c r="M102" s="254"/>
      <c r="N102" s="236"/>
      <c r="O102" s="663"/>
      <c r="P102" s="663"/>
      <c r="Q102" s="663"/>
      <c r="R102" s="663"/>
      <c r="S102" s="236"/>
      <c r="T102" s="254"/>
    </row>
    <row r="103" spans="2:20" outlineLevel="2">
      <c r="B103" s="242"/>
      <c r="C103" s="666" t="s">
        <v>798</v>
      </c>
      <c r="D103" s="667" t="s">
        <v>18</v>
      </c>
      <c r="E103" s="236"/>
      <c r="F103" s="254"/>
      <c r="G103" s="236"/>
      <c r="H103" s="678" t="s">
        <v>32</v>
      </c>
      <c r="I103" s="678"/>
      <c r="J103" s="678"/>
      <c r="K103" s="678"/>
      <c r="L103" s="236"/>
      <c r="M103" s="254"/>
      <c r="N103" s="236"/>
      <c r="O103" s="663"/>
      <c r="P103" s="663"/>
      <c r="Q103" s="663"/>
      <c r="R103" s="663"/>
      <c r="S103" s="236"/>
      <c r="T103" s="254"/>
    </row>
    <row r="104" spans="2:20" ht="3" customHeight="1" outlineLevel="1">
      <c r="B104" s="242"/>
      <c r="C104" s="666"/>
      <c r="D104" s="667"/>
      <c r="E104" s="236"/>
      <c r="F104" s="254"/>
      <c r="G104" s="236"/>
      <c r="H104" s="670"/>
      <c r="I104" s="670"/>
      <c r="J104" s="670"/>
      <c r="K104" s="670"/>
      <c r="L104" s="236"/>
      <c r="M104" s="254"/>
      <c r="N104" s="236"/>
      <c r="O104" s="671"/>
      <c r="P104" s="671"/>
      <c r="Q104" s="671"/>
      <c r="R104" s="671"/>
      <c r="S104" s="236"/>
      <c r="T104" s="254"/>
    </row>
    <row r="105" spans="2:20" s="238" customFormat="1" outlineLevel="1">
      <c r="B105" s="239" t="s">
        <v>799</v>
      </c>
      <c r="C105" s="239"/>
      <c r="D105" s="239"/>
      <c r="E105" s="236"/>
      <c r="F105" s="254"/>
      <c r="G105" s="236"/>
      <c r="H105" s="240">
        <f>COUNTA(H106:H108)</f>
        <v>3</v>
      </c>
      <c r="I105" s="240"/>
      <c r="J105" s="240"/>
      <c r="K105" s="240"/>
      <c r="L105" s="236"/>
      <c r="M105" s="254"/>
      <c r="N105" s="236"/>
      <c r="O105" s="265">
        <f>SUM(O108:O108)</f>
        <v>0</v>
      </c>
      <c r="P105" s="265"/>
      <c r="Q105" s="265"/>
      <c r="R105" s="265"/>
      <c r="S105" s="236"/>
      <c r="T105" s="254"/>
    </row>
    <row r="106" spans="2:20" s="337" customFormat="1" outlineLevel="2" collapsed="1">
      <c r="B106" s="246"/>
      <c r="C106" s="246" t="s">
        <v>526</v>
      </c>
      <c r="D106" s="667" t="s">
        <v>18</v>
      </c>
      <c r="E106" s="236"/>
      <c r="F106" s="254"/>
      <c r="G106" s="236"/>
      <c r="H106" s="672" t="s">
        <v>334</v>
      </c>
      <c r="I106" s="672"/>
      <c r="J106" s="672"/>
      <c r="K106" s="672"/>
      <c r="L106" s="236"/>
      <c r="M106" s="254"/>
      <c r="N106" s="236"/>
      <c r="O106" s="663"/>
      <c r="P106" s="663"/>
      <c r="Q106" s="663"/>
      <c r="R106" s="663"/>
      <c r="S106" s="236"/>
      <c r="T106" s="254"/>
    </row>
    <row r="107" spans="2:20" s="337" customFormat="1" outlineLevel="2">
      <c r="B107" s="246"/>
      <c r="C107" s="246" t="s">
        <v>526</v>
      </c>
      <c r="D107" s="667" t="s">
        <v>18</v>
      </c>
      <c r="E107" s="236"/>
      <c r="F107" s="254"/>
      <c r="G107" s="236"/>
      <c r="H107" s="672" t="s">
        <v>32</v>
      </c>
      <c r="I107" s="672"/>
      <c r="J107" s="672"/>
      <c r="K107" s="672"/>
      <c r="L107" s="236"/>
      <c r="M107" s="254"/>
      <c r="N107" s="236"/>
      <c r="O107" s="663"/>
      <c r="P107" s="663"/>
      <c r="Q107" s="663"/>
      <c r="R107" s="663"/>
      <c r="S107" s="236"/>
      <c r="T107" s="254"/>
    </row>
    <row r="108" spans="2:20" outlineLevel="2">
      <c r="B108" s="246"/>
      <c r="C108" s="246" t="s">
        <v>526</v>
      </c>
      <c r="D108" s="667" t="s">
        <v>18</v>
      </c>
      <c r="E108" s="236"/>
      <c r="F108" s="254"/>
      <c r="G108" s="236"/>
      <c r="H108" s="672" t="s">
        <v>33</v>
      </c>
      <c r="I108" s="672"/>
      <c r="J108" s="672"/>
      <c r="K108" s="672"/>
      <c r="L108" s="236"/>
      <c r="M108" s="254"/>
      <c r="N108" s="236"/>
      <c r="O108" s="663"/>
      <c r="P108" s="663"/>
      <c r="Q108" s="663"/>
      <c r="R108" s="663"/>
      <c r="S108" s="236"/>
      <c r="T108" s="254"/>
    </row>
    <row r="109" spans="2:20" ht="3" customHeight="1" outlineLevel="1">
      <c r="B109" s="246"/>
      <c r="C109" s="246"/>
      <c r="D109" s="253"/>
      <c r="E109" s="236"/>
      <c r="F109" s="254"/>
      <c r="G109" s="236"/>
      <c r="H109" s="263"/>
      <c r="I109" s="263"/>
      <c r="J109" s="263"/>
      <c r="K109" s="263"/>
      <c r="L109" s="236"/>
      <c r="M109" s="254"/>
      <c r="N109" s="236"/>
      <c r="O109" s="671"/>
      <c r="P109" s="671"/>
      <c r="Q109" s="671"/>
      <c r="R109" s="671"/>
      <c r="S109" s="236"/>
      <c r="T109" s="254"/>
    </row>
    <row r="110" spans="2:20" s="238" customFormat="1" outlineLevel="1">
      <c r="B110" s="239" t="s">
        <v>762</v>
      </c>
      <c r="C110" s="239"/>
      <c r="D110" s="239"/>
      <c r="E110" s="236"/>
      <c r="F110" s="254"/>
      <c r="G110" s="236"/>
      <c r="H110" s="240">
        <f>COUNTA(H111)</f>
        <v>1</v>
      </c>
      <c r="I110" s="240"/>
      <c r="J110" s="240"/>
      <c r="K110" s="240"/>
      <c r="L110" s="236"/>
      <c r="M110" s="254"/>
      <c r="N110" s="236"/>
      <c r="O110" s="265">
        <f>SUM(O111:O111)</f>
        <v>4.4999999999999998E-2</v>
      </c>
      <c r="P110" s="265"/>
      <c r="Q110" s="265"/>
      <c r="R110" s="265"/>
      <c r="S110" s="236"/>
      <c r="T110" s="254"/>
    </row>
    <row r="111" spans="2:20" outlineLevel="2">
      <c r="B111" s="242"/>
      <c r="C111" s="666" t="s">
        <v>800</v>
      </c>
      <c r="D111" s="667" t="s">
        <v>18</v>
      </c>
      <c r="E111" s="236"/>
      <c r="F111" s="254"/>
      <c r="G111" s="236"/>
      <c r="H111" s="667" t="s">
        <v>801</v>
      </c>
      <c r="I111" s="667"/>
      <c r="J111" s="667"/>
      <c r="K111" s="667"/>
      <c r="L111" s="236"/>
      <c r="M111" s="254"/>
      <c r="N111" s="236"/>
      <c r="O111" s="663">
        <f>(3000*150)/10000000</f>
        <v>4.4999999999999998E-2</v>
      </c>
      <c r="P111" s="663"/>
      <c r="Q111" s="663"/>
      <c r="R111" s="663"/>
      <c r="S111" s="236"/>
      <c r="T111" s="254"/>
    </row>
    <row r="112" spans="2:20" ht="3" customHeight="1">
      <c r="B112" s="666"/>
      <c r="C112" s="666"/>
      <c r="D112" s="667"/>
      <c r="E112" s="252"/>
      <c r="F112" s="193"/>
      <c r="G112" s="252"/>
      <c r="H112" s="264"/>
      <c r="I112" s="264"/>
      <c r="J112" s="264"/>
      <c r="K112" s="264"/>
      <c r="L112" s="252"/>
      <c r="M112" s="193"/>
      <c r="N112" s="252"/>
      <c r="O112" s="352"/>
      <c r="P112" s="352"/>
      <c r="Q112" s="352"/>
      <c r="R112" s="352"/>
      <c r="S112" s="252"/>
      <c r="T112" s="193"/>
    </row>
    <row r="113" spans="1:20" s="232" customFormat="1" ht="15.6">
      <c r="A113" s="225"/>
      <c r="B113" s="226" t="s">
        <v>638</v>
      </c>
      <c r="C113" s="227" t="s">
        <v>802</v>
      </c>
      <c r="D113" s="228" t="s">
        <v>18</v>
      </c>
      <c r="E113" s="229"/>
      <c r="F113" s="230"/>
      <c r="G113" s="229"/>
      <c r="H113" s="231">
        <f>SUM(H115,H119,H131,H168,H177,H179,H181,H183,H187,H189,H193,H197,H199,H203,H206,H212,H216,H220,H226,H228,H230,H232)</f>
        <v>67</v>
      </c>
      <c r="I113" s="231"/>
      <c r="J113" s="231"/>
      <c r="K113" s="231"/>
      <c r="L113" s="229"/>
      <c r="M113" s="230"/>
      <c r="N113" s="229"/>
      <c r="O113" s="350">
        <f>SUM(O115,O119,O131,O168,O177,O179,O181,O183,O187,O189,O193,O197,O199,O203,O206,O212,O216,O220,O226,O228,O230,O232)</f>
        <v>13.623554339271637</v>
      </c>
      <c r="P113" s="350"/>
      <c r="Q113" s="350"/>
      <c r="R113" s="350"/>
      <c r="S113" s="229"/>
      <c r="T113" s="230"/>
    </row>
    <row r="114" spans="1:20" ht="3" customHeight="1" outlineLevel="1">
      <c r="A114" s="665"/>
      <c r="B114" s="233"/>
      <c r="C114" s="234"/>
      <c r="D114" s="235"/>
      <c r="E114" s="236"/>
      <c r="F114" s="193"/>
      <c r="G114" s="236"/>
      <c r="H114" s="237"/>
      <c r="I114" s="237"/>
      <c r="J114" s="237"/>
      <c r="K114" s="237"/>
      <c r="L114" s="236"/>
      <c r="M114" s="193"/>
      <c r="N114" s="236"/>
      <c r="O114" s="351"/>
      <c r="P114" s="351"/>
      <c r="Q114" s="351"/>
      <c r="R114" s="351"/>
      <c r="S114" s="236"/>
      <c r="T114" s="193"/>
    </row>
    <row r="115" spans="1:20" s="238" customFormat="1" outlineLevel="1">
      <c r="B115" s="239" t="s">
        <v>803</v>
      </c>
      <c r="C115" s="239"/>
      <c r="D115" s="239"/>
      <c r="E115" s="236"/>
      <c r="F115" s="193"/>
      <c r="G115" s="236"/>
      <c r="H115" s="240">
        <f>COUNTA(H116:H117)</f>
        <v>2</v>
      </c>
      <c r="I115" s="240"/>
      <c r="J115" s="240"/>
      <c r="K115" s="240"/>
      <c r="L115" s="236"/>
      <c r="M115" s="193"/>
      <c r="N115" s="236"/>
      <c r="O115" s="265">
        <f>SUM(O116:O117)</f>
        <v>0</v>
      </c>
      <c r="P115" s="265"/>
      <c r="Q115" s="265"/>
      <c r="R115" s="265"/>
      <c r="S115" s="241"/>
      <c r="T115" s="193"/>
    </row>
    <row r="116" spans="1:20" outlineLevel="2">
      <c r="A116" s="659"/>
      <c r="B116" s="242" t="s">
        <v>638</v>
      </c>
      <c r="C116" s="246" t="s">
        <v>803</v>
      </c>
      <c r="D116" s="246" t="s">
        <v>18</v>
      </c>
      <c r="E116" s="243"/>
      <c r="F116" s="193"/>
      <c r="G116" s="243"/>
      <c r="H116" s="259" t="s">
        <v>334</v>
      </c>
      <c r="I116" s="259"/>
      <c r="J116" s="259"/>
      <c r="K116" s="259"/>
      <c r="L116" s="243"/>
      <c r="M116" s="193"/>
      <c r="N116" s="243"/>
      <c r="O116" s="321"/>
      <c r="P116" s="321"/>
      <c r="Q116" s="321"/>
      <c r="R116" s="321"/>
      <c r="S116" s="257"/>
      <c r="T116" s="193"/>
    </row>
    <row r="117" spans="1:20" outlineLevel="2">
      <c r="A117" s="659"/>
      <c r="B117" s="242" t="s">
        <v>638</v>
      </c>
      <c r="C117" s="246" t="s">
        <v>803</v>
      </c>
      <c r="D117" s="246" t="s">
        <v>18</v>
      </c>
      <c r="E117" s="243"/>
      <c r="F117" s="193"/>
      <c r="G117" s="243"/>
      <c r="H117" s="259" t="s">
        <v>32</v>
      </c>
      <c r="I117" s="259"/>
      <c r="J117" s="259"/>
      <c r="K117" s="259"/>
      <c r="L117" s="243"/>
      <c r="M117" s="193"/>
      <c r="N117" s="243"/>
      <c r="O117" s="321"/>
      <c r="P117" s="321"/>
      <c r="Q117" s="321"/>
      <c r="R117" s="321"/>
      <c r="S117" s="257"/>
      <c r="T117" s="193"/>
    </row>
    <row r="118" spans="1:20" ht="3" customHeight="1" outlineLevel="1">
      <c r="A118" s="665"/>
      <c r="B118" s="233"/>
      <c r="C118" s="234"/>
      <c r="D118" s="235"/>
      <c r="E118" s="236"/>
      <c r="F118" s="193"/>
      <c r="G118" s="236"/>
      <c r="H118" s="237"/>
      <c r="I118" s="237"/>
      <c r="J118" s="237"/>
      <c r="K118" s="237"/>
      <c r="L118" s="236"/>
      <c r="M118" s="193"/>
      <c r="N118" s="236"/>
      <c r="O118" s="351"/>
      <c r="P118" s="351"/>
      <c r="Q118" s="351"/>
      <c r="R118" s="351"/>
      <c r="S118" s="241"/>
      <c r="T118" s="193"/>
    </row>
    <row r="119" spans="1:20" s="238" customFormat="1" outlineLevel="1">
      <c r="B119" s="239" t="s">
        <v>804</v>
      </c>
      <c r="C119" s="239"/>
      <c r="D119" s="239"/>
      <c r="E119" s="236"/>
      <c r="F119" s="193"/>
      <c r="G119" s="236"/>
      <c r="H119" s="240">
        <f>COUNTA(H120:H129)</f>
        <v>10</v>
      </c>
      <c r="I119" s="240"/>
      <c r="J119" s="240"/>
      <c r="K119" s="240"/>
      <c r="L119" s="236"/>
      <c r="M119" s="193"/>
      <c r="N119" s="236"/>
      <c r="O119" s="265">
        <f>SUM(O120:O129)</f>
        <v>0.90157258987772559</v>
      </c>
      <c r="P119" s="265"/>
      <c r="Q119" s="265"/>
      <c r="R119" s="265"/>
      <c r="S119" s="241"/>
      <c r="T119" s="193"/>
    </row>
    <row r="120" spans="1:20" outlineLevel="2">
      <c r="A120" s="659"/>
      <c r="B120" s="242" t="s">
        <v>638</v>
      </c>
      <c r="C120" s="246" t="s">
        <v>804</v>
      </c>
      <c r="D120" s="246" t="s">
        <v>18</v>
      </c>
      <c r="E120" s="243"/>
      <c r="F120" s="193"/>
      <c r="G120" s="243"/>
      <c r="H120" s="271" t="s">
        <v>265</v>
      </c>
      <c r="I120" s="271"/>
      <c r="J120" s="271"/>
      <c r="K120" s="271"/>
      <c r="L120" s="243"/>
      <c r="M120" s="193"/>
      <c r="N120" s="243"/>
      <c r="O120" s="355">
        <v>0.25575333042562204</v>
      </c>
      <c r="P120" s="355"/>
      <c r="Q120" s="355"/>
      <c r="R120" s="355"/>
      <c r="S120" s="257"/>
      <c r="T120" s="193"/>
    </row>
    <row r="121" spans="1:20" outlineLevel="2">
      <c r="A121" s="659"/>
      <c r="B121" s="242" t="s">
        <v>638</v>
      </c>
      <c r="C121" s="246" t="s">
        <v>804</v>
      </c>
      <c r="D121" s="246" t="s">
        <v>18</v>
      </c>
      <c r="E121" s="243"/>
      <c r="F121" s="193"/>
      <c r="G121" s="243"/>
      <c r="H121" s="271" t="s">
        <v>205</v>
      </c>
      <c r="I121" s="271"/>
      <c r="J121" s="271"/>
      <c r="K121" s="271"/>
      <c r="L121" s="243"/>
      <c r="M121" s="193"/>
      <c r="N121" s="243"/>
      <c r="O121" s="355">
        <v>8.1564148364617506E-2</v>
      </c>
      <c r="P121" s="355"/>
      <c r="Q121" s="355"/>
      <c r="R121" s="355"/>
      <c r="S121" s="257"/>
      <c r="T121" s="193"/>
    </row>
    <row r="122" spans="1:20" s="266" customFormat="1" outlineLevel="2">
      <c r="A122" s="679"/>
      <c r="B122" s="267" t="s">
        <v>638</v>
      </c>
      <c r="C122" s="268" t="s">
        <v>804</v>
      </c>
      <c r="D122" s="268" t="s">
        <v>18</v>
      </c>
      <c r="E122" s="269"/>
      <c r="F122" s="270"/>
      <c r="G122" s="269"/>
      <c r="H122" s="249" t="s">
        <v>69</v>
      </c>
      <c r="I122" s="249"/>
      <c r="J122" s="249"/>
      <c r="K122" s="249"/>
      <c r="L122" s="269"/>
      <c r="M122" s="270"/>
      <c r="N122" s="269"/>
      <c r="O122" s="354">
        <v>0.18696938245168926</v>
      </c>
      <c r="P122" s="354"/>
      <c r="Q122" s="354"/>
      <c r="R122" s="354"/>
      <c r="S122" s="272"/>
      <c r="T122" s="270"/>
    </row>
    <row r="123" spans="1:20" outlineLevel="2">
      <c r="A123" s="659"/>
      <c r="B123" s="242"/>
      <c r="C123" s="246" t="s">
        <v>804</v>
      </c>
      <c r="D123" s="246" t="s">
        <v>18</v>
      </c>
      <c r="E123" s="243"/>
      <c r="F123" s="193"/>
      <c r="G123" s="243"/>
      <c r="H123" s="271" t="s">
        <v>117</v>
      </c>
      <c r="I123" s="271"/>
      <c r="J123" s="271"/>
      <c r="K123" s="271"/>
      <c r="L123" s="243"/>
      <c r="M123" s="193"/>
      <c r="N123" s="243"/>
      <c r="O123" s="355">
        <v>2.7188049454872507E-2</v>
      </c>
      <c r="P123" s="355"/>
      <c r="Q123" s="355"/>
      <c r="R123" s="355"/>
      <c r="S123" s="257"/>
      <c r="T123" s="193"/>
    </row>
    <row r="124" spans="1:20" s="266" customFormat="1" outlineLevel="2">
      <c r="A124" s="679"/>
      <c r="B124" s="267"/>
      <c r="C124" s="268" t="s">
        <v>804</v>
      </c>
      <c r="D124" s="268" t="s">
        <v>18</v>
      </c>
      <c r="E124" s="269"/>
      <c r="F124" s="270"/>
      <c r="G124" s="269"/>
      <c r="H124" s="249" t="s">
        <v>73</v>
      </c>
      <c r="I124" s="249"/>
      <c r="J124" s="249"/>
      <c r="K124" s="249"/>
      <c r="L124" s="269"/>
      <c r="M124" s="270"/>
      <c r="N124" s="269"/>
      <c r="O124" s="354">
        <v>0.11218162947101355</v>
      </c>
      <c r="P124" s="354"/>
      <c r="Q124" s="354"/>
      <c r="R124" s="354"/>
      <c r="S124" s="272"/>
      <c r="T124" s="270"/>
    </row>
    <row r="125" spans="1:20" outlineLevel="2">
      <c r="A125" s="659"/>
      <c r="B125" s="242"/>
      <c r="C125" s="246" t="s">
        <v>804</v>
      </c>
      <c r="D125" s="246" t="s">
        <v>18</v>
      </c>
      <c r="E125" s="243"/>
      <c r="F125" s="193"/>
      <c r="G125" s="243"/>
      <c r="H125" s="271" t="s">
        <v>24</v>
      </c>
      <c r="I125" s="271"/>
      <c r="J125" s="271"/>
      <c r="K125" s="271"/>
      <c r="L125" s="243"/>
      <c r="M125" s="193"/>
      <c r="N125" s="243"/>
      <c r="O125" s="355">
        <v>3.7393876490337853E-2</v>
      </c>
      <c r="P125" s="355"/>
      <c r="Q125" s="355"/>
      <c r="R125" s="355"/>
      <c r="S125" s="257"/>
      <c r="T125" s="193"/>
    </row>
    <row r="126" spans="1:20" s="266" customFormat="1" outlineLevel="2">
      <c r="A126" s="679"/>
      <c r="B126" s="267"/>
      <c r="C126" s="268" t="s">
        <v>804</v>
      </c>
      <c r="D126" s="268" t="s">
        <v>18</v>
      </c>
      <c r="E126" s="269"/>
      <c r="F126" s="270"/>
      <c r="G126" s="269"/>
      <c r="H126" s="249" t="s">
        <v>74</v>
      </c>
      <c r="I126" s="249"/>
      <c r="J126" s="249"/>
      <c r="K126" s="249"/>
      <c r="L126" s="269"/>
      <c r="M126" s="270"/>
      <c r="N126" s="269"/>
      <c r="O126" s="354">
        <v>3.7393876490337853E-2</v>
      </c>
      <c r="P126" s="354"/>
      <c r="Q126" s="354"/>
      <c r="R126" s="354"/>
      <c r="S126" s="272"/>
      <c r="T126" s="270"/>
    </row>
    <row r="127" spans="1:20" s="266" customFormat="1" outlineLevel="2">
      <c r="A127" s="679"/>
      <c r="B127" s="267"/>
      <c r="C127" s="246" t="s">
        <v>804</v>
      </c>
      <c r="D127" s="246" t="s">
        <v>18</v>
      </c>
      <c r="E127" s="269"/>
      <c r="F127" s="270"/>
      <c r="G127" s="269"/>
      <c r="H127" s="271" t="s">
        <v>116</v>
      </c>
      <c r="I127" s="271"/>
      <c r="J127" s="271"/>
      <c r="K127" s="271"/>
      <c r="L127" s="269"/>
      <c r="M127" s="270"/>
      <c r="N127" s="269"/>
      <c r="O127" s="355">
        <v>0.10875219781949003</v>
      </c>
      <c r="P127" s="355"/>
      <c r="Q127" s="355"/>
      <c r="R127" s="355"/>
      <c r="S127" s="272"/>
      <c r="T127" s="270"/>
    </row>
    <row r="128" spans="1:20" s="266" customFormat="1" outlineLevel="2">
      <c r="A128" s="679"/>
      <c r="B128" s="267"/>
      <c r="C128" s="246" t="s">
        <v>804</v>
      </c>
      <c r="D128" s="246" t="s">
        <v>18</v>
      </c>
      <c r="E128" s="269"/>
      <c r="F128" s="270"/>
      <c r="G128" s="269"/>
      <c r="H128" s="249" t="s">
        <v>266</v>
      </c>
      <c r="I128" s="249"/>
      <c r="J128" s="249"/>
      <c r="K128" s="249"/>
      <c r="L128" s="269"/>
      <c r="M128" s="270"/>
      <c r="N128" s="269"/>
      <c r="O128" s="354">
        <v>2.7188049454872507E-2</v>
      </c>
      <c r="P128" s="354"/>
      <c r="Q128" s="354"/>
      <c r="R128" s="354"/>
      <c r="S128" s="272"/>
      <c r="T128" s="270"/>
    </row>
    <row r="129" spans="2:20" s="266" customFormat="1" outlineLevel="2">
      <c r="B129" s="267"/>
      <c r="C129" s="246" t="s">
        <v>804</v>
      </c>
      <c r="D129" s="246" t="s">
        <v>18</v>
      </c>
      <c r="E129" s="269"/>
      <c r="F129" s="270"/>
      <c r="G129" s="269"/>
      <c r="H129" s="271" t="s">
        <v>25</v>
      </c>
      <c r="I129" s="271"/>
      <c r="J129" s="271"/>
      <c r="K129" s="271"/>
      <c r="L129" s="269"/>
      <c r="M129" s="270"/>
      <c r="N129" s="269"/>
      <c r="O129" s="355">
        <v>2.7188049454872507E-2</v>
      </c>
      <c r="P129" s="355"/>
      <c r="Q129" s="355"/>
      <c r="R129" s="355"/>
      <c r="S129" s="272"/>
      <c r="T129" s="270"/>
    </row>
    <row r="130" spans="2:20" ht="3" customHeight="1" outlineLevel="1">
      <c r="B130" s="242"/>
      <c r="C130" s="246"/>
      <c r="D130" s="246"/>
      <c r="E130" s="243"/>
      <c r="F130" s="193"/>
      <c r="G130" s="243"/>
      <c r="H130" s="245"/>
      <c r="I130" s="245"/>
      <c r="J130" s="245"/>
      <c r="K130" s="245"/>
      <c r="L130" s="243"/>
      <c r="M130" s="193"/>
      <c r="N130" s="243"/>
      <c r="O130" s="353"/>
      <c r="P130" s="353"/>
      <c r="Q130" s="353"/>
      <c r="R130" s="353"/>
      <c r="S130" s="257"/>
      <c r="T130" s="193"/>
    </row>
    <row r="131" spans="2:20" s="238" customFormat="1" outlineLevel="1">
      <c r="B131" s="239" t="s">
        <v>212</v>
      </c>
      <c r="C131" s="239"/>
      <c r="D131" s="239"/>
      <c r="E131" s="236"/>
      <c r="F131" s="193"/>
      <c r="G131" s="236"/>
      <c r="H131" s="240">
        <f>COUNTA(H132:H166)</f>
        <v>35</v>
      </c>
      <c r="I131" s="240"/>
      <c r="J131" s="240"/>
      <c r="K131" s="240"/>
      <c r="L131" s="236"/>
      <c r="M131" s="193"/>
      <c r="N131" s="236"/>
      <c r="O131" s="265">
        <f>SUM(O132:O166)</f>
        <v>9.8799999999999955</v>
      </c>
      <c r="P131" s="265"/>
      <c r="Q131" s="265"/>
      <c r="R131" s="265"/>
      <c r="S131" s="241"/>
      <c r="T131" s="193"/>
    </row>
    <row r="132" spans="2:20" ht="21.6" customHeight="1" outlineLevel="2">
      <c r="B132" s="242" t="s">
        <v>638</v>
      </c>
      <c r="C132" s="246" t="s">
        <v>212</v>
      </c>
      <c r="D132" s="246" t="s">
        <v>18</v>
      </c>
      <c r="E132" s="236"/>
      <c r="F132" s="254"/>
      <c r="G132" s="236"/>
      <c r="H132" s="271" t="s">
        <v>24</v>
      </c>
      <c r="I132" s="271"/>
      <c r="J132" s="271"/>
      <c r="K132" s="271"/>
      <c r="L132" s="236"/>
      <c r="M132" s="254"/>
      <c r="N132" s="236"/>
      <c r="O132" s="354">
        <v>7.0000000000000007E-2</v>
      </c>
      <c r="P132" s="354"/>
      <c r="Q132" s="354"/>
      <c r="R132" s="354"/>
      <c r="S132" s="241"/>
      <c r="T132" s="254"/>
    </row>
    <row r="133" spans="2:20" ht="20.85" customHeight="1" outlineLevel="2">
      <c r="B133" s="242" t="s">
        <v>638</v>
      </c>
      <c r="C133" s="246" t="s">
        <v>212</v>
      </c>
      <c r="D133" s="246" t="s">
        <v>18</v>
      </c>
      <c r="E133" s="236"/>
      <c r="F133" s="254"/>
      <c r="G133" s="236"/>
      <c r="H133" s="271" t="s">
        <v>74</v>
      </c>
      <c r="I133" s="271"/>
      <c r="J133" s="271"/>
      <c r="K133" s="271"/>
      <c r="L133" s="236"/>
      <c r="M133" s="254"/>
      <c r="N133" s="236"/>
      <c r="O133" s="354">
        <v>7.0000000000000007E-2</v>
      </c>
      <c r="P133" s="354"/>
      <c r="Q133" s="354"/>
      <c r="R133" s="354"/>
      <c r="S133" s="241"/>
      <c r="T133" s="254"/>
    </row>
    <row r="134" spans="2:20" ht="21" customHeight="1" outlineLevel="2">
      <c r="B134" s="242" t="s">
        <v>638</v>
      </c>
      <c r="C134" s="246" t="s">
        <v>212</v>
      </c>
      <c r="D134" s="246" t="s">
        <v>18</v>
      </c>
      <c r="E134" s="236"/>
      <c r="F134" s="254"/>
      <c r="G134" s="236"/>
      <c r="H134" s="271" t="s">
        <v>116</v>
      </c>
      <c r="I134" s="271"/>
      <c r="J134" s="271"/>
      <c r="K134" s="271"/>
      <c r="L134" s="236"/>
      <c r="M134" s="254"/>
      <c r="N134" s="236"/>
      <c r="O134" s="354">
        <v>0.15</v>
      </c>
      <c r="P134" s="354"/>
      <c r="Q134" s="354"/>
      <c r="R134" s="354"/>
      <c r="S134" s="241"/>
      <c r="T134" s="254"/>
    </row>
    <row r="135" spans="2:20" ht="21" customHeight="1" outlineLevel="2">
      <c r="B135" s="242"/>
      <c r="C135" s="246" t="s">
        <v>212</v>
      </c>
      <c r="D135" s="246" t="s">
        <v>18</v>
      </c>
      <c r="E135" s="236"/>
      <c r="F135" s="254"/>
      <c r="G135" s="236"/>
      <c r="H135" s="679" t="s">
        <v>805</v>
      </c>
      <c r="I135" s="679"/>
      <c r="J135" s="679"/>
      <c r="K135" s="679"/>
      <c r="L135" s="236"/>
      <c r="M135" s="254"/>
      <c r="N135" s="236"/>
      <c r="O135" s="680">
        <v>0.04</v>
      </c>
      <c r="P135" s="680"/>
      <c r="Q135" s="680"/>
      <c r="R135" s="680"/>
      <c r="S135" s="241"/>
      <c r="T135" s="254"/>
    </row>
    <row r="136" spans="2:20" ht="18.600000000000001" customHeight="1" outlineLevel="2">
      <c r="B136" s="242"/>
      <c r="C136" s="246" t="s">
        <v>212</v>
      </c>
      <c r="D136" s="246" t="s">
        <v>18</v>
      </c>
      <c r="E136" s="236"/>
      <c r="F136" s="254"/>
      <c r="G136" s="236"/>
      <c r="H136" s="681" t="s">
        <v>98</v>
      </c>
      <c r="I136" s="681"/>
      <c r="J136" s="681"/>
      <c r="K136" s="681"/>
      <c r="L136" s="236"/>
      <c r="M136" s="254"/>
      <c r="N136" s="236"/>
      <c r="O136" s="682">
        <v>0.04</v>
      </c>
      <c r="P136" s="682"/>
      <c r="Q136" s="682"/>
      <c r="R136" s="682"/>
      <c r="S136" s="241"/>
      <c r="T136" s="254"/>
    </row>
    <row r="137" spans="2:20" ht="21" customHeight="1" outlineLevel="2">
      <c r="B137" s="242"/>
      <c r="C137" s="246" t="s">
        <v>212</v>
      </c>
      <c r="D137" s="246" t="s">
        <v>18</v>
      </c>
      <c r="E137" s="236"/>
      <c r="F137" s="254"/>
      <c r="G137" s="236"/>
      <c r="H137" s="271" t="s">
        <v>806</v>
      </c>
      <c r="I137" s="271"/>
      <c r="J137" s="271"/>
      <c r="K137" s="271"/>
      <c r="L137" s="236"/>
      <c r="M137" s="254"/>
      <c r="N137" s="236"/>
      <c r="O137" s="354">
        <v>0.06</v>
      </c>
      <c r="P137" s="354"/>
      <c r="Q137" s="354"/>
      <c r="R137" s="354"/>
      <c r="S137" s="241"/>
      <c r="T137" s="254"/>
    </row>
    <row r="138" spans="2:20" ht="18.600000000000001" customHeight="1" outlineLevel="2">
      <c r="B138" s="242"/>
      <c r="C138" s="246" t="s">
        <v>212</v>
      </c>
      <c r="D138" s="246" t="s">
        <v>18</v>
      </c>
      <c r="E138" s="236"/>
      <c r="F138" s="254"/>
      <c r="G138" s="236"/>
      <c r="H138" s="271" t="s">
        <v>807</v>
      </c>
      <c r="I138" s="271"/>
      <c r="J138" s="271"/>
      <c r="K138" s="271"/>
      <c r="L138" s="236"/>
      <c r="M138" s="254"/>
      <c r="N138" s="236"/>
      <c r="O138" s="354">
        <v>0.03</v>
      </c>
      <c r="P138" s="354"/>
      <c r="Q138" s="354"/>
      <c r="R138" s="354"/>
      <c r="S138" s="241"/>
      <c r="T138" s="254"/>
    </row>
    <row r="139" spans="2:20" ht="21" customHeight="1" outlineLevel="2">
      <c r="B139" s="242"/>
      <c r="C139" s="246" t="s">
        <v>212</v>
      </c>
      <c r="D139" s="246" t="s">
        <v>18</v>
      </c>
      <c r="E139" s="236"/>
      <c r="F139" s="254"/>
      <c r="G139" s="236"/>
      <c r="H139" s="271" t="s">
        <v>808</v>
      </c>
      <c r="I139" s="271"/>
      <c r="J139" s="271"/>
      <c r="K139" s="271"/>
      <c r="L139" s="236"/>
      <c r="M139" s="254"/>
      <c r="N139" s="236"/>
      <c r="O139" s="354">
        <v>0.06</v>
      </c>
      <c r="P139" s="354"/>
      <c r="Q139" s="354"/>
      <c r="R139" s="354"/>
      <c r="S139" s="241"/>
      <c r="T139" s="254"/>
    </row>
    <row r="140" spans="2:20" ht="23.1" customHeight="1" outlineLevel="2">
      <c r="B140" s="242" t="s">
        <v>638</v>
      </c>
      <c r="C140" s="246" t="s">
        <v>212</v>
      </c>
      <c r="D140" s="246" t="s">
        <v>18</v>
      </c>
      <c r="E140" s="236"/>
      <c r="F140" s="254"/>
      <c r="G140" s="236"/>
      <c r="H140" s="271" t="s">
        <v>809</v>
      </c>
      <c r="I140" s="271"/>
      <c r="J140" s="271"/>
      <c r="K140" s="271"/>
      <c r="L140" s="236"/>
      <c r="M140" s="254"/>
      <c r="N140" s="236"/>
      <c r="O140" s="354">
        <v>0.06</v>
      </c>
      <c r="P140" s="354"/>
      <c r="Q140" s="354"/>
      <c r="R140" s="354"/>
      <c r="S140" s="241"/>
      <c r="T140" s="254"/>
    </row>
    <row r="141" spans="2:20" ht="27.6" customHeight="1" outlineLevel="2">
      <c r="B141" s="242"/>
      <c r="C141" s="246" t="s">
        <v>212</v>
      </c>
      <c r="D141" s="246" t="s">
        <v>18</v>
      </c>
      <c r="E141" s="236"/>
      <c r="F141" s="254"/>
      <c r="G141" s="236"/>
      <c r="H141" s="271" t="s">
        <v>810</v>
      </c>
      <c r="I141" s="271"/>
      <c r="J141" s="271"/>
      <c r="K141" s="271"/>
      <c r="L141" s="236"/>
      <c r="M141" s="254"/>
      <c r="N141" s="236"/>
      <c r="O141" s="354">
        <v>0.03</v>
      </c>
      <c r="P141" s="354"/>
      <c r="Q141" s="354"/>
      <c r="R141" s="354"/>
      <c r="S141" s="241"/>
      <c r="T141" s="254"/>
    </row>
    <row r="142" spans="2:20" ht="21.6" customHeight="1" outlineLevel="2">
      <c r="B142" s="242"/>
      <c r="C142" s="246" t="s">
        <v>212</v>
      </c>
      <c r="D142" s="246" t="s">
        <v>18</v>
      </c>
      <c r="E142" s="236"/>
      <c r="F142" s="254"/>
      <c r="G142" s="236"/>
      <c r="H142" s="271" t="s">
        <v>811</v>
      </c>
      <c r="I142" s="271"/>
      <c r="J142" s="271"/>
      <c r="K142" s="271"/>
      <c r="L142" s="236"/>
      <c r="M142" s="254"/>
      <c r="N142" s="236"/>
      <c r="O142" s="354">
        <v>0.03</v>
      </c>
      <c r="P142" s="354"/>
      <c r="Q142" s="354"/>
      <c r="R142" s="354"/>
      <c r="S142" s="241"/>
      <c r="T142" s="254"/>
    </row>
    <row r="143" spans="2:20" ht="25.35" customHeight="1" outlineLevel="2">
      <c r="B143" s="242"/>
      <c r="C143" s="246" t="s">
        <v>212</v>
      </c>
      <c r="D143" s="246" t="s">
        <v>18</v>
      </c>
      <c r="E143" s="236"/>
      <c r="F143" s="254"/>
      <c r="G143" s="236"/>
      <c r="H143" s="271" t="s">
        <v>812</v>
      </c>
      <c r="I143" s="271"/>
      <c r="J143" s="271"/>
      <c r="K143" s="271"/>
      <c r="L143" s="236"/>
      <c r="M143" s="254"/>
      <c r="N143" s="236"/>
      <c r="O143" s="354">
        <v>0.13</v>
      </c>
      <c r="P143" s="354"/>
      <c r="Q143" s="354"/>
      <c r="R143" s="354"/>
      <c r="S143" s="241"/>
      <c r="T143" s="254"/>
    </row>
    <row r="144" spans="2:20" ht="32.1" customHeight="1" outlineLevel="2">
      <c r="B144" s="242"/>
      <c r="C144" s="246" t="s">
        <v>212</v>
      </c>
      <c r="D144" s="246" t="s">
        <v>18</v>
      </c>
      <c r="E144" s="236"/>
      <c r="F144" s="254"/>
      <c r="G144" s="236"/>
      <c r="H144" s="271" t="s">
        <v>813</v>
      </c>
      <c r="I144" s="271"/>
      <c r="J144" s="271"/>
      <c r="K144" s="271"/>
      <c r="L144" s="236"/>
      <c r="M144" s="254"/>
      <c r="N144" s="236"/>
      <c r="O144" s="354">
        <v>0.1</v>
      </c>
      <c r="P144" s="354"/>
      <c r="Q144" s="354"/>
      <c r="R144" s="354"/>
      <c r="S144" s="241"/>
      <c r="T144" s="254"/>
    </row>
    <row r="145" spans="2:20" outlineLevel="2">
      <c r="B145" s="242"/>
      <c r="C145" s="246" t="s">
        <v>212</v>
      </c>
      <c r="D145" s="246" t="s">
        <v>18</v>
      </c>
      <c r="E145" s="236"/>
      <c r="F145" s="254"/>
      <c r="G145" s="236"/>
      <c r="H145" s="271" t="s">
        <v>814</v>
      </c>
      <c r="I145" s="271"/>
      <c r="J145" s="271"/>
      <c r="K145" s="271"/>
      <c r="L145" s="236"/>
      <c r="M145" s="254"/>
      <c r="N145" s="236"/>
      <c r="O145" s="354">
        <v>0.13</v>
      </c>
      <c r="P145" s="354"/>
      <c r="Q145" s="354"/>
      <c r="R145" s="354"/>
      <c r="S145" s="241"/>
      <c r="T145" s="254"/>
    </row>
    <row r="146" spans="2:20" outlineLevel="2">
      <c r="B146" s="242"/>
      <c r="C146" s="246" t="s">
        <v>212</v>
      </c>
      <c r="D146" s="246" t="s">
        <v>18</v>
      </c>
      <c r="E146" s="236"/>
      <c r="F146" s="254"/>
      <c r="G146" s="236"/>
      <c r="H146" s="271" t="s">
        <v>815</v>
      </c>
      <c r="I146" s="271"/>
      <c r="J146" s="271"/>
      <c r="K146" s="271"/>
      <c r="L146" s="236"/>
      <c r="M146" s="254"/>
      <c r="N146" s="236"/>
      <c r="O146" s="354">
        <v>0.27</v>
      </c>
      <c r="P146" s="354"/>
      <c r="Q146" s="354"/>
      <c r="R146" s="354"/>
      <c r="S146" s="241"/>
      <c r="T146" s="254"/>
    </row>
    <row r="147" spans="2:20" outlineLevel="2">
      <c r="B147" s="242"/>
      <c r="C147" s="246" t="s">
        <v>212</v>
      </c>
      <c r="D147" s="246" t="s">
        <v>18</v>
      </c>
      <c r="E147" s="236"/>
      <c r="F147" s="254"/>
      <c r="G147" s="236"/>
      <c r="H147" s="271" t="s">
        <v>816</v>
      </c>
      <c r="I147" s="271"/>
      <c r="J147" s="271"/>
      <c r="K147" s="271"/>
      <c r="L147" s="236"/>
      <c r="M147" s="254"/>
      <c r="N147" s="236"/>
      <c r="O147" s="354">
        <v>0.27</v>
      </c>
      <c r="P147" s="354"/>
      <c r="Q147" s="354"/>
      <c r="R147" s="354"/>
      <c r="S147" s="241"/>
      <c r="T147" s="254"/>
    </row>
    <row r="148" spans="2:20" ht="20.100000000000001" customHeight="1" outlineLevel="2">
      <c r="B148" s="242"/>
      <c r="C148" s="246" t="s">
        <v>212</v>
      </c>
      <c r="D148" s="246" t="s">
        <v>18</v>
      </c>
      <c r="E148" s="236"/>
      <c r="F148" s="254"/>
      <c r="G148" s="236"/>
      <c r="H148" s="249" t="s">
        <v>265</v>
      </c>
      <c r="I148" s="249"/>
      <c r="J148" s="249"/>
      <c r="K148" s="249"/>
      <c r="L148" s="236"/>
      <c r="M148" s="254"/>
      <c r="N148" s="236"/>
      <c r="O148" s="354">
        <v>0.14000000000000001</v>
      </c>
      <c r="P148" s="354"/>
      <c r="Q148" s="354"/>
      <c r="R148" s="354"/>
      <c r="S148" s="241"/>
      <c r="T148" s="254"/>
    </row>
    <row r="149" spans="2:20" ht="20.100000000000001" customHeight="1" outlineLevel="2">
      <c r="B149" s="242"/>
      <c r="C149" s="246" t="s">
        <v>212</v>
      </c>
      <c r="D149" s="246" t="s">
        <v>18</v>
      </c>
      <c r="E149" s="236"/>
      <c r="F149" s="254"/>
      <c r="G149" s="236"/>
      <c r="H149" s="249" t="s">
        <v>817</v>
      </c>
      <c r="I149" s="249"/>
      <c r="J149" s="249"/>
      <c r="K149" s="249"/>
      <c r="L149" s="236"/>
      <c r="M149" s="254"/>
      <c r="N149" s="236"/>
      <c r="O149" s="354">
        <v>0.14000000000000001</v>
      </c>
      <c r="P149" s="354"/>
      <c r="Q149" s="354"/>
      <c r="R149" s="354"/>
      <c r="S149" s="241"/>
      <c r="T149" s="254"/>
    </row>
    <row r="150" spans="2:20" ht="20.100000000000001" customHeight="1" outlineLevel="2">
      <c r="B150" s="242"/>
      <c r="C150" s="246" t="s">
        <v>212</v>
      </c>
      <c r="D150" s="246" t="s">
        <v>18</v>
      </c>
      <c r="E150" s="236"/>
      <c r="F150" s="254"/>
      <c r="G150" s="236"/>
      <c r="H150" s="249" t="s">
        <v>270</v>
      </c>
      <c r="I150" s="249"/>
      <c r="J150" s="249"/>
      <c r="K150" s="249"/>
      <c r="L150" s="236"/>
      <c r="M150" s="254"/>
      <c r="N150" s="236"/>
      <c r="O150" s="354">
        <v>0.55000000000000004</v>
      </c>
      <c r="P150" s="354"/>
      <c r="Q150" s="354"/>
      <c r="R150" s="354"/>
      <c r="S150" s="241"/>
      <c r="T150" s="254"/>
    </row>
    <row r="151" spans="2:20" ht="20.100000000000001" customHeight="1" outlineLevel="2">
      <c r="B151" s="242"/>
      <c r="C151" s="246" t="s">
        <v>212</v>
      </c>
      <c r="D151" s="246" t="s">
        <v>18</v>
      </c>
      <c r="E151" s="236"/>
      <c r="F151" s="254"/>
      <c r="G151" s="236"/>
      <c r="H151" s="249" t="s">
        <v>818</v>
      </c>
      <c r="I151" s="249"/>
      <c r="J151" s="249"/>
      <c r="K151" s="249"/>
      <c r="L151" s="236"/>
      <c r="M151" s="254"/>
      <c r="N151" s="236"/>
      <c r="O151" s="354">
        <v>0.55000000000000004</v>
      </c>
      <c r="P151" s="354"/>
      <c r="Q151" s="354"/>
      <c r="R151" s="354"/>
      <c r="S151" s="241"/>
      <c r="T151" s="254"/>
    </row>
    <row r="152" spans="2:20" ht="20.100000000000001" customHeight="1" outlineLevel="2">
      <c r="B152" s="242"/>
      <c r="C152" s="246" t="s">
        <v>212</v>
      </c>
      <c r="D152" s="246" t="s">
        <v>18</v>
      </c>
      <c r="E152" s="236"/>
      <c r="F152" s="254"/>
      <c r="G152" s="236"/>
      <c r="H152" s="249" t="s">
        <v>819</v>
      </c>
      <c r="I152" s="249"/>
      <c r="J152" s="249"/>
      <c r="K152" s="249"/>
      <c r="L152" s="236"/>
      <c r="M152" s="254"/>
      <c r="N152" s="236"/>
      <c r="O152" s="354">
        <v>2.2400000000000002</v>
      </c>
      <c r="P152" s="354"/>
      <c r="Q152" s="354"/>
      <c r="R152" s="354"/>
      <c r="S152" s="241"/>
      <c r="T152" s="254"/>
    </row>
    <row r="153" spans="2:20" ht="20.100000000000001" customHeight="1" outlineLevel="2">
      <c r="B153" s="242"/>
      <c r="C153" s="246" t="s">
        <v>212</v>
      </c>
      <c r="D153" s="246" t="s">
        <v>18</v>
      </c>
      <c r="E153" s="236"/>
      <c r="F153" s="254"/>
      <c r="G153" s="236"/>
      <c r="H153" s="249" t="s">
        <v>820</v>
      </c>
      <c r="I153" s="249"/>
      <c r="J153" s="249"/>
      <c r="K153" s="249"/>
      <c r="L153" s="236"/>
      <c r="M153" s="254"/>
      <c r="N153" s="236"/>
      <c r="O153" s="354">
        <v>2.2400000000000002</v>
      </c>
      <c r="P153" s="354"/>
      <c r="Q153" s="354"/>
      <c r="R153" s="354"/>
      <c r="S153" s="241"/>
      <c r="T153" s="254"/>
    </row>
    <row r="154" spans="2:20" ht="20.100000000000001" customHeight="1" outlineLevel="2">
      <c r="B154" s="242"/>
      <c r="C154" s="246" t="s">
        <v>212</v>
      </c>
      <c r="D154" s="246" t="s">
        <v>18</v>
      </c>
      <c r="E154" s="236"/>
      <c r="F154" s="254"/>
      <c r="G154" s="236"/>
      <c r="H154" s="271" t="s">
        <v>821</v>
      </c>
      <c r="I154" s="271"/>
      <c r="J154" s="271"/>
      <c r="K154" s="271"/>
      <c r="L154" s="236"/>
      <c r="M154" s="254"/>
      <c r="N154" s="236"/>
      <c r="O154" s="354">
        <v>0.1</v>
      </c>
      <c r="P154" s="354"/>
      <c r="Q154" s="354"/>
      <c r="R154" s="354"/>
      <c r="S154" s="241"/>
      <c r="T154" s="254"/>
    </row>
    <row r="155" spans="2:20" ht="20.100000000000001" customHeight="1" outlineLevel="2">
      <c r="B155" s="242"/>
      <c r="C155" s="246" t="s">
        <v>212</v>
      </c>
      <c r="D155" s="246" t="s">
        <v>18</v>
      </c>
      <c r="E155" s="236"/>
      <c r="F155" s="254"/>
      <c r="G155" s="236"/>
      <c r="H155" s="271" t="s">
        <v>822</v>
      </c>
      <c r="I155" s="271"/>
      <c r="J155" s="271"/>
      <c r="K155" s="271"/>
      <c r="L155" s="236"/>
      <c r="M155" s="254"/>
      <c r="N155" s="236"/>
      <c r="O155" s="354">
        <v>0.13</v>
      </c>
      <c r="P155" s="354"/>
      <c r="Q155" s="354"/>
      <c r="R155" s="354"/>
      <c r="S155" s="241"/>
      <c r="T155" s="254"/>
    </row>
    <row r="156" spans="2:20" ht="20.100000000000001" customHeight="1" outlineLevel="2">
      <c r="B156" s="242"/>
      <c r="C156" s="246" t="s">
        <v>212</v>
      </c>
      <c r="D156" s="246" t="s">
        <v>18</v>
      </c>
      <c r="E156" s="236"/>
      <c r="F156" s="254"/>
      <c r="G156" s="236"/>
      <c r="H156" s="271" t="s">
        <v>271</v>
      </c>
      <c r="I156" s="271"/>
      <c r="J156" s="271"/>
      <c r="K156" s="271"/>
      <c r="L156" s="236"/>
      <c r="M156" s="254"/>
      <c r="N156" s="236"/>
      <c r="O156" s="354">
        <v>0.2</v>
      </c>
      <c r="P156" s="354"/>
      <c r="Q156" s="354"/>
      <c r="R156" s="354"/>
      <c r="S156" s="241"/>
      <c r="T156" s="254"/>
    </row>
    <row r="157" spans="2:20" ht="20.100000000000001" customHeight="1" outlineLevel="2">
      <c r="B157" s="242"/>
      <c r="C157" s="246" t="s">
        <v>212</v>
      </c>
      <c r="D157" s="246" t="s">
        <v>18</v>
      </c>
      <c r="E157" s="236"/>
      <c r="F157" s="254"/>
      <c r="G157" s="236"/>
      <c r="H157" s="271" t="s">
        <v>823</v>
      </c>
      <c r="I157" s="271"/>
      <c r="J157" s="271"/>
      <c r="K157" s="271"/>
      <c r="L157" s="236"/>
      <c r="M157" s="254"/>
      <c r="N157" s="236"/>
      <c r="O157" s="354">
        <v>0.27</v>
      </c>
      <c r="P157" s="354"/>
      <c r="Q157" s="354"/>
      <c r="R157" s="354"/>
      <c r="S157" s="241"/>
      <c r="T157" s="254"/>
    </row>
    <row r="158" spans="2:20" ht="20.100000000000001" customHeight="1" outlineLevel="2">
      <c r="B158" s="242"/>
      <c r="C158" s="246" t="s">
        <v>212</v>
      </c>
      <c r="D158" s="246" t="s">
        <v>18</v>
      </c>
      <c r="E158" s="236"/>
      <c r="F158" s="254"/>
      <c r="G158" s="236"/>
      <c r="H158" s="271" t="s">
        <v>824</v>
      </c>
      <c r="I158" s="271"/>
      <c r="J158" s="271"/>
      <c r="K158" s="271"/>
      <c r="L158" s="236"/>
      <c r="M158" s="254"/>
      <c r="N158" s="236"/>
      <c r="O158" s="354">
        <v>0.2</v>
      </c>
      <c r="P158" s="354"/>
      <c r="Q158" s="354"/>
      <c r="R158" s="354"/>
      <c r="S158" s="241"/>
      <c r="T158" s="254"/>
    </row>
    <row r="159" spans="2:20" ht="20.100000000000001" customHeight="1" outlineLevel="2">
      <c r="B159" s="242"/>
      <c r="C159" s="246" t="s">
        <v>212</v>
      </c>
      <c r="D159" s="246" t="s">
        <v>18</v>
      </c>
      <c r="E159" s="236"/>
      <c r="F159" s="254"/>
      <c r="G159" s="236"/>
      <c r="H159" s="271" t="s">
        <v>825</v>
      </c>
      <c r="I159" s="271"/>
      <c r="J159" s="271"/>
      <c r="K159" s="271"/>
      <c r="L159" s="236"/>
      <c r="M159" s="254"/>
      <c r="N159" s="236"/>
      <c r="O159" s="354">
        <v>0.27</v>
      </c>
      <c r="P159" s="354"/>
      <c r="Q159" s="354"/>
      <c r="R159" s="354"/>
      <c r="S159" s="241"/>
      <c r="T159" s="254"/>
    </row>
    <row r="160" spans="2:20" ht="20.100000000000001" customHeight="1" outlineLevel="2">
      <c r="B160" s="242"/>
      <c r="C160" s="246" t="s">
        <v>212</v>
      </c>
      <c r="D160" s="246" t="s">
        <v>18</v>
      </c>
      <c r="E160" s="236"/>
      <c r="F160" s="254"/>
      <c r="G160" s="236"/>
      <c r="H160" s="271" t="s">
        <v>826</v>
      </c>
      <c r="I160" s="271"/>
      <c r="J160" s="271"/>
      <c r="K160" s="271"/>
      <c r="L160" s="236"/>
      <c r="M160" s="254"/>
      <c r="N160" s="236"/>
      <c r="O160" s="354">
        <v>0.2</v>
      </c>
      <c r="P160" s="354"/>
      <c r="Q160" s="354"/>
      <c r="R160" s="354"/>
      <c r="S160" s="241"/>
      <c r="T160" s="254"/>
    </row>
    <row r="161" spans="2:20" ht="20.100000000000001" customHeight="1" outlineLevel="2">
      <c r="B161" s="242"/>
      <c r="C161" s="246" t="s">
        <v>212</v>
      </c>
      <c r="D161" s="246" t="s">
        <v>18</v>
      </c>
      <c r="E161" s="236"/>
      <c r="F161" s="254"/>
      <c r="G161" s="236"/>
      <c r="H161" s="271" t="s">
        <v>827</v>
      </c>
      <c r="I161" s="271"/>
      <c r="J161" s="271"/>
      <c r="K161" s="271"/>
      <c r="L161" s="236"/>
      <c r="M161" s="254"/>
      <c r="N161" s="236"/>
      <c r="O161" s="354">
        <v>0.27</v>
      </c>
      <c r="P161" s="354"/>
      <c r="Q161" s="354"/>
      <c r="R161" s="354"/>
      <c r="S161" s="241"/>
      <c r="T161" s="254"/>
    </row>
    <row r="162" spans="2:20" ht="20.100000000000001" customHeight="1" outlineLevel="2">
      <c r="B162" s="242"/>
      <c r="C162" s="246" t="s">
        <v>212</v>
      </c>
      <c r="D162" s="246" t="s">
        <v>18</v>
      </c>
      <c r="E162" s="236"/>
      <c r="F162" s="254"/>
      <c r="G162" s="236"/>
      <c r="H162" s="249" t="s">
        <v>828</v>
      </c>
      <c r="I162" s="249"/>
      <c r="J162" s="249"/>
      <c r="K162" s="249"/>
      <c r="L162" s="236"/>
      <c r="M162" s="254"/>
      <c r="N162" s="236"/>
      <c r="O162" s="354">
        <v>0.2</v>
      </c>
      <c r="P162" s="354"/>
      <c r="Q162" s="354"/>
      <c r="R162" s="354"/>
      <c r="S162" s="241"/>
      <c r="T162" s="254"/>
    </row>
    <row r="163" spans="2:20" ht="20.100000000000001" customHeight="1" outlineLevel="2">
      <c r="B163" s="242"/>
      <c r="C163" s="246" t="s">
        <v>212</v>
      </c>
      <c r="D163" s="246" t="s">
        <v>18</v>
      </c>
      <c r="E163" s="236"/>
      <c r="F163" s="254"/>
      <c r="G163" s="236"/>
      <c r="H163" s="249" t="s">
        <v>829</v>
      </c>
      <c r="I163" s="249"/>
      <c r="J163" s="249"/>
      <c r="K163" s="249"/>
      <c r="L163" s="236"/>
      <c r="M163" s="254"/>
      <c r="N163" s="236"/>
      <c r="O163" s="354">
        <v>0.27</v>
      </c>
      <c r="P163" s="354"/>
      <c r="Q163" s="354"/>
      <c r="R163" s="354"/>
      <c r="S163" s="241"/>
      <c r="T163" s="254"/>
    </row>
    <row r="164" spans="2:20" ht="20.100000000000001" customHeight="1" outlineLevel="2">
      <c r="B164" s="242"/>
      <c r="C164" s="246" t="s">
        <v>212</v>
      </c>
      <c r="D164" s="246" t="s">
        <v>18</v>
      </c>
      <c r="E164" s="236"/>
      <c r="F164" s="254"/>
      <c r="G164" s="236"/>
      <c r="H164" s="249" t="s">
        <v>73</v>
      </c>
      <c r="I164" s="249"/>
      <c r="J164" s="249"/>
      <c r="K164" s="249"/>
      <c r="L164" s="236"/>
      <c r="M164" s="254"/>
      <c r="N164" s="236"/>
      <c r="O164" s="354">
        <v>0.22</v>
      </c>
      <c r="P164" s="354"/>
      <c r="Q164" s="354"/>
      <c r="R164" s="354"/>
      <c r="S164" s="241"/>
      <c r="T164" s="254"/>
    </row>
    <row r="165" spans="2:20" ht="20.100000000000001" customHeight="1" outlineLevel="2">
      <c r="B165" s="242"/>
      <c r="C165" s="246" t="s">
        <v>212</v>
      </c>
      <c r="D165" s="246" t="s">
        <v>18</v>
      </c>
      <c r="E165" s="236"/>
      <c r="F165" s="254"/>
      <c r="G165" s="236"/>
      <c r="H165" s="249" t="s">
        <v>205</v>
      </c>
      <c r="I165" s="249"/>
      <c r="J165" s="249"/>
      <c r="K165" s="249"/>
      <c r="L165" s="236"/>
      <c r="M165" s="254"/>
      <c r="N165" s="236"/>
      <c r="O165" s="354">
        <v>0.11</v>
      </c>
      <c r="P165" s="354"/>
      <c r="Q165" s="354"/>
      <c r="R165" s="354"/>
      <c r="S165" s="241"/>
      <c r="T165" s="254"/>
    </row>
    <row r="166" spans="2:20" ht="20.100000000000001" customHeight="1" outlineLevel="2">
      <c r="B166" s="242"/>
      <c r="C166" s="246" t="s">
        <v>212</v>
      </c>
      <c r="D166" s="246" t="s">
        <v>18</v>
      </c>
      <c r="E166" s="236"/>
      <c r="F166" s="254"/>
      <c r="G166" s="236"/>
      <c r="H166" s="659" t="s">
        <v>117</v>
      </c>
      <c r="I166" s="659"/>
      <c r="J166" s="659"/>
      <c r="K166" s="659"/>
      <c r="L166" s="236"/>
      <c r="M166" s="254"/>
      <c r="N166" s="236"/>
      <c r="O166" s="680">
        <v>0.04</v>
      </c>
      <c r="P166" s="680"/>
      <c r="Q166" s="680"/>
      <c r="R166" s="680"/>
      <c r="S166" s="241"/>
      <c r="T166" s="254"/>
    </row>
    <row r="167" spans="2:20" ht="3" customHeight="1" outlineLevel="1">
      <c r="B167" s="242"/>
      <c r="C167" s="666"/>
      <c r="D167" s="667"/>
      <c r="E167" s="236"/>
      <c r="F167" s="254"/>
      <c r="G167" s="236"/>
      <c r="H167" s="683"/>
      <c r="I167" s="683"/>
      <c r="J167" s="683"/>
      <c r="K167" s="683"/>
      <c r="L167" s="236"/>
      <c r="M167" s="254"/>
      <c r="N167" s="236"/>
      <c r="O167" s="682"/>
      <c r="P167" s="682"/>
      <c r="Q167" s="682"/>
      <c r="R167" s="682"/>
      <c r="S167" s="241"/>
      <c r="T167" s="254"/>
    </row>
    <row r="168" spans="2:20" s="238" customFormat="1" outlineLevel="1">
      <c r="B168" s="239" t="s">
        <v>830</v>
      </c>
      <c r="C168" s="239"/>
      <c r="D168" s="239"/>
      <c r="E168" s="236"/>
      <c r="F168" s="254"/>
      <c r="G168" s="236"/>
      <c r="H168" s="240">
        <f>COUNTA(H169:H175)</f>
        <v>7</v>
      </c>
      <c r="I168" s="240"/>
      <c r="J168" s="240"/>
      <c r="K168" s="240"/>
      <c r="L168" s="236"/>
      <c r="M168" s="254"/>
      <c r="N168" s="236"/>
      <c r="O168" s="265">
        <f>SUM(O169:O175)</f>
        <v>1.6447754763030082</v>
      </c>
      <c r="P168" s="265"/>
      <c r="Q168" s="265"/>
      <c r="R168" s="265"/>
      <c r="S168" s="241"/>
      <c r="T168" s="254"/>
    </row>
    <row r="169" spans="2:20" outlineLevel="2">
      <c r="B169" s="242"/>
      <c r="C169" s="666" t="s">
        <v>830</v>
      </c>
      <c r="D169" s="667" t="s">
        <v>18</v>
      </c>
      <c r="E169" s="236"/>
      <c r="F169" s="254"/>
      <c r="G169" s="236"/>
      <c r="H169" s="669" t="s">
        <v>831</v>
      </c>
      <c r="I169" s="669"/>
      <c r="J169" s="669"/>
      <c r="K169" s="669"/>
      <c r="L169" s="236"/>
      <c r="M169" s="254"/>
      <c r="N169" s="236"/>
      <c r="O169" s="673">
        <v>0.11</v>
      </c>
      <c r="P169" s="673"/>
      <c r="Q169" s="673"/>
      <c r="R169" s="673"/>
      <c r="S169" s="241"/>
      <c r="T169" s="254"/>
    </row>
    <row r="170" spans="2:20" outlineLevel="2">
      <c r="B170" s="242"/>
      <c r="C170" s="666" t="s">
        <v>830</v>
      </c>
      <c r="D170" s="667" t="s">
        <v>18</v>
      </c>
      <c r="E170" s="236"/>
      <c r="F170" s="254"/>
      <c r="G170" s="236"/>
      <c r="H170" s="659" t="s">
        <v>33</v>
      </c>
      <c r="I170" s="659"/>
      <c r="J170" s="659"/>
      <c r="K170" s="659"/>
      <c r="L170" s="236"/>
      <c r="M170" s="254"/>
      <c r="N170" s="236"/>
      <c r="O170" s="673"/>
      <c r="P170" s="673"/>
      <c r="Q170" s="673"/>
      <c r="R170" s="673"/>
      <c r="S170" s="241"/>
      <c r="T170" s="254"/>
    </row>
    <row r="171" spans="2:20" outlineLevel="2">
      <c r="B171" s="242"/>
      <c r="C171" s="666" t="s">
        <v>830</v>
      </c>
      <c r="D171" s="667" t="s">
        <v>18</v>
      </c>
      <c r="E171" s="236"/>
      <c r="F171" s="254"/>
      <c r="G171" s="236"/>
      <c r="H171" s="669" t="s">
        <v>205</v>
      </c>
      <c r="I171" s="669"/>
      <c r="J171" s="669"/>
      <c r="K171" s="669"/>
      <c r="L171" s="236"/>
      <c r="M171" s="254"/>
      <c r="N171" s="236"/>
      <c r="O171" s="673">
        <v>0.46</v>
      </c>
      <c r="P171" s="673"/>
      <c r="Q171" s="673"/>
      <c r="R171" s="673"/>
      <c r="S171" s="241"/>
      <c r="T171" s="254"/>
    </row>
    <row r="172" spans="2:20" outlineLevel="2">
      <c r="B172" s="242"/>
      <c r="C172" s="666" t="s">
        <v>830</v>
      </c>
      <c r="D172" s="667" t="s">
        <v>18</v>
      </c>
      <c r="E172" s="236"/>
      <c r="F172" s="254"/>
      <c r="G172" s="236"/>
      <c r="H172" s="669" t="s">
        <v>116</v>
      </c>
      <c r="I172" s="669"/>
      <c r="J172" s="669"/>
      <c r="K172" s="669"/>
      <c r="L172" s="236"/>
      <c r="M172" s="254"/>
      <c r="N172" s="236"/>
      <c r="O172" s="673">
        <v>0.62</v>
      </c>
      <c r="P172" s="673"/>
      <c r="Q172" s="673"/>
      <c r="R172" s="673"/>
      <c r="S172" s="241"/>
      <c r="T172" s="254"/>
    </row>
    <row r="173" spans="2:20" outlineLevel="2">
      <c r="B173" s="242"/>
      <c r="C173" s="666" t="s">
        <v>830</v>
      </c>
      <c r="D173" s="667" t="s">
        <v>18</v>
      </c>
      <c r="E173" s="236"/>
      <c r="F173" s="254"/>
      <c r="G173" s="236"/>
      <c r="H173" s="669" t="s">
        <v>118</v>
      </c>
      <c r="I173" s="669"/>
      <c r="J173" s="669"/>
      <c r="K173" s="669"/>
      <c r="L173" s="236"/>
      <c r="M173" s="254"/>
      <c r="N173" s="236"/>
      <c r="O173" s="673">
        <v>0.1547754763030085</v>
      </c>
      <c r="P173" s="673"/>
      <c r="Q173" s="673"/>
      <c r="R173" s="673"/>
      <c r="S173" s="241"/>
      <c r="T173" s="254"/>
    </row>
    <row r="174" spans="2:20" outlineLevel="2">
      <c r="B174" s="242"/>
      <c r="C174" s="666" t="s">
        <v>830</v>
      </c>
      <c r="D174" s="667" t="s">
        <v>18</v>
      </c>
      <c r="E174" s="236"/>
      <c r="F174" s="254"/>
      <c r="G174" s="236"/>
      <c r="H174" s="669" t="s">
        <v>98</v>
      </c>
      <c r="I174" s="669"/>
      <c r="J174" s="669"/>
      <c r="K174" s="669"/>
      <c r="L174" s="236"/>
      <c r="M174" s="254"/>
      <c r="N174" s="236"/>
      <c r="O174" s="673">
        <v>0.15</v>
      </c>
      <c r="P174" s="673"/>
      <c r="Q174" s="673"/>
      <c r="R174" s="673"/>
      <c r="S174" s="241"/>
      <c r="T174" s="254"/>
    </row>
    <row r="175" spans="2:20" outlineLevel="2">
      <c r="B175" s="242"/>
      <c r="C175" s="666" t="s">
        <v>830</v>
      </c>
      <c r="D175" s="667" t="s">
        <v>18</v>
      </c>
      <c r="E175" s="236"/>
      <c r="F175" s="254"/>
      <c r="G175" s="236"/>
      <c r="H175" s="669" t="s">
        <v>117</v>
      </c>
      <c r="I175" s="669"/>
      <c r="J175" s="669"/>
      <c r="K175" s="669"/>
      <c r="L175" s="236"/>
      <c r="M175" s="254"/>
      <c r="N175" s="236"/>
      <c r="O175" s="673">
        <v>0.15</v>
      </c>
      <c r="P175" s="673"/>
      <c r="Q175" s="673"/>
      <c r="R175" s="673"/>
      <c r="S175" s="241"/>
      <c r="T175" s="254"/>
    </row>
    <row r="176" spans="2:20" ht="3" customHeight="1" outlineLevel="1">
      <c r="B176" s="242"/>
      <c r="C176" s="666"/>
      <c r="D176" s="667"/>
      <c r="E176" s="236"/>
      <c r="F176" s="254"/>
      <c r="G176" s="236"/>
      <c r="H176" s="683"/>
      <c r="I176" s="683"/>
      <c r="J176" s="683"/>
      <c r="K176" s="683"/>
      <c r="L176" s="236"/>
      <c r="M176" s="254"/>
      <c r="N176" s="236"/>
      <c r="O176" s="682"/>
      <c r="P176" s="682"/>
      <c r="Q176" s="682"/>
      <c r="R176" s="682"/>
      <c r="S176" s="241"/>
      <c r="T176" s="254"/>
    </row>
    <row r="177" spans="2:20" s="238" customFormat="1" outlineLevel="1">
      <c r="B177" s="273" t="s">
        <v>321</v>
      </c>
      <c r="C177" s="239"/>
      <c r="D177" s="239"/>
      <c r="E177" s="236"/>
      <c r="F177" s="254"/>
      <c r="G177" s="236"/>
      <c r="H177" s="240">
        <v>0</v>
      </c>
      <c r="I177" s="240"/>
      <c r="J177" s="240"/>
      <c r="K177" s="240"/>
      <c r="L177" s="236"/>
      <c r="M177" s="254"/>
      <c r="N177" s="236"/>
      <c r="O177" s="265"/>
      <c r="P177" s="265"/>
      <c r="Q177" s="265"/>
      <c r="R177" s="265"/>
      <c r="S177" s="241"/>
      <c r="T177" s="254"/>
    </row>
    <row r="178" spans="2:20" ht="3" customHeight="1" outlineLevel="1">
      <c r="B178" s="242"/>
      <c r="C178" s="666"/>
      <c r="D178" s="667"/>
      <c r="E178" s="236"/>
      <c r="F178" s="254"/>
      <c r="G178" s="236"/>
      <c r="H178" s="683"/>
      <c r="I178" s="683"/>
      <c r="J178" s="683"/>
      <c r="K178" s="683"/>
      <c r="L178" s="236"/>
      <c r="M178" s="254"/>
      <c r="N178" s="236"/>
      <c r="O178" s="682"/>
      <c r="P178" s="682"/>
      <c r="Q178" s="682"/>
      <c r="R178" s="682"/>
      <c r="S178" s="241"/>
      <c r="T178" s="254"/>
    </row>
    <row r="179" spans="2:20" s="238" customFormat="1" outlineLevel="1">
      <c r="B179" s="273" t="s">
        <v>498</v>
      </c>
      <c r="C179" s="239"/>
      <c r="D179" s="239"/>
      <c r="E179" s="236"/>
      <c r="F179" s="254"/>
      <c r="G179" s="236"/>
      <c r="H179" s="240">
        <v>0</v>
      </c>
      <c r="I179" s="240"/>
      <c r="J179" s="240"/>
      <c r="K179" s="240"/>
      <c r="L179" s="236"/>
      <c r="M179" s="254"/>
      <c r="N179" s="236"/>
      <c r="O179" s="265"/>
      <c r="P179" s="265"/>
      <c r="Q179" s="265"/>
      <c r="R179" s="265"/>
      <c r="S179" s="241"/>
      <c r="T179" s="254"/>
    </row>
    <row r="180" spans="2:20" ht="3" customHeight="1" outlineLevel="1">
      <c r="B180" s="242"/>
      <c r="C180" s="666"/>
      <c r="D180" s="667"/>
      <c r="E180" s="236"/>
      <c r="F180" s="254"/>
      <c r="G180" s="236"/>
      <c r="H180" s="683"/>
      <c r="I180" s="683"/>
      <c r="J180" s="683"/>
      <c r="K180" s="683"/>
      <c r="L180" s="236"/>
      <c r="M180" s="254"/>
      <c r="N180" s="236"/>
      <c r="O180" s="682"/>
      <c r="P180" s="682"/>
      <c r="Q180" s="682"/>
      <c r="R180" s="682"/>
      <c r="S180" s="241"/>
      <c r="T180" s="254"/>
    </row>
    <row r="181" spans="2:20" s="238" customFormat="1" outlineLevel="1" collapsed="1">
      <c r="B181" s="273" t="s">
        <v>832</v>
      </c>
      <c r="C181" s="239"/>
      <c r="D181" s="239"/>
      <c r="E181" s="236"/>
      <c r="F181" s="254"/>
      <c r="G181" s="236"/>
      <c r="H181" s="240">
        <v>0</v>
      </c>
      <c r="I181" s="240"/>
      <c r="J181" s="240"/>
      <c r="K181" s="240"/>
      <c r="L181" s="236"/>
      <c r="M181" s="254"/>
      <c r="N181" s="236"/>
      <c r="O181" s="265"/>
      <c r="P181" s="265"/>
      <c r="Q181" s="265"/>
      <c r="R181" s="265"/>
      <c r="S181" s="241"/>
      <c r="T181" s="254"/>
    </row>
    <row r="182" spans="2:20" ht="3" customHeight="1" outlineLevel="1">
      <c r="B182" s="242"/>
      <c r="C182" s="666"/>
      <c r="D182" s="667"/>
      <c r="E182" s="236"/>
      <c r="F182" s="254"/>
      <c r="G182" s="236"/>
      <c r="H182" s="683"/>
      <c r="I182" s="683"/>
      <c r="J182" s="683"/>
      <c r="K182" s="683"/>
      <c r="L182" s="236"/>
      <c r="M182" s="254"/>
      <c r="N182" s="236"/>
      <c r="O182" s="682"/>
      <c r="P182" s="682"/>
      <c r="Q182" s="682"/>
      <c r="R182" s="682"/>
      <c r="S182" s="241"/>
      <c r="T182" s="254"/>
    </row>
    <row r="183" spans="2:20" s="238" customFormat="1" outlineLevel="1">
      <c r="B183" s="239" t="s">
        <v>313</v>
      </c>
      <c r="C183" s="239"/>
      <c r="D183" s="239"/>
      <c r="E183" s="236"/>
      <c r="F183" s="254"/>
      <c r="G183" s="236"/>
      <c r="H183" s="240">
        <f>COUNTA(H184:H185)</f>
        <v>2</v>
      </c>
      <c r="I183" s="240"/>
      <c r="J183" s="240"/>
      <c r="K183" s="240"/>
      <c r="L183" s="236"/>
      <c r="M183" s="254"/>
      <c r="N183" s="236"/>
      <c r="O183" s="265">
        <f>SUM(O184:O185)</f>
        <v>0.35249999999999998</v>
      </c>
      <c r="P183" s="265"/>
      <c r="Q183" s="265"/>
      <c r="R183" s="265"/>
      <c r="S183" s="241"/>
      <c r="T183" s="254"/>
    </row>
    <row r="184" spans="2:20" outlineLevel="2">
      <c r="B184" s="242"/>
      <c r="C184" s="666" t="s">
        <v>313</v>
      </c>
      <c r="D184" s="667" t="s">
        <v>18</v>
      </c>
      <c r="E184" s="236"/>
      <c r="F184" s="254"/>
      <c r="G184" s="236"/>
      <c r="H184" s="669" t="s">
        <v>833</v>
      </c>
      <c r="I184" s="669"/>
      <c r="J184" s="669"/>
      <c r="K184" s="669"/>
      <c r="L184" s="236"/>
      <c r="M184" s="254"/>
      <c r="N184" s="236"/>
      <c r="O184" s="673">
        <v>0.23499999999999999</v>
      </c>
      <c r="P184" s="673"/>
      <c r="Q184" s="673"/>
      <c r="R184" s="673"/>
      <c r="S184" s="241"/>
      <c r="T184" s="254"/>
    </row>
    <row r="185" spans="2:20" outlineLevel="2">
      <c r="B185" s="242"/>
      <c r="C185" s="666" t="s">
        <v>313</v>
      </c>
      <c r="D185" s="667" t="s">
        <v>18</v>
      </c>
      <c r="E185" s="236"/>
      <c r="F185" s="254"/>
      <c r="G185" s="236"/>
      <c r="H185" s="669" t="s">
        <v>834</v>
      </c>
      <c r="I185" s="669"/>
      <c r="J185" s="669"/>
      <c r="K185" s="669"/>
      <c r="L185" s="236"/>
      <c r="M185" s="254"/>
      <c r="N185" s="236"/>
      <c r="O185" s="673">
        <v>0.11749999999999999</v>
      </c>
      <c r="P185" s="673"/>
      <c r="Q185" s="673"/>
      <c r="R185" s="673"/>
      <c r="S185" s="241"/>
      <c r="T185" s="254"/>
    </row>
    <row r="186" spans="2:20" ht="3" customHeight="1" outlineLevel="1">
      <c r="B186" s="242"/>
      <c r="C186" s="666"/>
      <c r="D186" s="667"/>
      <c r="E186" s="236"/>
      <c r="F186" s="254"/>
      <c r="G186" s="236"/>
      <c r="H186" s="683"/>
      <c r="I186" s="683"/>
      <c r="J186" s="683"/>
      <c r="K186" s="683"/>
      <c r="L186" s="236"/>
      <c r="M186" s="254"/>
      <c r="N186" s="236"/>
      <c r="O186" s="682"/>
      <c r="P186" s="682"/>
      <c r="Q186" s="682"/>
      <c r="R186" s="682"/>
      <c r="S186" s="241"/>
      <c r="T186" s="254"/>
    </row>
    <row r="187" spans="2:20" s="238" customFormat="1" outlineLevel="1" collapsed="1">
      <c r="B187" s="273" t="s">
        <v>835</v>
      </c>
      <c r="C187" s="239"/>
      <c r="D187" s="239"/>
      <c r="E187" s="236"/>
      <c r="F187" s="254"/>
      <c r="G187" s="236"/>
      <c r="H187" s="240">
        <v>0</v>
      </c>
      <c r="I187" s="240"/>
      <c r="J187" s="240"/>
      <c r="K187" s="240"/>
      <c r="L187" s="236"/>
      <c r="M187" s="254"/>
      <c r="N187" s="236"/>
      <c r="O187" s="265"/>
      <c r="P187" s="265"/>
      <c r="Q187" s="265"/>
      <c r="R187" s="265"/>
      <c r="S187" s="241"/>
      <c r="T187" s="254"/>
    </row>
    <row r="188" spans="2:20" ht="3" customHeight="1" outlineLevel="1">
      <c r="B188" s="242"/>
      <c r="C188" s="666"/>
      <c r="D188" s="667"/>
      <c r="E188" s="236"/>
      <c r="F188" s="254"/>
      <c r="G188" s="236"/>
      <c r="H188" s="274"/>
      <c r="I188" s="274"/>
      <c r="J188" s="274"/>
      <c r="K188" s="274"/>
      <c r="L188" s="236"/>
      <c r="M188" s="254"/>
      <c r="N188" s="236"/>
      <c r="O188" s="356"/>
      <c r="P188" s="356"/>
      <c r="Q188" s="356"/>
      <c r="R188" s="356"/>
      <c r="S188" s="241"/>
      <c r="T188" s="254"/>
    </row>
    <row r="189" spans="2:20" s="238" customFormat="1" outlineLevel="1">
      <c r="B189" s="239" t="s">
        <v>780</v>
      </c>
      <c r="C189" s="239"/>
      <c r="D189" s="239"/>
      <c r="E189" s="236"/>
      <c r="F189" s="254"/>
      <c r="G189" s="236"/>
      <c r="H189" s="240">
        <f>COUNTA(H190:H191)</f>
        <v>2</v>
      </c>
      <c r="I189" s="240"/>
      <c r="J189" s="240"/>
      <c r="K189" s="240"/>
      <c r="L189" s="236"/>
      <c r="M189" s="254"/>
      <c r="N189" s="236"/>
      <c r="O189" s="265">
        <f>SUM(O190:O191)</f>
        <v>0.5132500000000001</v>
      </c>
      <c r="P189" s="265"/>
      <c r="Q189" s="265"/>
      <c r="R189" s="265"/>
      <c r="S189" s="241"/>
      <c r="T189" s="254"/>
    </row>
    <row r="190" spans="2:20" outlineLevel="2">
      <c r="B190" s="242"/>
      <c r="C190" s="666" t="s">
        <v>781</v>
      </c>
      <c r="D190" s="667" t="s">
        <v>18</v>
      </c>
      <c r="E190" s="236"/>
      <c r="F190" s="254"/>
      <c r="G190" s="236"/>
      <c r="H190" s="256" t="s">
        <v>341</v>
      </c>
      <c r="I190" s="256"/>
      <c r="J190" s="256"/>
      <c r="K190" s="256"/>
      <c r="L190" s="236"/>
      <c r="M190" s="254"/>
      <c r="N190" s="236"/>
      <c r="O190" s="338">
        <v>0.41060000000000008</v>
      </c>
      <c r="P190" s="338"/>
      <c r="Q190" s="338"/>
      <c r="R190" s="338"/>
      <c r="S190" s="241"/>
      <c r="T190" s="254"/>
    </row>
    <row r="191" spans="2:20" outlineLevel="2">
      <c r="B191" s="242"/>
      <c r="C191" s="666" t="s">
        <v>781</v>
      </c>
      <c r="D191" s="667" t="s">
        <v>18</v>
      </c>
      <c r="E191" s="236"/>
      <c r="F191" s="254"/>
      <c r="G191" s="236"/>
      <c r="H191" s="669" t="s">
        <v>836</v>
      </c>
      <c r="I191" s="669"/>
      <c r="J191" s="669"/>
      <c r="K191" s="669"/>
      <c r="L191" s="236"/>
      <c r="M191" s="254"/>
      <c r="N191" s="236"/>
      <c r="O191" s="673">
        <v>0.10265000000000002</v>
      </c>
      <c r="P191" s="673"/>
      <c r="Q191" s="673"/>
      <c r="R191" s="673"/>
      <c r="S191" s="241"/>
      <c r="T191" s="254"/>
    </row>
    <row r="192" spans="2:20" ht="3" customHeight="1" outlineLevel="1">
      <c r="B192" s="242"/>
      <c r="C192" s="666"/>
      <c r="D192" s="667"/>
      <c r="E192" s="236"/>
      <c r="F192" s="254"/>
      <c r="G192" s="236"/>
      <c r="H192" s="274"/>
      <c r="I192" s="274"/>
      <c r="J192" s="274"/>
      <c r="K192" s="274"/>
      <c r="L192" s="236"/>
      <c r="M192" s="254"/>
      <c r="N192" s="236"/>
      <c r="O192" s="356"/>
      <c r="P192" s="356"/>
      <c r="Q192" s="356"/>
      <c r="R192" s="356"/>
      <c r="S192" s="241"/>
      <c r="T192" s="254"/>
    </row>
    <row r="193" spans="1:27" s="238" customFormat="1" outlineLevel="1">
      <c r="B193" s="273" t="s">
        <v>784</v>
      </c>
      <c r="C193" s="239"/>
      <c r="D193" s="239"/>
      <c r="E193" s="236"/>
      <c r="F193" s="254"/>
      <c r="G193" s="236"/>
      <c r="H193" s="240">
        <v>0</v>
      </c>
      <c r="I193" s="240"/>
      <c r="J193" s="240"/>
      <c r="K193" s="240"/>
      <c r="L193" s="236"/>
      <c r="M193" s="254"/>
      <c r="N193" s="236"/>
      <c r="O193" s="265"/>
      <c r="P193" s="265"/>
      <c r="Q193" s="265"/>
      <c r="R193" s="265"/>
      <c r="S193" s="241">
        <f>COUNTA(S194:S196)</f>
        <v>0</v>
      </c>
      <c r="T193" s="254"/>
    </row>
    <row r="194" spans="1:27" outlineLevel="2">
      <c r="A194" s="659"/>
      <c r="B194" s="242"/>
      <c r="C194" s="666" t="s">
        <v>785</v>
      </c>
      <c r="D194" s="667" t="s">
        <v>18</v>
      </c>
      <c r="E194" s="236"/>
      <c r="F194" s="254"/>
      <c r="G194" s="236"/>
      <c r="H194" s="669"/>
      <c r="I194" s="669"/>
      <c r="J194" s="669"/>
      <c r="K194" s="669"/>
      <c r="L194" s="236"/>
      <c r="M194" s="254"/>
      <c r="N194" s="236"/>
      <c r="O194" s="673"/>
      <c r="P194" s="673"/>
      <c r="Q194" s="673"/>
      <c r="R194" s="673"/>
      <c r="S194" s="241"/>
      <c r="T194" s="254"/>
      <c r="U194" s="659"/>
      <c r="V194" s="659"/>
      <c r="W194" s="659"/>
      <c r="X194" s="659"/>
      <c r="Y194" s="659"/>
      <c r="Z194" s="659"/>
      <c r="AA194" s="659"/>
    </row>
    <row r="195" spans="1:27" outlineLevel="2">
      <c r="A195" s="659"/>
      <c r="B195" s="242"/>
      <c r="C195" s="666"/>
      <c r="D195" s="667"/>
      <c r="E195" s="236"/>
      <c r="F195" s="254"/>
      <c r="G195" s="236"/>
      <c r="H195" s="256"/>
      <c r="I195" s="256"/>
      <c r="J195" s="256"/>
      <c r="K195" s="256"/>
      <c r="L195" s="236"/>
      <c r="M195" s="254"/>
      <c r="N195" s="236"/>
      <c r="O195" s="338"/>
      <c r="P195" s="338"/>
      <c r="Q195" s="338"/>
      <c r="R195" s="338"/>
      <c r="S195" s="241"/>
      <c r="T195" s="254"/>
      <c r="U195" s="659"/>
      <c r="V195" s="659"/>
      <c r="W195" s="659"/>
      <c r="X195" s="659"/>
      <c r="Y195" s="659"/>
      <c r="Z195" s="659"/>
      <c r="AA195" s="659"/>
    </row>
    <row r="196" spans="1:27" ht="3" customHeight="1" outlineLevel="1">
      <c r="A196" s="659"/>
      <c r="B196" s="242"/>
      <c r="C196" s="666"/>
      <c r="D196" s="667"/>
      <c r="E196" s="236"/>
      <c r="F196" s="254"/>
      <c r="G196" s="236"/>
      <c r="H196" s="274"/>
      <c r="I196" s="274"/>
      <c r="J196" s="274"/>
      <c r="K196" s="274"/>
      <c r="L196" s="236"/>
      <c r="M196" s="254"/>
      <c r="N196" s="236"/>
      <c r="O196" s="356"/>
      <c r="P196" s="356"/>
      <c r="Q196" s="356"/>
      <c r="R196" s="356"/>
      <c r="S196" s="241"/>
      <c r="T196" s="254"/>
      <c r="U196" s="659"/>
      <c r="V196" s="659"/>
      <c r="W196" s="659"/>
      <c r="X196" s="659"/>
      <c r="Y196" s="659"/>
      <c r="Z196" s="659"/>
      <c r="AA196" s="659"/>
    </row>
    <row r="197" spans="1:27" s="238" customFormat="1" outlineLevel="1">
      <c r="B197" s="260" t="s">
        <v>317</v>
      </c>
      <c r="C197" s="239"/>
      <c r="D197" s="239"/>
      <c r="E197" s="236"/>
      <c r="F197" s="254"/>
      <c r="G197" s="236"/>
      <c r="H197" s="240">
        <v>1</v>
      </c>
      <c r="I197" s="240"/>
      <c r="J197" s="240"/>
      <c r="K197" s="240"/>
      <c r="L197" s="236"/>
      <c r="M197" s="254"/>
      <c r="N197" s="236"/>
      <c r="O197" s="265">
        <f>SUM(O198:O198)</f>
        <v>0.09</v>
      </c>
      <c r="P197" s="265"/>
      <c r="Q197" s="265"/>
      <c r="R197" s="265"/>
      <c r="S197" s="241"/>
      <c r="T197" s="254"/>
    </row>
    <row r="198" spans="1:27" s="258" customFormat="1" outlineLevel="2">
      <c r="A198" s="684"/>
      <c r="B198" s="246"/>
      <c r="C198" s="246" t="s">
        <v>317</v>
      </c>
      <c r="D198" s="253" t="s">
        <v>18</v>
      </c>
      <c r="E198" s="275"/>
      <c r="F198" s="276"/>
      <c r="G198" s="275"/>
      <c r="H198" s="261" t="s">
        <v>341</v>
      </c>
      <c r="I198" s="261"/>
      <c r="J198" s="261"/>
      <c r="K198" s="261"/>
      <c r="L198" s="275"/>
      <c r="M198" s="276"/>
      <c r="N198" s="275"/>
      <c r="O198" s="340">
        <v>0.09</v>
      </c>
      <c r="P198" s="340"/>
      <c r="Q198" s="340"/>
      <c r="R198" s="340"/>
      <c r="S198" s="277"/>
      <c r="T198" s="276"/>
      <c r="U198" s="684"/>
      <c r="V198" s="684"/>
      <c r="W198" s="684"/>
      <c r="X198" s="684"/>
      <c r="Y198" s="684"/>
      <c r="Z198" s="684"/>
      <c r="AA198" s="684"/>
    </row>
    <row r="199" spans="1:27" s="339" customFormat="1" outlineLevel="1">
      <c r="A199" s="238"/>
      <c r="B199" s="239" t="s">
        <v>315</v>
      </c>
      <c r="C199" s="239"/>
      <c r="D199" s="239"/>
      <c r="E199" s="236"/>
      <c r="F199" s="254"/>
      <c r="G199" s="236"/>
      <c r="H199" s="240">
        <f>COUNTA(H200:H201)</f>
        <v>2</v>
      </c>
      <c r="I199" s="240"/>
      <c r="J199" s="240"/>
      <c r="K199" s="240"/>
      <c r="L199" s="236"/>
      <c r="M199" s="254"/>
      <c r="N199" s="236"/>
      <c r="O199" s="265">
        <f>SUM(O200:O201)</f>
        <v>5.068627309090909E-2</v>
      </c>
      <c r="P199" s="265"/>
      <c r="Q199" s="265"/>
      <c r="R199" s="265"/>
      <c r="S199" s="241"/>
      <c r="T199" s="254"/>
      <c r="U199" s="238"/>
      <c r="V199" s="238"/>
      <c r="W199" s="238"/>
      <c r="X199" s="238"/>
      <c r="Y199" s="238"/>
      <c r="Z199" s="238"/>
      <c r="AA199" s="238"/>
    </row>
    <row r="200" spans="1:27" s="337" customFormat="1" outlineLevel="2">
      <c r="A200" s="659"/>
      <c r="B200" s="246"/>
      <c r="C200" s="246" t="s">
        <v>315</v>
      </c>
      <c r="D200" s="253" t="s">
        <v>18</v>
      </c>
      <c r="E200" s="236"/>
      <c r="F200" s="254"/>
      <c r="G200" s="236"/>
      <c r="H200" s="261" t="s">
        <v>341</v>
      </c>
      <c r="I200" s="261"/>
      <c r="J200" s="261"/>
      <c r="K200" s="261"/>
      <c r="L200" s="236"/>
      <c r="M200" s="254"/>
      <c r="N200" s="236"/>
      <c r="O200" s="288">
        <v>2.5343136545454545E-2</v>
      </c>
      <c r="P200" s="288"/>
      <c r="Q200" s="288"/>
      <c r="R200" s="288"/>
      <c r="S200" s="241"/>
      <c r="T200" s="254"/>
      <c r="U200" s="659"/>
      <c r="V200" s="659"/>
      <c r="W200" s="659"/>
      <c r="X200" s="659"/>
      <c r="Y200" s="659"/>
      <c r="Z200" s="659"/>
      <c r="AA200" s="659"/>
    </row>
    <row r="201" spans="1:27" s="337" customFormat="1" outlineLevel="2">
      <c r="A201" s="659"/>
      <c r="B201" s="246"/>
      <c r="C201" s="246" t="s">
        <v>315</v>
      </c>
      <c r="D201" s="253" t="s">
        <v>18</v>
      </c>
      <c r="E201" s="236"/>
      <c r="F201" s="254"/>
      <c r="G201" s="236"/>
      <c r="H201" s="377" t="s">
        <v>33</v>
      </c>
      <c r="I201" s="377"/>
      <c r="J201" s="377"/>
      <c r="K201" s="377"/>
      <c r="L201" s="236"/>
      <c r="M201" s="254"/>
      <c r="N201" s="236"/>
      <c r="O201" s="378">
        <v>2.5343136545454545E-2</v>
      </c>
      <c r="P201" s="378"/>
      <c r="Q201" s="378"/>
      <c r="R201" s="378"/>
      <c r="S201" s="241"/>
      <c r="T201" s="254"/>
      <c r="U201" s="659"/>
      <c r="V201" s="659"/>
      <c r="W201" s="659"/>
      <c r="X201" s="659"/>
      <c r="Y201" s="659"/>
      <c r="Z201" s="659"/>
      <c r="AA201" s="659"/>
    </row>
    <row r="202" spans="1:27" ht="3" customHeight="1" outlineLevel="1">
      <c r="A202" s="659"/>
      <c r="B202" s="242"/>
      <c r="C202" s="666"/>
      <c r="D202" s="667"/>
      <c r="E202" s="236"/>
      <c r="F202" s="254"/>
      <c r="G202" s="236"/>
      <c r="H202" s="274"/>
      <c r="I202" s="274"/>
      <c r="J202" s="274"/>
      <c r="K202" s="274"/>
      <c r="L202" s="236"/>
      <c r="M202" s="254"/>
      <c r="N202" s="236"/>
      <c r="O202" s="356"/>
      <c r="P202" s="356"/>
      <c r="Q202" s="356"/>
      <c r="R202" s="356"/>
      <c r="S202" s="241"/>
      <c r="T202" s="254"/>
      <c r="U202" s="659"/>
      <c r="V202" s="659"/>
      <c r="W202" s="659"/>
      <c r="X202" s="659"/>
      <c r="Y202" s="659"/>
      <c r="Z202" s="659"/>
      <c r="AA202" s="659"/>
    </row>
    <row r="203" spans="1:27" s="238" customFormat="1" outlineLevel="1">
      <c r="B203" s="239" t="s">
        <v>837</v>
      </c>
      <c r="C203" s="239"/>
      <c r="D203" s="239"/>
      <c r="E203" s="236"/>
      <c r="F203" s="254"/>
      <c r="G203" s="236"/>
      <c r="H203" s="240">
        <f>COUNTA(H204)</f>
        <v>1</v>
      </c>
      <c r="I203" s="240"/>
      <c r="J203" s="240"/>
      <c r="K203" s="240"/>
      <c r="L203" s="236"/>
      <c r="M203" s="254"/>
      <c r="N203" s="236"/>
      <c r="O203" s="265">
        <f>SUM(O204)</f>
        <v>0.12330000000000002</v>
      </c>
      <c r="P203" s="265"/>
      <c r="Q203" s="265"/>
      <c r="R203" s="265"/>
      <c r="S203" s="241"/>
      <c r="T203" s="254"/>
    </row>
    <row r="204" spans="1:27" outlineLevel="2">
      <c r="A204" s="659"/>
      <c r="B204" s="246"/>
      <c r="C204" s="246" t="s">
        <v>837</v>
      </c>
      <c r="D204" s="253" t="s">
        <v>18</v>
      </c>
      <c r="E204" s="236"/>
      <c r="F204" s="254"/>
      <c r="G204" s="236"/>
      <c r="H204" s="261" t="s">
        <v>341</v>
      </c>
      <c r="I204" s="261"/>
      <c r="J204" s="261"/>
      <c r="K204" s="261"/>
      <c r="L204" s="236"/>
      <c r="M204" s="254"/>
      <c r="N204" s="236"/>
      <c r="O204" s="288">
        <v>0.12330000000000002</v>
      </c>
      <c r="P204" s="288"/>
      <c r="Q204" s="288"/>
      <c r="R204" s="288"/>
      <c r="S204" s="241"/>
      <c r="T204" s="254"/>
      <c r="U204" s="659"/>
      <c r="V204" s="659"/>
      <c r="W204" s="659"/>
      <c r="X204" s="659"/>
      <c r="Y204" s="659"/>
      <c r="Z204" s="659"/>
      <c r="AA204" s="659"/>
    </row>
    <row r="205" spans="1:27" ht="3" customHeight="1" outlineLevel="1">
      <c r="A205" s="659"/>
      <c r="B205" s="242"/>
      <c r="C205" s="666"/>
      <c r="D205" s="667"/>
      <c r="E205" s="236"/>
      <c r="F205" s="254"/>
      <c r="G205" s="236"/>
      <c r="H205" s="274"/>
      <c r="I205" s="274"/>
      <c r="J205" s="274"/>
      <c r="K205" s="274"/>
      <c r="L205" s="236"/>
      <c r="M205" s="254"/>
      <c r="N205" s="236"/>
      <c r="O205" s="356"/>
      <c r="P205" s="356"/>
      <c r="Q205" s="356"/>
      <c r="R205" s="356"/>
      <c r="S205" s="241"/>
      <c r="T205" s="254"/>
      <c r="U205" s="659"/>
      <c r="V205" s="659"/>
      <c r="W205" s="659"/>
      <c r="X205" s="659"/>
      <c r="Y205" s="659"/>
      <c r="Z205" s="659"/>
      <c r="AA205" s="659"/>
    </row>
    <row r="206" spans="1:27" s="238" customFormat="1" outlineLevel="1">
      <c r="B206" s="273" t="s">
        <v>581</v>
      </c>
      <c r="C206" s="239"/>
      <c r="D206" s="239"/>
      <c r="E206" s="236"/>
      <c r="F206" s="254"/>
      <c r="G206" s="236"/>
      <c r="H206" s="240">
        <f>COUNTA(H207:H210)</f>
        <v>0</v>
      </c>
      <c r="I206" s="240"/>
      <c r="J206" s="240"/>
      <c r="K206" s="240"/>
      <c r="L206" s="236"/>
      <c r="M206" s="254"/>
      <c r="N206" s="236"/>
      <c r="O206" s="265">
        <f>SUM(O207:O210)</f>
        <v>0</v>
      </c>
      <c r="P206" s="265"/>
      <c r="Q206" s="265"/>
      <c r="R206" s="265"/>
      <c r="S206" s="241"/>
      <c r="T206" s="254"/>
    </row>
    <row r="207" spans="1:27" outlineLevel="3">
      <c r="A207" s="659"/>
      <c r="B207" s="246"/>
      <c r="C207" s="246" t="s">
        <v>581</v>
      </c>
      <c r="D207" s="253" t="s">
        <v>18</v>
      </c>
      <c r="E207" s="236"/>
      <c r="F207" s="254"/>
      <c r="G207" s="236"/>
      <c r="H207" s="261"/>
      <c r="I207" s="261"/>
      <c r="J207" s="261"/>
      <c r="K207" s="261"/>
      <c r="L207" s="236"/>
      <c r="M207" s="254"/>
      <c r="N207" s="236"/>
      <c r="O207" s="288"/>
      <c r="P207" s="288"/>
      <c r="Q207" s="288"/>
      <c r="R207" s="288"/>
      <c r="S207" s="241"/>
      <c r="T207" s="254"/>
      <c r="U207" s="659"/>
      <c r="V207" s="659"/>
      <c r="W207" s="659"/>
      <c r="X207" s="659"/>
      <c r="Y207" s="659"/>
      <c r="Z207" s="659"/>
      <c r="AA207" s="659"/>
    </row>
    <row r="208" spans="1:27" outlineLevel="3">
      <c r="A208" s="659"/>
      <c r="B208" s="246"/>
      <c r="C208" s="246" t="s">
        <v>581</v>
      </c>
      <c r="D208" s="253" t="s">
        <v>18</v>
      </c>
      <c r="E208" s="236"/>
      <c r="F208" s="254"/>
      <c r="G208" s="236"/>
      <c r="H208" s="261"/>
      <c r="I208" s="261"/>
      <c r="J208" s="261"/>
      <c r="K208" s="261"/>
      <c r="L208" s="236"/>
      <c r="M208" s="254"/>
      <c r="N208" s="236"/>
      <c r="O208" s="288"/>
      <c r="P208" s="288"/>
      <c r="Q208" s="288"/>
      <c r="R208" s="288"/>
      <c r="S208" s="241"/>
      <c r="T208" s="254"/>
      <c r="U208" s="659"/>
      <c r="V208" s="659"/>
      <c r="W208" s="659"/>
      <c r="X208" s="659"/>
      <c r="Y208" s="659"/>
      <c r="Z208" s="659"/>
      <c r="AA208" s="659"/>
    </row>
    <row r="209" spans="1:27" outlineLevel="3">
      <c r="A209" s="659"/>
      <c r="B209" s="246"/>
      <c r="C209" s="246" t="s">
        <v>581</v>
      </c>
      <c r="D209" s="253" t="s">
        <v>18</v>
      </c>
      <c r="E209" s="236"/>
      <c r="F209" s="254"/>
      <c r="G209" s="236"/>
      <c r="H209" s="261"/>
      <c r="I209" s="261"/>
      <c r="J209" s="261"/>
      <c r="K209" s="261"/>
      <c r="L209" s="236"/>
      <c r="M209" s="254"/>
      <c r="N209" s="236"/>
      <c r="O209" s="288"/>
      <c r="P209" s="288"/>
      <c r="Q209" s="288"/>
      <c r="R209" s="288"/>
      <c r="S209" s="241"/>
      <c r="T209" s="254"/>
      <c r="U209" s="659"/>
      <c r="V209" s="659"/>
      <c r="W209" s="659"/>
      <c r="X209" s="659"/>
      <c r="Y209" s="659"/>
      <c r="Z209" s="659"/>
      <c r="AA209" s="659"/>
    </row>
    <row r="210" spans="1:27" outlineLevel="3">
      <c r="A210" s="659"/>
      <c r="B210" s="246"/>
      <c r="C210" s="246" t="s">
        <v>581</v>
      </c>
      <c r="D210" s="253" t="s">
        <v>18</v>
      </c>
      <c r="E210" s="236"/>
      <c r="F210" s="254"/>
      <c r="G210" s="236"/>
      <c r="H210" s="261"/>
      <c r="I210" s="261"/>
      <c r="J210" s="261"/>
      <c r="K210" s="261"/>
      <c r="L210" s="236"/>
      <c r="M210" s="254"/>
      <c r="N210" s="236"/>
      <c r="O210" s="288"/>
      <c r="P210" s="288"/>
      <c r="Q210" s="288"/>
      <c r="R210" s="288"/>
      <c r="S210" s="241"/>
      <c r="T210" s="254"/>
      <c r="U210" s="659"/>
      <c r="V210" s="659"/>
      <c r="W210" s="659"/>
      <c r="X210" s="659"/>
      <c r="Y210" s="659"/>
      <c r="Z210" s="659"/>
      <c r="AA210" s="659"/>
    </row>
    <row r="211" spans="1:27" ht="3" customHeight="1" outlineLevel="1">
      <c r="A211" s="659"/>
      <c r="B211" s="246"/>
      <c r="C211" s="246"/>
      <c r="D211" s="253"/>
      <c r="E211" s="236"/>
      <c r="F211" s="254"/>
      <c r="G211" s="236"/>
      <c r="H211" s="261"/>
      <c r="I211" s="261"/>
      <c r="J211" s="261"/>
      <c r="K211" s="261"/>
      <c r="L211" s="236"/>
      <c r="M211" s="254"/>
      <c r="N211" s="236"/>
      <c r="O211" s="288"/>
      <c r="P211" s="288"/>
      <c r="Q211" s="288"/>
      <c r="R211" s="288"/>
      <c r="S211" s="241"/>
      <c r="T211" s="254"/>
      <c r="U211" s="659"/>
      <c r="V211" s="659"/>
      <c r="W211" s="659"/>
      <c r="X211" s="659"/>
      <c r="Y211" s="659"/>
      <c r="Z211" s="659"/>
      <c r="AA211" s="659"/>
    </row>
    <row r="212" spans="1:27" s="238" customFormat="1" outlineLevel="1">
      <c r="B212" s="273" t="s">
        <v>799</v>
      </c>
      <c r="C212" s="239"/>
      <c r="D212" s="239"/>
      <c r="E212" s="236"/>
      <c r="F212" s="254"/>
      <c r="G212" s="236"/>
      <c r="H212" s="240"/>
      <c r="I212" s="240"/>
      <c r="J212" s="240"/>
      <c r="K212" s="240"/>
      <c r="L212" s="236"/>
      <c r="M212" s="254"/>
      <c r="N212" s="236"/>
      <c r="O212" s="265">
        <f>SUM(O213:O214)</f>
        <v>0</v>
      </c>
      <c r="P212" s="265"/>
      <c r="Q212" s="265"/>
      <c r="R212" s="265"/>
      <c r="S212" s="236"/>
      <c r="T212" s="254"/>
    </row>
    <row r="213" spans="1:27" outlineLevel="3">
      <c r="A213" s="659"/>
      <c r="B213" s="246"/>
      <c r="C213" s="246" t="s">
        <v>526</v>
      </c>
      <c r="D213" s="667" t="s">
        <v>18</v>
      </c>
      <c r="E213" s="236"/>
      <c r="F213" s="254"/>
      <c r="G213" s="236"/>
      <c r="H213" s="261" t="s">
        <v>838</v>
      </c>
      <c r="I213" s="261"/>
      <c r="J213" s="261"/>
      <c r="K213" s="261"/>
      <c r="L213" s="236"/>
      <c r="M213" s="254"/>
      <c r="N213" s="236"/>
      <c r="O213" s="663"/>
      <c r="P213" s="663"/>
      <c r="Q213" s="663"/>
      <c r="R213" s="663"/>
      <c r="S213" s="236"/>
      <c r="T213" s="254"/>
      <c r="U213" s="659"/>
      <c r="V213" s="659"/>
      <c r="W213" s="659"/>
      <c r="X213" s="659"/>
      <c r="Y213" s="659"/>
      <c r="Z213" s="659"/>
      <c r="AA213" s="659"/>
    </row>
    <row r="214" spans="1:27" outlineLevel="3">
      <c r="A214" s="659"/>
      <c r="B214" s="246"/>
      <c r="C214" s="246" t="s">
        <v>526</v>
      </c>
      <c r="D214" s="667" t="s">
        <v>18</v>
      </c>
      <c r="E214" s="236"/>
      <c r="F214" s="254"/>
      <c r="G214" s="236"/>
      <c r="H214" s="261" t="s">
        <v>341</v>
      </c>
      <c r="I214" s="261"/>
      <c r="J214" s="261"/>
      <c r="K214" s="261"/>
      <c r="L214" s="236"/>
      <c r="M214" s="254"/>
      <c r="N214" s="236"/>
      <c r="O214" s="663"/>
      <c r="P214" s="663"/>
      <c r="Q214" s="663"/>
      <c r="R214" s="663"/>
      <c r="S214" s="236"/>
      <c r="T214" s="254"/>
      <c r="U214" s="659"/>
      <c r="V214" s="659"/>
      <c r="W214" s="659"/>
      <c r="X214" s="659"/>
      <c r="Y214" s="659"/>
      <c r="Z214" s="659"/>
      <c r="AA214" s="659"/>
    </row>
    <row r="215" spans="1:27" ht="3" customHeight="1" outlineLevel="1">
      <c r="A215" s="659"/>
      <c r="B215" s="246"/>
      <c r="C215" s="246"/>
      <c r="D215" s="253"/>
      <c r="E215" s="236"/>
      <c r="F215" s="254"/>
      <c r="G215" s="236"/>
      <c r="H215" s="261"/>
      <c r="I215" s="261"/>
      <c r="J215" s="261"/>
      <c r="K215" s="261"/>
      <c r="L215" s="236"/>
      <c r="M215" s="254"/>
      <c r="N215" s="236"/>
      <c r="O215" s="288"/>
      <c r="P215" s="288"/>
      <c r="Q215" s="288"/>
      <c r="R215" s="288"/>
      <c r="S215" s="241"/>
      <c r="T215" s="254"/>
      <c r="U215" s="659"/>
      <c r="V215" s="659"/>
      <c r="W215" s="659"/>
      <c r="X215" s="659"/>
      <c r="Y215" s="659"/>
      <c r="Z215" s="659"/>
      <c r="AA215" s="659"/>
    </row>
    <row r="216" spans="1:27" s="329" customFormat="1" outlineLevel="1">
      <c r="A216" s="238"/>
      <c r="B216" s="273" t="s">
        <v>839</v>
      </c>
      <c r="C216" s="239"/>
      <c r="D216" s="239"/>
      <c r="E216" s="236"/>
      <c r="F216" s="254"/>
      <c r="G216" s="236"/>
      <c r="H216" s="240">
        <f>COUNTA(H217:H218)</f>
        <v>0</v>
      </c>
      <c r="I216" s="240"/>
      <c r="J216" s="240"/>
      <c r="K216" s="240"/>
      <c r="L216" s="236"/>
      <c r="M216" s="254"/>
      <c r="N216" s="236"/>
      <c r="O216" s="265">
        <f>SUM(O217:O218)</f>
        <v>0</v>
      </c>
      <c r="P216" s="265"/>
      <c r="Q216" s="265"/>
      <c r="R216" s="265"/>
      <c r="S216" s="236"/>
      <c r="T216" s="254"/>
      <c r="U216" s="238"/>
      <c r="V216" s="238"/>
      <c r="W216" s="238"/>
      <c r="X216" s="238"/>
      <c r="Y216" s="238"/>
      <c r="Z216" s="238"/>
      <c r="AA216" s="238"/>
    </row>
    <row r="217" spans="1:27" outlineLevel="3">
      <c r="A217" s="659"/>
      <c r="B217" s="246"/>
      <c r="C217" s="666" t="s">
        <v>794</v>
      </c>
      <c r="D217" s="667" t="s">
        <v>18</v>
      </c>
      <c r="E217" s="236"/>
      <c r="F217" s="254"/>
      <c r="G217" s="236"/>
      <c r="H217" s="261"/>
      <c r="I217" s="261"/>
      <c r="J217" s="261"/>
      <c r="K217" s="261"/>
      <c r="L217" s="236"/>
      <c r="M217" s="254"/>
      <c r="N217" s="236"/>
      <c r="O217" s="663"/>
      <c r="P217" s="663"/>
      <c r="Q217" s="663"/>
      <c r="R217" s="663"/>
      <c r="S217" s="236"/>
      <c r="T217" s="254"/>
      <c r="U217" s="659"/>
      <c r="V217" s="659"/>
      <c r="W217" s="659"/>
      <c r="X217" s="659"/>
      <c r="Y217" s="659"/>
      <c r="Z217" s="659"/>
      <c r="AA217" s="659"/>
    </row>
    <row r="218" spans="1:27" outlineLevel="3">
      <c r="A218" s="659"/>
      <c r="B218" s="246"/>
      <c r="C218" s="666" t="s">
        <v>794</v>
      </c>
      <c r="D218" s="667" t="s">
        <v>18</v>
      </c>
      <c r="E218" s="236"/>
      <c r="F218" s="254"/>
      <c r="G218" s="236"/>
      <c r="H218" s="261"/>
      <c r="I218" s="261"/>
      <c r="J218" s="261"/>
      <c r="K218" s="261"/>
      <c r="L218" s="236"/>
      <c r="M218" s="254"/>
      <c r="N218" s="236"/>
      <c r="O218" s="663"/>
      <c r="P218" s="663"/>
      <c r="Q218" s="663"/>
      <c r="R218" s="663"/>
      <c r="S218" s="236"/>
      <c r="T218" s="254"/>
      <c r="U218" s="659"/>
      <c r="V218" s="659"/>
      <c r="W218" s="659"/>
      <c r="X218" s="659"/>
      <c r="Y218" s="659"/>
      <c r="Z218" s="659"/>
      <c r="AA218" s="659"/>
    </row>
    <row r="219" spans="1:27" ht="3" customHeight="1" outlineLevel="1">
      <c r="A219" s="659"/>
      <c r="B219" s="246"/>
      <c r="C219" s="246"/>
      <c r="D219" s="667"/>
      <c r="E219" s="236"/>
      <c r="F219" s="254"/>
      <c r="G219" s="236"/>
      <c r="H219" s="672"/>
      <c r="I219" s="672"/>
      <c r="J219" s="672"/>
      <c r="K219" s="672"/>
      <c r="L219" s="236"/>
      <c r="M219" s="254"/>
      <c r="N219" s="236"/>
      <c r="O219" s="663"/>
      <c r="P219" s="663"/>
      <c r="Q219" s="663"/>
      <c r="R219" s="663"/>
      <c r="S219" s="236"/>
      <c r="T219" s="254"/>
      <c r="U219" s="659"/>
      <c r="V219" s="659"/>
      <c r="W219" s="659"/>
      <c r="X219" s="659"/>
      <c r="Y219" s="659"/>
      <c r="Z219" s="659"/>
      <c r="AA219" s="659"/>
    </row>
    <row r="220" spans="1:27" s="329" customFormat="1" outlineLevel="1">
      <c r="A220" s="238"/>
      <c r="B220" s="239" t="s">
        <v>840</v>
      </c>
      <c r="C220" s="239"/>
      <c r="D220" s="239"/>
      <c r="E220" s="236"/>
      <c r="F220" s="254"/>
      <c r="G220" s="236"/>
      <c r="H220" s="240">
        <f>COUNTA(H221:H224)</f>
        <v>4</v>
      </c>
      <c r="I220" s="240"/>
      <c r="J220" s="240"/>
      <c r="K220" s="240"/>
      <c r="L220" s="236"/>
      <c r="M220" s="254"/>
      <c r="N220" s="236"/>
      <c r="O220" s="265">
        <f>SUM(O221:O224)</f>
        <v>0</v>
      </c>
      <c r="P220" s="265"/>
      <c r="Q220" s="265"/>
      <c r="R220" s="265"/>
      <c r="S220" s="236"/>
      <c r="T220" s="254"/>
      <c r="U220" s="238"/>
      <c r="V220" s="238"/>
      <c r="W220" s="238"/>
      <c r="X220" s="238"/>
      <c r="Y220" s="238"/>
      <c r="Z220" s="238"/>
      <c r="AA220" s="238"/>
    </row>
    <row r="221" spans="1:27" outlineLevel="3">
      <c r="A221" s="659"/>
      <c r="B221" s="246"/>
      <c r="C221" s="666" t="s">
        <v>840</v>
      </c>
      <c r="D221" s="667" t="s">
        <v>18</v>
      </c>
      <c r="E221" s="236"/>
      <c r="F221" s="254"/>
      <c r="G221" s="236"/>
      <c r="H221" s="261" t="s">
        <v>31</v>
      </c>
      <c r="I221" s="261"/>
      <c r="J221" s="261"/>
      <c r="K221" s="261"/>
      <c r="L221" s="236"/>
      <c r="M221" s="254"/>
      <c r="N221" s="236"/>
      <c r="O221" s="663"/>
      <c r="P221" s="663"/>
      <c r="Q221" s="663"/>
      <c r="R221" s="663"/>
      <c r="S221" s="236"/>
      <c r="T221" s="254"/>
      <c r="U221" s="659"/>
      <c r="V221" s="659"/>
      <c r="W221" s="659"/>
      <c r="X221" s="659"/>
      <c r="Y221" s="659"/>
      <c r="Z221" s="659"/>
      <c r="AA221" s="659"/>
    </row>
    <row r="222" spans="1:27" outlineLevel="3">
      <c r="A222" s="659"/>
      <c r="B222" s="246"/>
      <c r="C222" s="666" t="s">
        <v>840</v>
      </c>
      <c r="D222" s="667" t="s">
        <v>18</v>
      </c>
      <c r="E222" s="236"/>
      <c r="F222" s="254"/>
      <c r="G222" s="236"/>
      <c r="H222" s="261" t="s">
        <v>841</v>
      </c>
      <c r="I222" s="261"/>
      <c r="J222" s="261"/>
      <c r="K222" s="261"/>
      <c r="L222" s="236"/>
      <c r="M222" s="254"/>
      <c r="N222" s="236"/>
      <c r="O222" s="663"/>
      <c r="P222" s="663"/>
      <c r="Q222" s="663"/>
      <c r="R222" s="663"/>
      <c r="S222" s="236"/>
      <c r="T222" s="254"/>
      <c r="U222" s="659"/>
      <c r="V222" s="659"/>
      <c r="W222" s="659"/>
      <c r="X222" s="659"/>
      <c r="Y222" s="659"/>
      <c r="Z222" s="659"/>
      <c r="AA222" s="659"/>
    </row>
    <row r="223" spans="1:27" outlineLevel="3">
      <c r="A223" s="659"/>
      <c r="B223" s="246"/>
      <c r="C223" s="666" t="s">
        <v>840</v>
      </c>
      <c r="D223" s="667" t="s">
        <v>18</v>
      </c>
      <c r="E223" s="236"/>
      <c r="F223" s="254"/>
      <c r="G223" s="236"/>
      <c r="H223" s="261" t="s">
        <v>842</v>
      </c>
      <c r="I223" s="261"/>
      <c r="J223" s="261"/>
      <c r="K223" s="261"/>
      <c r="L223" s="236"/>
      <c r="M223" s="254"/>
      <c r="N223" s="236"/>
      <c r="O223" s="663"/>
      <c r="P223" s="663"/>
      <c r="Q223" s="663"/>
      <c r="R223" s="663"/>
      <c r="S223" s="236"/>
      <c r="T223" s="254"/>
      <c r="U223" s="659"/>
      <c r="V223" s="659"/>
      <c r="W223" s="659"/>
      <c r="X223" s="659"/>
      <c r="Y223" s="659"/>
      <c r="Z223" s="659"/>
      <c r="AA223" s="659"/>
    </row>
    <row r="224" spans="1:27" outlineLevel="3">
      <c r="A224" s="659"/>
      <c r="B224" s="246"/>
      <c r="C224" s="666" t="s">
        <v>840</v>
      </c>
      <c r="D224" s="667" t="s">
        <v>18</v>
      </c>
      <c r="E224" s="236"/>
      <c r="F224" s="254"/>
      <c r="G224" s="236"/>
      <c r="H224" s="261" t="s">
        <v>33</v>
      </c>
      <c r="I224" s="261"/>
      <c r="J224" s="261"/>
      <c r="K224" s="261"/>
      <c r="L224" s="236"/>
      <c r="M224" s="254"/>
      <c r="N224" s="236"/>
      <c r="O224" s="663"/>
      <c r="P224" s="663"/>
      <c r="Q224" s="663"/>
      <c r="R224" s="663"/>
      <c r="S224" s="236"/>
      <c r="T224" s="254"/>
      <c r="U224" s="659"/>
      <c r="V224" s="659"/>
      <c r="W224" s="659"/>
      <c r="X224" s="659"/>
      <c r="Y224" s="659"/>
      <c r="Z224" s="659"/>
      <c r="AA224" s="659"/>
    </row>
    <row r="225" spans="1:20" ht="3" customHeight="1" outlineLevel="1">
      <c r="A225" s="659"/>
      <c r="B225" s="242"/>
      <c r="C225" s="666"/>
      <c r="D225" s="667"/>
      <c r="E225" s="236"/>
      <c r="F225" s="254"/>
      <c r="G225" s="236"/>
      <c r="H225" s="274">
        <v>3</v>
      </c>
      <c r="I225" s="274"/>
      <c r="J225" s="274"/>
      <c r="K225" s="274"/>
      <c r="L225" s="236"/>
      <c r="M225" s="254"/>
      <c r="N225" s="236"/>
      <c r="O225" s="356"/>
      <c r="P225" s="356"/>
      <c r="Q225" s="356"/>
      <c r="R225" s="356"/>
      <c r="S225" s="241"/>
      <c r="T225" s="254"/>
    </row>
    <row r="226" spans="1:20" s="238" customFormat="1" outlineLevel="1">
      <c r="B226" s="239" t="s">
        <v>586</v>
      </c>
      <c r="C226" s="239"/>
      <c r="D226" s="239"/>
      <c r="E226" s="236"/>
      <c r="F226" s="254"/>
      <c r="G226" s="236"/>
      <c r="H226" s="240"/>
      <c r="I226" s="240"/>
      <c r="J226" s="240"/>
      <c r="K226" s="240"/>
      <c r="L226" s="236"/>
      <c r="M226" s="254"/>
      <c r="N226" s="236"/>
      <c r="O226" s="265"/>
      <c r="P226" s="265"/>
      <c r="Q226" s="265"/>
      <c r="R226" s="265"/>
      <c r="S226" s="236"/>
      <c r="T226" s="254"/>
    </row>
    <row r="227" spans="1:20" ht="3" customHeight="1" outlineLevel="1">
      <c r="A227" s="659"/>
      <c r="B227" s="242"/>
      <c r="C227" s="666"/>
      <c r="D227" s="667"/>
      <c r="E227" s="236"/>
      <c r="F227" s="254"/>
      <c r="G227" s="236"/>
      <c r="H227" s="274"/>
      <c r="I227" s="274"/>
      <c r="J227" s="274"/>
      <c r="K227" s="274"/>
      <c r="L227" s="236"/>
      <c r="M227" s="254"/>
      <c r="N227" s="236"/>
      <c r="O227" s="356"/>
      <c r="P227" s="356"/>
      <c r="Q227" s="356"/>
      <c r="R227" s="356"/>
      <c r="S227" s="241"/>
      <c r="T227" s="254"/>
    </row>
    <row r="228" spans="1:20" s="238" customFormat="1" outlineLevel="1">
      <c r="B228" s="273" t="s">
        <v>843</v>
      </c>
      <c r="C228" s="239"/>
      <c r="D228" s="239"/>
      <c r="E228" s="236"/>
      <c r="F228" s="254"/>
      <c r="G228" s="236"/>
      <c r="H228" s="240"/>
      <c r="I228" s="240"/>
      <c r="J228" s="240"/>
      <c r="K228" s="240"/>
      <c r="L228" s="236"/>
      <c r="M228" s="254"/>
      <c r="N228" s="236"/>
      <c r="O228" s="265"/>
      <c r="P228" s="265"/>
      <c r="Q228" s="265"/>
      <c r="R228" s="265"/>
      <c r="S228" s="241"/>
      <c r="T228" s="254"/>
    </row>
    <row r="229" spans="1:20" ht="3" customHeight="1" outlineLevel="1">
      <c r="A229" s="238"/>
      <c r="B229" s="242"/>
      <c r="C229" s="666"/>
      <c r="D229" s="667"/>
      <c r="E229" s="236"/>
      <c r="F229" s="254"/>
      <c r="G229" s="236"/>
      <c r="H229" s="274"/>
      <c r="I229" s="274"/>
      <c r="J229" s="274"/>
      <c r="K229" s="274"/>
      <c r="L229" s="236"/>
      <c r="M229" s="254"/>
      <c r="N229" s="236"/>
      <c r="O229" s="356"/>
      <c r="P229" s="356"/>
      <c r="Q229" s="356"/>
      <c r="R229" s="356"/>
      <c r="S229" s="241"/>
      <c r="T229" s="254"/>
    </row>
    <row r="230" spans="1:20" s="238" customFormat="1" outlineLevel="1">
      <c r="B230" s="273" t="s">
        <v>844</v>
      </c>
      <c r="C230" s="239"/>
      <c r="D230" s="239"/>
      <c r="E230" s="236"/>
      <c r="F230" s="193"/>
      <c r="G230" s="236"/>
      <c r="H230" s="240"/>
      <c r="I230" s="240"/>
      <c r="J230" s="240"/>
      <c r="K230" s="240"/>
      <c r="L230" s="236"/>
      <c r="M230" s="193"/>
      <c r="N230" s="236"/>
      <c r="O230" s="265"/>
      <c r="P230" s="265"/>
      <c r="Q230" s="265"/>
      <c r="R230" s="265"/>
      <c r="S230" s="241"/>
      <c r="T230" s="193"/>
    </row>
    <row r="231" spans="1:20" ht="3" customHeight="1" outlineLevel="1">
      <c r="A231" s="659"/>
      <c r="B231" s="666"/>
      <c r="C231" s="666"/>
      <c r="D231" s="667"/>
      <c r="E231" s="252"/>
      <c r="F231" s="193"/>
      <c r="G231" s="252"/>
      <c r="H231" s="264"/>
      <c r="I231" s="264"/>
      <c r="J231" s="264"/>
      <c r="K231" s="264"/>
      <c r="L231" s="252"/>
      <c r="M231" s="193"/>
      <c r="N231" s="252"/>
      <c r="O231" s="352"/>
      <c r="P231" s="352"/>
      <c r="Q231" s="352"/>
      <c r="R231" s="352"/>
      <c r="S231" s="280"/>
      <c r="T231" s="193"/>
    </row>
    <row r="232" spans="1:20" s="238" customFormat="1" outlineLevel="1">
      <c r="B232" s="239" t="s">
        <v>762</v>
      </c>
      <c r="C232" s="239"/>
      <c r="D232" s="239"/>
      <c r="E232" s="236"/>
      <c r="F232" s="254"/>
      <c r="G232" s="236"/>
      <c r="H232" s="240">
        <f>COUNTA(H233:H233)</f>
        <v>1</v>
      </c>
      <c r="I232" s="240"/>
      <c r="J232" s="240"/>
      <c r="K232" s="240"/>
      <c r="L232" s="236"/>
      <c r="M232" s="254"/>
      <c r="N232" s="236"/>
      <c r="O232" s="265">
        <f>SUM(O233:O233)</f>
        <v>6.7470000000000002E-2</v>
      </c>
      <c r="P232" s="265"/>
      <c r="Q232" s="265"/>
      <c r="R232" s="265"/>
      <c r="S232" s="241"/>
      <c r="T232" s="254"/>
    </row>
    <row r="233" spans="1:20" outlineLevel="2">
      <c r="A233" s="659"/>
      <c r="B233" s="242"/>
      <c r="C233" s="666" t="s">
        <v>800</v>
      </c>
      <c r="D233" s="667" t="s">
        <v>18</v>
      </c>
      <c r="E233" s="236"/>
      <c r="F233" s="254"/>
      <c r="G233" s="236"/>
      <c r="H233" s="685" t="s">
        <v>845</v>
      </c>
      <c r="I233" s="685"/>
      <c r="J233" s="685"/>
      <c r="K233" s="685"/>
      <c r="L233" s="236"/>
      <c r="M233" s="254"/>
      <c r="N233" s="236"/>
      <c r="O233" s="686">
        <v>6.7470000000000002E-2</v>
      </c>
      <c r="P233" s="686"/>
      <c r="Q233" s="686"/>
      <c r="R233" s="686"/>
      <c r="S233" s="236"/>
      <c r="T233" s="254"/>
    </row>
    <row r="234" spans="1:20" ht="3" customHeight="1">
      <c r="A234" s="659"/>
      <c r="B234" s="666"/>
      <c r="C234" s="666"/>
      <c r="D234" s="667"/>
      <c r="E234" s="252"/>
      <c r="F234" s="193"/>
      <c r="G234" s="252"/>
      <c r="H234" s="264"/>
      <c r="I234" s="264"/>
      <c r="J234" s="264"/>
      <c r="K234" s="264"/>
      <c r="L234" s="252"/>
      <c r="M234" s="193"/>
      <c r="N234" s="252"/>
      <c r="O234" s="352"/>
      <c r="P234" s="352"/>
      <c r="Q234" s="352"/>
      <c r="R234" s="352"/>
      <c r="S234" s="252"/>
      <c r="T234" s="193"/>
    </row>
    <row r="235" spans="1:20" s="232" customFormat="1" ht="15.6">
      <c r="A235" s="225"/>
      <c r="B235" s="226" t="s">
        <v>617</v>
      </c>
      <c r="C235" s="227" t="s">
        <v>846</v>
      </c>
      <c r="D235" s="228" t="s">
        <v>18</v>
      </c>
      <c r="E235" s="229"/>
      <c r="F235" s="230"/>
      <c r="G235" s="229"/>
      <c r="H235" s="231">
        <f>SUM(H237+H265+H244+H274+H295+H299+H305)</f>
        <v>67</v>
      </c>
      <c r="I235" s="231"/>
      <c r="J235" s="231"/>
      <c r="K235" s="231"/>
      <c r="L235" s="229"/>
      <c r="M235" s="230"/>
      <c r="N235" s="229"/>
      <c r="O235" s="350">
        <f>SUM(O237+O265+O244+O274+O295+O299+O305)</f>
        <v>13.128134040249149</v>
      </c>
      <c r="P235" s="350"/>
      <c r="Q235" s="350"/>
      <c r="R235" s="350"/>
      <c r="S235" s="229"/>
      <c r="T235" s="230"/>
    </row>
    <row r="236" spans="1:20" ht="3" customHeight="1" outlineLevel="1">
      <c r="A236" s="665"/>
      <c r="B236" s="233"/>
      <c r="C236" s="234"/>
      <c r="D236" s="235"/>
      <c r="E236" s="236"/>
      <c r="F236" s="193"/>
      <c r="G236" s="236"/>
      <c r="H236" s="237"/>
      <c r="I236" s="237"/>
      <c r="J236" s="237"/>
      <c r="K236" s="237"/>
      <c r="L236" s="236"/>
      <c r="M236" s="193"/>
      <c r="N236" s="236"/>
      <c r="O236" s="351"/>
      <c r="P236" s="351"/>
      <c r="Q236" s="351"/>
      <c r="R236" s="351"/>
      <c r="S236" s="236"/>
      <c r="T236" s="193"/>
    </row>
    <row r="237" spans="1:20" s="238" customFormat="1" outlineLevel="1">
      <c r="B237" s="239" t="s">
        <v>847</v>
      </c>
      <c r="C237" s="325" t="s">
        <v>848</v>
      </c>
      <c r="D237" s="239"/>
      <c r="E237" s="236"/>
      <c r="F237" s="193"/>
      <c r="G237" s="236"/>
      <c r="H237" s="240">
        <f>COUNTA(H238:H242)</f>
        <v>5</v>
      </c>
      <c r="I237" s="240"/>
      <c r="J237" s="240"/>
      <c r="K237" s="240"/>
      <c r="L237" s="236"/>
      <c r="M237" s="193"/>
      <c r="N237" s="236"/>
      <c r="O237" s="265">
        <f>SUM(O238:O242)</f>
        <v>1.2252118793798634</v>
      </c>
      <c r="P237" s="265"/>
      <c r="Q237" s="265"/>
      <c r="R237" s="265"/>
      <c r="S237" s="241"/>
      <c r="T237" s="193"/>
    </row>
    <row r="238" spans="1:20" outlineLevel="2">
      <c r="A238" s="659"/>
      <c r="B238" s="242" t="s">
        <v>617</v>
      </c>
      <c r="C238" s="246" t="s">
        <v>849</v>
      </c>
      <c r="D238" s="253" t="s">
        <v>18</v>
      </c>
      <c r="E238" s="243"/>
      <c r="F238" s="193"/>
      <c r="G238" s="243"/>
      <c r="H238" s="253" t="s">
        <v>850</v>
      </c>
      <c r="I238" s="253"/>
      <c r="J238" s="253"/>
      <c r="K238" s="253"/>
      <c r="L238" s="243"/>
      <c r="M238" s="193"/>
      <c r="N238" s="243"/>
      <c r="O238" s="321"/>
      <c r="P238" s="321"/>
      <c r="Q238" s="321"/>
      <c r="R238" s="321"/>
      <c r="S238" s="257"/>
      <c r="T238" s="193"/>
    </row>
    <row r="239" spans="1:20" outlineLevel="2">
      <c r="A239" s="659"/>
      <c r="B239" s="242"/>
      <c r="C239" s="246" t="s">
        <v>849</v>
      </c>
      <c r="D239" s="253" t="s">
        <v>18</v>
      </c>
      <c r="E239" s="243"/>
      <c r="F239" s="193"/>
      <c r="G239" s="243"/>
      <c r="H239" s="253" t="s">
        <v>851</v>
      </c>
      <c r="I239" s="253"/>
      <c r="J239" s="253"/>
      <c r="K239" s="253"/>
      <c r="L239" s="243"/>
      <c r="M239" s="193"/>
      <c r="N239" s="243"/>
      <c r="O239" s="321">
        <v>0.22688517930000002</v>
      </c>
      <c r="P239" s="321"/>
      <c r="Q239" s="321"/>
      <c r="R239" s="321"/>
      <c r="S239" s="257"/>
      <c r="T239" s="193"/>
    </row>
    <row r="240" spans="1:20" outlineLevel="2">
      <c r="A240" s="659"/>
      <c r="B240" s="242"/>
      <c r="C240" s="246" t="s">
        <v>849</v>
      </c>
      <c r="D240" s="253" t="s">
        <v>18</v>
      </c>
      <c r="E240" s="243"/>
      <c r="F240" s="193"/>
      <c r="G240" s="243"/>
      <c r="H240" s="253" t="s">
        <v>852</v>
      </c>
      <c r="I240" s="253"/>
      <c r="J240" s="253"/>
      <c r="K240" s="253"/>
      <c r="L240" s="243"/>
      <c r="M240" s="193"/>
      <c r="N240" s="243"/>
      <c r="O240" s="321">
        <v>4.5377035860000005E-2</v>
      </c>
      <c r="P240" s="321"/>
      <c r="Q240" s="321"/>
      <c r="R240" s="321"/>
      <c r="S240" s="257"/>
      <c r="T240" s="193"/>
    </row>
    <row r="241" spans="2:20" outlineLevel="2">
      <c r="B241" s="242"/>
      <c r="C241" s="246" t="s">
        <v>853</v>
      </c>
      <c r="D241" s="253" t="s">
        <v>18</v>
      </c>
      <c r="E241" s="243"/>
      <c r="F241" s="193"/>
      <c r="G241" s="243"/>
      <c r="H241" s="253" t="s">
        <v>854</v>
      </c>
      <c r="I241" s="253"/>
      <c r="J241" s="253"/>
      <c r="K241" s="253"/>
      <c r="L241" s="243"/>
      <c r="M241" s="193"/>
      <c r="N241" s="243"/>
      <c r="O241" s="321">
        <v>3.9416283817853004E-2</v>
      </c>
      <c r="P241" s="321"/>
      <c r="Q241" s="321"/>
      <c r="R241" s="321"/>
      <c r="S241" s="257"/>
      <c r="T241" s="193"/>
    </row>
    <row r="242" spans="2:20" outlineLevel="2">
      <c r="B242" s="660"/>
      <c r="C242" s="246" t="s">
        <v>853</v>
      </c>
      <c r="D242" s="253" t="s">
        <v>18</v>
      </c>
      <c r="F242" s="193"/>
      <c r="H242" s="253" t="s">
        <v>855</v>
      </c>
      <c r="I242" s="253"/>
      <c r="J242" s="253"/>
      <c r="K242" s="253"/>
      <c r="M242" s="193"/>
      <c r="O242" s="321">
        <v>0.91353338040201049</v>
      </c>
      <c r="P242" s="321"/>
      <c r="Q242" s="321"/>
      <c r="R242" s="321"/>
      <c r="S242" s="281"/>
      <c r="T242" s="193"/>
    </row>
    <row r="243" spans="2:20" ht="3" customHeight="1" outlineLevel="1">
      <c r="B243" s="246"/>
      <c r="C243" s="246"/>
      <c r="D243" s="253"/>
      <c r="E243" s="243"/>
      <c r="F243" s="193"/>
      <c r="G243" s="243"/>
      <c r="H243" s="670"/>
      <c r="I243" s="670"/>
      <c r="J243" s="670"/>
      <c r="K243" s="670"/>
      <c r="L243" s="243"/>
      <c r="M243" s="193"/>
      <c r="N243" s="243"/>
      <c r="O243" s="671"/>
      <c r="P243" s="671"/>
      <c r="Q243" s="671"/>
      <c r="R243" s="671"/>
      <c r="S243" s="257"/>
      <c r="T243" s="193"/>
    </row>
    <row r="244" spans="2:20" s="238" customFormat="1" outlineLevel="1">
      <c r="B244" s="239" t="s">
        <v>856</v>
      </c>
      <c r="C244" s="325" t="s">
        <v>857</v>
      </c>
      <c r="D244" s="239"/>
      <c r="E244" s="236"/>
      <c r="F244" s="254"/>
      <c r="G244" s="236"/>
      <c r="H244" s="240">
        <f>COUNTA(H245:H263)</f>
        <v>19</v>
      </c>
      <c r="I244" s="240"/>
      <c r="J244" s="240"/>
      <c r="K244" s="240"/>
      <c r="L244" s="236"/>
      <c r="M244" s="254"/>
      <c r="N244" s="236"/>
      <c r="O244" s="265">
        <f>SUM(O245:O263)</f>
        <v>1.9114021608692844</v>
      </c>
      <c r="P244" s="265"/>
      <c r="Q244" s="265"/>
      <c r="R244" s="265"/>
      <c r="S244" s="241"/>
      <c r="T244" s="254"/>
    </row>
    <row r="245" spans="2:20" s="282" customFormat="1" outlineLevel="2">
      <c r="C245" s="283" t="s">
        <v>858</v>
      </c>
      <c r="D245" s="283" t="s">
        <v>18</v>
      </c>
      <c r="E245" s="236"/>
      <c r="F245" s="254"/>
      <c r="G245" s="236"/>
      <c r="H245" s="261" t="s">
        <v>31</v>
      </c>
      <c r="I245" s="261"/>
      <c r="J245" s="261"/>
      <c r="K245" s="261"/>
      <c r="L245" s="236"/>
      <c r="M245" s="254"/>
      <c r="N245" s="236"/>
      <c r="O245" s="322">
        <v>0.27398366869616486</v>
      </c>
      <c r="P245" s="322"/>
      <c r="Q245" s="322"/>
      <c r="R245" s="322"/>
      <c r="S245" s="241"/>
      <c r="T245" s="254"/>
    </row>
    <row r="246" spans="2:20" s="242" customFormat="1" outlineLevel="2">
      <c r="C246" s="283" t="s">
        <v>858</v>
      </c>
      <c r="D246" s="283" t="s">
        <v>18</v>
      </c>
      <c r="E246" s="236"/>
      <c r="F246" s="254"/>
      <c r="G246" s="236"/>
      <c r="H246" s="261" t="s">
        <v>859</v>
      </c>
      <c r="I246" s="261"/>
      <c r="J246" s="261"/>
      <c r="K246" s="261"/>
      <c r="L246" s="236"/>
      <c r="M246" s="254"/>
      <c r="N246" s="236"/>
      <c r="O246" s="322">
        <v>0.27398366869616486</v>
      </c>
      <c r="P246" s="322"/>
      <c r="Q246" s="322"/>
      <c r="R246" s="322"/>
      <c r="S246" s="241"/>
      <c r="T246" s="254"/>
    </row>
    <row r="247" spans="2:20" s="242" customFormat="1" outlineLevel="2">
      <c r="C247" s="283" t="s">
        <v>858</v>
      </c>
      <c r="D247" s="283" t="s">
        <v>18</v>
      </c>
      <c r="E247" s="236"/>
      <c r="F247" s="254"/>
      <c r="G247" s="236"/>
      <c r="H247" s="261" t="s">
        <v>33</v>
      </c>
      <c r="I247" s="261"/>
      <c r="J247" s="261"/>
      <c r="K247" s="261"/>
      <c r="L247" s="236"/>
      <c r="M247" s="254"/>
      <c r="N247" s="236"/>
      <c r="O247" s="322">
        <v>0.13699183434808243</v>
      </c>
      <c r="P247" s="322"/>
      <c r="Q247" s="322"/>
      <c r="R247" s="322"/>
      <c r="S247" s="241"/>
      <c r="T247" s="254"/>
    </row>
    <row r="248" spans="2:20" s="242" customFormat="1" outlineLevel="2">
      <c r="C248" s="283" t="s">
        <v>858</v>
      </c>
      <c r="D248" s="283" t="s">
        <v>18</v>
      </c>
      <c r="E248" s="236"/>
      <c r="F248" s="254"/>
      <c r="G248" s="236"/>
      <c r="H248" s="261" t="s">
        <v>860</v>
      </c>
      <c r="I248" s="261"/>
      <c r="J248" s="261"/>
      <c r="K248" s="261"/>
      <c r="L248" s="236"/>
      <c r="M248" s="254"/>
      <c r="N248" s="236"/>
      <c r="O248" s="322">
        <v>0.27398366869616486</v>
      </c>
      <c r="P248" s="322"/>
      <c r="Q248" s="322"/>
      <c r="R248" s="322"/>
      <c r="S248" s="241"/>
      <c r="T248" s="254"/>
    </row>
    <row r="249" spans="2:20" s="242" customFormat="1" outlineLevel="2">
      <c r="C249" s="283" t="s">
        <v>858</v>
      </c>
      <c r="D249" s="283" t="s">
        <v>18</v>
      </c>
      <c r="E249" s="236"/>
      <c r="F249" s="254"/>
      <c r="G249" s="236"/>
      <c r="H249" s="261" t="s">
        <v>861</v>
      </c>
      <c r="I249" s="261"/>
      <c r="J249" s="261"/>
      <c r="K249" s="261"/>
      <c r="L249" s="236"/>
      <c r="M249" s="254"/>
      <c r="N249" s="236"/>
      <c r="O249" s="322">
        <v>7.0000000000000007E-2</v>
      </c>
      <c r="P249" s="322"/>
      <c r="Q249" s="322"/>
      <c r="R249" s="322"/>
      <c r="S249" s="241"/>
      <c r="T249" s="254"/>
    </row>
    <row r="250" spans="2:20" s="242" customFormat="1" outlineLevel="2">
      <c r="C250" s="283" t="s">
        <v>858</v>
      </c>
      <c r="D250" s="283" t="s">
        <v>18</v>
      </c>
      <c r="E250" s="236"/>
      <c r="F250" s="254"/>
      <c r="G250" s="236"/>
      <c r="H250" s="261" t="s">
        <v>862</v>
      </c>
      <c r="I250" s="261"/>
      <c r="J250" s="261"/>
      <c r="K250" s="261"/>
      <c r="L250" s="236"/>
      <c r="M250" s="254"/>
      <c r="N250" s="236"/>
      <c r="O250" s="322">
        <v>7.0000000000000007E-2</v>
      </c>
      <c r="P250" s="322"/>
      <c r="Q250" s="322"/>
      <c r="R250" s="322"/>
      <c r="S250" s="241"/>
      <c r="T250" s="254"/>
    </row>
    <row r="251" spans="2:20" s="242" customFormat="1" outlineLevel="2">
      <c r="C251" s="283" t="s">
        <v>858</v>
      </c>
      <c r="D251" s="283" t="s">
        <v>18</v>
      </c>
      <c r="E251" s="236"/>
      <c r="F251" s="254"/>
      <c r="G251" s="236"/>
      <c r="H251" s="261" t="s">
        <v>863</v>
      </c>
      <c r="I251" s="261"/>
      <c r="J251" s="261"/>
      <c r="K251" s="261"/>
      <c r="L251" s="236"/>
      <c r="M251" s="254"/>
      <c r="N251" s="236"/>
      <c r="O251" s="322">
        <v>0.28999999999999998</v>
      </c>
      <c r="P251" s="322"/>
      <c r="Q251" s="322"/>
      <c r="R251" s="322"/>
      <c r="S251" s="241"/>
      <c r="T251" s="254"/>
    </row>
    <row r="252" spans="2:20" s="242" customFormat="1" outlineLevel="2">
      <c r="C252" s="283" t="s">
        <v>858</v>
      </c>
      <c r="D252" s="283" t="s">
        <v>18</v>
      </c>
      <c r="E252" s="236"/>
      <c r="F252" s="254"/>
      <c r="G252" s="236"/>
      <c r="H252" s="261" t="s">
        <v>864</v>
      </c>
      <c r="I252" s="261"/>
      <c r="J252" s="261"/>
      <c r="K252" s="261"/>
      <c r="L252" s="236"/>
      <c r="M252" s="254"/>
      <c r="N252" s="236"/>
      <c r="O252" s="322">
        <v>3.7475592259624102E-2</v>
      </c>
      <c r="P252" s="322"/>
      <c r="Q252" s="322"/>
      <c r="R252" s="322"/>
      <c r="S252" s="241"/>
      <c r="T252" s="254"/>
    </row>
    <row r="253" spans="2:20" s="242" customFormat="1" outlineLevel="2">
      <c r="C253" s="283" t="s">
        <v>858</v>
      </c>
      <c r="D253" s="283" t="s">
        <v>18</v>
      </c>
      <c r="E253" s="236"/>
      <c r="F253" s="254"/>
      <c r="G253" s="236"/>
      <c r="H253" s="261" t="s">
        <v>865</v>
      </c>
      <c r="I253" s="261"/>
      <c r="J253" s="261"/>
      <c r="K253" s="261"/>
      <c r="L253" s="236"/>
      <c r="M253" s="254"/>
      <c r="N253" s="236"/>
      <c r="O253" s="322">
        <v>7.0000000000000007E-2</v>
      </c>
      <c r="P253" s="322"/>
      <c r="Q253" s="322"/>
      <c r="R253" s="322"/>
      <c r="S253" s="241"/>
      <c r="T253" s="254"/>
    </row>
    <row r="254" spans="2:20" s="242" customFormat="1" outlineLevel="2">
      <c r="C254" s="283" t="s">
        <v>858</v>
      </c>
      <c r="D254" s="283" t="s">
        <v>18</v>
      </c>
      <c r="E254" s="236"/>
      <c r="F254" s="254"/>
      <c r="G254" s="236"/>
      <c r="H254" s="261" t="s">
        <v>866</v>
      </c>
      <c r="I254" s="261"/>
      <c r="J254" s="261"/>
      <c r="K254" s="261"/>
      <c r="L254" s="236"/>
      <c r="M254" s="254"/>
      <c r="N254" s="236"/>
      <c r="O254" s="322">
        <v>7.0000000000000007E-2</v>
      </c>
      <c r="P254" s="322"/>
      <c r="Q254" s="322"/>
      <c r="R254" s="322"/>
      <c r="S254" s="241"/>
      <c r="T254" s="254"/>
    </row>
    <row r="255" spans="2:20" s="242" customFormat="1" outlineLevel="2">
      <c r="C255" s="283" t="s">
        <v>858</v>
      </c>
      <c r="D255" s="283" t="s">
        <v>18</v>
      </c>
      <c r="E255" s="236"/>
      <c r="F255" s="254"/>
      <c r="G255" s="236"/>
      <c r="H255" s="261" t="s">
        <v>867</v>
      </c>
      <c r="I255" s="261"/>
      <c r="J255" s="261"/>
      <c r="K255" s="261"/>
      <c r="L255" s="236"/>
      <c r="M255" s="254"/>
      <c r="N255" s="236"/>
      <c r="O255" s="322">
        <v>0.04</v>
      </c>
      <c r="P255" s="322"/>
      <c r="Q255" s="322"/>
      <c r="R255" s="322"/>
      <c r="S255" s="241"/>
      <c r="T255" s="254"/>
    </row>
    <row r="256" spans="2:20" s="242" customFormat="1" outlineLevel="2">
      <c r="C256" s="283" t="s">
        <v>858</v>
      </c>
      <c r="D256" s="283" t="s">
        <v>18</v>
      </c>
      <c r="E256" s="236"/>
      <c r="F256" s="254"/>
      <c r="G256" s="236"/>
      <c r="H256" s="261" t="s">
        <v>868</v>
      </c>
      <c r="I256" s="261"/>
      <c r="J256" s="261"/>
      <c r="K256" s="261"/>
      <c r="L256" s="236"/>
      <c r="M256" s="254"/>
      <c r="N256" s="236"/>
      <c r="O256" s="322">
        <v>7.0000000000000007E-2</v>
      </c>
      <c r="P256" s="322"/>
      <c r="Q256" s="322"/>
      <c r="R256" s="322"/>
      <c r="S256" s="241"/>
      <c r="T256" s="254"/>
    </row>
    <row r="257" spans="2:20" s="242" customFormat="1" outlineLevel="2">
      <c r="C257" s="283" t="s">
        <v>858</v>
      </c>
      <c r="D257" s="283" t="s">
        <v>18</v>
      </c>
      <c r="E257" s="236"/>
      <c r="F257" s="254"/>
      <c r="G257" s="236"/>
      <c r="H257" s="261" t="s">
        <v>869</v>
      </c>
      <c r="I257" s="261"/>
      <c r="J257" s="261"/>
      <c r="K257" s="261"/>
      <c r="L257" s="236"/>
      <c r="M257" s="254"/>
      <c r="N257" s="236"/>
      <c r="O257" s="322">
        <v>7.0000000000000007E-2</v>
      </c>
      <c r="P257" s="322"/>
      <c r="Q257" s="322"/>
      <c r="R257" s="322"/>
      <c r="S257" s="241"/>
      <c r="T257" s="254"/>
    </row>
    <row r="258" spans="2:20" s="242" customFormat="1" outlineLevel="2">
      <c r="C258" s="283" t="s">
        <v>858</v>
      </c>
      <c r="D258" s="283" t="s">
        <v>18</v>
      </c>
      <c r="E258" s="236"/>
      <c r="F258" s="254"/>
      <c r="G258" s="236"/>
      <c r="H258" s="261" t="s">
        <v>870</v>
      </c>
      <c r="I258" s="261"/>
      <c r="J258" s="261"/>
      <c r="K258" s="261"/>
      <c r="L258" s="236"/>
      <c r="M258" s="254"/>
      <c r="N258" s="236"/>
      <c r="O258" s="322">
        <v>0.01</v>
      </c>
      <c r="P258" s="322"/>
      <c r="Q258" s="322"/>
      <c r="R258" s="322"/>
      <c r="S258" s="241"/>
      <c r="T258" s="254"/>
    </row>
    <row r="259" spans="2:20" s="242" customFormat="1" outlineLevel="2">
      <c r="C259" s="283" t="s">
        <v>858</v>
      </c>
      <c r="D259" s="283" t="s">
        <v>18</v>
      </c>
      <c r="E259" s="236"/>
      <c r="F259" s="254"/>
      <c r="G259" s="236"/>
      <c r="H259" s="261" t="s">
        <v>871</v>
      </c>
      <c r="I259" s="261"/>
      <c r="J259" s="261"/>
      <c r="K259" s="261"/>
      <c r="L259" s="236"/>
      <c r="M259" s="254"/>
      <c r="N259" s="236"/>
      <c r="O259" s="322">
        <v>0.03</v>
      </c>
      <c r="P259" s="322"/>
      <c r="Q259" s="322"/>
      <c r="R259" s="322"/>
      <c r="S259" s="241"/>
      <c r="T259" s="254"/>
    </row>
    <row r="260" spans="2:20" s="242" customFormat="1" outlineLevel="2">
      <c r="C260" s="283" t="s">
        <v>858</v>
      </c>
      <c r="D260" s="283" t="s">
        <v>18</v>
      </c>
      <c r="E260" s="236"/>
      <c r="F260" s="254"/>
      <c r="G260" s="236"/>
      <c r="H260" s="261" t="s">
        <v>872</v>
      </c>
      <c r="I260" s="261"/>
      <c r="J260" s="261"/>
      <c r="K260" s="261"/>
      <c r="L260" s="236"/>
      <c r="M260" s="254"/>
      <c r="N260" s="236"/>
      <c r="O260" s="322">
        <v>0.04</v>
      </c>
      <c r="P260" s="322"/>
      <c r="Q260" s="322"/>
      <c r="R260" s="322"/>
      <c r="S260" s="241"/>
      <c r="T260" s="254"/>
    </row>
    <row r="261" spans="2:20" s="242" customFormat="1" outlineLevel="2">
      <c r="C261" s="283" t="s">
        <v>858</v>
      </c>
      <c r="D261" s="283" t="s">
        <v>18</v>
      </c>
      <c r="E261" s="236"/>
      <c r="F261" s="254"/>
      <c r="G261" s="236"/>
      <c r="H261" s="261" t="s">
        <v>73</v>
      </c>
      <c r="I261" s="261"/>
      <c r="J261" s="261"/>
      <c r="K261" s="261"/>
      <c r="L261" s="236"/>
      <c r="M261" s="254"/>
      <c r="N261" s="236"/>
      <c r="O261" s="322">
        <v>2.4983728173082701E-2</v>
      </c>
      <c r="P261" s="322"/>
      <c r="Q261" s="322"/>
      <c r="R261" s="322"/>
      <c r="S261" s="241"/>
      <c r="T261" s="254"/>
    </row>
    <row r="262" spans="2:20" s="242" customFormat="1" outlineLevel="2">
      <c r="C262" s="283" t="s">
        <v>858</v>
      </c>
      <c r="D262" s="283" t="s">
        <v>18</v>
      </c>
      <c r="E262" s="236"/>
      <c r="F262" s="254"/>
      <c r="G262" s="236"/>
      <c r="H262" s="261" t="s">
        <v>24</v>
      </c>
      <c r="I262" s="261"/>
      <c r="J262" s="261"/>
      <c r="K262" s="261"/>
      <c r="L262" s="236"/>
      <c r="M262" s="254"/>
      <c r="N262" s="236"/>
      <c r="O262" s="322">
        <v>0.04</v>
      </c>
      <c r="P262" s="322"/>
      <c r="Q262" s="322"/>
      <c r="R262" s="322"/>
      <c r="S262" s="241"/>
      <c r="T262" s="254"/>
    </row>
    <row r="263" spans="2:20" s="242" customFormat="1" outlineLevel="2">
      <c r="C263" s="283" t="s">
        <v>858</v>
      </c>
      <c r="D263" s="283" t="s">
        <v>18</v>
      </c>
      <c r="E263" s="236"/>
      <c r="F263" s="254"/>
      <c r="G263" s="236"/>
      <c r="H263" s="261" t="s">
        <v>74</v>
      </c>
      <c r="I263" s="261"/>
      <c r="J263" s="261"/>
      <c r="K263" s="261"/>
      <c r="L263" s="236"/>
      <c r="M263" s="254"/>
      <c r="N263" s="236"/>
      <c r="O263" s="322">
        <v>0.02</v>
      </c>
      <c r="P263" s="322"/>
      <c r="Q263" s="322"/>
      <c r="R263" s="322"/>
      <c r="S263" s="241"/>
      <c r="T263" s="254"/>
    </row>
    <row r="264" spans="2:20" ht="3" customHeight="1" outlineLevel="1">
      <c r="B264" s="246"/>
      <c r="C264" s="246"/>
      <c r="D264" s="253"/>
      <c r="E264" s="243"/>
      <c r="F264" s="193"/>
      <c r="G264" s="243"/>
      <c r="H264" s="670"/>
      <c r="I264" s="670"/>
      <c r="J264" s="670"/>
      <c r="K264" s="670"/>
      <c r="L264" s="243"/>
      <c r="M264" s="193"/>
      <c r="N264" s="243"/>
      <c r="O264" s="671"/>
      <c r="P264" s="671"/>
      <c r="Q264" s="671"/>
      <c r="R264" s="671"/>
      <c r="S264" s="257"/>
      <c r="T264" s="193"/>
    </row>
    <row r="265" spans="2:20" s="238" customFormat="1" outlineLevel="1">
      <c r="B265" s="239" t="s">
        <v>873</v>
      </c>
      <c r="C265" s="325" t="s">
        <v>874</v>
      </c>
      <c r="D265" s="239"/>
      <c r="E265" s="236"/>
      <c r="F265" s="193"/>
      <c r="G265" s="236"/>
      <c r="H265" s="240">
        <f>COUNTA(H266:H272)</f>
        <v>7</v>
      </c>
      <c r="I265" s="240"/>
      <c r="J265" s="240"/>
      <c r="K265" s="240"/>
      <c r="L265" s="236"/>
      <c r="M265" s="193"/>
      <c r="N265" s="236"/>
      <c r="O265" s="265">
        <f>SUM(O266:O272)</f>
        <v>2.3199999999999998</v>
      </c>
      <c r="P265" s="265"/>
      <c r="Q265" s="265"/>
      <c r="R265" s="265"/>
      <c r="S265" s="241"/>
      <c r="T265" s="193"/>
    </row>
    <row r="266" spans="2:20" outlineLevel="2">
      <c r="B266" s="242" t="s">
        <v>617</v>
      </c>
      <c r="C266" s="246" t="s">
        <v>875</v>
      </c>
      <c r="D266" s="253" t="s">
        <v>18</v>
      </c>
      <c r="E266" s="243"/>
      <c r="F266" s="193"/>
      <c r="G266" s="243"/>
      <c r="H266" s="261" t="s">
        <v>88</v>
      </c>
      <c r="I266" s="261"/>
      <c r="J266" s="261"/>
      <c r="K266" s="261"/>
      <c r="L266" s="243"/>
      <c r="M266" s="193"/>
      <c r="N266" s="243"/>
      <c r="O266" s="663">
        <v>0.17</v>
      </c>
      <c r="P266" s="663"/>
      <c r="Q266" s="663"/>
      <c r="R266" s="663"/>
      <c r="S266" s="257"/>
      <c r="T266" s="193"/>
    </row>
    <row r="267" spans="2:20" outlineLevel="2">
      <c r="B267" s="242" t="s">
        <v>617</v>
      </c>
      <c r="C267" s="246" t="s">
        <v>875</v>
      </c>
      <c r="D267" s="253" t="s">
        <v>18</v>
      </c>
      <c r="E267" s="243"/>
      <c r="F267" s="193"/>
      <c r="G267" s="243"/>
      <c r="H267" s="261" t="s">
        <v>89</v>
      </c>
      <c r="I267" s="261"/>
      <c r="J267" s="261"/>
      <c r="K267" s="261"/>
      <c r="L267" s="243"/>
      <c r="M267" s="193"/>
      <c r="N267" s="243"/>
      <c r="O267" s="663">
        <v>0.17</v>
      </c>
      <c r="P267" s="663"/>
      <c r="Q267" s="663"/>
      <c r="R267" s="663"/>
      <c r="S267" s="257"/>
      <c r="T267" s="193"/>
    </row>
    <row r="268" spans="2:20" outlineLevel="2">
      <c r="B268" s="242" t="s">
        <v>617</v>
      </c>
      <c r="C268" s="246" t="s">
        <v>875</v>
      </c>
      <c r="D268" s="253" t="s">
        <v>18</v>
      </c>
      <c r="E268" s="243"/>
      <c r="F268" s="193"/>
      <c r="G268" s="243"/>
      <c r="H268" s="261" t="s">
        <v>90</v>
      </c>
      <c r="I268" s="261"/>
      <c r="J268" s="261"/>
      <c r="K268" s="261"/>
      <c r="L268" s="243"/>
      <c r="M268" s="193"/>
      <c r="N268" s="243"/>
      <c r="O268" s="663">
        <v>1.18</v>
      </c>
      <c r="P268" s="663"/>
      <c r="Q268" s="663"/>
      <c r="R268" s="663"/>
      <c r="S268" s="257"/>
      <c r="T268" s="193"/>
    </row>
    <row r="269" spans="2:20" outlineLevel="2">
      <c r="B269" s="242" t="s">
        <v>617</v>
      </c>
      <c r="C269" s="246" t="s">
        <v>875</v>
      </c>
      <c r="D269" s="253" t="s">
        <v>18</v>
      </c>
      <c r="E269" s="243"/>
      <c r="F269" s="193"/>
      <c r="G269" s="243"/>
      <c r="H269" s="261" t="s">
        <v>92</v>
      </c>
      <c r="I269" s="261"/>
      <c r="J269" s="261"/>
      <c r="K269" s="261"/>
      <c r="L269" s="243"/>
      <c r="M269" s="193"/>
      <c r="N269" s="243"/>
      <c r="O269" s="663">
        <v>0.45</v>
      </c>
      <c r="P269" s="663"/>
      <c r="Q269" s="663"/>
      <c r="R269" s="663"/>
      <c r="S269" s="257"/>
      <c r="T269" s="193"/>
    </row>
    <row r="270" spans="2:20" outlineLevel="2">
      <c r="B270" s="242" t="s">
        <v>617</v>
      </c>
      <c r="C270" s="246" t="s">
        <v>875</v>
      </c>
      <c r="D270" s="253" t="s">
        <v>18</v>
      </c>
      <c r="E270" s="243"/>
      <c r="F270" s="193"/>
      <c r="G270" s="243"/>
      <c r="H270" s="261" t="s">
        <v>93</v>
      </c>
      <c r="I270" s="261"/>
      <c r="J270" s="261"/>
      <c r="K270" s="261"/>
      <c r="L270" s="243"/>
      <c r="M270" s="193"/>
      <c r="N270" s="243"/>
      <c r="O270" s="663">
        <v>0.15</v>
      </c>
      <c r="P270" s="663"/>
      <c r="Q270" s="663"/>
      <c r="R270" s="663"/>
      <c r="S270" s="257"/>
      <c r="T270" s="193"/>
    </row>
    <row r="271" spans="2:20" outlineLevel="2">
      <c r="B271" s="242" t="s">
        <v>617</v>
      </c>
      <c r="C271" s="246" t="s">
        <v>875</v>
      </c>
      <c r="D271" s="253" t="s">
        <v>18</v>
      </c>
      <c r="E271" s="243"/>
      <c r="F271" s="193"/>
      <c r="G271" s="243"/>
      <c r="H271" s="261" t="s">
        <v>94</v>
      </c>
      <c r="I271" s="261"/>
      <c r="J271" s="261"/>
      <c r="K271" s="261"/>
      <c r="L271" s="243"/>
      <c r="M271" s="193"/>
      <c r="N271" s="243"/>
      <c r="O271" s="663">
        <v>0.15</v>
      </c>
      <c r="P271" s="663"/>
      <c r="Q271" s="663"/>
      <c r="R271" s="663"/>
      <c r="S271" s="257"/>
      <c r="T271" s="193"/>
    </row>
    <row r="272" spans="2:20" outlineLevel="2">
      <c r="B272" s="242" t="s">
        <v>617</v>
      </c>
      <c r="C272" s="246" t="s">
        <v>875</v>
      </c>
      <c r="D272" s="253" t="s">
        <v>18</v>
      </c>
      <c r="E272" s="243"/>
      <c r="F272" s="193"/>
      <c r="G272" s="243"/>
      <c r="H272" s="261" t="s">
        <v>95</v>
      </c>
      <c r="I272" s="261"/>
      <c r="J272" s="261"/>
      <c r="K272" s="261"/>
      <c r="L272" s="243"/>
      <c r="M272" s="193"/>
      <c r="N272" s="243"/>
      <c r="O272" s="663">
        <v>0.05</v>
      </c>
      <c r="P272" s="663"/>
      <c r="Q272" s="663"/>
      <c r="R272" s="663"/>
      <c r="S272" s="257"/>
      <c r="T272" s="193"/>
    </row>
    <row r="273" spans="2:20" ht="3" customHeight="1" outlineLevel="1">
      <c r="B273" s="242"/>
      <c r="C273" s="246"/>
      <c r="D273" s="253"/>
      <c r="E273" s="243"/>
      <c r="F273" s="193"/>
      <c r="G273" s="243"/>
      <c r="H273" s="670"/>
      <c r="I273" s="670"/>
      <c r="J273" s="670"/>
      <c r="K273" s="670"/>
      <c r="L273" s="243"/>
      <c r="M273" s="193"/>
      <c r="N273" s="243"/>
      <c r="O273" s="671"/>
      <c r="P273" s="671"/>
      <c r="Q273" s="671"/>
      <c r="R273" s="671"/>
      <c r="S273" s="257"/>
      <c r="T273" s="193"/>
    </row>
    <row r="274" spans="2:20" s="238" customFormat="1" outlineLevel="1">
      <c r="B274" s="239" t="s">
        <v>876</v>
      </c>
      <c r="C274" s="239"/>
      <c r="D274" s="239"/>
      <c r="E274" s="236"/>
      <c r="F274" s="193"/>
      <c r="G274" s="236"/>
      <c r="H274" s="240">
        <f>COUNTA(H275:H293)</f>
        <v>19</v>
      </c>
      <c r="I274" s="240"/>
      <c r="J274" s="240"/>
      <c r="K274" s="240"/>
      <c r="L274" s="236"/>
      <c r="M274" s="193"/>
      <c r="N274" s="236"/>
      <c r="O274" s="265">
        <f>SUM(O275:O293)</f>
        <v>6.38</v>
      </c>
      <c r="P274" s="265"/>
      <c r="Q274" s="265"/>
      <c r="R274" s="265"/>
      <c r="S274" s="241"/>
      <c r="T274" s="193"/>
    </row>
    <row r="275" spans="2:20" outlineLevel="2">
      <c r="B275" s="242" t="s">
        <v>617</v>
      </c>
      <c r="C275" s="246" t="s">
        <v>876</v>
      </c>
      <c r="D275" s="253" t="s">
        <v>18</v>
      </c>
      <c r="E275" s="243"/>
      <c r="F275" s="193"/>
      <c r="G275" s="243"/>
      <c r="H275" s="261" t="s">
        <v>123</v>
      </c>
      <c r="I275" s="261"/>
      <c r="J275" s="261"/>
      <c r="K275" s="261"/>
      <c r="L275" s="243"/>
      <c r="M275" s="193"/>
      <c r="N275" s="243"/>
      <c r="O275" s="663">
        <v>0.2</v>
      </c>
      <c r="P275" s="663"/>
      <c r="Q275" s="663"/>
      <c r="R275" s="663"/>
      <c r="S275" s="257"/>
      <c r="T275" s="193"/>
    </row>
    <row r="276" spans="2:20" outlineLevel="2">
      <c r="B276" s="242" t="s">
        <v>617</v>
      </c>
      <c r="C276" s="246" t="s">
        <v>876</v>
      </c>
      <c r="D276" s="253" t="s">
        <v>18</v>
      </c>
      <c r="E276" s="243"/>
      <c r="F276" s="193"/>
      <c r="G276" s="243"/>
      <c r="H276" s="261" t="s">
        <v>877</v>
      </c>
      <c r="I276" s="261"/>
      <c r="J276" s="261"/>
      <c r="K276" s="261"/>
      <c r="L276" s="243"/>
      <c r="M276" s="193"/>
      <c r="N276" s="243"/>
      <c r="O276" s="663">
        <v>0.41</v>
      </c>
      <c r="P276" s="663"/>
      <c r="Q276" s="663"/>
      <c r="R276" s="663"/>
      <c r="S276" s="257"/>
      <c r="T276" s="193"/>
    </row>
    <row r="277" spans="2:20" outlineLevel="2">
      <c r="B277" s="242" t="s">
        <v>617</v>
      </c>
      <c r="C277" s="246" t="s">
        <v>876</v>
      </c>
      <c r="D277" s="253" t="s">
        <v>18</v>
      </c>
      <c r="E277" s="243"/>
      <c r="F277" s="193"/>
      <c r="G277" s="243"/>
      <c r="H277" s="261" t="s">
        <v>878</v>
      </c>
      <c r="I277" s="261"/>
      <c r="J277" s="261"/>
      <c r="K277" s="261"/>
      <c r="L277" s="243"/>
      <c r="M277" s="193"/>
      <c r="N277" s="243"/>
      <c r="O277" s="663">
        <v>0.61</v>
      </c>
      <c r="P277" s="663"/>
      <c r="Q277" s="663"/>
      <c r="R277" s="663"/>
      <c r="S277" s="257"/>
      <c r="T277" s="193"/>
    </row>
    <row r="278" spans="2:20" outlineLevel="2">
      <c r="B278" s="242" t="s">
        <v>617</v>
      </c>
      <c r="C278" s="246" t="s">
        <v>876</v>
      </c>
      <c r="D278" s="253" t="s">
        <v>18</v>
      </c>
      <c r="E278" s="243"/>
      <c r="F278" s="193"/>
      <c r="G278" s="243"/>
      <c r="H278" s="261" t="s">
        <v>879</v>
      </c>
      <c r="I278" s="261"/>
      <c r="J278" s="261"/>
      <c r="K278" s="261"/>
      <c r="L278" s="243"/>
      <c r="M278" s="193"/>
      <c r="N278" s="243"/>
      <c r="O278" s="663">
        <v>0.48</v>
      </c>
      <c r="P278" s="663"/>
      <c r="Q278" s="663"/>
      <c r="R278" s="663"/>
      <c r="S278" s="257"/>
      <c r="T278" s="193"/>
    </row>
    <row r="279" spans="2:20" outlineLevel="2">
      <c r="B279" s="242" t="s">
        <v>617</v>
      </c>
      <c r="C279" s="246" t="s">
        <v>876</v>
      </c>
      <c r="D279" s="253" t="s">
        <v>18</v>
      </c>
      <c r="E279" s="243"/>
      <c r="F279" s="193"/>
      <c r="G279" s="243"/>
      <c r="H279" s="261" t="s">
        <v>880</v>
      </c>
      <c r="I279" s="261"/>
      <c r="J279" s="261"/>
      <c r="K279" s="261"/>
      <c r="L279" s="243"/>
      <c r="M279" s="193"/>
      <c r="N279" s="243"/>
      <c r="O279" s="663">
        <v>0.24</v>
      </c>
      <c r="P279" s="663"/>
      <c r="Q279" s="663"/>
      <c r="R279" s="663"/>
      <c r="S279" s="257"/>
      <c r="T279" s="193"/>
    </row>
    <row r="280" spans="2:20" outlineLevel="2">
      <c r="B280" s="242" t="s">
        <v>617</v>
      </c>
      <c r="C280" s="246" t="s">
        <v>876</v>
      </c>
      <c r="D280" s="253" t="s">
        <v>18</v>
      </c>
      <c r="E280" s="243"/>
      <c r="F280" s="193"/>
      <c r="G280" s="243"/>
      <c r="H280" s="261" t="s">
        <v>881</v>
      </c>
      <c r="I280" s="261"/>
      <c r="J280" s="261"/>
      <c r="K280" s="261"/>
      <c r="L280" s="243"/>
      <c r="M280" s="193"/>
      <c r="N280" s="243"/>
      <c r="O280" s="663">
        <v>0.82</v>
      </c>
      <c r="P280" s="663"/>
      <c r="Q280" s="663"/>
      <c r="R280" s="663"/>
      <c r="S280" s="257"/>
      <c r="T280" s="193"/>
    </row>
    <row r="281" spans="2:20" outlineLevel="2">
      <c r="B281" s="242" t="s">
        <v>617</v>
      </c>
      <c r="C281" s="246" t="s">
        <v>876</v>
      </c>
      <c r="D281" s="253" t="s">
        <v>18</v>
      </c>
      <c r="E281" s="243"/>
      <c r="F281" s="193"/>
      <c r="G281" s="243"/>
      <c r="H281" s="261" t="s">
        <v>882</v>
      </c>
      <c r="I281" s="261"/>
      <c r="J281" s="261"/>
      <c r="K281" s="261"/>
      <c r="L281" s="243"/>
      <c r="M281" s="193"/>
      <c r="N281" s="243"/>
      <c r="O281" s="663">
        <v>0.52</v>
      </c>
      <c r="P281" s="663"/>
      <c r="Q281" s="663"/>
      <c r="R281" s="663"/>
      <c r="S281" s="257"/>
      <c r="T281" s="193"/>
    </row>
    <row r="282" spans="2:20" outlineLevel="2">
      <c r="B282" s="242" t="s">
        <v>617</v>
      </c>
      <c r="C282" s="246" t="s">
        <v>876</v>
      </c>
      <c r="D282" s="253" t="s">
        <v>18</v>
      </c>
      <c r="E282" s="243"/>
      <c r="F282" s="193"/>
      <c r="G282" s="243"/>
      <c r="H282" s="261" t="s">
        <v>128</v>
      </c>
      <c r="I282" s="261"/>
      <c r="J282" s="261"/>
      <c r="K282" s="261"/>
      <c r="L282" s="243"/>
      <c r="M282" s="193"/>
      <c r="N282" s="243"/>
      <c r="O282" s="321">
        <v>0.52</v>
      </c>
      <c r="P282" s="321"/>
      <c r="Q282" s="321"/>
      <c r="R282" s="321"/>
      <c r="S282" s="257"/>
      <c r="T282" s="193"/>
    </row>
    <row r="283" spans="2:20" outlineLevel="2">
      <c r="B283" s="242" t="s">
        <v>617</v>
      </c>
      <c r="C283" s="246" t="s">
        <v>876</v>
      </c>
      <c r="D283" s="253" t="s">
        <v>18</v>
      </c>
      <c r="E283" s="243"/>
      <c r="F283" s="193"/>
      <c r="G283" s="243"/>
      <c r="H283" s="261" t="s">
        <v>129</v>
      </c>
      <c r="I283" s="261"/>
      <c r="J283" s="261"/>
      <c r="K283" s="261"/>
      <c r="L283" s="243"/>
      <c r="M283" s="193"/>
      <c r="N283" s="243"/>
      <c r="O283" s="663">
        <v>0.52</v>
      </c>
      <c r="P283" s="663"/>
      <c r="Q283" s="663"/>
      <c r="R283" s="663"/>
      <c r="S283" s="257"/>
      <c r="T283" s="193"/>
    </row>
    <row r="284" spans="2:20" outlineLevel="2">
      <c r="B284" s="242" t="s">
        <v>617</v>
      </c>
      <c r="C284" s="246" t="s">
        <v>876</v>
      </c>
      <c r="D284" s="253" t="s">
        <v>18</v>
      </c>
      <c r="E284" s="243"/>
      <c r="F284" s="193"/>
      <c r="G284" s="243"/>
      <c r="H284" s="261" t="s">
        <v>883</v>
      </c>
      <c r="I284" s="261"/>
      <c r="J284" s="261"/>
      <c r="K284" s="261"/>
      <c r="L284" s="243"/>
      <c r="M284" s="193"/>
      <c r="N284" s="243"/>
      <c r="O284" s="663">
        <v>0.17</v>
      </c>
      <c r="P284" s="663"/>
      <c r="Q284" s="663"/>
      <c r="R284" s="663"/>
      <c r="S284" s="257"/>
      <c r="T284" s="193"/>
    </row>
    <row r="285" spans="2:20" outlineLevel="2">
      <c r="B285" s="242" t="s">
        <v>617</v>
      </c>
      <c r="C285" s="246" t="s">
        <v>876</v>
      </c>
      <c r="D285" s="253" t="s">
        <v>18</v>
      </c>
      <c r="E285" s="243"/>
      <c r="F285" s="193"/>
      <c r="G285" s="243"/>
      <c r="H285" s="261" t="s">
        <v>884</v>
      </c>
      <c r="I285" s="261"/>
      <c r="J285" s="261"/>
      <c r="K285" s="261"/>
      <c r="L285" s="243"/>
      <c r="M285" s="193"/>
      <c r="N285" s="243"/>
      <c r="O285" s="663">
        <v>0.48</v>
      </c>
      <c r="P285" s="663"/>
      <c r="Q285" s="663"/>
      <c r="R285" s="663"/>
      <c r="S285" s="257"/>
      <c r="T285" s="193"/>
    </row>
    <row r="286" spans="2:20" outlineLevel="2">
      <c r="B286" s="242" t="s">
        <v>617</v>
      </c>
      <c r="C286" s="246" t="s">
        <v>876</v>
      </c>
      <c r="D286" s="253" t="s">
        <v>18</v>
      </c>
      <c r="E286" s="243"/>
      <c r="F286" s="193"/>
      <c r="G286" s="243"/>
      <c r="H286" s="261" t="s">
        <v>885</v>
      </c>
      <c r="I286" s="261"/>
      <c r="J286" s="261"/>
      <c r="K286" s="261"/>
      <c r="L286" s="243"/>
      <c r="M286" s="193"/>
      <c r="N286" s="243"/>
      <c r="O286" s="663">
        <v>0.24</v>
      </c>
      <c r="P286" s="663"/>
      <c r="Q286" s="663"/>
      <c r="R286" s="663"/>
      <c r="S286" s="257"/>
      <c r="T286" s="193"/>
    </row>
    <row r="287" spans="2:20" outlineLevel="2">
      <c r="B287" s="242"/>
      <c r="C287" s="246" t="s">
        <v>876</v>
      </c>
      <c r="D287" s="253" t="s">
        <v>18</v>
      </c>
      <c r="E287" s="243"/>
      <c r="F287" s="193"/>
      <c r="G287" s="243"/>
      <c r="H287" s="261" t="s">
        <v>886</v>
      </c>
      <c r="I287" s="261"/>
      <c r="J287" s="261"/>
      <c r="K287" s="261"/>
      <c r="L287" s="243"/>
      <c r="M287" s="193"/>
      <c r="N287" s="243"/>
      <c r="O287" s="321">
        <v>0.96</v>
      </c>
      <c r="P287" s="321"/>
      <c r="Q287" s="321"/>
      <c r="R287" s="321"/>
      <c r="S287" s="257"/>
      <c r="T287" s="193"/>
    </row>
    <row r="288" spans="2:20" outlineLevel="2">
      <c r="B288" s="242" t="s">
        <v>617</v>
      </c>
      <c r="C288" s="246" t="s">
        <v>876</v>
      </c>
      <c r="D288" s="253" t="s">
        <v>18</v>
      </c>
      <c r="E288" s="243"/>
      <c r="F288" s="193"/>
      <c r="G288" s="243"/>
      <c r="H288" s="261" t="s">
        <v>887</v>
      </c>
      <c r="I288" s="261"/>
      <c r="J288" s="261"/>
      <c r="K288" s="261"/>
      <c r="L288" s="243"/>
      <c r="M288" s="193"/>
      <c r="N288" s="243"/>
      <c r="O288" s="663">
        <v>0.02</v>
      </c>
      <c r="P288" s="663"/>
      <c r="Q288" s="663"/>
      <c r="R288" s="663"/>
      <c r="S288" s="257"/>
      <c r="T288" s="193"/>
    </row>
    <row r="289" spans="2:20" outlineLevel="2">
      <c r="B289" s="242" t="s">
        <v>617</v>
      </c>
      <c r="C289" s="246" t="s">
        <v>876</v>
      </c>
      <c r="D289" s="253" t="s">
        <v>18</v>
      </c>
      <c r="E289" s="243"/>
      <c r="F289" s="193"/>
      <c r="G289" s="243"/>
      <c r="H289" s="261" t="s">
        <v>888</v>
      </c>
      <c r="I289" s="261"/>
      <c r="J289" s="261"/>
      <c r="K289" s="261"/>
      <c r="L289" s="243"/>
      <c r="M289" s="193"/>
      <c r="N289" s="243"/>
      <c r="O289" s="663">
        <v>0.03</v>
      </c>
      <c r="P289" s="663"/>
      <c r="Q289" s="663"/>
      <c r="R289" s="663"/>
      <c r="S289" s="257"/>
      <c r="T289" s="193"/>
    </row>
    <row r="290" spans="2:20" outlineLevel="2">
      <c r="B290" s="242" t="s">
        <v>617</v>
      </c>
      <c r="C290" s="246" t="s">
        <v>876</v>
      </c>
      <c r="D290" s="253" t="s">
        <v>18</v>
      </c>
      <c r="E290" s="243"/>
      <c r="F290" s="193"/>
      <c r="G290" s="243"/>
      <c r="H290" s="261" t="s">
        <v>889</v>
      </c>
      <c r="I290" s="261"/>
      <c r="J290" s="261"/>
      <c r="K290" s="261"/>
      <c r="L290" s="243"/>
      <c r="M290" s="193"/>
      <c r="N290" s="243"/>
      <c r="O290" s="663">
        <v>0.03</v>
      </c>
      <c r="P290" s="663"/>
      <c r="Q290" s="663"/>
      <c r="R290" s="663"/>
      <c r="S290" s="257"/>
      <c r="T290" s="193"/>
    </row>
    <row r="291" spans="2:20" outlineLevel="2">
      <c r="B291" s="242" t="s">
        <v>617</v>
      </c>
      <c r="C291" s="246" t="s">
        <v>876</v>
      </c>
      <c r="D291" s="253" t="s">
        <v>18</v>
      </c>
      <c r="E291" s="243"/>
      <c r="F291" s="193"/>
      <c r="G291" s="243"/>
      <c r="H291" s="261" t="s">
        <v>890</v>
      </c>
      <c r="I291" s="261"/>
      <c r="J291" s="261"/>
      <c r="K291" s="261"/>
      <c r="L291" s="243"/>
      <c r="M291" s="193"/>
      <c r="N291" s="243"/>
      <c r="O291" s="663">
        <f>0.01+0.005</f>
        <v>1.4999999999999999E-2</v>
      </c>
      <c r="P291" s="663"/>
      <c r="Q291" s="663"/>
      <c r="R291" s="663"/>
      <c r="S291" s="257"/>
      <c r="T291" s="193"/>
    </row>
    <row r="292" spans="2:20" outlineLevel="2">
      <c r="B292" s="242" t="s">
        <v>617</v>
      </c>
      <c r="C292" s="246" t="s">
        <v>876</v>
      </c>
      <c r="D292" s="253" t="s">
        <v>18</v>
      </c>
      <c r="E292" s="243"/>
      <c r="F292" s="193"/>
      <c r="G292" s="243"/>
      <c r="H292" s="261" t="s">
        <v>891</v>
      </c>
      <c r="I292" s="261"/>
      <c r="J292" s="261"/>
      <c r="K292" s="261"/>
      <c r="L292" s="243"/>
      <c r="M292" s="193"/>
      <c r="N292" s="243"/>
      <c r="O292" s="663">
        <f>0.01+0.005</f>
        <v>1.4999999999999999E-2</v>
      </c>
      <c r="P292" s="663"/>
      <c r="Q292" s="663"/>
      <c r="R292" s="663"/>
      <c r="S292" s="257"/>
      <c r="T292" s="193"/>
    </row>
    <row r="293" spans="2:20" outlineLevel="2">
      <c r="B293" s="242" t="s">
        <v>617</v>
      </c>
      <c r="C293" s="246" t="s">
        <v>876</v>
      </c>
      <c r="D293" s="253" t="s">
        <v>18</v>
      </c>
      <c r="E293" s="243"/>
      <c r="F293" s="193"/>
      <c r="G293" s="243"/>
      <c r="H293" s="261" t="s">
        <v>892</v>
      </c>
      <c r="I293" s="261"/>
      <c r="J293" s="261"/>
      <c r="K293" s="261"/>
      <c r="L293" s="243"/>
      <c r="M293" s="193"/>
      <c r="N293" s="243"/>
      <c r="O293" s="663">
        <v>0.1</v>
      </c>
      <c r="P293" s="663"/>
      <c r="Q293" s="663"/>
      <c r="R293" s="663"/>
      <c r="S293" s="257"/>
      <c r="T293" s="193"/>
    </row>
    <row r="294" spans="2:20" ht="3" customHeight="1" outlineLevel="1">
      <c r="B294" s="246"/>
      <c r="C294" s="246"/>
      <c r="D294" s="253"/>
      <c r="E294" s="243"/>
      <c r="F294" s="193"/>
      <c r="G294" s="243"/>
      <c r="H294" s="670"/>
      <c r="I294" s="670"/>
      <c r="J294" s="670"/>
      <c r="K294" s="670"/>
      <c r="L294" s="243"/>
      <c r="M294" s="193"/>
      <c r="N294" s="243"/>
      <c r="O294" s="671"/>
      <c r="P294" s="671"/>
      <c r="Q294" s="671"/>
      <c r="R294" s="671"/>
      <c r="S294" s="257"/>
      <c r="T294" s="193"/>
    </row>
    <row r="295" spans="2:20" s="238" customFormat="1" outlineLevel="1">
      <c r="B295" s="239" t="s">
        <v>893</v>
      </c>
      <c r="C295" s="239"/>
      <c r="D295" s="239"/>
      <c r="E295" s="236"/>
      <c r="F295" s="193"/>
      <c r="G295" s="236"/>
      <c r="H295" s="240">
        <f>COUNTA(H296:H297)</f>
        <v>2</v>
      </c>
      <c r="I295" s="240"/>
      <c r="J295" s="240"/>
      <c r="K295" s="240"/>
      <c r="L295" s="236"/>
      <c r="M295" s="193"/>
      <c r="N295" s="236"/>
      <c r="O295" s="265">
        <f>SUM(O296:O297)</f>
        <v>0</v>
      </c>
      <c r="P295" s="265"/>
      <c r="Q295" s="265"/>
      <c r="R295" s="265"/>
      <c r="S295" s="241"/>
      <c r="T295" s="193"/>
    </row>
    <row r="296" spans="2:20" outlineLevel="2">
      <c r="B296" s="242"/>
      <c r="C296" s="666" t="s">
        <v>893</v>
      </c>
      <c r="D296" s="667" t="s">
        <v>18</v>
      </c>
      <c r="E296" s="243"/>
      <c r="F296" s="193"/>
      <c r="G296" s="243"/>
      <c r="H296" s="261" t="s">
        <v>894</v>
      </c>
      <c r="I296" s="261"/>
      <c r="J296" s="261"/>
      <c r="K296" s="261"/>
      <c r="L296" s="243"/>
      <c r="M296" s="193"/>
      <c r="N296" s="243"/>
      <c r="O296" s="663"/>
      <c r="P296" s="663"/>
      <c r="Q296" s="663"/>
      <c r="R296" s="663"/>
      <c r="S296" s="257"/>
      <c r="T296" s="193"/>
    </row>
    <row r="297" spans="2:20" outlineLevel="2">
      <c r="B297" s="242"/>
      <c r="C297" s="666" t="s">
        <v>893</v>
      </c>
      <c r="D297" s="667" t="s">
        <v>18</v>
      </c>
      <c r="E297" s="243"/>
      <c r="F297" s="193"/>
      <c r="G297" s="243"/>
      <c r="H297" s="261" t="s">
        <v>895</v>
      </c>
      <c r="I297" s="261"/>
      <c r="J297" s="261"/>
      <c r="K297" s="261"/>
      <c r="L297" s="243"/>
      <c r="M297" s="193"/>
      <c r="N297" s="243"/>
      <c r="O297" s="663"/>
      <c r="P297" s="663"/>
      <c r="Q297" s="663"/>
      <c r="R297" s="663"/>
      <c r="S297" s="257"/>
      <c r="T297" s="193"/>
    </row>
    <row r="298" spans="2:20" ht="3" customHeight="1" outlineLevel="1">
      <c r="B298" s="666"/>
      <c r="C298" s="666"/>
      <c r="D298" s="667"/>
      <c r="E298" s="252"/>
      <c r="F298" s="193"/>
      <c r="G298" s="252"/>
      <c r="H298" s="264"/>
      <c r="I298" s="264"/>
      <c r="J298" s="264"/>
      <c r="K298" s="264"/>
      <c r="L298" s="252"/>
      <c r="M298" s="193"/>
      <c r="N298" s="252"/>
      <c r="O298" s="352"/>
      <c r="P298" s="352"/>
      <c r="Q298" s="352"/>
      <c r="R298" s="352"/>
      <c r="S298" s="252"/>
      <c r="T298" s="193"/>
    </row>
    <row r="299" spans="2:20" s="238" customFormat="1" outlineLevel="1">
      <c r="B299" s="273" t="s">
        <v>896</v>
      </c>
      <c r="C299" s="239"/>
      <c r="D299" s="239"/>
      <c r="E299" s="236"/>
      <c r="F299" s="193"/>
      <c r="G299" s="236"/>
      <c r="H299" s="324"/>
      <c r="I299" s="324"/>
      <c r="J299" s="324"/>
      <c r="K299" s="324"/>
      <c r="L299" s="236"/>
      <c r="M299" s="193"/>
      <c r="N299" s="236"/>
      <c r="O299" s="265"/>
      <c r="P299" s="265"/>
      <c r="Q299" s="265"/>
      <c r="R299" s="265"/>
      <c r="S299" s="241"/>
      <c r="T299" s="193"/>
    </row>
    <row r="300" spans="2:20" outlineLevel="2">
      <c r="B300" s="242"/>
      <c r="C300" s="666" t="s">
        <v>897</v>
      </c>
      <c r="D300" s="667" t="s">
        <v>18</v>
      </c>
      <c r="E300" s="243"/>
      <c r="F300" s="193"/>
      <c r="G300" s="243"/>
      <c r="H300" s="261" t="s">
        <v>278</v>
      </c>
      <c r="I300" s="261"/>
      <c r="J300" s="261"/>
      <c r="K300" s="261"/>
      <c r="L300" s="243"/>
      <c r="M300" s="193"/>
      <c r="N300" s="243"/>
      <c r="O300" s="357"/>
      <c r="P300" s="357"/>
      <c r="Q300" s="357"/>
      <c r="R300" s="357"/>
      <c r="S300" s="257"/>
      <c r="T300" s="193"/>
    </row>
    <row r="301" spans="2:20" outlineLevel="2">
      <c r="B301" s="242"/>
      <c r="C301" s="666" t="s">
        <v>897</v>
      </c>
      <c r="D301" s="667" t="s">
        <v>18</v>
      </c>
      <c r="E301" s="243"/>
      <c r="F301" s="193"/>
      <c r="G301" s="243"/>
      <c r="H301" s="261" t="s">
        <v>32</v>
      </c>
      <c r="I301" s="261"/>
      <c r="J301" s="261"/>
      <c r="K301" s="261"/>
      <c r="L301" s="243"/>
      <c r="M301" s="193"/>
      <c r="N301" s="243"/>
      <c r="O301" s="358"/>
      <c r="P301" s="358"/>
      <c r="Q301" s="358"/>
      <c r="R301" s="358"/>
      <c r="S301" s="257"/>
      <c r="T301" s="193"/>
    </row>
    <row r="302" spans="2:20" outlineLevel="2">
      <c r="B302" s="242"/>
      <c r="C302" s="666" t="s">
        <v>897</v>
      </c>
      <c r="D302" s="667" t="s">
        <v>18</v>
      </c>
      <c r="E302" s="243"/>
      <c r="F302" s="193"/>
      <c r="G302" s="243"/>
      <c r="H302" s="261" t="s">
        <v>842</v>
      </c>
      <c r="I302" s="261"/>
      <c r="J302" s="261"/>
      <c r="K302" s="261"/>
      <c r="L302" s="243"/>
      <c r="M302" s="193"/>
      <c r="N302" s="243"/>
      <c r="O302" s="358"/>
      <c r="P302" s="358"/>
      <c r="Q302" s="358"/>
      <c r="R302" s="358"/>
      <c r="S302" s="257"/>
      <c r="T302" s="193"/>
    </row>
    <row r="303" spans="2:20" outlineLevel="2">
      <c r="B303" s="242"/>
      <c r="C303" s="666" t="s">
        <v>897</v>
      </c>
      <c r="D303" s="667" t="s">
        <v>18</v>
      </c>
      <c r="E303" s="243"/>
      <c r="F303" s="193"/>
      <c r="G303" s="243"/>
      <c r="H303" s="261" t="s">
        <v>898</v>
      </c>
      <c r="I303" s="261"/>
      <c r="J303" s="261"/>
      <c r="K303" s="261"/>
      <c r="L303" s="243"/>
      <c r="M303" s="193"/>
      <c r="N303" s="243"/>
      <c r="O303" s="358"/>
      <c r="P303" s="358"/>
      <c r="Q303" s="358"/>
      <c r="R303" s="358"/>
      <c r="S303" s="257"/>
      <c r="T303" s="193"/>
    </row>
    <row r="304" spans="2:20" ht="3" customHeight="1" outlineLevel="1">
      <c r="B304" s="666"/>
      <c r="C304" s="666"/>
      <c r="D304" s="667"/>
      <c r="E304" s="252"/>
      <c r="F304" s="193"/>
      <c r="G304" s="252"/>
      <c r="H304" s="264"/>
      <c r="I304" s="264"/>
      <c r="J304" s="264"/>
      <c r="K304" s="264"/>
      <c r="L304" s="252"/>
      <c r="M304" s="193"/>
      <c r="N304" s="252"/>
      <c r="O304" s="352"/>
      <c r="P304" s="352"/>
      <c r="Q304" s="352"/>
      <c r="R304" s="352"/>
      <c r="S304" s="252"/>
      <c r="T304" s="193"/>
    </row>
    <row r="305" spans="1:21" s="238" customFormat="1" outlineLevel="1">
      <c r="B305" s="239" t="s">
        <v>762</v>
      </c>
      <c r="C305" s="239"/>
      <c r="D305" s="239"/>
      <c r="E305" s="236"/>
      <c r="F305" s="254"/>
      <c r="G305" s="236"/>
      <c r="H305" s="240">
        <f t="shared" ref="H305" si="1">SUM(H306:H306)</f>
        <v>15</v>
      </c>
      <c r="I305" s="240"/>
      <c r="J305" s="240"/>
      <c r="K305" s="240"/>
      <c r="L305" s="236"/>
      <c r="M305" s="254"/>
      <c r="N305" s="236"/>
      <c r="O305" s="265">
        <f>SUM(O306:O306)</f>
        <v>1.29152</v>
      </c>
      <c r="P305" s="265"/>
      <c r="Q305" s="265"/>
      <c r="R305" s="265"/>
      <c r="S305" s="236"/>
      <c r="T305" s="254"/>
    </row>
    <row r="306" spans="1:21" outlineLevel="2">
      <c r="A306" s="659"/>
      <c r="B306" s="242"/>
      <c r="C306" s="666" t="s">
        <v>800</v>
      </c>
      <c r="D306" s="667" t="s">
        <v>18</v>
      </c>
      <c r="E306" s="236"/>
      <c r="F306" s="254"/>
      <c r="G306" s="236"/>
      <c r="H306" s="668">
        <v>15</v>
      </c>
      <c r="I306" s="668"/>
      <c r="J306" s="668"/>
      <c r="K306" s="668"/>
      <c r="L306" s="236"/>
      <c r="M306" s="254"/>
      <c r="N306" s="236"/>
      <c r="O306" s="663">
        <v>1.29152</v>
      </c>
      <c r="P306" s="663"/>
      <c r="Q306" s="663"/>
      <c r="R306" s="663"/>
      <c r="S306" s="236"/>
      <c r="T306" s="254"/>
      <c r="U306" s="687"/>
    </row>
    <row r="307" spans="1:21" ht="3" customHeight="1">
      <c r="A307" s="659"/>
      <c r="B307" s="666"/>
      <c r="C307" s="666"/>
      <c r="D307" s="667"/>
      <c r="E307" s="252"/>
      <c r="F307" s="193"/>
      <c r="G307" s="252"/>
      <c r="H307" s="264"/>
      <c r="I307" s="264"/>
      <c r="J307" s="264"/>
      <c r="K307" s="264"/>
      <c r="L307" s="252"/>
      <c r="M307" s="193"/>
      <c r="N307" s="252"/>
      <c r="O307" s="352"/>
      <c r="P307" s="352"/>
      <c r="Q307" s="352"/>
      <c r="R307" s="352"/>
      <c r="S307" s="252"/>
      <c r="T307" s="193"/>
      <c r="U307" s="659"/>
    </row>
    <row r="308" spans="1:21" s="232" customFormat="1" ht="15.6">
      <c r="A308" s="225"/>
      <c r="B308" s="226" t="s">
        <v>631</v>
      </c>
      <c r="C308" s="227" t="s">
        <v>899</v>
      </c>
      <c r="D308" s="228" t="s">
        <v>18</v>
      </c>
      <c r="E308" s="229"/>
      <c r="F308" s="230"/>
      <c r="G308" s="229"/>
      <c r="H308" s="231">
        <f>H310+H315+H321+H329+H334+H339+H344+H350</f>
        <v>27</v>
      </c>
      <c r="I308" s="231"/>
      <c r="J308" s="231"/>
      <c r="K308" s="231"/>
      <c r="L308" s="229"/>
      <c r="M308" s="230"/>
      <c r="N308" s="229"/>
      <c r="O308" s="350">
        <f>O310+O315+O321+O329+O334+O339+O344+O350</f>
        <v>27.146689258111728</v>
      </c>
      <c r="P308" s="350"/>
      <c r="Q308" s="350"/>
      <c r="R308" s="350"/>
      <c r="S308" s="229"/>
      <c r="T308" s="230"/>
    </row>
    <row r="309" spans="1:21" ht="3" customHeight="1" outlineLevel="1">
      <c r="A309" s="665"/>
      <c r="B309" s="233"/>
      <c r="C309" s="234"/>
      <c r="D309" s="235"/>
      <c r="E309" s="285"/>
      <c r="F309" s="193"/>
      <c r="G309" s="285"/>
      <c r="H309" s="286"/>
      <c r="I309" s="286"/>
      <c r="J309" s="286"/>
      <c r="K309" s="286"/>
      <c r="L309" s="285"/>
      <c r="M309" s="193"/>
      <c r="N309" s="285"/>
      <c r="O309" s="359"/>
      <c r="P309" s="359"/>
      <c r="Q309" s="359"/>
      <c r="R309" s="359"/>
      <c r="S309" s="236"/>
      <c r="T309" s="193"/>
      <c r="U309" s="659"/>
    </row>
    <row r="310" spans="1:21" s="238" customFormat="1" outlineLevel="1">
      <c r="B310" s="239" t="s">
        <v>900</v>
      </c>
      <c r="C310" s="239"/>
      <c r="D310" s="239"/>
      <c r="E310" s="236"/>
      <c r="F310" s="193"/>
      <c r="G310" s="236"/>
      <c r="H310" s="240">
        <f>COUNTA(H311:H313)</f>
        <v>3</v>
      </c>
      <c r="I310" s="240"/>
      <c r="J310" s="240"/>
      <c r="K310" s="240"/>
      <c r="L310" s="236"/>
      <c r="M310" s="193"/>
      <c r="N310" s="236"/>
      <c r="O310" s="265">
        <f>SUM(O311:O313)</f>
        <v>0.37</v>
      </c>
      <c r="P310" s="265"/>
      <c r="Q310" s="265"/>
      <c r="R310" s="265"/>
      <c r="S310" s="236"/>
      <c r="T310" s="193"/>
    </row>
    <row r="311" spans="1:21" outlineLevel="2">
      <c r="A311" s="659"/>
      <c r="B311" s="242" t="s">
        <v>631</v>
      </c>
      <c r="C311" s="246" t="s">
        <v>900</v>
      </c>
      <c r="D311" s="253" t="s">
        <v>18</v>
      </c>
      <c r="E311" s="243"/>
      <c r="F311" s="193"/>
      <c r="G311" s="243"/>
      <c r="H311" s="253" t="s">
        <v>73</v>
      </c>
      <c r="I311" s="253"/>
      <c r="J311" s="253"/>
      <c r="K311" s="253"/>
      <c r="L311" s="243"/>
      <c r="M311" s="193"/>
      <c r="N311" s="243"/>
      <c r="O311" s="326">
        <v>0.14000000000000001</v>
      </c>
      <c r="P311" s="326"/>
      <c r="Q311" s="326"/>
      <c r="R311" s="326"/>
      <c r="S311" s="243"/>
      <c r="T311" s="193"/>
      <c r="U311" s="659"/>
    </row>
    <row r="312" spans="1:21" outlineLevel="2">
      <c r="A312" s="659"/>
      <c r="B312" s="242" t="s">
        <v>631</v>
      </c>
      <c r="C312" s="246" t="s">
        <v>900</v>
      </c>
      <c r="D312" s="253" t="s">
        <v>18</v>
      </c>
      <c r="E312" s="243"/>
      <c r="F312" s="193"/>
      <c r="G312" s="243"/>
      <c r="H312" s="253" t="s">
        <v>24</v>
      </c>
      <c r="I312" s="253"/>
      <c r="J312" s="253"/>
      <c r="K312" s="253"/>
      <c r="L312" s="243"/>
      <c r="M312" s="193"/>
      <c r="N312" s="243"/>
      <c r="O312" s="326">
        <v>0.18</v>
      </c>
      <c r="P312" s="326"/>
      <c r="Q312" s="326"/>
      <c r="R312" s="326"/>
      <c r="S312" s="243"/>
      <c r="T312" s="193"/>
      <c r="U312" s="659"/>
    </row>
    <row r="313" spans="1:21" outlineLevel="2">
      <c r="A313" s="659"/>
      <c r="B313" s="242" t="s">
        <v>631</v>
      </c>
      <c r="C313" s="246" t="s">
        <v>900</v>
      </c>
      <c r="D313" s="253" t="s">
        <v>18</v>
      </c>
      <c r="E313" s="243"/>
      <c r="F313" s="193"/>
      <c r="G313" s="243"/>
      <c r="H313" s="253" t="s">
        <v>74</v>
      </c>
      <c r="I313" s="253"/>
      <c r="J313" s="253"/>
      <c r="K313" s="253"/>
      <c r="L313" s="243"/>
      <c r="M313" s="193"/>
      <c r="N313" s="243"/>
      <c r="O313" s="326">
        <v>0.05</v>
      </c>
      <c r="P313" s="326"/>
      <c r="Q313" s="326"/>
      <c r="R313" s="326"/>
      <c r="S313" s="243"/>
      <c r="T313" s="193"/>
      <c r="U313" s="659"/>
    </row>
    <row r="314" spans="1:21" ht="3" customHeight="1" outlineLevel="1">
      <c r="A314" s="659"/>
      <c r="B314" s="242"/>
      <c r="C314" s="246"/>
      <c r="D314" s="253"/>
      <c r="E314" s="247"/>
      <c r="G314" s="247"/>
      <c r="H314" s="245"/>
      <c r="I314" s="245"/>
      <c r="J314" s="245"/>
      <c r="K314" s="245"/>
      <c r="L314" s="247"/>
      <c r="N314" s="247"/>
      <c r="O314" s="359"/>
      <c r="P314" s="359"/>
      <c r="Q314" s="359"/>
      <c r="R314" s="359"/>
      <c r="S314" s="243"/>
      <c r="U314" s="659"/>
    </row>
    <row r="315" spans="1:21" s="238" customFormat="1" outlineLevel="1">
      <c r="B315" s="239" t="s">
        <v>536</v>
      </c>
      <c r="C315" s="239"/>
      <c r="D315" s="239"/>
      <c r="E315" s="236"/>
      <c r="F315" s="254"/>
      <c r="G315" s="236"/>
      <c r="H315" s="240">
        <f>COUNTA(H316:H319)</f>
        <v>4</v>
      </c>
      <c r="I315" s="240"/>
      <c r="J315" s="240"/>
      <c r="K315" s="240"/>
      <c r="L315" s="236"/>
      <c r="M315" s="254"/>
      <c r="N315" s="236"/>
      <c r="O315" s="265">
        <f>SUM(O316:O319)</f>
        <v>4.0850149200081134</v>
      </c>
      <c r="P315" s="265"/>
      <c r="Q315" s="265"/>
      <c r="R315" s="265"/>
      <c r="S315" s="236"/>
      <c r="T315" s="254"/>
    </row>
    <row r="316" spans="1:21" outlineLevel="2">
      <c r="A316" s="665"/>
      <c r="B316" s="233"/>
      <c r="C316" s="234" t="s">
        <v>536</v>
      </c>
      <c r="D316" s="235" t="s">
        <v>18</v>
      </c>
      <c r="E316" s="236"/>
      <c r="F316" s="254"/>
      <c r="G316" s="236"/>
      <c r="H316" s="261" t="s">
        <v>540</v>
      </c>
      <c r="I316" s="261"/>
      <c r="J316" s="261"/>
      <c r="K316" s="261"/>
      <c r="L316" s="236"/>
      <c r="M316" s="254"/>
      <c r="N316" s="236"/>
      <c r="O316" s="327">
        <v>1.3616716400027045</v>
      </c>
      <c r="P316" s="327"/>
      <c r="Q316" s="327"/>
      <c r="R316" s="327"/>
      <c r="S316" s="236"/>
      <c r="T316" s="254"/>
      <c r="U316" s="659"/>
    </row>
    <row r="317" spans="1:21" outlineLevel="2">
      <c r="A317" s="665"/>
      <c r="B317" s="233"/>
      <c r="C317" s="234" t="s">
        <v>536</v>
      </c>
      <c r="D317" s="235" t="s">
        <v>18</v>
      </c>
      <c r="E317" s="236"/>
      <c r="F317" s="254"/>
      <c r="G317" s="236"/>
      <c r="H317" s="261" t="s">
        <v>353</v>
      </c>
      <c r="I317" s="261"/>
      <c r="J317" s="261"/>
      <c r="K317" s="261"/>
      <c r="L317" s="236"/>
      <c r="M317" s="254"/>
      <c r="N317" s="236"/>
      <c r="O317" s="327">
        <v>1.3616716400027045</v>
      </c>
      <c r="P317" s="327"/>
      <c r="Q317" s="327"/>
      <c r="R317" s="327"/>
      <c r="S317" s="236"/>
      <c r="T317" s="254"/>
      <c r="U317" s="659"/>
    </row>
    <row r="318" spans="1:21" outlineLevel="2">
      <c r="A318" s="665"/>
      <c r="B318" s="233"/>
      <c r="C318" s="234" t="s">
        <v>536</v>
      </c>
      <c r="D318" s="235" t="s">
        <v>18</v>
      </c>
      <c r="E318" s="236"/>
      <c r="F318" s="254"/>
      <c r="G318" s="236"/>
      <c r="H318" s="261" t="s">
        <v>541</v>
      </c>
      <c r="I318" s="261"/>
      <c r="J318" s="261"/>
      <c r="K318" s="261"/>
      <c r="L318" s="236"/>
      <c r="M318" s="254"/>
      <c r="N318" s="236"/>
      <c r="O318" s="327">
        <v>0.68083582000135223</v>
      </c>
      <c r="P318" s="327"/>
      <c r="Q318" s="327"/>
      <c r="R318" s="327"/>
      <c r="S318" s="236"/>
      <c r="T318" s="254"/>
      <c r="U318" s="659"/>
    </row>
    <row r="319" spans="1:21" outlineLevel="2">
      <c r="A319" s="665"/>
      <c r="B319" s="233"/>
      <c r="C319" s="234" t="s">
        <v>536</v>
      </c>
      <c r="D319" s="235" t="s">
        <v>18</v>
      </c>
      <c r="E319" s="236"/>
      <c r="F319" s="254"/>
      <c r="G319" s="236"/>
      <c r="H319" s="287" t="s">
        <v>901</v>
      </c>
      <c r="I319" s="287"/>
      <c r="J319" s="287"/>
      <c r="K319" s="287"/>
      <c r="L319" s="236"/>
      <c r="M319" s="254"/>
      <c r="N319" s="236"/>
      <c r="O319" s="327">
        <v>0.68083582000135223</v>
      </c>
      <c r="P319" s="327"/>
      <c r="Q319" s="327"/>
      <c r="R319" s="327"/>
      <c r="S319" s="236"/>
      <c r="T319" s="254"/>
      <c r="U319" s="659"/>
    </row>
    <row r="320" spans="1:21" ht="3" customHeight="1" outlineLevel="1">
      <c r="A320" s="659"/>
      <c r="B320" s="246"/>
      <c r="C320" s="246"/>
      <c r="D320" s="253"/>
      <c r="E320" s="243"/>
      <c r="F320" s="193"/>
      <c r="G320" s="243"/>
      <c r="H320" s="670"/>
      <c r="I320" s="670"/>
      <c r="J320" s="670"/>
      <c r="K320" s="670"/>
      <c r="L320" s="243"/>
      <c r="M320" s="193"/>
      <c r="N320" s="243"/>
      <c r="O320" s="671"/>
      <c r="P320" s="671"/>
      <c r="Q320" s="671"/>
      <c r="R320" s="671"/>
      <c r="S320" s="243"/>
      <c r="T320" s="193"/>
      <c r="U320" s="659"/>
    </row>
    <row r="321" spans="1:20" s="238" customFormat="1" outlineLevel="1">
      <c r="B321" s="239" t="s">
        <v>902</v>
      </c>
      <c r="C321" s="239"/>
      <c r="D321" s="239"/>
      <c r="E321" s="236"/>
      <c r="F321" s="254"/>
      <c r="G321" s="236"/>
      <c r="H321" s="240">
        <f>COUNTA(H322:H327)</f>
        <v>6</v>
      </c>
      <c r="I321" s="240"/>
      <c r="J321" s="240"/>
      <c r="K321" s="240"/>
      <c r="L321" s="236"/>
      <c r="M321" s="254"/>
      <c r="N321" s="236"/>
      <c r="O321" s="265">
        <f>SUM(O322:O327)</f>
        <v>7.7968107205036095</v>
      </c>
      <c r="P321" s="265"/>
      <c r="Q321" s="265"/>
      <c r="R321" s="265"/>
      <c r="S321" s="236"/>
      <c r="T321" s="254"/>
    </row>
    <row r="322" spans="1:20" outlineLevel="2">
      <c r="A322" s="665"/>
      <c r="B322" s="233"/>
      <c r="C322" s="234" t="s">
        <v>902</v>
      </c>
      <c r="D322" s="235" t="s">
        <v>18</v>
      </c>
      <c r="E322" s="236"/>
      <c r="F322" s="254"/>
      <c r="G322" s="236"/>
      <c r="H322" s="287" t="s">
        <v>453</v>
      </c>
      <c r="I322" s="287"/>
      <c r="J322" s="287"/>
      <c r="K322" s="287"/>
      <c r="L322" s="236"/>
      <c r="M322" s="254"/>
      <c r="N322" s="236"/>
      <c r="O322" s="327">
        <v>2.2805053602518046</v>
      </c>
      <c r="P322" s="327"/>
      <c r="Q322" s="327"/>
      <c r="R322" s="327"/>
      <c r="S322" s="236"/>
      <c r="T322" s="254"/>
    </row>
    <row r="323" spans="1:20" outlineLevel="2">
      <c r="A323" s="665"/>
      <c r="B323" s="233"/>
      <c r="C323" s="234" t="s">
        <v>902</v>
      </c>
      <c r="D323" s="235" t="s">
        <v>18</v>
      </c>
      <c r="E323" s="236"/>
      <c r="F323" s="254"/>
      <c r="G323" s="236"/>
      <c r="H323" s="287" t="s">
        <v>33</v>
      </c>
      <c r="I323" s="287"/>
      <c r="J323" s="287"/>
      <c r="K323" s="287"/>
      <c r="L323" s="236"/>
      <c r="M323" s="254"/>
      <c r="N323" s="236"/>
      <c r="O323" s="327">
        <v>1.1402526801259023</v>
      </c>
      <c r="P323" s="327"/>
      <c r="Q323" s="327"/>
      <c r="R323" s="327"/>
      <c r="S323" s="236"/>
      <c r="T323" s="254"/>
    </row>
    <row r="324" spans="1:20" outlineLevel="2">
      <c r="A324" s="665"/>
      <c r="B324" s="233"/>
      <c r="C324" s="234" t="s">
        <v>902</v>
      </c>
      <c r="D324" s="235" t="s">
        <v>18</v>
      </c>
      <c r="E324" s="236"/>
      <c r="F324" s="254"/>
      <c r="G324" s="236"/>
      <c r="H324" s="287" t="s">
        <v>34</v>
      </c>
      <c r="I324" s="287"/>
      <c r="J324" s="287"/>
      <c r="K324" s="287"/>
      <c r="L324" s="236"/>
      <c r="M324" s="254"/>
      <c r="N324" s="236"/>
      <c r="O324" s="327">
        <v>2.1572000000000005</v>
      </c>
      <c r="P324" s="327"/>
      <c r="Q324" s="327"/>
      <c r="R324" s="327"/>
      <c r="S324" s="236"/>
      <c r="T324" s="254"/>
    </row>
    <row r="325" spans="1:20" outlineLevel="2">
      <c r="A325" s="665"/>
      <c r="B325" s="233"/>
      <c r="C325" s="234" t="s">
        <v>902</v>
      </c>
      <c r="D325" s="235" t="s">
        <v>18</v>
      </c>
      <c r="E325" s="236"/>
      <c r="F325" s="254"/>
      <c r="G325" s="236"/>
      <c r="H325" s="287" t="s">
        <v>335</v>
      </c>
      <c r="I325" s="287"/>
      <c r="J325" s="287"/>
      <c r="K325" s="287"/>
      <c r="L325" s="236"/>
      <c r="M325" s="254"/>
      <c r="N325" s="236"/>
      <c r="O325" s="327">
        <v>1.1402526801259023</v>
      </c>
      <c r="P325" s="327"/>
      <c r="Q325" s="327"/>
      <c r="R325" s="327"/>
      <c r="S325" s="236"/>
      <c r="T325" s="254"/>
    </row>
    <row r="326" spans="1:20" outlineLevel="2">
      <c r="A326" s="665"/>
      <c r="B326" s="233"/>
      <c r="C326" s="234" t="s">
        <v>902</v>
      </c>
      <c r="D326" s="235" t="s">
        <v>18</v>
      </c>
      <c r="E326" s="236"/>
      <c r="F326" s="254"/>
      <c r="G326" s="236"/>
      <c r="H326" s="287" t="s">
        <v>197</v>
      </c>
      <c r="I326" s="287"/>
      <c r="J326" s="287"/>
      <c r="K326" s="287"/>
      <c r="L326" s="236"/>
      <c r="M326" s="254"/>
      <c r="N326" s="236"/>
      <c r="O326" s="327">
        <v>1.0786000000000002</v>
      </c>
      <c r="P326" s="327"/>
      <c r="Q326" s="327"/>
      <c r="R326" s="327"/>
      <c r="S326" s="236"/>
      <c r="T326" s="254"/>
    </row>
    <row r="327" spans="1:20" outlineLevel="2">
      <c r="A327" s="665"/>
      <c r="B327" s="233"/>
      <c r="C327" s="234" t="s">
        <v>902</v>
      </c>
      <c r="D327" s="235" t="s">
        <v>18</v>
      </c>
      <c r="E327" s="236"/>
      <c r="F327" s="254"/>
      <c r="G327" s="236"/>
      <c r="H327" s="287" t="s">
        <v>903</v>
      </c>
      <c r="I327" s="287"/>
      <c r="J327" s="287"/>
      <c r="K327" s="287"/>
      <c r="L327" s="236"/>
      <c r="M327" s="254"/>
      <c r="N327" s="236"/>
      <c r="O327" s="327"/>
      <c r="P327" s="327"/>
      <c r="Q327" s="327"/>
      <c r="R327" s="327"/>
      <c r="S327" s="236"/>
      <c r="T327" s="254"/>
    </row>
    <row r="328" spans="1:20" ht="3" customHeight="1" outlineLevel="1">
      <c r="A328" s="659"/>
      <c r="B328" s="246"/>
      <c r="C328" s="246"/>
      <c r="D328" s="253"/>
      <c r="E328" s="243"/>
      <c r="F328" s="193"/>
      <c r="G328" s="243"/>
      <c r="H328" s="670"/>
      <c r="I328" s="670"/>
      <c r="J328" s="670"/>
      <c r="K328" s="670"/>
      <c r="L328" s="243"/>
      <c r="M328" s="193"/>
      <c r="N328" s="243"/>
      <c r="O328" s="671"/>
      <c r="P328" s="671"/>
      <c r="Q328" s="671"/>
      <c r="R328" s="671"/>
      <c r="S328" s="243"/>
      <c r="T328" s="193"/>
    </row>
    <row r="329" spans="1:20" s="238" customFormat="1" outlineLevel="1">
      <c r="A329" s="238" t="s">
        <v>904</v>
      </c>
      <c r="B329" s="239" t="s">
        <v>905</v>
      </c>
      <c r="C329" s="239"/>
      <c r="D329" s="239"/>
      <c r="E329" s="236"/>
      <c r="F329" s="254"/>
      <c r="G329" s="236"/>
      <c r="H329" s="240">
        <f>COUNTA(H330:H332)</f>
        <v>3</v>
      </c>
      <c r="I329" s="240"/>
      <c r="J329" s="240"/>
      <c r="K329" s="240"/>
      <c r="L329" s="236"/>
      <c r="M329" s="254"/>
      <c r="N329" s="236"/>
      <c r="O329" s="265">
        <f>SUM(O330:O332)</f>
        <v>0.1573576176</v>
      </c>
      <c r="P329" s="265"/>
      <c r="Q329" s="265"/>
      <c r="R329" s="265"/>
      <c r="S329" s="236"/>
      <c r="T329" s="254"/>
    </row>
    <row r="330" spans="1:20" outlineLevel="2">
      <c r="A330" s="665"/>
      <c r="B330" s="233"/>
      <c r="C330" s="666" t="s">
        <v>893</v>
      </c>
      <c r="D330" s="667" t="s">
        <v>18</v>
      </c>
      <c r="E330" s="236"/>
      <c r="F330" s="254"/>
      <c r="G330" s="236"/>
      <c r="H330" s="688" t="s">
        <v>906</v>
      </c>
      <c r="I330" s="688"/>
      <c r="J330" s="688"/>
      <c r="K330" s="688"/>
      <c r="L330" s="236"/>
      <c r="M330" s="254"/>
      <c r="N330" s="236"/>
      <c r="O330" s="288">
        <v>9.6000000000000002E-2</v>
      </c>
      <c r="P330" s="288"/>
      <c r="Q330" s="288"/>
      <c r="R330" s="288"/>
      <c r="S330" s="236"/>
      <c r="T330" s="254"/>
    </row>
    <row r="331" spans="1:20" outlineLevel="2">
      <c r="A331" s="665"/>
      <c r="B331" s="233"/>
      <c r="C331" s="666" t="s">
        <v>893</v>
      </c>
      <c r="D331" s="667" t="s">
        <v>18</v>
      </c>
      <c r="E331" s="236"/>
      <c r="F331" s="254"/>
      <c r="G331" s="236"/>
      <c r="H331" s="688" t="s">
        <v>907</v>
      </c>
      <c r="I331" s="688"/>
      <c r="J331" s="688"/>
      <c r="K331" s="688"/>
      <c r="L331" s="236"/>
      <c r="M331" s="254"/>
      <c r="N331" s="236"/>
      <c r="O331" s="689">
        <v>6.1357617600000004E-2</v>
      </c>
      <c r="P331" s="689"/>
      <c r="Q331" s="689"/>
      <c r="R331" s="689"/>
      <c r="S331" s="236"/>
      <c r="T331" s="254"/>
    </row>
    <row r="332" spans="1:20" outlineLevel="2">
      <c r="A332" s="665"/>
      <c r="B332" s="233"/>
      <c r="C332" s="666" t="s">
        <v>893</v>
      </c>
      <c r="D332" s="667" t="s">
        <v>18</v>
      </c>
      <c r="E332" s="236"/>
      <c r="F332" s="254"/>
      <c r="G332" s="236"/>
      <c r="H332" s="261" t="s">
        <v>908</v>
      </c>
      <c r="I332" s="261"/>
      <c r="J332" s="261"/>
      <c r="K332" s="261"/>
      <c r="L332" s="236"/>
      <c r="M332" s="254"/>
      <c r="N332" s="236"/>
      <c r="O332" s="689"/>
      <c r="P332" s="689"/>
      <c r="Q332" s="689"/>
      <c r="R332" s="689"/>
      <c r="S332" s="236"/>
      <c r="T332" s="254"/>
    </row>
    <row r="333" spans="1:20" ht="3" customHeight="1" outlineLevel="1">
      <c r="A333" s="659"/>
      <c r="B333" s="246"/>
      <c r="C333" s="246"/>
      <c r="D333" s="253"/>
      <c r="E333" s="243"/>
      <c r="F333" s="193"/>
      <c r="G333" s="243"/>
      <c r="H333" s="670"/>
      <c r="I333" s="670"/>
      <c r="J333" s="670"/>
      <c r="K333" s="670"/>
      <c r="L333" s="243"/>
      <c r="M333" s="193"/>
      <c r="N333" s="243"/>
      <c r="O333" s="671"/>
      <c r="P333" s="671"/>
      <c r="Q333" s="671"/>
      <c r="R333" s="671"/>
      <c r="S333" s="243"/>
      <c r="T333" s="193"/>
    </row>
    <row r="334" spans="1:20" s="238" customFormat="1" outlineLevel="1">
      <c r="B334" s="239" t="s">
        <v>909</v>
      </c>
      <c r="C334" s="239"/>
      <c r="D334" s="239"/>
      <c r="E334" s="236"/>
      <c r="F334" s="254"/>
      <c r="G334" s="236"/>
      <c r="H334" s="240">
        <f>COUNTA(H335:H337)</f>
        <v>3</v>
      </c>
      <c r="I334" s="240"/>
      <c r="J334" s="240"/>
      <c r="K334" s="240"/>
      <c r="L334" s="236"/>
      <c r="M334" s="254"/>
      <c r="N334" s="236"/>
      <c r="O334" s="265">
        <f>SUM(O335:O337)</f>
        <v>14.737506000000003</v>
      </c>
      <c r="P334" s="265"/>
      <c r="Q334" s="265"/>
      <c r="R334" s="265"/>
      <c r="S334" s="236"/>
      <c r="T334" s="254"/>
    </row>
    <row r="335" spans="1:20" outlineLevel="2">
      <c r="A335" s="665"/>
      <c r="B335" s="233"/>
      <c r="C335" s="234" t="s">
        <v>910</v>
      </c>
      <c r="D335" s="235" t="s">
        <v>18</v>
      </c>
      <c r="E335" s="236"/>
      <c r="F335" s="254"/>
      <c r="G335" s="236"/>
      <c r="H335" s="249" t="s">
        <v>334</v>
      </c>
      <c r="I335" s="249"/>
      <c r="J335" s="249"/>
      <c r="K335" s="249"/>
      <c r="L335" s="236"/>
      <c r="M335" s="254"/>
      <c r="N335" s="236"/>
      <c r="O335" s="673">
        <v>4.9125020000000008</v>
      </c>
      <c r="P335" s="673"/>
      <c r="Q335" s="673"/>
      <c r="R335" s="673"/>
      <c r="S335" s="236"/>
      <c r="T335" s="254"/>
    </row>
    <row r="336" spans="1:20" outlineLevel="2">
      <c r="A336" s="665"/>
      <c r="B336" s="233"/>
      <c r="C336" s="234" t="s">
        <v>910</v>
      </c>
      <c r="D336" s="235" t="s">
        <v>18</v>
      </c>
      <c r="E336" s="236"/>
      <c r="F336" s="254"/>
      <c r="G336" s="236"/>
      <c r="H336" s="249" t="s">
        <v>32</v>
      </c>
      <c r="I336" s="249"/>
      <c r="J336" s="249"/>
      <c r="K336" s="249"/>
      <c r="L336" s="236"/>
      <c r="M336" s="254"/>
      <c r="N336" s="236"/>
      <c r="O336" s="689">
        <v>4.9125020000000008</v>
      </c>
      <c r="P336" s="689"/>
      <c r="Q336" s="689"/>
      <c r="R336" s="689"/>
      <c r="S336" s="236"/>
      <c r="T336" s="254"/>
    </row>
    <row r="337" spans="1:27" outlineLevel="2">
      <c r="A337" s="665"/>
      <c r="B337" s="233"/>
      <c r="C337" s="234" t="s">
        <v>910</v>
      </c>
      <c r="D337" s="235" t="s">
        <v>18</v>
      </c>
      <c r="E337" s="236"/>
      <c r="F337" s="254"/>
      <c r="G337" s="236"/>
      <c r="H337" s="249" t="s">
        <v>33</v>
      </c>
      <c r="I337" s="249"/>
      <c r="J337" s="249"/>
      <c r="K337" s="249"/>
      <c r="L337" s="236"/>
      <c r="M337" s="254"/>
      <c r="N337" s="236"/>
      <c r="O337" s="689">
        <v>4.9125020000000008</v>
      </c>
      <c r="P337" s="689"/>
      <c r="Q337" s="689"/>
      <c r="R337" s="689"/>
      <c r="S337" s="236"/>
      <c r="T337" s="254"/>
      <c r="U337" s="659"/>
      <c r="V337" s="659"/>
      <c r="W337" s="659"/>
      <c r="X337" s="659"/>
      <c r="Y337" s="659"/>
      <c r="Z337" s="659"/>
      <c r="AA337" s="659"/>
    </row>
    <row r="338" spans="1:27" ht="3" customHeight="1" outlineLevel="1">
      <c r="A338" s="659"/>
      <c r="B338" s="246"/>
      <c r="C338" s="246"/>
      <c r="D338" s="253"/>
      <c r="E338" s="243"/>
      <c r="F338" s="193"/>
      <c r="G338" s="243"/>
      <c r="H338" s="670"/>
      <c r="I338" s="670"/>
      <c r="J338" s="670"/>
      <c r="K338" s="670"/>
      <c r="L338" s="243"/>
      <c r="M338" s="193"/>
      <c r="N338" s="243"/>
      <c r="O338" s="671"/>
      <c r="P338" s="671"/>
      <c r="Q338" s="671"/>
      <c r="R338" s="671"/>
      <c r="S338" s="243"/>
      <c r="T338" s="193"/>
      <c r="U338" s="659"/>
      <c r="V338" s="659"/>
      <c r="W338" s="659"/>
      <c r="X338" s="659"/>
      <c r="Y338" s="659"/>
      <c r="Z338" s="659"/>
      <c r="AA338" s="659"/>
    </row>
    <row r="339" spans="1:27" s="238" customFormat="1" outlineLevel="1">
      <c r="A339" s="238" t="s">
        <v>904</v>
      </c>
      <c r="B339" s="239" t="s">
        <v>911</v>
      </c>
      <c r="C339" s="239"/>
      <c r="D339" s="239"/>
      <c r="E339" s="236"/>
      <c r="F339" s="254"/>
      <c r="G339" s="236"/>
      <c r="H339" s="240">
        <f>COUNTA(H340:H342)</f>
        <v>3</v>
      </c>
      <c r="I339" s="240"/>
      <c r="J339" s="240"/>
      <c r="K339" s="240"/>
      <c r="L339" s="236"/>
      <c r="M339" s="254"/>
      <c r="N339" s="236"/>
      <c r="O339" s="265">
        <f>SUM(O340:O342)</f>
        <v>0</v>
      </c>
      <c r="P339" s="265"/>
      <c r="Q339" s="265"/>
      <c r="R339" s="265"/>
      <c r="S339" s="236"/>
      <c r="T339" s="254"/>
    </row>
    <row r="340" spans="1:27" outlineLevel="2">
      <c r="A340" s="665"/>
      <c r="B340" s="660"/>
      <c r="C340" s="234" t="s">
        <v>912</v>
      </c>
      <c r="D340" s="235" t="s">
        <v>18</v>
      </c>
      <c r="E340" s="236"/>
      <c r="F340" s="254"/>
      <c r="G340" s="236"/>
      <c r="H340" s="677" t="s">
        <v>334</v>
      </c>
      <c r="I340" s="677"/>
      <c r="J340" s="677"/>
      <c r="K340" s="677"/>
      <c r="L340" s="236"/>
      <c r="M340" s="254"/>
      <c r="N340" s="236"/>
      <c r="O340" s="284"/>
      <c r="P340" s="284"/>
      <c r="Q340" s="284"/>
      <c r="R340" s="284"/>
      <c r="S340" s="236"/>
      <c r="T340" s="254"/>
      <c r="U340" s="659"/>
      <c r="V340" s="659"/>
      <c r="W340" s="659"/>
      <c r="X340" s="659"/>
      <c r="Y340" s="659"/>
      <c r="Z340" s="659"/>
      <c r="AA340" s="659"/>
    </row>
    <row r="341" spans="1:27" outlineLevel="2">
      <c r="A341" s="665"/>
      <c r="B341" s="660"/>
      <c r="C341" s="234" t="s">
        <v>912</v>
      </c>
      <c r="D341" s="235" t="s">
        <v>18</v>
      </c>
      <c r="E341" s="236"/>
      <c r="F341" s="254"/>
      <c r="G341" s="236"/>
      <c r="H341" s="690" t="s">
        <v>841</v>
      </c>
      <c r="I341" s="690"/>
      <c r="J341" s="690"/>
      <c r="K341" s="690"/>
      <c r="L341" s="236"/>
      <c r="M341" s="254"/>
      <c r="N341" s="236"/>
      <c r="O341" s="284"/>
      <c r="P341" s="284"/>
      <c r="Q341" s="284"/>
      <c r="R341" s="284"/>
      <c r="S341" s="236"/>
      <c r="T341" s="254"/>
      <c r="U341" s="659"/>
      <c r="V341" s="659"/>
      <c r="W341" s="659"/>
      <c r="X341" s="659"/>
      <c r="Y341" s="659"/>
      <c r="Z341" s="659"/>
      <c r="AA341" s="659"/>
    </row>
    <row r="342" spans="1:27" outlineLevel="2">
      <c r="A342" s="665"/>
      <c r="B342" s="660"/>
      <c r="C342" s="234" t="s">
        <v>912</v>
      </c>
      <c r="D342" s="235" t="s">
        <v>18</v>
      </c>
      <c r="E342" s="236"/>
      <c r="F342" s="254"/>
      <c r="G342" s="236"/>
      <c r="H342" s="690" t="s">
        <v>33</v>
      </c>
      <c r="I342" s="690"/>
      <c r="J342" s="690"/>
      <c r="K342" s="690"/>
      <c r="L342" s="236"/>
      <c r="M342" s="254"/>
      <c r="N342" s="236"/>
      <c r="O342" s="284"/>
      <c r="P342" s="284"/>
      <c r="Q342" s="284"/>
      <c r="R342" s="284"/>
      <c r="S342" s="236"/>
      <c r="T342" s="254"/>
      <c r="U342" s="659"/>
      <c r="V342" s="659"/>
      <c r="W342" s="659"/>
      <c r="X342" s="659"/>
      <c r="Y342" s="659"/>
      <c r="Z342" s="659"/>
      <c r="AA342" s="659"/>
    </row>
    <row r="343" spans="1:27" ht="3" customHeight="1" outlineLevel="1">
      <c r="A343" s="665"/>
      <c r="B343" s="660"/>
      <c r="C343" s="234"/>
      <c r="D343" s="235"/>
      <c r="E343" s="236"/>
      <c r="F343" s="254"/>
      <c r="G343" s="236"/>
      <c r="H343" s="289"/>
      <c r="I343" s="289"/>
      <c r="J343" s="289"/>
      <c r="K343" s="289"/>
      <c r="L343" s="236"/>
      <c r="M343" s="254"/>
      <c r="N343" s="236"/>
      <c r="O343" s="284"/>
      <c r="P343" s="284"/>
      <c r="Q343" s="284"/>
      <c r="R343" s="284"/>
      <c r="S343" s="236"/>
      <c r="T343" s="254"/>
      <c r="U343" s="659"/>
      <c r="V343" s="659"/>
      <c r="W343" s="659"/>
      <c r="X343" s="659"/>
      <c r="Y343" s="659"/>
      <c r="Z343" s="659"/>
      <c r="AA343" s="659"/>
    </row>
    <row r="344" spans="1:27" s="238" customFormat="1" outlineLevel="1">
      <c r="A344" s="238" t="s">
        <v>904</v>
      </c>
      <c r="B344" s="239" t="s">
        <v>913</v>
      </c>
      <c r="C344" s="239"/>
      <c r="D344" s="239"/>
      <c r="E344" s="236"/>
      <c r="F344" s="254"/>
      <c r="G344" s="236"/>
      <c r="H344" s="240">
        <f>COUNTA(H345:H348)</f>
        <v>3</v>
      </c>
      <c r="I344" s="240"/>
      <c r="J344" s="240"/>
      <c r="K344" s="240"/>
      <c r="L344" s="236"/>
      <c r="M344" s="254"/>
      <c r="N344" s="236"/>
      <c r="O344" s="265">
        <f>SUM(O345:O348)</f>
        <v>0</v>
      </c>
      <c r="P344" s="265"/>
      <c r="Q344" s="265"/>
      <c r="R344" s="265"/>
      <c r="S344" s="236"/>
      <c r="T344" s="254"/>
    </row>
    <row r="345" spans="1:27" outlineLevel="2">
      <c r="A345" s="665"/>
      <c r="B345" s="660"/>
      <c r="C345" s="234" t="s">
        <v>914</v>
      </c>
      <c r="D345" s="235" t="s">
        <v>18</v>
      </c>
      <c r="E345" s="236"/>
      <c r="F345" s="254"/>
      <c r="G345" s="236"/>
      <c r="H345" s="677" t="s">
        <v>334</v>
      </c>
      <c r="I345" s="677"/>
      <c r="J345" s="677"/>
      <c r="K345" s="677"/>
      <c r="L345" s="236"/>
      <c r="M345" s="254"/>
      <c r="N345" s="236"/>
      <c r="O345" s="284"/>
      <c r="P345" s="284"/>
      <c r="Q345" s="284"/>
      <c r="R345" s="284"/>
      <c r="S345" s="236"/>
      <c r="T345" s="254"/>
      <c r="U345" s="659"/>
      <c r="V345" s="659"/>
      <c r="W345" s="659"/>
      <c r="X345" s="659"/>
      <c r="Y345" s="659"/>
      <c r="Z345" s="659"/>
      <c r="AA345" s="659"/>
    </row>
    <row r="346" spans="1:27" outlineLevel="2">
      <c r="A346" s="665"/>
      <c r="B346" s="660"/>
      <c r="C346" s="234" t="s">
        <v>914</v>
      </c>
      <c r="D346" s="235" t="s">
        <v>18</v>
      </c>
      <c r="E346" s="236"/>
      <c r="F346" s="254"/>
      <c r="G346" s="236"/>
      <c r="H346" s="690" t="s">
        <v>841</v>
      </c>
      <c r="I346" s="690"/>
      <c r="J346" s="690"/>
      <c r="K346" s="690"/>
      <c r="L346" s="236"/>
      <c r="M346" s="254"/>
      <c r="N346" s="236"/>
      <c r="O346" s="284"/>
      <c r="P346" s="284"/>
      <c r="Q346" s="284"/>
      <c r="R346" s="284"/>
      <c r="S346" s="236"/>
      <c r="T346" s="254"/>
      <c r="U346" s="659"/>
      <c r="V346" s="659"/>
      <c r="W346" s="659"/>
      <c r="X346" s="659"/>
      <c r="Y346" s="659"/>
      <c r="Z346" s="659"/>
      <c r="AA346" s="659"/>
    </row>
    <row r="347" spans="1:27" outlineLevel="2">
      <c r="A347" s="665"/>
      <c r="B347" s="660"/>
      <c r="C347" s="234" t="s">
        <v>914</v>
      </c>
      <c r="D347" s="235" t="s">
        <v>18</v>
      </c>
      <c r="E347" s="236"/>
      <c r="F347" s="254"/>
      <c r="G347" s="236"/>
      <c r="H347" s="690" t="s">
        <v>33</v>
      </c>
      <c r="I347" s="690"/>
      <c r="J347" s="690"/>
      <c r="K347" s="690"/>
      <c r="L347" s="236"/>
      <c r="M347" s="254"/>
      <c r="N347" s="236"/>
      <c r="O347" s="284"/>
      <c r="P347" s="284"/>
      <c r="Q347" s="284"/>
      <c r="R347" s="284"/>
      <c r="S347" s="236"/>
      <c r="T347" s="254"/>
      <c r="U347" s="659"/>
      <c r="V347" s="659"/>
      <c r="W347" s="659"/>
      <c r="X347" s="659"/>
      <c r="Y347" s="659"/>
      <c r="Z347" s="659"/>
      <c r="AA347" s="659"/>
    </row>
    <row r="348" spans="1:27" outlineLevel="2">
      <c r="A348" s="665"/>
      <c r="B348" s="660"/>
      <c r="C348" s="234" t="s">
        <v>914</v>
      </c>
      <c r="D348" s="235" t="s">
        <v>18</v>
      </c>
      <c r="E348" s="236"/>
      <c r="F348" s="254"/>
      <c r="G348" s="236"/>
      <c r="H348" s="690"/>
      <c r="I348" s="690"/>
      <c r="J348" s="690"/>
      <c r="K348" s="690"/>
      <c r="L348" s="236"/>
      <c r="M348" s="254"/>
      <c r="N348" s="236"/>
      <c r="O348" s="284"/>
      <c r="P348" s="284"/>
      <c r="Q348" s="284"/>
      <c r="R348" s="284"/>
      <c r="S348" s="236"/>
      <c r="T348" s="254"/>
      <c r="U348" s="659"/>
      <c r="V348" s="659"/>
      <c r="W348" s="659"/>
      <c r="X348" s="659"/>
      <c r="Y348" s="659"/>
      <c r="Z348" s="659"/>
      <c r="AA348" s="659"/>
    </row>
    <row r="349" spans="1:27" ht="3" customHeight="1" outlineLevel="1">
      <c r="A349" s="665"/>
      <c r="B349" s="660"/>
      <c r="C349" s="234"/>
      <c r="D349" s="235"/>
      <c r="E349" s="236"/>
      <c r="F349" s="254"/>
      <c r="G349" s="236"/>
      <c r="H349" s="289"/>
      <c r="I349" s="289"/>
      <c r="J349" s="289"/>
      <c r="K349" s="289"/>
      <c r="L349" s="236"/>
      <c r="M349" s="254"/>
      <c r="N349" s="236"/>
      <c r="O349" s="284"/>
      <c r="P349" s="284"/>
      <c r="Q349" s="284"/>
      <c r="R349" s="284"/>
      <c r="S349" s="236"/>
      <c r="T349" s="254"/>
      <c r="U349" s="659"/>
      <c r="V349" s="659"/>
      <c r="W349" s="659"/>
      <c r="X349" s="659"/>
      <c r="Y349" s="659"/>
      <c r="Z349" s="659"/>
      <c r="AA349" s="659"/>
    </row>
    <row r="350" spans="1:27" s="238" customFormat="1" outlineLevel="1">
      <c r="A350" s="238" t="s">
        <v>904</v>
      </c>
      <c r="B350" s="239" t="s">
        <v>915</v>
      </c>
      <c r="C350" s="239"/>
      <c r="D350" s="239"/>
      <c r="E350" s="236"/>
      <c r="F350" s="254"/>
      <c r="G350" s="236"/>
      <c r="H350" s="240">
        <f>COUNTA(H351:H352)</f>
        <v>2</v>
      </c>
      <c r="I350" s="240"/>
      <c r="J350" s="240"/>
      <c r="K350" s="240"/>
      <c r="L350" s="236"/>
      <c r="M350" s="254"/>
      <c r="N350" s="236"/>
      <c r="O350" s="265">
        <f>SUM(O352:O352)</f>
        <v>0</v>
      </c>
      <c r="P350" s="265"/>
      <c r="Q350" s="265"/>
      <c r="R350" s="265"/>
      <c r="S350" s="236"/>
      <c r="T350" s="254"/>
    </row>
    <row r="351" spans="1:27" s="337" customFormat="1" outlineLevel="2" collapsed="1">
      <c r="A351" s="659"/>
      <c r="B351" s="246"/>
      <c r="C351" s="246" t="s">
        <v>526</v>
      </c>
      <c r="D351" s="667" t="s">
        <v>18</v>
      </c>
      <c r="E351" s="236"/>
      <c r="F351" s="254"/>
      <c r="G351" s="236"/>
      <c r="H351" s="691" t="s">
        <v>334</v>
      </c>
      <c r="I351" s="691"/>
      <c r="J351" s="691"/>
      <c r="K351" s="691"/>
      <c r="L351" s="236"/>
      <c r="M351" s="254"/>
      <c r="N351" s="236"/>
      <c r="O351" s="663"/>
      <c r="P351" s="663"/>
      <c r="Q351" s="663"/>
      <c r="R351" s="663"/>
      <c r="S351" s="236"/>
      <c r="T351" s="254"/>
      <c r="U351" s="659"/>
      <c r="V351" s="659"/>
      <c r="W351" s="659"/>
      <c r="X351" s="659"/>
      <c r="Y351" s="659"/>
      <c r="Z351" s="659"/>
      <c r="AA351" s="659"/>
    </row>
    <row r="352" spans="1:27" outlineLevel="2">
      <c r="A352" s="659"/>
      <c r="B352" s="246"/>
      <c r="C352" s="246" t="s">
        <v>526</v>
      </c>
      <c r="D352" s="667" t="s">
        <v>18</v>
      </c>
      <c r="E352" s="236"/>
      <c r="F352" s="254"/>
      <c r="G352" s="236"/>
      <c r="H352" s="691" t="s">
        <v>916</v>
      </c>
      <c r="I352" s="691"/>
      <c r="J352" s="691"/>
      <c r="K352" s="691"/>
      <c r="L352" s="236"/>
      <c r="M352" s="254"/>
      <c r="N352" s="236"/>
      <c r="O352" s="663"/>
      <c r="P352" s="663"/>
      <c r="Q352" s="663"/>
      <c r="R352" s="663"/>
      <c r="S352" s="236"/>
      <c r="T352" s="254"/>
      <c r="U352" s="659"/>
      <c r="V352" s="659"/>
      <c r="W352" s="659"/>
      <c r="X352" s="659"/>
      <c r="Y352" s="659"/>
      <c r="Z352" s="659"/>
      <c r="AA352" s="659"/>
    </row>
    <row r="353" spans="1:20" ht="3" customHeight="1">
      <c r="A353" s="659"/>
      <c r="B353" s="246"/>
      <c r="C353" s="246"/>
      <c r="D353" s="253"/>
      <c r="E353" s="243"/>
      <c r="F353" s="193"/>
      <c r="G353" s="243"/>
      <c r="H353" s="670"/>
      <c r="I353" s="670"/>
      <c r="J353" s="670"/>
      <c r="K353" s="670"/>
      <c r="L353" s="243"/>
      <c r="M353" s="193"/>
      <c r="N353" s="243"/>
      <c r="O353" s="671"/>
      <c r="P353" s="671"/>
      <c r="Q353" s="671"/>
      <c r="R353" s="671"/>
      <c r="S353" s="243"/>
      <c r="T353" s="193"/>
    </row>
    <row r="354" spans="1:20" s="232" customFormat="1" ht="15.6">
      <c r="A354" s="225"/>
      <c r="B354" s="226" t="s">
        <v>649</v>
      </c>
      <c r="C354" s="227" t="s">
        <v>917</v>
      </c>
      <c r="D354" s="228" t="s">
        <v>18</v>
      </c>
      <c r="E354" s="229"/>
      <c r="F354" s="230"/>
      <c r="G354" s="229"/>
      <c r="H354" s="231">
        <f>SUM(H356,H359,H375,H379,H392,H368,H386,H371,H383,H399)</f>
        <v>45</v>
      </c>
      <c r="I354" s="231"/>
      <c r="J354" s="231"/>
      <c r="K354" s="231"/>
      <c r="L354" s="229"/>
      <c r="M354" s="230"/>
      <c r="N354" s="229"/>
      <c r="O354" s="350">
        <f>SUM(O356,O359,O375,O379,O392,O368,O386,O371,O383,O399)</f>
        <v>0.61038393090855869</v>
      </c>
      <c r="P354" s="350"/>
      <c r="Q354" s="350"/>
      <c r="R354" s="350"/>
      <c r="S354" s="229"/>
      <c r="T354" s="230"/>
    </row>
    <row r="355" spans="1:20" ht="3" customHeight="1" outlineLevel="1" collapsed="1">
      <c r="A355" s="665"/>
      <c r="B355" s="233"/>
      <c r="C355" s="234"/>
      <c r="D355" s="235"/>
      <c r="E355" s="236"/>
      <c r="F355" s="193"/>
      <c r="G355" s="236"/>
      <c r="H355" s="237"/>
      <c r="I355" s="237"/>
      <c r="J355" s="237"/>
      <c r="K355" s="237"/>
      <c r="L355" s="296"/>
      <c r="M355" s="297"/>
      <c r="N355" s="296"/>
      <c r="O355" s="351"/>
      <c r="P355" s="351"/>
      <c r="Q355" s="351"/>
      <c r="R355" s="351"/>
      <c r="S355" s="296"/>
      <c r="T355" s="193"/>
    </row>
    <row r="356" spans="1:20" s="238" customFormat="1" ht="15.6" outlineLevel="1">
      <c r="B356" s="239" t="s">
        <v>918</v>
      </c>
      <c r="C356" s="239"/>
      <c r="D356" s="239"/>
      <c r="E356" s="236"/>
      <c r="F356" s="193"/>
      <c r="G356" s="236"/>
      <c r="H356" s="240"/>
      <c r="I356" s="240"/>
      <c r="J356" s="240"/>
      <c r="K356" s="240"/>
      <c r="L356" s="296"/>
      <c r="M356" s="297"/>
      <c r="N356" s="296"/>
      <c r="O356" s="265"/>
      <c r="P356" s="265"/>
      <c r="Q356" s="265"/>
      <c r="R356" s="265"/>
      <c r="S356" s="296"/>
      <c r="T356" s="193"/>
    </row>
    <row r="357" spans="1:20" ht="15.6" outlineLevel="2">
      <c r="A357" s="659"/>
      <c r="B357" s="246"/>
      <c r="C357" s="246" t="s">
        <v>919</v>
      </c>
      <c r="D357" s="253" t="s">
        <v>18</v>
      </c>
      <c r="E357" s="262"/>
      <c r="F357" s="193"/>
      <c r="G357" s="262"/>
      <c r="H357" s="669" t="s">
        <v>920</v>
      </c>
      <c r="I357" s="669"/>
      <c r="J357" s="669"/>
      <c r="K357" s="669"/>
      <c r="L357" s="296"/>
      <c r="M357" s="297"/>
      <c r="N357" s="296"/>
      <c r="O357" s="673">
        <v>0.12878000000000001</v>
      </c>
      <c r="P357" s="673"/>
      <c r="Q357" s="673"/>
      <c r="R357" s="673"/>
      <c r="S357" s="296"/>
      <c r="T357" s="193"/>
    </row>
    <row r="358" spans="1:20" ht="3" customHeight="1" outlineLevel="1">
      <c r="A358" s="659"/>
      <c r="B358" s="246"/>
      <c r="C358" s="246"/>
      <c r="D358" s="246"/>
      <c r="E358" s="236"/>
      <c r="F358" s="193"/>
      <c r="G358" s="236"/>
      <c r="H358" s="670"/>
      <c r="I358" s="670"/>
      <c r="J358" s="670"/>
      <c r="K358" s="670"/>
      <c r="L358" s="296"/>
      <c r="M358" s="297"/>
      <c r="N358" s="296"/>
      <c r="O358" s="671"/>
      <c r="P358" s="671"/>
      <c r="Q358" s="671"/>
      <c r="R358" s="671"/>
      <c r="S358" s="296"/>
      <c r="T358" s="193"/>
    </row>
    <row r="359" spans="1:20" s="238" customFormat="1" ht="15.6" outlineLevel="1">
      <c r="B359" s="239" t="s">
        <v>921</v>
      </c>
      <c r="C359" s="239"/>
      <c r="D359" s="239"/>
      <c r="E359" s="236"/>
      <c r="F359" s="193"/>
      <c r="G359" s="236"/>
      <c r="H359" s="240">
        <f>COUNTA(H360:H366)</f>
        <v>7</v>
      </c>
      <c r="I359" s="240"/>
      <c r="J359" s="240"/>
      <c r="K359" s="240"/>
      <c r="L359" s="296"/>
      <c r="M359" s="297"/>
      <c r="N359" s="296"/>
      <c r="O359" s="265">
        <f t="shared" ref="O359" si="2">SUM(O360:O365)</f>
        <v>0</v>
      </c>
      <c r="P359" s="265"/>
      <c r="Q359" s="265"/>
      <c r="R359" s="265"/>
      <c r="S359" s="296"/>
      <c r="T359" s="193"/>
    </row>
    <row r="360" spans="1:20" ht="15.6" outlineLevel="2">
      <c r="A360" s="659"/>
      <c r="B360" s="246"/>
      <c r="C360" s="246" t="s">
        <v>922</v>
      </c>
      <c r="D360" s="253" t="s">
        <v>18</v>
      </c>
      <c r="E360" s="262"/>
      <c r="F360" s="193"/>
      <c r="G360" s="262"/>
      <c r="H360" s="669" t="s">
        <v>923</v>
      </c>
      <c r="I360" s="669"/>
      <c r="J360" s="669"/>
      <c r="K360" s="669"/>
      <c r="L360" s="296"/>
      <c r="M360" s="297"/>
      <c r="N360" s="296"/>
      <c r="O360" s="673"/>
      <c r="P360" s="673"/>
      <c r="Q360" s="673"/>
      <c r="R360" s="673"/>
      <c r="S360" s="296"/>
      <c r="T360" s="193"/>
    </row>
    <row r="361" spans="1:20" ht="15.6" outlineLevel="2">
      <c r="A361" s="659"/>
      <c r="B361" s="246"/>
      <c r="C361" s="246" t="s">
        <v>922</v>
      </c>
      <c r="D361" s="253" t="s">
        <v>18</v>
      </c>
      <c r="E361" s="262"/>
      <c r="F361" s="193"/>
      <c r="G361" s="262"/>
      <c r="H361" s="669" t="s">
        <v>924</v>
      </c>
      <c r="I361" s="669"/>
      <c r="J361" s="669"/>
      <c r="K361" s="669"/>
      <c r="L361" s="296"/>
      <c r="M361" s="297"/>
      <c r="N361" s="296"/>
      <c r="O361" s="673"/>
      <c r="P361" s="673"/>
      <c r="Q361" s="673"/>
      <c r="R361" s="673"/>
      <c r="S361" s="296"/>
      <c r="T361" s="193"/>
    </row>
    <row r="362" spans="1:20" ht="15.6" outlineLevel="2">
      <c r="A362" s="659"/>
      <c r="B362" s="246"/>
      <c r="C362" s="246" t="s">
        <v>922</v>
      </c>
      <c r="D362" s="253" t="s">
        <v>18</v>
      </c>
      <c r="E362" s="262"/>
      <c r="F362" s="193"/>
      <c r="G362" s="262"/>
      <c r="H362" s="669" t="s">
        <v>925</v>
      </c>
      <c r="I362" s="669"/>
      <c r="J362" s="669"/>
      <c r="K362" s="669"/>
      <c r="L362" s="296"/>
      <c r="M362" s="297"/>
      <c r="N362" s="296"/>
      <c r="O362" s="673"/>
      <c r="P362" s="673"/>
      <c r="Q362" s="673"/>
      <c r="R362" s="673"/>
      <c r="S362" s="296"/>
      <c r="T362" s="193"/>
    </row>
    <row r="363" spans="1:20" ht="15.6" outlineLevel="2">
      <c r="A363" s="659"/>
      <c r="B363" s="246"/>
      <c r="C363" s="246" t="s">
        <v>922</v>
      </c>
      <c r="D363" s="253" t="s">
        <v>18</v>
      </c>
      <c r="E363" s="262"/>
      <c r="F363" s="193"/>
      <c r="G363" s="262"/>
      <c r="H363" s="669" t="s">
        <v>926</v>
      </c>
      <c r="I363" s="669"/>
      <c r="J363" s="669"/>
      <c r="K363" s="669"/>
      <c r="L363" s="296"/>
      <c r="M363" s="297"/>
      <c r="N363" s="296"/>
      <c r="O363" s="673"/>
      <c r="P363" s="673"/>
      <c r="Q363" s="673"/>
      <c r="R363" s="673"/>
      <c r="S363" s="296"/>
      <c r="T363" s="193"/>
    </row>
    <row r="364" spans="1:20" ht="15.6" outlineLevel="2">
      <c r="A364" s="659"/>
      <c r="B364" s="246"/>
      <c r="C364" s="246" t="s">
        <v>922</v>
      </c>
      <c r="D364" s="253" t="s">
        <v>18</v>
      </c>
      <c r="E364" s="262"/>
      <c r="F364" s="193"/>
      <c r="G364" s="262"/>
      <c r="H364" s="669" t="s">
        <v>927</v>
      </c>
      <c r="I364" s="669"/>
      <c r="J364" s="669"/>
      <c r="K364" s="669"/>
      <c r="L364" s="296"/>
      <c r="M364" s="297"/>
      <c r="N364" s="296"/>
      <c r="O364" s="673"/>
      <c r="P364" s="673"/>
      <c r="Q364" s="673"/>
      <c r="R364" s="673"/>
      <c r="S364" s="296"/>
      <c r="T364" s="193"/>
    </row>
    <row r="365" spans="1:20" ht="15.6" outlineLevel="2">
      <c r="A365" s="659"/>
      <c r="B365" s="246"/>
      <c r="C365" s="246" t="s">
        <v>922</v>
      </c>
      <c r="D365" s="253" t="s">
        <v>18</v>
      </c>
      <c r="E365" s="262"/>
      <c r="F365" s="193"/>
      <c r="G365" s="262"/>
      <c r="H365" s="669" t="s">
        <v>928</v>
      </c>
      <c r="I365" s="669"/>
      <c r="J365" s="669"/>
      <c r="K365" s="669"/>
      <c r="L365" s="296"/>
      <c r="M365" s="297"/>
      <c r="N365" s="296"/>
      <c r="O365" s="673"/>
      <c r="P365" s="673"/>
      <c r="Q365" s="673"/>
      <c r="R365" s="673"/>
      <c r="S365" s="296"/>
      <c r="T365" s="193"/>
    </row>
    <row r="366" spans="1:20" ht="15.6" outlineLevel="2">
      <c r="A366" s="659"/>
      <c r="B366" s="246"/>
      <c r="C366" s="246" t="s">
        <v>922</v>
      </c>
      <c r="D366" s="253" t="s">
        <v>18</v>
      </c>
      <c r="E366" s="262"/>
      <c r="F366" s="193"/>
      <c r="G366" s="262"/>
      <c r="H366" s="669" t="s">
        <v>929</v>
      </c>
      <c r="I366" s="669"/>
      <c r="J366" s="669"/>
      <c r="K366" s="669"/>
      <c r="L366" s="296"/>
      <c r="M366" s="297"/>
      <c r="N366" s="296"/>
      <c r="O366" s="673"/>
      <c r="P366" s="673"/>
      <c r="Q366" s="673"/>
      <c r="R366" s="673"/>
      <c r="S366" s="296"/>
      <c r="T366" s="193"/>
    </row>
    <row r="367" spans="1:20" ht="3" customHeight="1" outlineLevel="1">
      <c r="A367" s="659"/>
      <c r="B367" s="246"/>
      <c r="C367" s="246"/>
      <c r="D367" s="246"/>
      <c r="E367" s="236"/>
      <c r="F367" s="193"/>
      <c r="G367" s="236"/>
      <c r="H367" s="670"/>
      <c r="I367" s="670"/>
      <c r="J367" s="670"/>
      <c r="K367" s="670"/>
      <c r="L367" s="296"/>
      <c r="M367" s="297"/>
      <c r="N367" s="296"/>
      <c r="O367" s="671"/>
      <c r="P367" s="671"/>
      <c r="Q367" s="671"/>
      <c r="R367" s="671"/>
      <c r="S367" s="296"/>
      <c r="T367" s="193"/>
    </row>
    <row r="368" spans="1:20" s="238" customFormat="1" ht="15.6" outlineLevel="1">
      <c r="B368" s="239" t="s">
        <v>930</v>
      </c>
      <c r="C368" s="239"/>
      <c r="D368" s="239"/>
      <c r="E368" s="236"/>
      <c r="F368" s="193"/>
      <c r="G368" s="236"/>
      <c r="H368" s="240"/>
      <c r="I368" s="240"/>
      <c r="J368" s="240"/>
      <c r="K368" s="240"/>
      <c r="L368" s="296"/>
      <c r="M368" s="297"/>
      <c r="N368" s="296"/>
      <c r="O368" s="265"/>
      <c r="P368" s="265"/>
      <c r="Q368" s="265"/>
      <c r="R368" s="265"/>
      <c r="S368" s="296"/>
      <c r="T368" s="193"/>
    </row>
    <row r="369" spans="1:27" ht="15.6" outlineLevel="2">
      <c r="A369" s="659"/>
      <c r="B369" s="246"/>
      <c r="C369" s="246" t="s">
        <v>931</v>
      </c>
      <c r="D369" s="253" t="s">
        <v>18</v>
      </c>
      <c r="E369" s="262"/>
      <c r="F369" s="193"/>
      <c r="G369" s="262"/>
      <c r="H369" s="692" t="s">
        <v>797</v>
      </c>
      <c r="I369" s="692"/>
      <c r="J369" s="692"/>
      <c r="K369" s="692"/>
      <c r="L369" s="296"/>
      <c r="M369" s="297"/>
      <c r="N369" s="296"/>
      <c r="O369" s="693">
        <v>3.5000000000000001E-3</v>
      </c>
      <c r="P369" s="693"/>
      <c r="Q369" s="693"/>
      <c r="R369" s="693"/>
      <c r="S369" s="296"/>
      <c r="T369" s="193"/>
      <c r="U369" s="659"/>
      <c r="V369" s="659"/>
      <c r="W369" s="659"/>
      <c r="X369" s="659"/>
      <c r="Y369" s="659"/>
      <c r="Z369" s="659"/>
      <c r="AA369" s="659"/>
    </row>
    <row r="370" spans="1:27" ht="3" customHeight="1" outlineLevel="1">
      <c r="A370" s="659"/>
      <c r="B370" s="246"/>
      <c r="C370" s="246"/>
      <c r="D370" s="246"/>
      <c r="E370" s="236"/>
      <c r="F370" s="193"/>
      <c r="G370" s="236"/>
      <c r="H370" s="670"/>
      <c r="I370" s="670"/>
      <c r="J370" s="670"/>
      <c r="K370" s="670"/>
      <c r="L370" s="296"/>
      <c r="M370" s="297"/>
      <c r="N370" s="296"/>
      <c r="O370" s="671"/>
      <c r="P370" s="671"/>
      <c r="Q370" s="671"/>
      <c r="R370" s="671"/>
      <c r="S370" s="296"/>
      <c r="T370" s="193"/>
      <c r="U370" s="659"/>
      <c r="V370" s="659"/>
      <c r="W370" s="659"/>
      <c r="X370" s="659"/>
      <c r="Y370" s="659"/>
      <c r="Z370" s="659"/>
      <c r="AA370" s="659"/>
    </row>
    <row r="371" spans="1:27" s="238" customFormat="1" ht="15.6" outlineLevel="1">
      <c r="B371" s="239" t="s">
        <v>932</v>
      </c>
      <c r="C371" s="239"/>
      <c r="D371" s="239"/>
      <c r="E371" s="236"/>
      <c r="F371" s="193"/>
      <c r="G371" s="236"/>
      <c r="H371" s="240">
        <f>COUNTA(H372:H373)</f>
        <v>2</v>
      </c>
      <c r="I371" s="240"/>
      <c r="J371" s="240"/>
      <c r="K371" s="240"/>
      <c r="L371" s="296"/>
      <c r="M371" s="297"/>
      <c r="N371" s="296"/>
      <c r="O371" s="265">
        <f>SUM(O372:O373)</f>
        <v>0.61038393090855869</v>
      </c>
      <c r="P371" s="265"/>
      <c r="Q371" s="265"/>
      <c r="R371" s="265"/>
      <c r="S371" s="296"/>
      <c r="T371" s="193"/>
    </row>
    <row r="372" spans="1:27" ht="15.6" outlineLevel="2">
      <c r="A372" s="659"/>
      <c r="B372" s="246"/>
      <c r="C372" s="246" t="s">
        <v>932</v>
      </c>
      <c r="D372" s="253" t="s">
        <v>18</v>
      </c>
      <c r="E372" s="262"/>
      <c r="F372" s="193"/>
      <c r="G372" s="262"/>
      <c r="H372" s="692" t="s">
        <v>933</v>
      </c>
      <c r="I372" s="692"/>
      <c r="J372" s="692"/>
      <c r="K372" s="692"/>
      <c r="L372" s="296"/>
      <c r="M372" s="297"/>
      <c r="N372" s="296"/>
      <c r="O372" s="693">
        <v>0.61038393090855869</v>
      </c>
      <c r="P372" s="693"/>
      <c r="Q372" s="693"/>
      <c r="R372" s="693"/>
      <c r="S372" s="296"/>
      <c r="T372" s="193"/>
      <c r="U372" s="659"/>
      <c r="V372" s="659"/>
      <c r="W372" s="659"/>
      <c r="X372" s="659"/>
      <c r="Y372" s="659"/>
      <c r="Z372" s="659"/>
      <c r="AA372" s="659"/>
    </row>
    <row r="373" spans="1:27" ht="15.6" outlineLevel="2">
      <c r="A373" s="659"/>
      <c r="B373" s="246"/>
      <c r="C373" s="246" t="s">
        <v>932</v>
      </c>
      <c r="D373" s="253" t="s">
        <v>18</v>
      </c>
      <c r="E373" s="262"/>
      <c r="F373" s="193"/>
      <c r="G373" s="262"/>
      <c r="H373" s="692" t="s">
        <v>934</v>
      </c>
      <c r="I373" s="692"/>
      <c r="J373" s="692"/>
      <c r="K373" s="692"/>
      <c r="L373" s="296"/>
      <c r="M373" s="297"/>
      <c r="N373" s="296"/>
      <c r="O373" s="693"/>
      <c r="P373" s="693"/>
      <c r="Q373" s="693"/>
      <c r="R373" s="693"/>
      <c r="S373" s="296"/>
      <c r="T373" s="193"/>
      <c r="U373" s="659"/>
      <c r="V373" s="659"/>
      <c r="W373" s="659"/>
      <c r="X373" s="659"/>
      <c r="Y373" s="659"/>
      <c r="Z373" s="659"/>
      <c r="AA373" s="659"/>
    </row>
    <row r="374" spans="1:27" ht="3" customHeight="1" outlineLevel="1">
      <c r="A374" s="659"/>
      <c r="B374" s="246"/>
      <c r="C374" s="246"/>
      <c r="D374" s="246"/>
      <c r="E374" s="236"/>
      <c r="F374" s="193"/>
      <c r="G374" s="236"/>
      <c r="H374" s="670"/>
      <c r="I374" s="670"/>
      <c r="J374" s="670"/>
      <c r="K374" s="670"/>
      <c r="L374" s="296"/>
      <c r="M374" s="297"/>
      <c r="N374" s="296"/>
      <c r="O374" s="671"/>
      <c r="P374" s="671"/>
      <c r="Q374" s="671"/>
      <c r="R374" s="671"/>
      <c r="S374" s="296"/>
      <c r="T374" s="193"/>
      <c r="U374" s="659"/>
      <c r="V374" s="659"/>
      <c r="W374" s="659"/>
      <c r="X374" s="659"/>
      <c r="Y374" s="659"/>
      <c r="Z374" s="659"/>
      <c r="AA374" s="659"/>
    </row>
    <row r="375" spans="1:27" s="238" customFormat="1" ht="15.6" outlineLevel="1">
      <c r="B375" s="239" t="s">
        <v>935</v>
      </c>
      <c r="C375" s="239"/>
      <c r="D375" s="239"/>
      <c r="E375" s="236"/>
      <c r="F375" s="193"/>
      <c r="G375" s="236"/>
      <c r="H375" s="240">
        <f>COUNTA(H376:H377)</f>
        <v>2</v>
      </c>
      <c r="I375" s="240"/>
      <c r="J375" s="240"/>
      <c r="K375" s="240"/>
      <c r="L375" s="296"/>
      <c r="M375" s="297"/>
      <c r="N375" s="296"/>
      <c r="O375" s="265">
        <f>SUM(O376:O377)</f>
        <v>0</v>
      </c>
      <c r="P375" s="265"/>
      <c r="Q375" s="265"/>
      <c r="R375" s="265"/>
      <c r="S375" s="296"/>
      <c r="T375" s="193"/>
    </row>
    <row r="376" spans="1:27" ht="15.6" outlineLevel="2">
      <c r="A376" s="659"/>
      <c r="B376" s="246"/>
      <c r="C376" s="246" t="s">
        <v>936</v>
      </c>
      <c r="D376" s="253" t="s">
        <v>18</v>
      </c>
      <c r="E376" s="262"/>
      <c r="F376" s="193"/>
      <c r="G376" s="262"/>
      <c r="H376" s="692" t="s">
        <v>334</v>
      </c>
      <c r="I376" s="692"/>
      <c r="J376" s="692"/>
      <c r="K376" s="692"/>
      <c r="L376" s="296"/>
      <c r="M376" s="297"/>
      <c r="N376" s="296"/>
      <c r="O376" s="693"/>
      <c r="P376" s="693"/>
      <c r="Q376" s="693"/>
      <c r="R376" s="693"/>
      <c r="S376" s="296"/>
      <c r="T376" s="193"/>
      <c r="U376" s="659"/>
      <c r="V376" s="659"/>
      <c r="W376" s="659"/>
      <c r="X376" s="659"/>
      <c r="Y376" s="659"/>
      <c r="Z376" s="659"/>
      <c r="AA376" s="659"/>
    </row>
    <row r="377" spans="1:27" ht="15.6" outlineLevel="2">
      <c r="A377" s="659"/>
      <c r="B377" s="246"/>
      <c r="C377" s="246" t="s">
        <v>936</v>
      </c>
      <c r="D377" s="253" t="s">
        <v>18</v>
      </c>
      <c r="E377" s="262"/>
      <c r="F377" s="193"/>
      <c r="G377" s="262"/>
      <c r="H377" s="692" t="s">
        <v>32</v>
      </c>
      <c r="I377" s="692"/>
      <c r="J377" s="692"/>
      <c r="K377" s="692"/>
      <c r="L377" s="296"/>
      <c r="M377" s="297"/>
      <c r="N377" s="296"/>
      <c r="O377" s="693"/>
      <c r="P377" s="693"/>
      <c r="Q377" s="693"/>
      <c r="R377" s="693"/>
      <c r="S377" s="296"/>
      <c r="T377" s="193"/>
      <c r="U377" s="659"/>
      <c r="V377" s="659"/>
      <c r="W377" s="659"/>
      <c r="X377" s="659"/>
      <c r="Y377" s="659"/>
      <c r="Z377" s="659"/>
      <c r="AA377" s="659"/>
    </row>
    <row r="378" spans="1:27" ht="3" customHeight="1" outlineLevel="1">
      <c r="A378" s="659"/>
      <c r="B378" s="246"/>
      <c r="C378" s="246"/>
      <c r="D378" s="246"/>
      <c r="E378" s="236"/>
      <c r="F378" s="193"/>
      <c r="G378" s="236"/>
      <c r="H378" s="670"/>
      <c r="I378" s="670"/>
      <c r="J378" s="670"/>
      <c r="K378" s="670"/>
      <c r="L378" s="296"/>
      <c r="M378" s="297"/>
      <c r="N378" s="296"/>
      <c r="O378" s="671"/>
      <c r="P378" s="671"/>
      <c r="Q378" s="671"/>
      <c r="R378" s="671"/>
      <c r="S378" s="296"/>
      <c r="T378" s="193"/>
      <c r="U378" s="659"/>
      <c r="V378" s="659"/>
      <c r="W378" s="659"/>
      <c r="X378" s="659"/>
      <c r="Y378" s="659"/>
      <c r="Z378" s="659"/>
      <c r="AA378" s="659"/>
    </row>
    <row r="379" spans="1:27" s="329" customFormat="1" ht="15.6" outlineLevel="1">
      <c r="A379" s="238"/>
      <c r="B379" s="239" t="s">
        <v>937</v>
      </c>
      <c r="C379" s="239"/>
      <c r="D379" s="239"/>
      <c r="E379" s="236"/>
      <c r="F379" s="193"/>
      <c r="G379" s="236"/>
      <c r="H379" s="240">
        <f>COUNTA(H380:H381)</f>
        <v>2</v>
      </c>
      <c r="I379" s="240"/>
      <c r="J379" s="240"/>
      <c r="K379" s="240"/>
      <c r="L379" s="296"/>
      <c r="M379" s="297"/>
      <c r="N379" s="296"/>
      <c r="O379" s="265">
        <f>SUM(O380:O381)</f>
        <v>0</v>
      </c>
      <c r="P379" s="265"/>
      <c r="Q379" s="265"/>
      <c r="R379" s="265"/>
      <c r="S379" s="296"/>
      <c r="T379" s="193"/>
      <c r="U379" s="238"/>
      <c r="V379" s="238"/>
      <c r="W379" s="238"/>
      <c r="X379" s="238"/>
      <c r="Y379" s="238"/>
      <c r="Z379" s="238"/>
      <c r="AA379" s="238"/>
    </row>
    <row r="380" spans="1:27" ht="15.6" outlineLevel="2">
      <c r="A380" s="659"/>
      <c r="B380" s="246"/>
      <c r="C380" s="246" t="s">
        <v>937</v>
      </c>
      <c r="D380" s="253" t="s">
        <v>18</v>
      </c>
      <c r="E380" s="262"/>
      <c r="F380" s="193"/>
      <c r="G380" s="262"/>
      <c r="H380" s="692" t="s">
        <v>334</v>
      </c>
      <c r="I380" s="692"/>
      <c r="J380" s="692"/>
      <c r="K380" s="692"/>
      <c r="L380" s="296"/>
      <c r="M380" s="297"/>
      <c r="N380" s="296"/>
      <c r="O380" s="693"/>
      <c r="P380" s="693"/>
      <c r="Q380" s="693"/>
      <c r="R380" s="693"/>
      <c r="S380" s="296"/>
      <c r="T380" s="193"/>
      <c r="U380" s="659"/>
      <c r="V380" s="659"/>
      <c r="W380" s="659"/>
      <c r="X380" s="659"/>
      <c r="Y380" s="659"/>
      <c r="Z380" s="659"/>
      <c r="AA380" s="659"/>
    </row>
    <row r="381" spans="1:27" ht="15.6" outlineLevel="2">
      <c r="A381" s="659"/>
      <c r="B381" s="246"/>
      <c r="C381" s="246" t="s">
        <v>937</v>
      </c>
      <c r="D381" s="253" t="s">
        <v>18</v>
      </c>
      <c r="E381" s="262"/>
      <c r="F381" s="193"/>
      <c r="G381" s="262"/>
      <c r="H381" s="692" t="s">
        <v>32</v>
      </c>
      <c r="I381" s="692"/>
      <c r="J381" s="692"/>
      <c r="K381" s="692"/>
      <c r="L381" s="296"/>
      <c r="M381" s="297"/>
      <c r="N381" s="296"/>
      <c r="O381" s="693"/>
      <c r="P381" s="693"/>
      <c r="Q381" s="693"/>
      <c r="R381" s="693"/>
      <c r="S381" s="296"/>
      <c r="T381" s="193"/>
      <c r="U381" s="659"/>
      <c r="V381" s="659"/>
      <c r="W381" s="659"/>
      <c r="X381" s="659"/>
      <c r="Y381" s="659"/>
      <c r="Z381" s="659"/>
      <c r="AA381" s="659"/>
    </row>
    <row r="382" spans="1:27" ht="3" customHeight="1" outlineLevel="1">
      <c r="A382" s="659"/>
      <c r="B382" s="246"/>
      <c r="C382" s="246"/>
      <c r="D382" s="246"/>
      <c r="E382" s="236"/>
      <c r="F382" s="193"/>
      <c r="G382" s="236"/>
      <c r="H382" s="670"/>
      <c r="I382" s="670"/>
      <c r="J382" s="670"/>
      <c r="K382" s="670"/>
      <c r="L382" s="296"/>
      <c r="M382" s="297"/>
      <c r="N382" s="296"/>
      <c r="O382" s="671"/>
      <c r="P382" s="671"/>
      <c r="Q382" s="671"/>
      <c r="R382" s="671"/>
      <c r="S382" s="296"/>
      <c r="T382" s="193"/>
      <c r="U382" s="659"/>
      <c r="V382" s="659"/>
      <c r="W382" s="659"/>
      <c r="X382" s="659"/>
      <c r="Y382" s="659"/>
      <c r="Z382" s="659"/>
      <c r="AA382" s="659"/>
    </row>
    <row r="383" spans="1:27" s="238" customFormat="1" ht="15.6" outlineLevel="1">
      <c r="B383" s="239" t="s">
        <v>938</v>
      </c>
      <c r="C383" s="239"/>
      <c r="D383" s="239"/>
      <c r="E383" s="236"/>
      <c r="F383" s="193"/>
      <c r="G383" s="236"/>
      <c r="H383" s="240">
        <f t="shared" ref="H383" si="3">COUNTA(H384)</f>
        <v>1</v>
      </c>
      <c r="I383" s="240"/>
      <c r="J383" s="240"/>
      <c r="K383" s="240"/>
      <c r="L383" s="296"/>
      <c r="M383" s="297"/>
      <c r="N383" s="296"/>
      <c r="O383" s="265">
        <f t="shared" ref="O383" si="4">SUM(O384)</f>
        <v>0</v>
      </c>
      <c r="P383" s="265"/>
      <c r="Q383" s="265"/>
      <c r="R383" s="265"/>
      <c r="S383" s="296"/>
      <c r="T383" s="193"/>
    </row>
    <row r="384" spans="1:27" ht="15.6" outlineLevel="2">
      <c r="A384" s="659"/>
      <c r="B384" s="246"/>
      <c r="C384" s="246" t="s">
        <v>939</v>
      </c>
      <c r="D384" s="253" t="s">
        <v>18</v>
      </c>
      <c r="E384" s="262"/>
      <c r="F384" s="193"/>
      <c r="G384" s="262"/>
      <c r="H384" s="669" t="s">
        <v>940</v>
      </c>
      <c r="I384" s="669"/>
      <c r="J384" s="669"/>
      <c r="K384" s="669"/>
      <c r="L384" s="296"/>
      <c r="M384" s="297"/>
      <c r="N384" s="296"/>
      <c r="O384" s="693"/>
      <c r="P384" s="693"/>
      <c r="Q384" s="693"/>
      <c r="R384" s="693"/>
      <c r="S384" s="296"/>
      <c r="T384" s="193"/>
      <c r="U384" s="659"/>
      <c r="V384" s="659"/>
      <c r="W384" s="659"/>
      <c r="X384" s="659"/>
      <c r="Y384" s="659"/>
      <c r="Z384" s="659"/>
      <c r="AA384" s="659"/>
    </row>
    <row r="385" spans="1:27" ht="3" customHeight="1" outlineLevel="1">
      <c r="A385" s="659"/>
      <c r="B385" s="246"/>
      <c r="C385" s="246"/>
      <c r="D385" s="246"/>
      <c r="E385" s="236"/>
      <c r="F385" s="193"/>
      <c r="G385" s="236"/>
      <c r="H385" s="670"/>
      <c r="I385" s="670"/>
      <c r="J385" s="670"/>
      <c r="K385" s="670"/>
      <c r="L385" s="296"/>
      <c r="M385" s="297"/>
      <c r="N385" s="296"/>
      <c r="O385" s="671"/>
      <c r="P385" s="671"/>
      <c r="Q385" s="671"/>
      <c r="R385" s="671"/>
      <c r="S385" s="296"/>
      <c r="T385" s="193"/>
      <c r="U385" s="659"/>
      <c r="V385" s="659"/>
      <c r="W385" s="659"/>
      <c r="X385" s="659"/>
      <c r="Y385" s="659"/>
      <c r="Z385" s="659"/>
      <c r="AA385" s="659"/>
    </row>
    <row r="386" spans="1:27" s="238" customFormat="1" ht="15.6" outlineLevel="1">
      <c r="B386" s="239" t="s">
        <v>941</v>
      </c>
      <c r="C386" s="239"/>
      <c r="D386" s="239"/>
      <c r="E386" s="236"/>
      <c r="F386" s="254"/>
      <c r="G386" s="236"/>
      <c r="H386" s="240">
        <f>COUNTA(H387:H390)</f>
        <v>2</v>
      </c>
      <c r="I386" s="240"/>
      <c r="J386" s="240"/>
      <c r="K386" s="240"/>
      <c r="L386" s="296"/>
      <c r="M386" s="297"/>
      <c r="N386" s="296"/>
      <c r="O386" s="265">
        <f>SUM(O387:O390)</f>
        <v>0</v>
      </c>
      <c r="P386" s="265"/>
      <c r="Q386" s="265"/>
      <c r="R386" s="265"/>
      <c r="S386" s="296"/>
      <c r="T386" s="254"/>
    </row>
    <row r="387" spans="1:27" ht="15.6" outlineLevel="2">
      <c r="A387" s="659"/>
      <c r="B387" s="242"/>
      <c r="C387" s="666" t="s">
        <v>285</v>
      </c>
      <c r="D387" s="253" t="s">
        <v>18</v>
      </c>
      <c r="E387" s="236"/>
      <c r="F387" s="254"/>
      <c r="G387" s="236"/>
      <c r="H387" s="677" t="s">
        <v>278</v>
      </c>
      <c r="I387" s="677"/>
      <c r="J387" s="677"/>
      <c r="K387" s="677"/>
      <c r="L387" s="296"/>
      <c r="M387" s="297"/>
      <c r="N387" s="296"/>
      <c r="O387" s="663"/>
      <c r="P387" s="663"/>
      <c r="Q387" s="663"/>
      <c r="R387" s="663"/>
      <c r="S387" s="296"/>
      <c r="T387" s="254"/>
      <c r="U387" s="659"/>
      <c r="V387" s="659"/>
      <c r="W387" s="659"/>
      <c r="X387" s="659"/>
      <c r="Y387" s="659"/>
      <c r="Z387" s="659"/>
      <c r="AA387" s="659"/>
    </row>
    <row r="388" spans="1:27" ht="15.6" outlineLevel="2">
      <c r="A388" s="659"/>
      <c r="B388" s="242"/>
      <c r="C388" s="666" t="s">
        <v>285</v>
      </c>
      <c r="D388" s="253" t="s">
        <v>18</v>
      </c>
      <c r="E388" s="236"/>
      <c r="F388" s="254"/>
      <c r="G388" s="236"/>
      <c r="H388" s="677" t="s">
        <v>32</v>
      </c>
      <c r="I388" s="677"/>
      <c r="J388" s="677"/>
      <c r="K388" s="677"/>
      <c r="L388" s="296"/>
      <c r="M388" s="297"/>
      <c r="N388" s="296"/>
      <c r="O388" s="663"/>
      <c r="P388" s="663"/>
      <c r="Q388" s="663"/>
      <c r="R388" s="663"/>
      <c r="S388" s="296"/>
      <c r="T388" s="254"/>
      <c r="U388" s="659"/>
      <c r="V388" s="659"/>
      <c r="W388" s="659"/>
      <c r="X388" s="659"/>
      <c r="Y388" s="659"/>
      <c r="Z388" s="659"/>
      <c r="AA388" s="659"/>
    </row>
    <row r="389" spans="1:27" ht="15.6" outlineLevel="2">
      <c r="A389" s="659"/>
      <c r="B389" s="242"/>
      <c r="C389" s="666"/>
      <c r="D389" s="253"/>
      <c r="E389" s="236"/>
      <c r="F389" s="254"/>
      <c r="G389" s="236"/>
      <c r="H389" s="677"/>
      <c r="I389" s="677"/>
      <c r="J389" s="677"/>
      <c r="K389" s="677"/>
      <c r="L389" s="296"/>
      <c r="M389" s="297"/>
      <c r="N389" s="296"/>
      <c r="O389" s="663"/>
      <c r="P389" s="663"/>
      <c r="Q389" s="663"/>
      <c r="R389" s="663"/>
      <c r="S389" s="296"/>
      <c r="T389" s="254"/>
      <c r="U389" s="659"/>
      <c r="V389" s="659"/>
      <c r="W389" s="659"/>
      <c r="X389" s="659"/>
      <c r="Y389" s="659"/>
      <c r="Z389" s="659"/>
      <c r="AA389" s="659"/>
    </row>
    <row r="390" spans="1:27" ht="15.6" outlineLevel="2">
      <c r="A390" s="659"/>
      <c r="B390" s="242"/>
      <c r="C390" s="666"/>
      <c r="D390" s="253"/>
      <c r="E390" s="236"/>
      <c r="F390" s="254"/>
      <c r="G390" s="236"/>
      <c r="H390" s="677"/>
      <c r="I390" s="677"/>
      <c r="J390" s="677"/>
      <c r="K390" s="677"/>
      <c r="L390" s="296"/>
      <c r="M390" s="297"/>
      <c r="N390" s="296"/>
      <c r="O390" s="663"/>
      <c r="P390" s="663"/>
      <c r="Q390" s="663"/>
      <c r="R390" s="663"/>
      <c r="S390" s="296"/>
      <c r="T390" s="254"/>
      <c r="U390" s="659"/>
      <c r="V390" s="659"/>
      <c r="W390" s="659"/>
      <c r="X390" s="659"/>
      <c r="Y390" s="659"/>
      <c r="Z390" s="659"/>
      <c r="AA390" s="659"/>
    </row>
    <row r="391" spans="1:27" ht="3" customHeight="1" outlineLevel="1">
      <c r="A391" s="659"/>
      <c r="B391" s="246"/>
      <c r="C391" s="246"/>
      <c r="D391" s="246"/>
      <c r="E391" s="236"/>
      <c r="F391" s="193"/>
      <c r="G391" s="236"/>
      <c r="H391" s="670"/>
      <c r="I391" s="670"/>
      <c r="J391" s="670"/>
      <c r="K391" s="670"/>
      <c r="L391" s="296"/>
      <c r="M391" s="297"/>
      <c r="N391" s="296"/>
      <c r="O391" s="671"/>
      <c r="P391" s="671"/>
      <c r="Q391" s="671"/>
      <c r="R391" s="671"/>
      <c r="S391" s="296"/>
      <c r="T391" s="193"/>
      <c r="U391" s="659"/>
      <c r="V391" s="659"/>
      <c r="W391" s="659"/>
      <c r="X391" s="659"/>
      <c r="Y391" s="659"/>
      <c r="Z391" s="659"/>
      <c r="AA391" s="659"/>
    </row>
    <row r="392" spans="1:27" s="329" customFormat="1" ht="15.6" outlineLevel="1">
      <c r="A392" s="238"/>
      <c r="B392" s="239" t="s">
        <v>942</v>
      </c>
      <c r="C392" s="239"/>
      <c r="D392" s="239"/>
      <c r="E392" s="236"/>
      <c r="F392" s="254"/>
      <c r="G392" s="236"/>
      <c r="H392" s="240">
        <f>COUNTA(H393:H397)</f>
        <v>5</v>
      </c>
      <c r="I392" s="240"/>
      <c r="J392" s="240"/>
      <c r="K392" s="240"/>
      <c r="L392" s="296"/>
      <c r="M392" s="297"/>
      <c r="N392" s="296"/>
      <c r="O392" s="265">
        <f>SUM(O393:O397)</f>
        <v>0</v>
      </c>
      <c r="P392" s="265"/>
      <c r="Q392" s="265"/>
      <c r="R392" s="265"/>
      <c r="S392" s="296"/>
      <c r="T392" s="254"/>
      <c r="U392" s="238"/>
      <c r="V392" s="238"/>
      <c r="W392" s="238"/>
      <c r="X392" s="238"/>
      <c r="Y392" s="238"/>
      <c r="Z392" s="238"/>
      <c r="AA392" s="238"/>
    </row>
    <row r="393" spans="1:27" ht="15.6" outlineLevel="2">
      <c r="A393" s="659"/>
      <c r="B393" s="242"/>
      <c r="C393" s="666" t="s">
        <v>943</v>
      </c>
      <c r="D393" s="253" t="s">
        <v>18</v>
      </c>
      <c r="E393" s="236"/>
      <c r="F393" s="254"/>
      <c r="G393" s="236"/>
      <c r="H393" s="677" t="s">
        <v>944</v>
      </c>
      <c r="I393" s="677"/>
      <c r="J393" s="677"/>
      <c r="K393" s="677"/>
      <c r="L393" s="296"/>
      <c r="M393" s="297"/>
      <c r="N393" s="296"/>
      <c r="O393" s="663"/>
      <c r="P393" s="663"/>
      <c r="Q393" s="663"/>
      <c r="R393" s="663"/>
      <c r="S393" s="296"/>
      <c r="T393" s="254"/>
      <c r="U393" s="659"/>
      <c r="V393" s="659"/>
      <c r="W393" s="659"/>
      <c r="X393" s="659"/>
      <c r="Y393" s="659"/>
      <c r="Z393" s="659"/>
      <c r="AA393" s="659"/>
    </row>
    <row r="394" spans="1:27" ht="15.6" outlineLevel="2">
      <c r="A394" s="659"/>
      <c r="B394" s="242"/>
      <c r="C394" s="666" t="s">
        <v>943</v>
      </c>
      <c r="D394" s="253" t="s">
        <v>18</v>
      </c>
      <c r="E394" s="236"/>
      <c r="F394" s="254"/>
      <c r="G394" s="236"/>
      <c r="H394" s="677" t="s">
        <v>945</v>
      </c>
      <c r="I394" s="677"/>
      <c r="J394" s="677"/>
      <c r="K394" s="677"/>
      <c r="L394" s="296"/>
      <c r="M394" s="297"/>
      <c r="N394" s="296"/>
      <c r="O394" s="663"/>
      <c r="P394" s="663"/>
      <c r="Q394" s="663"/>
      <c r="R394" s="663"/>
      <c r="S394" s="296"/>
      <c r="T394" s="254"/>
      <c r="U394" s="659"/>
      <c r="V394" s="659"/>
      <c r="W394" s="659"/>
      <c r="X394" s="659"/>
      <c r="Y394" s="659"/>
      <c r="Z394" s="659"/>
      <c r="AA394" s="659"/>
    </row>
    <row r="395" spans="1:27" ht="15.6" outlineLevel="2">
      <c r="A395" s="659"/>
      <c r="B395" s="242"/>
      <c r="C395" s="666" t="s">
        <v>943</v>
      </c>
      <c r="D395" s="253" t="s">
        <v>18</v>
      </c>
      <c r="E395" s="236"/>
      <c r="F395" s="254"/>
      <c r="G395" s="236"/>
      <c r="H395" s="677" t="s">
        <v>946</v>
      </c>
      <c r="I395" s="677"/>
      <c r="J395" s="677"/>
      <c r="K395" s="677"/>
      <c r="L395" s="296"/>
      <c r="M395" s="297"/>
      <c r="N395" s="296"/>
      <c r="O395" s="663"/>
      <c r="P395" s="663"/>
      <c r="Q395" s="663"/>
      <c r="R395" s="663"/>
      <c r="S395" s="296"/>
      <c r="T395" s="254"/>
      <c r="U395" s="659"/>
      <c r="V395" s="659"/>
      <c r="W395" s="659"/>
      <c r="X395" s="659"/>
      <c r="Y395" s="659"/>
      <c r="Z395" s="659"/>
      <c r="AA395" s="659"/>
    </row>
    <row r="396" spans="1:27" ht="15.6" outlineLevel="2">
      <c r="A396" s="659"/>
      <c r="B396" s="242"/>
      <c r="C396" s="666" t="s">
        <v>943</v>
      </c>
      <c r="D396" s="253" t="s">
        <v>18</v>
      </c>
      <c r="E396" s="236"/>
      <c r="F396" s="254"/>
      <c r="G396" s="236"/>
      <c r="H396" s="677" t="s">
        <v>947</v>
      </c>
      <c r="I396" s="677"/>
      <c r="J396" s="677"/>
      <c r="K396" s="677"/>
      <c r="L396" s="296"/>
      <c r="M396" s="297"/>
      <c r="N396" s="296"/>
      <c r="O396" s="663"/>
      <c r="P396" s="663"/>
      <c r="Q396" s="663"/>
      <c r="R396" s="663"/>
      <c r="S396" s="296"/>
      <c r="T396" s="254"/>
      <c r="U396" s="659"/>
      <c r="V396" s="659"/>
      <c r="W396" s="659"/>
      <c r="X396" s="659"/>
      <c r="Y396" s="659"/>
      <c r="Z396" s="659"/>
      <c r="AA396" s="659"/>
    </row>
    <row r="397" spans="1:27" ht="15.6" outlineLevel="2">
      <c r="A397" s="659"/>
      <c r="B397" s="242"/>
      <c r="C397" s="666" t="s">
        <v>943</v>
      </c>
      <c r="D397" s="253" t="s">
        <v>18</v>
      </c>
      <c r="E397" s="236"/>
      <c r="F397" s="254"/>
      <c r="G397" s="236"/>
      <c r="H397" s="677" t="s">
        <v>948</v>
      </c>
      <c r="I397" s="677"/>
      <c r="J397" s="677"/>
      <c r="K397" s="677"/>
      <c r="L397" s="296"/>
      <c r="M397" s="297"/>
      <c r="N397" s="296"/>
      <c r="O397" s="663"/>
      <c r="P397" s="663"/>
      <c r="Q397" s="663"/>
      <c r="R397" s="663"/>
      <c r="S397" s="296"/>
      <c r="T397" s="254"/>
      <c r="U397" s="659"/>
      <c r="V397" s="659"/>
      <c r="W397" s="659"/>
      <c r="X397" s="659"/>
      <c r="Y397" s="659"/>
      <c r="Z397" s="659"/>
      <c r="AA397" s="659"/>
    </row>
    <row r="398" spans="1:27" ht="3" customHeight="1" outlineLevel="1">
      <c r="A398" s="659"/>
      <c r="B398" s="246"/>
      <c r="C398" s="246"/>
      <c r="D398" s="246"/>
      <c r="E398" s="236"/>
      <c r="F398" s="193"/>
      <c r="G398" s="236"/>
      <c r="H398" s="670"/>
      <c r="I398" s="670"/>
      <c r="J398" s="670"/>
      <c r="K398" s="670"/>
      <c r="L398" s="296"/>
      <c r="M398" s="297"/>
      <c r="N398" s="296"/>
      <c r="O398" s="671"/>
      <c r="P398" s="671"/>
      <c r="Q398" s="671"/>
      <c r="R398" s="671"/>
      <c r="S398" s="296"/>
      <c r="T398" s="193"/>
      <c r="U398" s="659"/>
      <c r="V398" s="659"/>
      <c r="W398" s="659"/>
      <c r="X398" s="659"/>
      <c r="Y398" s="659"/>
      <c r="Z398" s="659"/>
      <c r="AA398" s="659"/>
    </row>
    <row r="399" spans="1:27" s="238" customFormat="1" ht="15.6" outlineLevel="1">
      <c r="B399" s="239" t="s">
        <v>949</v>
      </c>
      <c r="C399" s="239"/>
      <c r="D399" s="239"/>
      <c r="E399" s="236"/>
      <c r="F399" s="254"/>
      <c r="G399" s="236"/>
      <c r="H399" s="240">
        <f>SUM(H400:H413)</f>
        <v>24</v>
      </c>
      <c r="I399" s="240"/>
      <c r="J399" s="240"/>
      <c r="K399" s="240"/>
      <c r="L399" s="296"/>
      <c r="M399" s="297"/>
      <c r="N399" s="296"/>
      <c r="O399" s="265">
        <f>SUM(O400:O410)</f>
        <v>0</v>
      </c>
      <c r="P399" s="265"/>
      <c r="Q399" s="265"/>
      <c r="R399" s="265"/>
      <c r="S399" s="296"/>
      <c r="T399" s="254"/>
    </row>
    <row r="400" spans="1:27" ht="15.6" outlineLevel="2">
      <c r="A400" s="659"/>
      <c r="B400" s="242"/>
      <c r="C400" s="666" t="s">
        <v>950</v>
      </c>
      <c r="D400" s="253" t="s">
        <v>18</v>
      </c>
      <c r="E400" s="236"/>
      <c r="F400" s="254"/>
      <c r="G400" s="236"/>
      <c r="H400" s="694">
        <v>1</v>
      </c>
      <c r="I400" s="694"/>
      <c r="J400" s="694"/>
      <c r="K400" s="694"/>
      <c r="L400" s="296"/>
      <c r="M400" s="297"/>
      <c r="N400" s="296"/>
      <c r="O400" s="663"/>
      <c r="P400" s="663"/>
      <c r="Q400" s="663"/>
      <c r="R400" s="663"/>
      <c r="S400" s="296"/>
      <c r="T400" s="254"/>
      <c r="U400" s="659"/>
      <c r="V400" s="659"/>
      <c r="W400" s="659"/>
      <c r="X400" s="659"/>
      <c r="Y400" s="659"/>
      <c r="Z400" s="659"/>
      <c r="AA400" s="659"/>
    </row>
    <row r="401" spans="1:20" ht="15.6" outlineLevel="2">
      <c r="A401" s="659"/>
      <c r="B401" s="242"/>
      <c r="C401" s="666" t="s">
        <v>951</v>
      </c>
      <c r="D401" s="253" t="s">
        <v>18</v>
      </c>
      <c r="E401" s="236"/>
      <c r="F401" s="254"/>
      <c r="G401" s="236"/>
      <c r="H401" s="694">
        <v>1</v>
      </c>
      <c r="I401" s="694"/>
      <c r="J401" s="694"/>
      <c r="K401" s="694"/>
      <c r="L401" s="296"/>
      <c r="M401" s="297"/>
      <c r="N401" s="296"/>
      <c r="O401" s="663"/>
      <c r="P401" s="663"/>
      <c r="Q401" s="663"/>
      <c r="R401" s="663"/>
      <c r="S401" s="296"/>
      <c r="T401" s="254"/>
    </row>
    <row r="402" spans="1:20" ht="15.6" outlineLevel="2">
      <c r="A402" s="659"/>
      <c r="B402" s="242"/>
      <c r="C402" s="666" t="s">
        <v>952</v>
      </c>
      <c r="D402" s="253" t="s">
        <v>18</v>
      </c>
      <c r="E402" s="236"/>
      <c r="F402" s="254"/>
      <c r="G402" s="236"/>
      <c r="H402" s="694">
        <v>1</v>
      </c>
      <c r="I402" s="694"/>
      <c r="J402" s="694"/>
      <c r="K402" s="694"/>
      <c r="L402" s="296"/>
      <c r="M402" s="297"/>
      <c r="N402" s="296"/>
      <c r="O402" s="663"/>
      <c r="P402" s="663"/>
      <c r="Q402" s="663"/>
      <c r="R402" s="663"/>
      <c r="S402" s="296"/>
      <c r="T402" s="254"/>
    </row>
    <row r="403" spans="1:20" ht="15.6" outlineLevel="2">
      <c r="A403" s="659"/>
      <c r="B403" s="242"/>
      <c r="C403" s="666" t="s">
        <v>953</v>
      </c>
      <c r="D403" s="253" t="s">
        <v>18</v>
      </c>
      <c r="E403" s="236"/>
      <c r="F403" s="254"/>
      <c r="G403" s="236"/>
      <c r="H403" s="694">
        <v>5</v>
      </c>
      <c r="I403" s="694"/>
      <c r="J403" s="694"/>
      <c r="K403" s="694"/>
      <c r="L403" s="296"/>
      <c r="M403" s="297"/>
      <c r="N403" s="296"/>
      <c r="O403" s="663"/>
      <c r="P403" s="663"/>
      <c r="Q403" s="663"/>
      <c r="R403" s="663"/>
      <c r="S403" s="296"/>
      <c r="T403" s="254"/>
    </row>
    <row r="404" spans="1:20" ht="15.6" outlineLevel="2">
      <c r="A404" s="659"/>
      <c r="B404" s="242"/>
      <c r="C404" s="666" t="s">
        <v>954</v>
      </c>
      <c r="D404" s="253" t="s">
        <v>18</v>
      </c>
      <c r="E404" s="236"/>
      <c r="F404" s="254"/>
      <c r="G404" s="236"/>
      <c r="H404" s="685">
        <v>3</v>
      </c>
      <c r="I404" s="685"/>
      <c r="J404" s="685"/>
      <c r="K404" s="685"/>
      <c r="L404" s="296"/>
      <c r="M404" s="297"/>
      <c r="N404" s="296"/>
      <c r="O404" s="663"/>
      <c r="P404" s="663"/>
      <c r="Q404" s="663"/>
      <c r="R404" s="663"/>
      <c r="S404" s="296"/>
      <c r="T404" s="254"/>
    </row>
    <row r="405" spans="1:20" ht="15.6" outlineLevel="2">
      <c r="A405" s="659"/>
      <c r="B405" s="242"/>
      <c r="C405" s="666" t="s">
        <v>955</v>
      </c>
      <c r="D405" s="253" t="s">
        <v>18</v>
      </c>
      <c r="E405" s="236"/>
      <c r="F405" s="254"/>
      <c r="G405" s="236"/>
      <c r="H405" s="685">
        <v>1</v>
      </c>
      <c r="I405" s="685"/>
      <c r="J405" s="685"/>
      <c r="K405" s="685"/>
      <c r="L405" s="296"/>
      <c r="M405" s="297"/>
      <c r="N405" s="296"/>
      <c r="O405" s="663"/>
      <c r="P405" s="663"/>
      <c r="Q405" s="663"/>
      <c r="R405" s="663"/>
      <c r="S405" s="296"/>
      <c r="T405" s="254"/>
    </row>
    <row r="406" spans="1:20" ht="15.6" outlineLevel="2">
      <c r="A406" s="659"/>
      <c r="B406" s="242"/>
      <c r="C406" s="666" t="s">
        <v>956</v>
      </c>
      <c r="D406" s="253" t="s">
        <v>18</v>
      </c>
      <c r="E406" s="236"/>
      <c r="F406" s="254"/>
      <c r="G406" s="236"/>
      <c r="H406" s="685">
        <v>2</v>
      </c>
      <c r="I406" s="685"/>
      <c r="J406" s="685"/>
      <c r="K406" s="685"/>
      <c r="L406" s="296"/>
      <c r="M406" s="297"/>
      <c r="N406" s="296"/>
      <c r="O406" s="663"/>
      <c r="P406" s="663"/>
      <c r="Q406" s="663"/>
      <c r="R406" s="663"/>
      <c r="S406" s="296"/>
      <c r="T406" s="254"/>
    </row>
    <row r="407" spans="1:20" ht="15.6" outlineLevel="2">
      <c r="A407" s="659"/>
      <c r="B407" s="242"/>
      <c r="C407" s="666" t="s">
        <v>957</v>
      </c>
      <c r="D407" s="253" t="s">
        <v>18</v>
      </c>
      <c r="E407" s="236"/>
      <c r="F407" s="254"/>
      <c r="G407" s="236"/>
      <c r="H407" s="685">
        <v>4</v>
      </c>
      <c r="I407" s="685"/>
      <c r="J407" s="685"/>
      <c r="K407" s="685"/>
      <c r="L407" s="296"/>
      <c r="M407" s="297"/>
      <c r="N407" s="296"/>
      <c r="O407" s="663"/>
      <c r="P407" s="663"/>
      <c r="Q407" s="663"/>
      <c r="R407" s="663"/>
      <c r="S407" s="296"/>
      <c r="T407" s="254"/>
    </row>
    <row r="408" spans="1:20" ht="15.6" outlineLevel="2">
      <c r="A408" s="659"/>
      <c r="B408" s="242"/>
      <c r="C408" s="666" t="s">
        <v>958</v>
      </c>
      <c r="D408" s="253" t="s">
        <v>18</v>
      </c>
      <c r="E408" s="236"/>
      <c r="F408" s="254"/>
      <c r="G408" s="236"/>
      <c r="H408" s="685">
        <v>1</v>
      </c>
      <c r="I408" s="685"/>
      <c r="J408" s="685"/>
      <c r="K408" s="685"/>
      <c r="L408" s="296"/>
      <c r="M408" s="297"/>
      <c r="N408" s="296"/>
      <c r="O408" s="663"/>
      <c r="P408" s="663"/>
      <c r="Q408" s="663"/>
      <c r="R408" s="663"/>
      <c r="S408" s="296"/>
      <c r="T408" s="254"/>
    </row>
    <row r="409" spans="1:20" ht="15.6" outlineLevel="2">
      <c r="A409" s="659"/>
      <c r="B409" s="242"/>
      <c r="C409" s="666" t="s">
        <v>959</v>
      </c>
      <c r="D409" s="253" t="s">
        <v>18</v>
      </c>
      <c r="E409" s="236"/>
      <c r="F409" s="254"/>
      <c r="G409" s="236"/>
      <c r="H409" s="685">
        <v>1</v>
      </c>
      <c r="I409" s="685"/>
      <c r="J409" s="685"/>
      <c r="K409" s="685"/>
      <c r="L409" s="296"/>
      <c r="M409" s="297"/>
      <c r="N409" s="296"/>
      <c r="O409" s="663"/>
      <c r="P409" s="663"/>
      <c r="Q409" s="663"/>
      <c r="R409" s="663"/>
      <c r="S409" s="296"/>
      <c r="T409" s="254"/>
    </row>
    <row r="410" spans="1:20" ht="15.6" outlineLevel="2">
      <c r="A410" s="659"/>
      <c r="B410" s="242"/>
      <c r="C410" s="666" t="s">
        <v>960</v>
      </c>
      <c r="D410" s="253" t="s">
        <v>18</v>
      </c>
      <c r="E410" s="236"/>
      <c r="F410" s="254"/>
      <c r="G410" s="236"/>
      <c r="H410" s="685">
        <v>1</v>
      </c>
      <c r="I410" s="685"/>
      <c r="J410" s="685"/>
      <c r="K410" s="685"/>
      <c r="L410" s="296"/>
      <c r="M410" s="297"/>
      <c r="N410" s="296"/>
      <c r="O410" s="663"/>
      <c r="P410" s="663"/>
      <c r="Q410" s="663"/>
      <c r="R410" s="663"/>
      <c r="S410" s="296"/>
      <c r="T410" s="254"/>
    </row>
    <row r="411" spans="1:20" ht="15.6" outlineLevel="2">
      <c r="A411" s="659"/>
      <c r="B411" s="242"/>
      <c r="C411" s="666" t="s">
        <v>961</v>
      </c>
      <c r="D411" s="253" t="s">
        <v>18</v>
      </c>
      <c r="E411" s="236"/>
      <c r="F411" s="254"/>
      <c r="G411" s="236"/>
      <c r="H411" s="685">
        <v>2</v>
      </c>
      <c r="I411" s="685"/>
      <c r="J411" s="685"/>
      <c r="K411" s="685"/>
      <c r="L411" s="296"/>
      <c r="M411" s="297"/>
      <c r="N411" s="296"/>
      <c r="O411" s="663"/>
      <c r="P411" s="663"/>
      <c r="Q411" s="663"/>
      <c r="R411" s="663"/>
      <c r="S411" s="296"/>
      <c r="T411" s="254"/>
    </row>
    <row r="412" spans="1:20" ht="15.6" outlineLevel="2">
      <c r="A412" s="659"/>
      <c r="B412" s="242"/>
      <c r="C412" s="666" t="s">
        <v>962</v>
      </c>
      <c r="D412" s="253" t="s">
        <v>18</v>
      </c>
      <c r="E412" s="236"/>
      <c r="F412" s="254"/>
      <c r="G412" s="236"/>
      <c r="H412" s="685">
        <v>1</v>
      </c>
      <c r="I412" s="685"/>
      <c r="J412" s="685"/>
      <c r="K412" s="685"/>
      <c r="L412" s="296"/>
      <c r="M412" s="297"/>
      <c r="N412" s="296"/>
      <c r="O412" s="663"/>
      <c r="P412" s="663"/>
      <c r="Q412" s="663"/>
      <c r="R412" s="663"/>
      <c r="S412" s="296"/>
      <c r="T412" s="254"/>
    </row>
    <row r="413" spans="1:20" ht="15.6" outlineLevel="2">
      <c r="A413" s="659"/>
      <c r="B413" s="242"/>
      <c r="C413" s="666" t="s">
        <v>963</v>
      </c>
      <c r="D413" s="253" t="s">
        <v>18</v>
      </c>
      <c r="E413" s="236"/>
      <c r="F413" s="254"/>
      <c r="G413" s="236"/>
      <c r="H413" s="685">
        <v>0</v>
      </c>
      <c r="I413" s="685"/>
      <c r="J413" s="685"/>
      <c r="K413" s="685"/>
      <c r="L413" s="296"/>
      <c r="M413" s="297"/>
      <c r="N413" s="296"/>
      <c r="O413" s="663"/>
      <c r="P413" s="663"/>
      <c r="Q413" s="663"/>
      <c r="R413" s="663"/>
      <c r="S413" s="296"/>
      <c r="T413" s="254"/>
    </row>
    <row r="414" spans="1:20" ht="3" customHeight="1">
      <c r="A414" s="659"/>
      <c r="B414" s="246"/>
      <c r="C414" s="246"/>
      <c r="D414" s="253"/>
      <c r="E414" s="243"/>
      <c r="F414" s="193"/>
      <c r="G414" s="243"/>
      <c r="H414" s="670"/>
      <c r="I414" s="670"/>
      <c r="J414" s="670"/>
      <c r="K414" s="670"/>
      <c r="L414" s="243"/>
      <c r="M414" s="193"/>
      <c r="N414" s="243"/>
      <c r="O414" s="671"/>
      <c r="P414" s="671"/>
      <c r="Q414" s="671"/>
      <c r="R414" s="671"/>
      <c r="S414" s="243"/>
      <c r="T414" s="193"/>
    </row>
    <row r="415" spans="1:20" s="232" customFormat="1" ht="31.15">
      <c r="A415" s="225"/>
      <c r="B415" s="226" t="s">
        <v>29</v>
      </c>
      <c r="C415" s="227" t="s">
        <v>964</v>
      </c>
      <c r="D415" s="228" t="s">
        <v>965</v>
      </c>
      <c r="E415" s="229"/>
      <c r="F415" s="230"/>
      <c r="G415" s="229"/>
      <c r="H415" s="231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31"/>
      <c r="J415" s="231"/>
      <c r="K415" s="231"/>
      <c r="L415" s="229"/>
      <c r="M415" s="230"/>
      <c r="N415" s="229"/>
      <c r="O415" s="35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  <c r="P415" s="350"/>
      <c r="Q415" s="350"/>
      <c r="R415" s="350"/>
      <c r="S415" s="229"/>
      <c r="T415" s="230"/>
    </row>
    <row r="416" spans="1:20" ht="3" customHeight="1" outlineLevel="1">
      <c r="A416" s="665"/>
      <c r="B416" s="233"/>
      <c r="C416" s="234"/>
      <c r="D416" s="235"/>
      <c r="E416" s="236"/>
      <c r="F416" s="193"/>
      <c r="G416" s="236"/>
      <c r="H416" s="237"/>
      <c r="I416" s="237"/>
      <c r="J416" s="237"/>
      <c r="K416" s="237"/>
      <c r="L416" s="236"/>
      <c r="M416" s="193"/>
      <c r="N416" s="236"/>
      <c r="O416" s="351"/>
      <c r="P416" s="351"/>
      <c r="Q416" s="351"/>
      <c r="R416" s="351"/>
      <c r="S416" s="236"/>
      <c r="T416" s="193"/>
    </row>
    <row r="417" spans="2:20" s="238" customFormat="1" outlineLevel="1">
      <c r="B417" s="239" t="s">
        <v>966</v>
      </c>
      <c r="C417" s="239"/>
      <c r="D417" s="239"/>
      <c r="E417" s="236"/>
      <c r="F417" s="193"/>
      <c r="G417" s="236"/>
      <c r="H417" s="240">
        <f>COUNTA(H418:H418)</f>
        <v>1</v>
      </c>
      <c r="I417" s="240"/>
      <c r="J417" s="240"/>
      <c r="K417" s="240"/>
      <c r="L417" s="236"/>
      <c r="M417" s="193"/>
      <c r="N417" s="236"/>
      <c r="O417" s="265">
        <f>SUM(O418:O418)</f>
        <v>1.4336873100000001E-2</v>
      </c>
      <c r="P417" s="265"/>
      <c r="Q417" s="265"/>
      <c r="R417" s="265"/>
      <c r="S417" s="236"/>
      <c r="T417" s="193"/>
    </row>
    <row r="418" spans="2:20" outlineLevel="2">
      <c r="B418" s="242" t="s">
        <v>29</v>
      </c>
      <c r="C418" s="246" t="s">
        <v>853</v>
      </c>
      <c r="D418" s="278" t="s">
        <v>28</v>
      </c>
      <c r="E418" s="262"/>
      <c r="F418" s="193"/>
      <c r="H418" s="249" t="s">
        <v>274</v>
      </c>
      <c r="I418" s="249"/>
      <c r="J418" s="249"/>
      <c r="K418" s="249"/>
      <c r="M418" s="193"/>
      <c r="O418" s="321">
        <v>1.4336873100000001E-2</v>
      </c>
      <c r="P418" s="321"/>
      <c r="Q418" s="321"/>
      <c r="R418" s="321"/>
      <c r="T418" s="193"/>
    </row>
    <row r="419" spans="2:20" ht="3" customHeight="1" outlineLevel="1">
      <c r="B419" s="246"/>
      <c r="C419" s="246"/>
      <c r="D419" s="253"/>
      <c r="E419" s="262"/>
      <c r="F419" s="193"/>
      <c r="H419" s="670"/>
      <c r="I419" s="670"/>
      <c r="J419" s="670"/>
      <c r="K419" s="670"/>
      <c r="L419" s="252"/>
      <c r="M419" s="193"/>
      <c r="N419" s="252"/>
      <c r="O419" s="671"/>
      <c r="P419" s="671"/>
      <c r="Q419" s="671"/>
      <c r="R419" s="671"/>
      <c r="T419" s="193"/>
    </row>
    <row r="420" spans="2:20" s="238" customFormat="1" outlineLevel="1">
      <c r="B420" s="239" t="s">
        <v>858</v>
      </c>
      <c r="C420" s="239"/>
      <c r="D420" s="239"/>
      <c r="E420" s="236"/>
      <c r="F420" s="254"/>
      <c r="G420" s="236"/>
      <c r="H420" s="240">
        <f>COUNTA(H421:H436)</f>
        <v>15</v>
      </c>
      <c r="I420" s="240"/>
      <c r="J420" s="240"/>
      <c r="K420" s="240"/>
      <c r="L420" s="236"/>
      <c r="M420" s="254"/>
      <c r="N420" s="236"/>
      <c r="O420" s="265">
        <f>SUM(O421:O436)</f>
        <v>0.37325670851638632</v>
      </c>
      <c r="P420" s="265"/>
      <c r="Q420" s="265"/>
      <c r="R420" s="265"/>
      <c r="S420" s="236"/>
      <c r="T420" s="254"/>
    </row>
    <row r="421" spans="2:20" outlineLevel="2">
      <c r="B421" s="246"/>
      <c r="C421" s="246" t="s">
        <v>967</v>
      </c>
      <c r="D421" s="253" t="s">
        <v>28</v>
      </c>
      <c r="E421" s="236"/>
      <c r="F421" s="254"/>
      <c r="G421" s="236"/>
      <c r="H421" s="295" t="s">
        <v>60</v>
      </c>
      <c r="I421" s="295"/>
      <c r="J421" s="295"/>
      <c r="K421" s="295"/>
      <c r="L421" s="236"/>
      <c r="M421" s="254"/>
      <c r="N421" s="236"/>
      <c r="O421" s="322">
        <v>0.02</v>
      </c>
      <c r="P421" s="322"/>
      <c r="Q421" s="322"/>
      <c r="R421" s="322"/>
      <c r="S421" s="236"/>
      <c r="T421" s="254"/>
    </row>
    <row r="422" spans="2:20" outlineLevel="2">
      <c r="B422" s="246"/>
      <c r="C422" s="246" t="s">
        <v>967</v>
      </c>
      <c r="D422" s="253" t="s">
        <v>28</v>
      </c>
      <c r="E422" s="236"/>
      <c r="F422" s="254"/>
      <c r="G422" s="236"/>
      <c r="H422" s="295" t="s">
        <v>968</v>
      </c>
      <c r="I422" s="295"/>
      <c r="J422" s="295"/>
      <c r="K422" s="295"/>
      <c r="L422" s="236"/>
      <c r="M422" s="254"/>
      <c r="N422" s="236"/>
      <c r="O422" s="322">
        <v>0.02</v>
      </c>
      <c r="P422" s="322"/>
      <c r="Q422" s="322"/>
      <c r="R422" s="322"/>
      <c r="S422" s="236"/>
      <c r="T422" s="254"/>
    </row>
    <row r="423" spans="2:20" outlineLevel="2">
      <c r="B423" s="246"/>
      <c r="C423" s="246" t="s">
        <v>967</v>
      </c>
      <c r="D423" s="253" t="s">
        <v>28</v>
      </c>
      <c r="E423" s="236"/>
      <c r="F423" s="254"/>
      <c r="G423" s="236"/>
      <c r="H423" s="295" t="s">
        <v>969</v>
      </c>
      <c r="I423" s="295"/>
      <c r="J423" s="295"/>
      <c r="K423" s="295"/>
      <c r="L423" s="236"/>
      <c r="M423" s="254"/>
      <c r="N423" s="236"/>
      <c r="O423" s="322">
        <v>4.0000000000000001E-3</v>
      </c>
      <c r="P423" s="322"/>
      <c r="Q423" s="322"/>
      <c r="R423" s="322"/>
      <c r="S423" s="236"/>
      <c r="T423" s="254"/>
    </row>
    <row r="424" spans="2:20" outlineLevel="2">
      <c r="B424" s="246"/>
      <c r="C424" s="246" t="s">
        <v>967</v>
      </c>
      <c r="D424" s="253" t="s">
        <v>28</v>
      </c>
      <c r="E424" s="236"/>
      <c r="F424" s="254"/>
      <c r="G424" s="236"/>
      <c r="H424" s="295" t="s">
        <v>970</v>
      </c>
      <c r="I424" s="295"/>
      <c r="J424" s="295"/>
      <c r="K424" s="295"/>
      <c r="L424" s="236"/>
      <c r="M424" s="254"/>
      <c r="N424" s="236"/>
      <c r="O424" s="322">
        <v>4.0000000000000001E-3</v>
      </c>
      <c r="P424" s="322"/>
      <c r="Q424" s="322"/>
      <c r="R424" s="322"/>
      <c r="S424" s="236"/>
      <c r="T424" s="254"/>
    </row>
    <row r="425" spans="2:20" outlineLevel="2">
      <c r="B425" s="246"/>
      <c r="C425" s="246" t="s">
        <v>967</v>
      </c>
      <c r="D425" s="253" t="s">
        <v>28</v>
      </c>
      <c r="E425" s="236"/>
      <c r="F425" s="254"/>
      <c r="G425" s="236"/>
      <c r="H425" s="295" t="s">
        <v>971</v>
      </c>
      <c r="I425" s="295"/>
      <c r="J425" s="295"/>
      <c r="K425" s="295"/>
      <c r="L425" s="236"/>
      <c r="M425" s="254"/>
      <c r="N425" s="236"/>
      <c r="O425" s="322">
        <v>2.5670851638628396E-4</v>
      </c>
      <c r="P425" s="322"/>
      <c r="Q425" s="322"/>
      <c r="R425" s="322"/>
      <c r="S425" s="236"/>
      <c r="T425" s="254"/>
    </row>
    <row r="426" spans="2:20" outlineLevel="2">
      <c r="B426" s="246"/>
      <c r="C426" s="246" t="s">
        <v>967</v>
      </c>
      <c r="D426" s="253" t="s">
        <v>28</v>
      </c>
      <c r="E426" s="236"/>
      <c r="F426" s="254"/>
      <c r="G426" s="236"/>
      <c r="H426" s="295" t="s">
        <v>972</v>
      </c>
      <c r="I426" s="295"/>
      <c r="J426" s="295"/>
      <c r="K426" s="295"/>
      <c r="L426" s="236"/>
      <c r="M426" s="254"/>
      <c r="N426" s="236"/>
      <c r="O426" s="322">
        <v>2E-3</v>
      </c>
      <c r="P426" s="322"/>
      <c r="Q426" s="322"/>
      <c r="R426" s="322"/>
      <c r="S426" s="236"/>
      <c r="T426" s="254"/>
    </row>
    <row r="427" spans="2:20" outlineLevel="2">
      <c r="B427" s="246"/>
      <c r="C427" s="246" t="s">
        <v>967</v>
      </c>
      <c r="D427" s="253" t="s">
        <v>28</v>
      </c>
      <c r="E427" s="236"/>
      <c r="F427" s="254"/>
      <c r="G427" s="236"/>
      <c r="H427" s="295" t="s">
        <v>973</v>
      </c>
      <c r="I427" s="295"/>
      <c r="J427" s="295"/>
      <c r="K427" s="295"/>
      <c r="L427" s="236"/>
      <c r="M427" s="254"/>
      <c r="N427" s="236"/>
      <c r="O427" s="322">
        <v>3.0000000000000001E-3</v>
      </c>
      <c r="P427" s="322"/>
      <c r="Q427" s="322"/>
      <c r="R427" s="322"/>
      <c r="S427" s="236"/>
      <c r="T427" s="254"/>
    </row>
    <row r="428" spans="2:20" outlineLevel="2">
      <c r="B428" s="246"/>
      <c r="C428" s="246" t="s">
        <v>967</v>
      </c>
      <c r="D428" s="253" t="s">
        <v>28</v>
      </c>
      <c r="E428" s="236"/>
      <c r="F428" s="254"/>
      <c r="G428" s="236"/>
      <c r="H428" s="295" t="s">
        <v>974</v>
      </c>
      <c r="I428" s="295"/>
      <c r="J428" s="295"/>
      <c r="K428" s="295"/>
      <c r="L428" s="236"/>
      <c r="M428" s="254"/>
      <c r="N428" s="236"/>
      <c r="O428" s="322">
        <v>0.1</v>
      </c>
      <c r="P428" s="322"/>
      <c r="Q428" s="322"/>
      <c r="R428" s="322"/>
      <c r="S428" s="236"/>
      <c r="T428" s="254"/>
    </row>
    <row r="429" spans="2:20" outlineLevel="2">
      <c r="B429" s="246"/>
      <c r="C429" s="246" t="s">
        <v>967</v>
      </c>
      <c r="D429" s="253" t="s">
        <v>28</v>
      </c>
      <c r="E429" s="236"/>
      <c r="F429" s="254"/>
      <c r="G429" s="236"/>
      <c r="H429" s="295" t="s">
        <v>975</v>
      </c>
      <c r="I429" s="295"/>
      <c r="J429" s="295"/>
      <c r="K429" s="295"/>
      <c r="L429" s="236"/>
      <c r="M429" s="254"/>
      <c r="N429" s="236"/>
      <c r="O429" s="322">
        <v>0.01</v>
      </c>
      <c r="P429" s="322"/>
      <c r="Q429" s="322"/>
      <c r="R429" s="322"/>
      <c r="S429" s="236"/>
      <c r="T429" s="254"/>
    </row>
    <row r="430" spans="2:20" outlineLevel="2">
      <c r="B430" s="246"/>
      <c r="C430" s="246" t="s">
        <v>967</v>
      </c>
      <c r="D430" s="253" t="s">
        <v>28</v>
      </c>
      <c r="E430" s="236"/>
      <c r="F430" s="254"/>
      <c r="G430" s="236"/>
      <c r="H430" s="375" t="s">
        <v>274</v>
      </c>
      <c r="I430" s="375"/>
      <c r="J430" s="375"/>
      <c r="K430" s="375"/>
      <c r="L430" s="236"/>
      <c r="M430" s="254"/>
      <c r="N430" s="236"/>
      <c r="O430" s="322">
        <v>0.03</v>
      </c>
      <c r="P430" s="322"/>
      <c r="Q430" s="322"/>
      <c r="R430" s="322"/>
      <c r="S430" s="236"/>
      <c r="T430" s="254"/>
    </row>
    <row r="431" spans="2:20" outlineLevel="2">
      <c r="B431" s="246"/>
      <c r="C431" s="246"/>
      <c r="D431" s="253"/>
      <c r="E431" s="236"/>
      <c r="F431" s="254"/>
      <c r="G431" s="236"/>
      <c r="H431" s="295"/>
      <c r="I431" s="295"/>
      <c r="J431" s="295"/>
      <c r="K431" s="295"/>
      <c r="L431" s="236"/>
      <c r="M431" s="254"/>
      <c r="N431" s="236"/>
      <c r="O431" s="322"/>
      <c r="P431" s="322"/>
      <c r="Q431" s="322"/>
      <c r="R431" s="322"/>
      <c r="S431" s="236"/>
      <c r="T431" s="254"/>
    </row>
    <row r="432" spans="2:20" outlineLevel="2">
      <c r="B432" s="246"/>
      <c r="C432" s="246" t="s">
        <v>967</v>
      </c>
      <c r="D432" s="253" t="s">
        <v>976</v>
      </c>
      <c r="E432" s="236"/>
      <c r="F432" s="254"/>
      <c r="G432" s="236"/>
      <c r="H432" s="295" t="s">
        <v>32</v>
      </c>
      <c r="I432" s="295"/>
      <c r="J432" s="295"/>
      <c r="K432" s="295"/>
      <c r="L432" s="236"/>
      <c r="M432" s="254"/>
      <c r="N432" s="236"/>
      <c r="O432" s="322">
        <v>0.05</v>
      </c>
      <c r="P432" s="322"/>
      <c r="Q432" s="322"/>
      <c r="R432" s="322"/>
      <c r="S432" s="236"/>
      <c r="T432" s="254"/>
    </row>
    <row r="433" spans="1:27" outlineLevel="2">
      <c r="A433" s="659"/>
      <c r="B433" s="246"/>
      <c r="C433" s="246" t="s">
        <v>967</v>
      </c>
      <c r="D433" s="253" t="s">
        <v>976</v>
      </c>
      <c r="E433" s="236"/>
      <c r="F433" s="254"/>
      <c r="G433" s="236"/>
      <c r="H433" s="295" t="s">
        <v>977</v>
      </c>
      <c r="I433" s="295"/>
      <c r="J433" s="295"/>
      <c r="K433" s="295"/>
      <c r="L433" s="236"/>
      <c r="M433" s="254"/>
      <c r="N433" s="236"/>
      <c r="O433" s="322">
        <v>0.05</v>
      </c>
      <c r="P433" s="322"/>
      <c r="Q433" s="322"/>
      <c r="R433" s="322"/>
      <c r="S433" s="236"/>
      <c r="T433" s="254"/>
      <c r="U433" s="659"/>
      <c r="V433" s="659"/>
      <c r="W433" s="659"/>
      <c r="X433" s="659"/>
      <c r="Y433" s="659"/>
      <c r="Z433" s="659"/>
      <c r="AA433" s="659"/>
    </row>
    <row r="434" spans="1:27" outlineLevel="2">
      <c r="A434" s="659"/>
      <c r="B434" s="246"/>
      <c r="C434" s="246" t="s">
        <v>967</v>
      </c>
      <c r="D434" s="253" t="s">
        <v>976</v>
      </c>
      <c r="E434" s="236"/>
      <c r="F434" s="254"/>
      <c r="G434" s="236"/>
      <c r="H434" s="295" t="s">
        <v>978</v>
      </c>
      <c r="I434" s="295"/>
      <c r="J434" s="295"/>
      <c r="K434" s="295"/>
      <c r="L434" s="236"/>
      <c r="M434" s="254"/>
      <c r="N434" s="236"/>
      <c r="O434" s="322">
        <v>0.05</v>
      </c>
      <c r="P434" s="322"/>
      <c r="Q434" s="322"/>
      <c r="R434" s="322"/>
      <c r="S434" s="236"/>
      <c r="T434" s="254"/>
      <c r="U434" s="659"/>
      <c r="V434" s="659"/>
      <c r="W434" s="659"/>
      <c r="X434" s="659"/>
      <c r="Y434" s="659"/>
      <c r="Z434" s="659"/>
      <c r="AA434" s="659"/>
    </row>
    <row r="435" spans="1:27" outlineLevel="2">
      <c r="A435" s="659"/>
      <c r="B435" s="246"/>
      <c r="C435" s="246" t="s">
        <v>967</v>
      </c>
      <c r="D435" s="253" t="s">
        <v>976</v>
      </c>
      <c r="E435" s="236"/>
      <c r="F435" s="254"/>
      <c r="G435" s="236"/>
      <c r="H435" s="295" t="s">
        <v>979</v>
      </c>
      <c r="I435" s="295"/>
      <c r="J435" s="295"/>
      <c r="K435" s="295"/>
      <c r="L435" s="236"/>
      <c r="M435" s="254"/>
      <c r="N435" s="236"/>
      <c r="O435" s="322">
        <v>0.01</v>
      </c>
      <c r="P435" s="322"/>
      <c r="Q435" s="322"/>
      <c r="R435" s="322"/>
      <c r="S435" s="236"/>
      <c r="T435" s="254"/>
      <c r="U435" s="659"/>
      <c r="V435" s="659"/>
      <c r="W435" s="659"/>
      <c r="X435" s="659"/>
      <c r="Y435" s="659"/>
      <c r="Z435" s="659"/>
      <c r="AA435" s="659"/>
    </row>
    <row r="436" spans="1:27" outlineLevel="2">
      <c r="A436" s="659"/>
      <c r="B436" s="246"/>
      <c r="C436" s="246" t="s">
        <v>967</v>
      </c>
      <c r="D436" s="253" t="s">
        <v>976</v>
      </c>
      <c r="E436" s="236"/>
      <c r="F436" s="254"/>
      <c r="G436" s="236"/>
      <c r="H436" s="295" t="s">
        <v>980</v>
      </c>
      <c r="I436" s="295"/>
      <c r="J436" s="295"/>
      <c r="K436" s="295"/>
      <c r="L436" s="236"/>
      <c r="M436" s="254"/>
      <c r="N436" s="236"/>
      <c r="O436" s="322">
        <v>0.02</v>
      </c>
      <c r="P436" s="322"/>
      <c r="Q436" s="322"/>
      <c r="R436" s="322"/>
      <c r="S436" s="236"/>
      <c r="T436" s="254"/>
      <c r="U436" s="659"/>
      <c r="V436" s="659"/>
      <c r="W436" s="659"/>
      <c r="X436" s="659"/>
      <c r="Y436" s="659"/>
      <c r="Z436" s="659"/>
      <c r="AA436" s="659"/>
    </row>
    <row r="437" spans="1:27" s="337" customFormat="1" ht="3" customHeight="1" outlineLevel="1">
      <c r="A437" s="659"/>
      <c r="B437" s="246"/>
      <c r="C437" s="246"/>
      <c r="D437" s="253"/>
      <c r="E437" s="236"/>
      <c r="F437" s="254"/>
      <c r="G437" s="236"/>
      <c r="H437" s="670"/>
      <c r="I437" s="670"/>
      <c r="J437" s="670"/>
      <c r="K437" s="670"/>
      <c r="L437" s="236"/>
      <c r="M437" s="254"/>
      <c r="N437" s="236"/>
      <c r="O437" s="671"/>
      <c r="P437" s="671"/>
      <c r="Q437" s="671"/>
      <c r="R437" s="671"/>
      <c r="S437" s="236"/>
      <c r="T437" s="254"/>
      <c r="U437" s="659"/>
      <c r="V437" s="659"/>
      <c r="W437" s="659"/>
      <c r="X437" s="659"/>
      <c r="Y437" s="659"/>
      <c r="Z437" s="659"/>
      <c r="AA437" s="659"/>
    </row>
    <row r="438" spans="1:27" s="238" customFormat="1" outlineLevel="1">
      <c r="B438" s="239" t="s">
        <v>900</v>
      </c>
      <c r="C438" s="239"/>
      <c r="D438" s="239"/>
      <c r="E438" s="236"/>
      <c r="F438" s="193"/>
      <c r="G438" s="236"/>
      <c r="H438" s="240">
        <f>COUNTA(H439:H443)</f>
        <v>5</v>
      </c>
      <c r="I438" s="240"/>
      <c r="J438" s="240"/>
      <c r="K438" s="240"/>
      <c r="L438" s="236"/>
      <c r="M438" s="193"/>
      <c r="N438" s="236"/>
      <c r="O438" s="265">
        <f>SUM(O439:O443)</f>
        <v>0.31000000000000005</v>
      </c>
      <c r="P438" s="265"/>
      <c r="Q438" s="265"/>
      <c r="R438" s="265"/>
      <c r="S438" s="236"/>
      <c r="T438" s="193"/>
    </row>
    <row r="439" spans="1:27" outlineLevel="2">
      <c r="A439" s="659"/>
      <c r="B439" s="242" t="s">
        <v>29</v>
      </c>
      <c r="C439" s="246" t="s">
        <v>900</v>
      </c>
      <c r="D439" s="244" t="s">
        <v>28</v>
      </c>
      <c r="E439" s="262"/>
      <c r="F439" s="193"/>
      <c r="H439" s="249" t="s">
        <v>981</v>
      </c>
      <c r="I439" s="249"/>
      <c r="J439" s="249"/>
      <c r="K439" s="249"/>
      <c r="M439" s="193"/>
      <c r="O439" s="663">
        <v>0.05</v>
      </c>
      <c r="P439" s="663"/>
      <c r="Q439" s="663"/>
      <c r="R439" s="663"/>
      <c r="T439" s="193"/>
      <c r="U439" s="659"/>
      <c r="V439" s="659"/>
      <c r="W439" s="659"/>
      <c r="X439" s="659"/>
      <c r="Y439" s="659"/>
      <c r="Z439" s="659"/>
      <c r="AA439" s="659"/>
    </row>
    <row r="440" spans="1:27" outlineLevel="2">
      <c r="A440" s="659"/>
      <c r="B440" s="242" t="s">
        <v>29</v>
      </c>
      <c r="C440" s="246" t="s">
        <v>900</v>
      </c>
      <c r="D440" s="244" t="s">
        <v>28</v>
      </c>
      <c r="E440" s="262"/>
      <c r="F440" s="193"/>
      <c r="H440" s="249" t="s">
        <v>982</v>
      </c>
      <c r="I440" s="249"/>
      <c r="J440" s="249"/>
      <c r="K440" s="249"/>
      <c r="M440" s="193"/>
      <c r="O440" s="663">
        <v>0.05</v>
      </c>
      <c r="P440" s="663"/>
      <c r="Q440" s="663"/>
      <c r="R440" s="663"/>
      <c r="T440" s="193"/>
      <c r="U440" s="659"/>
      <c r="V440" s="659"/>
      <c r="W440" s="659"/>
      <c r="X440" s="659"/>
      <c r="Y440" s="659"/>
      <c r="Z440" s="659"/>
      <c r="AA440" s="659"/>
    </row>
    <row r="441" spans="1:27" outlineLevel="2">
      <c r="A441" s="659"/>
      <c r="B441" s="242" t="s">
        <v>29</v>
      </c>
      <c r="C441" s="246" t="s">
        <v>900</v>
      </c>
      <c r="D441" s="244" t="s">
        <v>28</v>
      </c>
      <c r="E441" s="262"/>
      <c r="F441" s="193"/>
      <c r="H441" s="249" t="s">
        <v>983</v>
      </c>
      <c r="I441" s="249"/>
      <c r="J441" s="249"/>
      <c r="K441" s="249"/>
      <c r="M441" s="193"/>
      <c r="O441" s="663">
        <v>0.04</v>
      </c>
      <c r="P441" s="663"/>
      <c r="Q441" s="663"/>
      <c r="R441" s="663"/>
      <c r="T441" s="193"/>
      <c r="U441" s="659"/>
      <c r="V441" s="659"/>
      <c r="W441" s="659"/>
      <c r="X441" s="659"/>
      <c r="Y441" s="659"/>
      <c r="Z441" s="659"/>
      <c r="AA441" s="659"/>
    </row>
    <row r="442" spans="1:27" outlineLevel="2">
      <c r="A442" s="659"/>
      <c r="B442" s="242" t="s">
        <v>29</v>
      </c>
      <c r="C442" s="246" t="s">
        <v>900</v>
      </c>
      <c r="D442" s="244" t="s">
        <v>28</v>
      </c>
      <c r="E442" s="262"/>
      <c r="F442" s="193"/>
      <c r="H442" s="249" t="s">
        <v>975</v>
      </c>
      <c r="I442" s="249"/>
      <c r="J442" s="249"/>
      <c r="K442" s="249"/>
      <c r="M442" s="193"/>
      <c r="O442" s="663">
        <v>0.04</v>
      </c>
      <c r="P442" s="663"/>
      <c r="Q442" s="663"/>
      <c r="R442" s="663"/>
      <c r="T442" s="193"/>
      <c r="U442" s="659"/>
      <c r="V442" s="659"/>
      <c r="W442" s="659"/>
      <c r="X442" s="659"/>
      <c r="Y442" s="659"/>
      <c r="Z442" s="659"/>
      <c r="AA442" s="659"/>
    </row>
    <row r="443" spans="1:27" outlineLevel="2">
      <c r="A443" s="659"/>
      <c r="B443" s="242" t="s">
        <v>29</v>
      </c>
      <c r="C443" s="246" t="s">
        <v>900</v>
      </c>
      <c r="D443" s="244" t="s">
        <v>28</v>
      </c>
      <c r="E443" s="262"/>
      <c r="F443" s="193"/>
      <c r="H443" s="249" t="s">
        <v>274</v>
      </c>
      <c r="I443" s="249"/>
      <c r="J443" s="249"/>
      <c r="K443" s="249"/>
      <c r="M443" s="193"/>
      <c r="O443" s="663">
        <v>0.13</v>
      </c>
      <c r="P443" s="663"/>
      <c r="Q443" s="663"/>
      <c r="R443" s="663"/>
      <c r="T443" s="193"/>
      <c r="U443" s="659"/>
      <c r="V443" s="659"/>
      <c r="W443" s="659"/>
      <c r="X443" s="659"/>
      <c r="Y443" s="659"/>
      <c r="Z443" s="659"/>
      <c r="AA443" s="659"/>
    </row>
    <row r="444" spans="1:27" ht="3" customHeight="1" outlineLevel="1">
      <c r="A444" s="659"/>
      <c r="B444" s="660"/>
      <c r="C444" s="659"/>
      <c r="D444" s="659"/>
      <c r="F444" s="193"/>
      <c r="H444" s="670"/>
      <c r="I444" s="670"/>
      <c r="J444" s="670"/>
      <c r="K444" s="670"/>
      <c r="L444" s="252"/>
      <c r="M444" s="193"/>
      <c r="N444" s="252"/>
      <c r="O444" s="671"/>
      <c r="P444" s="671"/>
      <c r="Q444" s="671"/>
      <c r="R444" s="671"/>
      <c r="T444" s="193"/>
      <c r="U444" s="659"/>
      <c r="V444" s="659"/>
      <c r="W444" s="659"/>
      <c r="X444" s="659"/>
      <c r="Y444" s="659"/>
      <c r="Z444" s="659"/>
      <c r="AA444" s="659"/>
    </row>
    <row r="445" spans="1:27" s="238" customFormat="1" outlineLevel="1">
      <c r="B445" s="239" t="s">
        <v>803</v>
      </c>
      <c r="C445" s="239"/>
      <c r="D445" s="239"/>
      <c r="E445" s="236"/>
      <c r="F445" s="193"/>
      <c r="G445" s="236"/>
      <c r="H445" s="240">
        <f>COUNTA(H446:H447)</f>
        <v>1</v>
      </c>
      <c r="I445" s="240"/>
      <c r="J445" s="240"/>
      <c r="K445" s="240"/>
      <c r="L445" s="236"/>
      <c r="M445" s="193"/>
      <c r="N445" s="236"/>
      <c r="O445" s="265">
        <f>SUM(O446:O447)</f>
        <v>0</v>
      </c>
      <c r="P445" s="265"/>
      <c r="Q445" s="265"/>
      <c r="R445" s="265"/>
      <c r="S445" s="236"/>
      <c r="T445" s="193"/>
    </row>
    <row r="446" spans="1:27" outlineLevel="2">
      <c r="A446" s="659"/>
      <c r="B446" s="242" t="s">
        <v>29</v>
      </c>
      <c r="C446" s="246" t="s">
        <v>803</v>
      </c>
      <c r="D446" s="244" t="s">
        <v>28</v>
      </c>
      <c r="E446" s="262"/>
      <c r="F446" s="193"/>
      <c r="H446" s="259" t="s">
        <v>32</v>
      </c>
      <c r="I446" s="259"/>
      <c r="J446" s="259"/>
      <c r="K446" s="259"/>
      <c r="M446" s="193"/>
      <c r="O446" s="663"/>
      <c r="P446" s="663"/>
      <c r="Q446" s="663"/>
      <c r="R446" s="663"/>
      <c r="T446" s="193"/>
      <c r="U446" s="659"/>
      <c r="V446" s="659"/>
      <c r="W446" s="659"/>
      <c r="X446" s="659"/>
      <c r="Y446" s="659"/>
      <c r="Z446" s="659"/>
      <c r="AA446" s="659"/>
    </row>
    <row r="447" spans="1:27" outlineLevel="2">
      <c r="A447" s="659"/>
      <c r="B447" s="242" t="s">
        <v>29</v>
      </c>
      <c r="C447" s="246" t="s">
        <v>803</v>
      </c>
      <c r="D447" s="244" t="s">
        <v>984</v>
      </c>
      <c r="E447" s="262"/>
      <c r="F447" s="193"/>
      <c r="H447" s="259"/>
      <c r="I447" s="259"/>
      <c r="J447" s="259"/>
      <c r="K447" s="259"/>
      <c r="M447" s="193"/>
      <c r="O447" s="663"/>
      <c r="P447" s="663"/>
      <c r="Q447" s="663"/>
      <c r="R447" s="663"/>
      <c r="T447" s="193"/>
      <c r="U447" s="659"/>
      <c r="V447" s="659"/>
      <c r="W447" s="659"/>
      <c r="X447" s="659"/>
      <c r="Y447" s="659"/>
      <c r="Z447" s="659"/>
      <c r="AA447" s="659"/>
    </row>
    <row r="448" spans="1:27" ht="3" customHeight="1" outlineLevel="1">
      <c r="A448" s="659"/>
      <c r="B448" s="246"/>
      <c r="C448" s="246"/>
      <c r="D448" s="246"/>
      <c r="E448" s="262"/>
      <c r="F448" s="193"/>
      <c r="H448" s="670"/>
      <c r="I448" s="670"/>
      <c r="J448" s="670"/>
      <c r="K448" s="670"/>
      <c r="L448" s="252"/>
      <c r="M448" s="193"/>
      <c r="N448" s="252"/>
      <c r="O448" s="671"/>
      <c r="P448" s="671"/>
      <c r="Q448" s="671"/>
      <c r="R448" s="671"/>
      <c r="T448" s="193"/>
      <c r="U448" s="659"/>
      <c r="V448" s="659"/>
      <c r="W448" s="659"/>
      <c r="X448" s="659"/>
      <c r="Y448" s="659"/>
      <c r="Z448" s="659"/>
      <c r="AA448" s="659"/>
    </row>
    <row r="449" spans="2:22" s="238" customFormat="1" outlineLevel="1">
      <c r="B449" s="239" t="s">
        <v>804</v>
      </c>
      <c r="C449" s="239"/>
      <c r="D449" s="239"/>
      <c r="E449" s="236"/>
      <c r="F449" s="193"/>
      <c r="G449" s="236"/>
      <c r="H449" s="240">
        <f>COUNTA(H450:H454)</f>
        <v>3</v>
      </c>
      <c r="I449" s="240"/>
      <c r="J449" s="240"/>
      <c r="K449" s="240"/>
      <c r="L449" s="236"/>
      <c r="M449" s="193"/>
      <c r="N449" s="236"/>
      <c r="O449" s="265">
        <f>SUM(O450:O454)</f>
        <v>2.2508529099999997E-2</v>
      </c>
      <c r="P449" s="265"/>
      <c r="Q449" s="265"/>
      <c r="R449" s="265"/>
      <c r="S449" s="236"/>
      <c r="T449" s="193"/>
    </row>
    <row r="450" spans="2:22" outlineLevel="2">
      <c r="B450" s="242" t="s">
        <v>29</v>
      </c>
      <c r="C450" s="246" t="s">
        <v>804</v>
      </c>
      <c r="D450" s="255" t="s">
        <v>28</v>
      </c>
      <c r="E450" s="262"/>
      <c r="F450" s="193"/>
      <c r="H450" s="690" t="s">
        <v>274</v>
      </c>
      <c r="I450" s="690"/>
      <c r="J450" s="690"/>
      <c r="K450" s="690"/>
      <c r="M450" s="193"/>
      <c r="O450" s="671">
        <v>2.0842521999999999E-2</v>
      </c>
      <c r="P450" s="671"/>
      <c r="Q450" s="671"/>
      <c r="R450" s="671"/>
      <c r="T450" s="193"/>
      <c r="U450" s="659"/>
      <c r="V450" s="659"/>
    </row>
    <row r="451" spans="2:22" outlineLevel="2">
      <c r="B451" s="242" t="s">
        <v>29</v>
      </c>
      <c r="C451" s="246" t="s">
        <v>804</v>
      </c>
      <c r="D451" s="255" t="s">
        <v>28</v>
      </c>
      <c r="E451" s="262"/>
      <c r="F451" s="193"/>
      <c r="H451" s="690" t="s">
        <v>985</v>
      </c>
      <c r="I451" s="690"/>
      <c r="J451" s="690"/>
      <c r="K451" s="690"/>
      <c r="M451" s="193"/>
      <c r="O451" s="671">
        <v>1.1106714000000001E-3</v>
      </c>
      <c r="P451" s="671"/>
      <c r="Q451" s="671"/>
      <c r="R451" s="671"/>
      <c r="T451" s="193"/>
      <c r="U451" s="659"/>
      <c r="V451" s="659"/>
    </row>
    <row r="452" spans="2:22" outlineLevel="2">
      <c r="B452" s="242" t="s">
        <v>29</v>
      </c>
      <c r="C452" s="246" t="s">
        <v>804</v>
      </c>
      <c r="D452" s="244" t="s">
        <v>28</v>
      </c>
      <c r="E452" s="262"/>
      <c r="F452" s="193"/>
      <c r="H452" s="690" t="s">
        <v>275</v>
      </c>
      <c r="I452" s="690"/>
      <c r="J452" s="690"/>
      <c r="K452" s="690"/>
      <c r="M452" s="193"/>
      <c r="O452" s="671">
        <v>5.5533570000000003E-4</v>
      </c>
      <c r="P452" s="671"/>
      <c r="Q452" s="671"/>
      <c r="R452" s="671"/>
      <c r="T452" s="193"/>
      <c r="U452" s="659"/>
      <c r="V452" s="659"/>
    </row>
    <row r="453" spans="2:22" outlineLevel="2">
      <c r="B453" s="242"/>
      <c r="C453" s="246"/>
      <c r="D453" s="244"/>
      <c r="E453" s="262"/>
      <c r="F453" s="193"/>
      <c r="G453" s="262"/>
      <c r="H453" s="690"/>
      <c r="I453" s="690"/>
      <c r="J453" s="690"/>
      <c r="K453" s="690"/>
      <c r="L453" s="262"/>
      <c r="M453" s="193"/>
      <c r="N453" s="262"/>
      <c r="O453" s="671"/>
      <c r="P453" s="671"/>
      <c r="Q453" s="671"/>
      <c r="R453" s="671"/>
      <c r="S453" s="262"/>
      <c r="T453" s="193"/>
      <c r="U453" s="659"/>
      <c r="V453" s="659"/>
    </row>
    <row r="454" spans="2:22" outlineLevel="2">
      <c r="B454" s="242"/>
      <c r="C454" s="246"/>
      <c r="D454" s="244"/>
      <c r="E454" s="262"/>
      <c r="F454" s="193"/>
      <c r="G454" s="262"/>
      <c r="H454" s="690"/>
      <c r="I454" s="690"/>
      <c r="J454" s="690"/>
      <c r="K454" s="690"/>
      <c r="L454" s="262"/>
      <c r="M454" s="193"/>
      <c r="N454" s="262"/>
      <c r="O454" s="671"/>
      <c r="P454" s="671"/>
      <c r="Q454" s="671"/>
      <c r="R454" s="671"/>
      <c r="S454" s="262"/>
      <c r="T454" s="193"/>
      <c r="U454" s="659"/>
      <c r="V454" s="659"/>
    </row>
    <row r="455" spans="2:22" ht="3" customHeight="1" outlineLevel="1">
      <c r="B455" s="246"/>
      <c r="C455" s="246"/>
      <c r="D455" s="246"/>
      <c r="E455" s="262"/>
      <c r="F455" s="193"/>
      <c r="G455" s="262"/>
      <c r="H455" s="670"/>
      <c r="I455" s="670"/>
      <c r="J455" s="670"/>
      <c r="K455" s="670"/>
      <c r="L455" s="262"/>
      <c r="M455" s="193"/>
      <c r="N455" s="262"/>
      <c r="O455" s="671"/>
      <c r="P455" s="671"/>
      <c r="Q455" s="671"/>
      <c r="R455" s="671"/>
      <c r="S455" s="262"/>
      <c r="T455" s="193"/>
      <c r="U455" s="659"/>
      <c r="V455" s="659"/>
    </row>
    <row r="456" spans="2:22" s="238" customFormat="1" outlineLevel="1">
      <c r="B456" s="239" t="s">
        <v>873</v>
      </c>
      <c r="C456" s="239"/>
      <c r="D456" s="239"/>
      <c r="E456" s="236"/>
      <c r="F456" s="193"/>
      <c r="G456" s="236"/>
      <c r="H456" s="240">
        <f>COUNTA(H457:H477)</f>
        <v>17</v>
      </c>
      <c r="I456" s="240"/>
      <c r="J456" s="240"/>
      <c r="K456" s="240"/>
      <c r="L456" s="236"/>
      <c r="M456" s="193"/>
      <c r="N456" s="236"/>
      <c r="O456" s="265">
        <f>SUM(O457:O477)</f>
        <v>0.9164000000000001</v>
      </c>
      <c r="P456" s="265"/>
      <c r="Q456" s="265"/>
      <c r="R456" s="265"/>
      <c r="S456" s="236"/>
      <c r="T456" s="193"/>
      <c r="U456" s="659"/>
      <c r="V456" s="659"/>
    </row>
    <row r="457" spans="2:22" outlineLevel="2">
      <c r="B457" s="242" t="s">
        <v>29</v>
      </c>
      <c r="C457" s="246" t="s">
        <v>875</v>
      </c>
      <c r="D457" s="244" t="s">
        <v>28</v>
      </c>
      <c r="E457" s="262"/>
      <c r="F457" s="193"/>
      <c r="G457" s="262"/>
      <c r="H457" s="691" t="s">
        <v>986</v>
      </c>
      <c r="I457" s="691"/>
      <c r="J457" s="691"/>
      <c r="K457" s="691"/>
      <c r="L457" s="262"/>
      <c r="M457" s="193"/>
      <c r="N457" s="262"/>
      <c r="O457" s="663">
        <v>0.24</v>
      </c>
      <c r="P457" s="663"/>
      <c r="Q457" s="663"/>
      <c r="R457" s="663"/>
      <c r="S457" s="262"/>
      <c r="T457" s="193"/>
      <c r="U457" s="659"/>
      <c r="V457" s="659"/>
    </row>
    <row r="458" spans="2:22" outlineLevel="2">
      <c r="B458" s="242" t="s">
        <v>29</v>
      </c>
      <c r="C458" s="246" t="s">
        <v>875</v>
      </c>
      <c r="D458" s="244" t="s">
        <v>28</v>
      </c>
      <c r="E458" s="262"/>
      <c r="F458" s="193"/>
      <c r="G458" s="262"/>
      <c r="H458" s="691" t="s">
        <v>98</v>
      </c>
      <c r="I458" s="691"/>
      <c r="J458" s="691"/>
      <c r="K458" s="691"/>
      <c r="L458" s="262"/>
      <c r="M458" s="193"/>
      <c r="N458" s="262"/>
      <c r="O458" s="663">
        <v>1E-3</v>
      </c>
      <c r="P458" s="663"/>
      <c r="Q458" s="663"/>
      <c r="R458" s="663"/>
      <c r="S458" s="262"/>
      <c r="T458" s="193"/>
      <c r="U458" s="659"/>
      <c r="V458" s="659"/>
    </row>
    <row r="459" spans="2:22" outlineLevel="2">
      <c r="B459" s="242"/>
      <c r="C459" s="246"/>
      <c r="D459" s="244"/>
      <c r="E459" s="262"/>
      <c r="F459" s="193"/>
      <c r="G459" s="262"/>
      <c r="H459" s="662"/>
      <c r="I459" s="662"/>
      <c r="J459" s="662"/>
      <c r="K459" s="662"/>
      <c r="L459" s="262"/>
      <c r="M459" s="193"/>
      <c r="N459" s="262"/>
      <c r="O459" s="663"/>
      <c r="P459" s="663"/>
      <c r="Q459" s="663"/>
      <c r="R459" s="663"/>
      <c r="S459" s="262"/>
      <c r="T459" s="193"/>
      <c r="U459" s="686"/>
      <c r="V459" s="659"/>
    </row>
    <row r="460" spans="2:22" outlineLevel="2">
      <c r="B460" s="242"/>
      <c r="C460" s="246"/>
      <c r="D460" s="244"/>
      <c r="E460" s="262"/>
      <c r="F460" s="193"/>
      <c r="H460" s="662"/>
      <c r="I460" s="662"/>
      <c r="J460" s="662"/>
      <c r="K460" s="662"/>
      <c r="M460" s="193"/>
      <c r="O460" s="663"/>
      <c r="P460" s="663"/>
      <c r="Q460" s="663"/>
      <c r="R460" s="663"/>
      <c r="T460" s="193"/>
      <c r="U460" s="659"/>
      <c r="V460" s="659"/>
    </row>
    <row r="461" spans="2:22" ht="16.5" customHeight="1" outlineLevel="2">
      <c r="B461" s="242" t="s">
        <v>29</v>
      </c>
      <c r="C461" s="246" t="s">
        <v>876</v>
      </c>
      <c r="D461" s="244" t="s">
        <v>28</v>
      </c>
      <c r="E461" s="262"/>
      <c r="F461" s="193"/>
      <c r="H461" s="660" t="s">
        <v>880</v>
      </c>
      <c r="I461" s="660"/>
      <c r="J461" s="660"/>
      <c r="K461" s="660"/>
      <c r="M461" s="193"/>
      <c r="O461" s="663">
        <v>0.11</v>
      </c>
      <c r="P461" s="663"/>
      <c r="Q461" s="663"/>
      <c r="R461" s="663"/>
      <c r="T461" s="193"/>
      <c r="U461" s="659"/>
      <c r="V461" s="659"/>
    </row>
    <row r="462" spans="2:22" outlineLevel="2">
      <c r="B462" s="242" t="s">
        <v>29</v>
      </c>
      <c r="C462" s="246" t="s">
        <v>876</v>
      </c>
      <c r="D462" s="244" t="s">
        <v>28</v>
      </c>
      <c r="E462" s="262"/>
      <c r="F462" s="193"/>
      <c r="H462" s="691" t="s">
        <v>881</v>
      </c>
      <c r="I462" s="691"/>
      <c r="J462" s="691"/>
      <c r="K462" s="691"/>
      <c r="M462" s="193"/>
      <c r="O462" s="663">
        <v>0.09</v>
      </c>
      <c r="P462" s="663"/>
      <c r="Q462" s="663"/>
      <c r="R462" s="663"/>
      <c r="T462" s="193"/>
      <c r="U462" s="659"/>
      <c r="V462" s="659"/>
    </row>
    <row r="463" spans="2:22" outlineLevel="2">
      <c r="B463" s="242" t="s">
        <v>29</v>
      </c>
      <c r="C463" s="246" t="s">
        <v>876</v>
      </c>
      <c r="D463" s="244" t="s">
        <v>28</v>
      </c>
      <c r="E463" s="262"/>
      <c r="F463" s="193"/>
      <c r="H463" s="376" t="s">
        <v>987</v>
      </c>
      <c r="I463" s="376"/>
      <c r="J463" s="376"/>
      <c r="K463" s="376"/>
      <c r="M463" s="193"/>
      <c r="O463" s="663">
        <v>0.02</v>
      </c>
      <c r="P463" s="663"/>
      <c r="Q463" s="663"/>
      <c r="R463" s="663"/>
      <c r="T463" s="193"/>
      <c r="U463" s="659"/>
      <c r="V463" s="659"/>
    </row>
    <row r="464" spans="2:22" outlineLevel="2">
      <c r="B464" s="242" t="s">
        <v>29</v>
      </c>
      <c r="C464" s="246" t="s">
        <v>876</v>
      </c>
      <c r="D464" s="244" t="s">
        <v>28</v>
      </c>
      <c r="E464" s="262"/>
      <c r="F464" s="193"/>
      <c r="H464" s="691" t="s">
        <v>988</v>
      </c>
      <c r="I464" s="691"/>
      <c r="J464" s="691"/>
      <c r="K464" s="691"/>
      <c r="M464" s="193"/>
      <c r="O464" s="663">
        <v>0.06</v>
      </c>
      <c r="P464" s="663"/>
      <c r="Q464" s="663"/>
      <c r="R464" s="663"/>
      <c r="T464" s="193"/>
      <c r="U464" s="659"/>
      <c r="V464" s="659"/>
    </row>
    <row r="465" spans="2:20" outlineLevel="2">
      <c r="B465" s="242" t="s">
        <v>29</v>
      </c>
      <c r="C465" s="246" t="s">
        <v>876</v>
      </c>
      <c r="D465" s="244" t="s">
        <v>28</v>
      </c>
      <c r="E465" s="262"/>
      <c r="F465" s="193"/>
      <c r="H465" s="691" t="s">
        <v>989</v>
      </c>
      <c r="I465" s="691"/>
      <c r="J465" s="691"/>
      <c r="K465" s="691"/>
      <c r="M465" s="193"/>
      <c r="O465" s="663">
        <v>0.06</v>
      </c>
      <c r="P465" s="663"/>
      <c r="Q465" s="663"/>
      <c r="R465" s="663"/>
      <c r="T465" s="193"/>
    </row>
    <row r="466" spans="2:20" outlineLevel="2">
      <c r="B466" s="242" t="s">
        <v>29</v>
      </c>
      <c r="C466" s="246" t="s">
        <v>876</v>
      </c>
      <c r="D466" s="255" t="s">
        <v>28</v>
      </c>
      <c r="E466" s="262"/>
      <c r="F466" s="193"/>
      <c r="H466" s="691" t="s">
        <v>887</v>
      </c>
      <c r="I466" s="691"/>
      <c r="J466" s="691"/>
      <c r="K466" s="691"/>
      <c r="M466" s="193"/>
      <c r="O466" s="663">
        <v>4.0000000000000001E-3</v>
      </c>
      <c r="P466" s="663"/>
      <c r="Q466" s="663"/>
      <c r="R466" s="663"/>
      <c r="T466" s="193"/>
    </row>
    <row r="467" spans="2:20" outlineLevel="2">
      <c r="B467" s="242" t="s">
        <v>29</v>
      </c>
      <c r="C467" s="246" t="s">
        <v>876</v>
      </c>
      <c r="D467" s="255" t="s">
        <v>28</v>
      </c>
      <c r="E467" s="262"/>
      <c r="F467" s="193"/>
      <c r="H467" s="691" t="s">
        <v>883</v>
      </c>
      <c r="I467" s="691"/>
      <c r="J467" s="691"/>
      <c r="K467" s="691"/>
      <c r="M467" s="193"/>
      <c r="O467" s="663">
        <v>0.04</v>
      </c>
      <c r="P467" s="663"/>
      <c r="Q467" s="663"/>
      <c r="R467" s="663"/>
      <c r="T467" s="193"/>
    </row>
    <row r="468" spans="2:20" outlineLevel="2">
      <c r="B468" s="242" t="s">
        <v>29</v>
      </c>
      <c r="C468" s="246" t="s">
        <v>876</v>
      </c>
      <c r="D468" s="244" t="s">
        <v>28</v>
      </c>
      <c r="E468" s="262"/>
      <c r="F468" s="193"/>
      <c r="H468" s="691" t="s">
        <v>890</v>
      </c>
      <c r="I468" s="691"/>
      <c r="J468" s="691"/>
      <c r="K468" s="691"/>
      <c r="M468" s="193"/>
      <c r="O468" s="663">
        <v>1.4E-3</v>
      </c>
      <c r="P468" s="663"/>
      <c r="Q468" s="663"/>
      <c r="R468" s="663"/>
      <c r="T468" s="193"/>
    </row>
    <row r="469" spans="2:20" outlineLevel="2">
      <c r="B469" s="242" t="s">
        <v>29</v>
      </c>
      <c r="C469" s="246" t="s">
        <v>876</v>
      </c>
      <c r="D469" s="244" t="s">
        <v>28</v>
      </c>
      <c r="E469" s="262"/>
      <c r="F469" s="193"/>
      <c r="H469" s="691" t="s">
        <v>889</v>
      </c>
      <c r="I469" s="691"/>
      <c r="J469" s="691"/>
      <c r="K469" s="691"/>
      <c r="M469" s="193"/>
      <c r="O469" s="663">
        <v>0.12</v>
      </c>
      <c r="P469" s="663"/>
      <c r="Q469" s="663"/>
      <c r="R469" s="663"/>
      <c r="T469" s="193"/>
    </row>
    <row r="470" spans="2:20" outlineLevel="2">
      <c r="B470" s="242"/>
      <c r="C470" s="246"/>
      <c r="D470" s="244"/>
      <c r="E470" s="262"/>
      <c r="F470" s="193"/>
      <c r="G470" s="262"/>
      <c r="H470" s="662"/>
      <c r="I470" s="662"/>
      <c r="J470" s="662"/>
      <c r="K470" s="662"/>
      <c r="L470" s="262"/>
      <c r="M470" s="193"/>
      <c r="N470" s="262"/>
      <c r="O470" s="663"/>
      <c r="P470" s="663"/>
      <c r="Q470" s="663"/>
      <c r="R470" s="663"/>
      <c r="S470" s="262"/>
      <c r="T470" s="193"/>
    </row>
    <row r="471" spans="2:20" outlineLevel="2">
      <c r="B471" s="242" t="s">
        <v>29</v>
      </c>
      <c r="C471" s="283" t="s">
        <v>873</v>
      </c>
      <c r="D471" s="244" t="s">
        <v>976</v>
      </c>
      <c r="E471" s="262"/>
      <c r="F471" s="193"/>
      <c r="G471" s="262"/>
      <c r="H471" s="691" t="s">
        <v>100</v>
      </c>
      <c r="I471" s="691"/>
      <c r="J471" s="691"/>
      <c r="K471" s="691"/>
      <c r="L471" s="262"/>
      <c r="M471" s="193"/>
      <c r="N471" s="262"/>
      <c r="O471" s="663">
        <v>0.04</v>
      </c>
      <c r="P471" s="663"/>
      <c r="Q471" s="663"/>
      <c r="R471" s="663"/>
      <c r="S471" s="262"/>
      <c r="T471" s="193"/>
    </row>
    <row r="472" spans="2:20" outlineLevel="2">
      <c r="B472" s="660"/>
      <c r="C472" s="290"/>
      <c r="D472" s="695"/>
      <c r="F472" s="193"/>
      <c r="H472" s="691"/>
      <c r="I472" s="691"/>
      <c r="J472" s="691"/>
      <c r="K472" s="691"/>
      <c r="M472" s="193"/>
      <c r="O472" s="663"/>
      <c r="P472" s="663"/>
      <c r="Q472" s="663"/>
      <c r="R472" s="663"/>
      <c r="T472" s="193"/>
    </row>
    <row r="473" spans="2:20" outlineLevel="2">
      <c r="B473" s="242" t="s">
        <v>29</v>
      </c>
      <c r="C473" s="283" t="s">
        <v>101</v>
      </c>
      <c r="D473" s="244" t="s">
        <v>976</v>
      </c>
      <c r="E473" s="262"/>
      <c r="F473" s="193"/>
      <c r="G473" s="262"/>
      <c r="H473" s="691" t="s">
        <v>131</v>
      </c>
      <c r="I473" s="691"/>
      <c r="J473" s="691"/>
      <c r="K473" s="691"/>
      <c r="L473" s="262"/>
      <c r="M473" s="193"/>
      <c r="N473" s="262"/>
      <c r="O473" s="663">
        <v>0.02</v>
      </c>
      <c r="P473" s="663"/>
      <c r="Q473" s="663"/>
      <c r="R473" s="663"/>
      <c r="S473" s="262"/>
      <c r="T473" s="193"/>
    </row>
    <row r="474" spans="2:20" outlineLevel="2">
      <c r="B474" s="242" t="s">
        <v>29</v>
      </c>
      <c r="C474" s="283" t="s">
        <v>101</v>
      </c>
      <c r="D474" s="244" t="s">
        <v>976</v>
      </c>
      <c r="E474" s="262"/>
      <c r="F474" s="193"/>
      <c r="G474" s="262"/>
      <c r="H474" s="691" t="s">
        <v>990</v>
      </c>
      <c r="I474" s="691"/>
      <c r="J474" s="691"/>
      <c r="K474" s="691"/>
      <c r="L474" s="262"/>
      <c r="M474" s="193"/>
      <c r="N474" s="262"/>
      <c r="O474" s="663">
        <v>0.02</v>
      </c>
      <c r="P474" s="663"/>
      <c r="Q474" s="663"/>
      <c r="R474" s="663"/>
      <c r="S474" s="262"/>
      <c r="T474" s="193"/>
    </row>
    <row r="475" spans="2:20" outlineLevel="2">
      <c r="B475" s="242" t="s">
        <v>29</v>
      </c>
      <c r="C475" s="283" t="s">
        <v>101</v>
      </c>
      <c r="D475" s="244" t="s">
        <v>976</v>
      </c>
      <c r="E475" s="262"/>
      <c r="F475" s="193"/>
      <c r="G475" s="262"/>
      <c r="H475" s="691" t="s">
        <v>132</v>
      </c>
      <c r="I475" s="691"/>
      <c r="J475" s="691"/>
      <c r="K475" s="691"/>
      <c r="L475" s="262"/>
      <c r="M475" s="193"/>
      <c r="N475" s="262"/>
      <c r="O475" s="663">
        <v>0.02</v>
      </c>
      <c r="P475" s="663"/>
      <c r="Q475" s="663"/>
      <c r="R475" s="663"/>
      <c r="S475" s="262"/>
      <c r="T475" s="193"/>
    </row>
    <row r="476" spans="2:20" outlineLevel="2">
      <c r="B476" s="242" t="s">
        <v>29</v>
      </c>
      <c r="C476" s="283" t="s">
        <v>101</v>
      </c>
      <c r="D476" s="244" t="s">
        <v>976</v>
      </c>
      <c r="E476" s="262"/>
      <c r="F476" s="193"/>
      <c r="G476" s="262"/>
      <c r="H476" s="691" t="s">
        <v>133</v>
      </c>
      <c r="I476" s="691"/>
      <c r="J476" s="691"/>
      <c r="K476" s="691"/>
      <c r="L476" s="262"/>
      <c r="M476" s="193"/>
      <c r="N476" s="262"/>
      <c r="O476" s="663">
        <v>0.02</v>
      </c>
      <c r="P476" s="663"/>
      <c r="Q476" s="663"/>
      <c r="R476" s="663"/>
      <c r="S476" s="262"/>
      <c r="T476" s="193"/>
    </row>
    <row r="477" spans="2:20" outlineLevel="2">
      <c r="B477" s="242" t="s">
        <v>29</v>
      </c>
      <c r="C477" s="283" t="s">
        <v>101</v>
      </c>
      <c r="D477" s="244" t="s">
        <v>976</v>
      </c>
      <c r="E477" s="262"/>
      <c r="F477" s="193"/>
      <c r="G477" s="262"/>
      <c r="H477" s="691" t="s">
        <v>134</v>
      </c>
      <c r="I477" s="691"/>
      <c r="J477" s="691"/>
      <c r="K477" s="691"/>
      <c r="L477" s="262"/>
      <c r="M477" s="193"/>
      <c r="N477" s="262"/>
      <c r="O477" s="663">
        <v>0.05</v>
      </c>
      <c r="P477" s="663"/>
      <c r="Q477" s="663"/>
      <c r="R477" s="663"/>
      <c r="S477" s="262"/>
      <c r="T477" s="193"/>
    </row>
    <row r="478" spans="2:20" outlineLevel="2">
      <c r="B478" s="246"/>
      <c r="C478" s="246"/>
      <c r="D478" s="253"/>
      <c r="E478" s="262"/>
      <c r="F478" s="193"/>
      <c r="G478" s="262"/>
      <c r="H478" s="662"/>
      <c r="I478" s="662"/>
      <c r="J478" s="662"/>
      <c r="K478" s="662"/>
      <c r="L478" s="262"/>
      <c r="M478" s="193"/>
      <c r="N478" s="262"/>
      <c r="O478" s="663"/>
      <c r="P478" s="663"/>
      <c r="Q478" s="663"/>
      <c r="R478" s="663"/>
      <c r="S478" s="262"/>
      <c r="T478" s="193"/>
    </row>
    <row r="479" spans="2:20" ht="3" customHeight="1" outlineLevel="1">
      <c r="B479" s="246"/>
      <c r="C479" s="246"/>
      <c r="D479" s="253"/>
      <c r="E479" s="243"/>
      <c r="F479" s="193"/>
      <c r="G479" s="243"/>
      <c r="H479" s="670"/>
      <c r="I479" s="670"/>
      <c r="J479" s="670"/>
      <c r="K479" s="670"/>
      <c r="L479" s="243"/>
      <c r="M479" s="193"/>
      <c r="N479" s="243"/>
      <c r="O479" s="671"/>
      <c r="P479" s="671"/>
      <c r="Q479" s="671"/>
      <c r="R479" s="671"/>
      <c r="S479" s="243"/>
      <c r="T479" s="193"/>
    </row>
    <row r="480" spans="2:20" s="238" customFormat="1" outlineLevel="1">
      <c r="B480" s="239" t="s">
        <v>765</v>
      </c>
      <c r="C480" s="239"/>
      <c r="D480" s="239"/>
      <c r="E480" s="236"/>
      <c r="F480" s="193"/>
      <c r="G480" s="236"/>
      <c r="H480" s="240">
        <f>COUNTA(H481:H498)</f>
        <v>15</v>
      </c>
      <c r="I480" s="240"/>
      <c r="J480" s="240"/>
      <c r="K480" s="240"/>
      <c r="L480" s="236"/>
      <c r="M480" s="193"/>
      <c r="N480" s="236"/>
      <c r="O480" s="265">
        <f>SUM(O481:O498)</f>
        <v>0.52189360083992786</v>
      </c>
      <c r="P480" s="265"/>
      <c r="Q480" s="265"/>
      <c r="R480" s="265"/>
      <c r="S480" s="241"/>
      <c r="T480" s="193"/>
    </row>
    <row r="481" spans="2:20" outlineLevel="2">
      <c r="B481" s="246"/>
      <c r="C481" s="666" t="s">
        <v>769</v>
      </c>
      <c r="D481" s="696" t="s">
        <v>28</v>
      </c>
      <c r="E481" s="262"/>
      <c r="F481" s="193"/>
      <c r="G481" s="262"/>
      <c r="H481" s="291" t="s">
        <v>177</v>
      </c>
      <c r="I481" s="291"/>
      <c r="J481" s="291"/>
      <c r="K481" s="291"/>
      <c r="L481" s="262"/>
      <c r="M481" s="193"/>
      <c r="N481" s="262"/>
      <c r="O481" s="353">
        <v>1.5827943605759998E-2</v>
      </c>
      <c r="P481" s="353"/>
      <c r="Q481" s="353"/>
      <c r="R481" s="353"/>
      <c r="S481" s="262"/>
      <c r="T481" s="193"/>
    </row>
    <row r="482" spans="2:20" outlineLevel="2">
      <c r="B482" s="246"/>
      <c r="C482" s="666" t="s">
        <v>769</v>
      </c>
      <c r="D482" s="696" t="s">
        <v>28</v>
      </c>
      <c r="E482" s="262"/>
      <c r="F482" s="193"/>
      <c r="G482" s="262"/>
      <c r="H482" s="291" t="s">
        <v>178</v>
      </c>
      <c r="I482" s="291"/>
      <c r="J482" s="291"/>
      <c r="K482" s="291"/>
      <c r="L482" s="262"/>
      <c r="M482" s="193"/>
      <c r="N482" s="262"/>
      <c r="O482" s="353">
        <v>1.5827943605759998E-2</v>
      </c>
      <c r="P482" s="353"/>
      <c r="Q482" s="353"/>
      <c r="R482" s="353"/>
      <c r="S482" s="262"/>
      <c r="T482" s="193"/>
    </row>
    <row r="483" spans="2:20" outlineLevel="2">
      <c r="B483" s="246"/>
      <c r="C483" s="666" t="s">
        <v>769</v>
      </c>
      <c r="D483" s="696" t="s">
        <v>28</v>
      </c>
      <c r="E483" s="262"/>
      <c r="F483" s="193"/>
      <c r="G483" s="262"/>
      <c r="H483" s="291" t="s">
        <v>770</v>
      </c>
      <c r="I483" s="291"/>
      <c r="J483" s="291"/>
      <c r="K483" s="291"/>
      <c r="L483" s="262"/>
      <c r="M483" s="193"/>
      <c r="N483" s="262"/>
      <c r="O483" s="353">
        <v>3.7611315056000003E-2</v>
      </c>
      <c r="P483" s="353"/>
      <c r="Q483" s="353"/>
      <c r="R483" s="353"/>
      <c r="S483" s="262"/>
      <c r="T483" s="193"/>
    </row>
    <row r="484" spans="2:20" outlineLevel="2">
      <c r="B484" s="246"/>
      <c r="C484" s="666" t="s">
        <v>769</v>
      </c>
      <c r="D484" s="696" t="s">
        <v>28</v>
      </c>
      <c r="E484" s="262"/>
      <c r="F484" s="193"/>
      <c r="G484" s="262"/>
      <c r="H484" s="291" t="s">
        <v>771</v>
      </c>
      <c r="I484" s="291"/>
      <c r="J484" s="291"/>
      <c r="K484" s="291"/>
      <c r="L484" s="262"/>
      <c r="M484" s="193"/>
      <c r="N484" s="262"/>
      <c r="O484" s="353">
        <v>3.7611315056000003E-2</v>
      </c>
      <c r="P484" s="353"/>
      <c r="Q484" s="353"/>
      <c r="R484" s="353"/>
      <c r="S484" s="262"/>
      <c r="T484" s="193"/>
    </row>
    <row r="485" spans="2:20" outlineLevel="2">
      <c r="B485" s="246"/>
      <c r="C485" s="666" t="s">
        <v>769</v>
      </c>
      <c r="D485" s="696" t="s">
        <v>28</v>
      </c>
      <c r="E485" s="262"/>
      <c r="F485" s="193"/>
      <c r="G485" s="262"/>
      <c r="H485" s="291" t="s">
        <v>772</v>
      </c>
      <c r="I485" s="291"/>
      <c r="J485" s="291"/>
      <c r="K485" s="291"/>
      <c r="L485" s="262"/>
      <c r="M485" s="193"/>
      <c r="N485" s="262"/>
      <c r="O485" s="353">
        <v>3.7611315056000003E-2</v>
      </c>
      <c r="P485" s="353"/>
      <c r="Q485" s="353"/>
      <c r="R485" s="353"/>
      <c r="S485" s="262"/>
      <c r="T485" s="193"/>
    </row>
    <row r="486" spans="2:20" outlineLevel="2">
      <c r="B486" s="246"/>
      <c r="C486" s="666" t="s">
        <v>769</v>
      </c>
      <c r="D486" s="696" t="s">
        <v>28</v>
      </c>
      <c r="E486" s="262"/>
      <c r="F486" s="193"/>
      <c r="G486" s="262"/>
      <c r="H486" s="291" t="s">
        <v>991</v>
      </c>
      <c r="I486" s="291"/>
      <c r="J486" s="291"/>
      <c r="K486" s="291"/>
      <c r="L486" s="262"/>
      <c r="M486" s="193"/>
      <c r="N486" s="262"/>
      <c r="O486" s="353">
        <v>5.4604276273310416E-3</v>
      </c>
      <c r="P486" s="353"/>
      <c r="Q486" s="353"/>
      <c r="R486" s="353"/>
      <c r="S486" s="262"/>
      <c r="T486" s="193"/>
    </row>
    <row r="487" spans="2:20" outlineLevel="2">
      <c r="B487" s="660"/>
      <c r="C487" s="666" t="s">
        <v>769</v>
      </c>
      <c r="D487" s="696" t="s">
        <v>28</v>
      </c>
      <c r="E487" s="262"/>
      <c r="F487" s="193"/>
      <c r="H487" s="291" t="s">
        <v>992</v>
      </c>
      <c r="I487" s="291"/>
      <c r="J487" s="291"/>
      <c r="K487" s="291"/>
      <c r="M487" s="193"/>
      <c r="O487" s="353">
        <v>1.1870957704319998E-2</v>
      </c>
      <c r="P487" s="353"/>
      <c r="Q487" s="353"/>
      <c r="R487" s="353"/>
      <c r="T487" s="193"/>
    </row>
    <row r="488" spans="2:20" outlineLevel="2">
      <c r="B488" s="660"/>
      <c r="C488" s="666" t="s">
        <v>769</v>
      </c>
      <c r="D488" s="696" t="s">
        <v>28</v>
      </c>
      <c r="E488" s="262"/>
      <c r="F488" s="193"/>
      <c r="H488" s="291" t="s">
        <v>993</v>
      </c>
      <c r="I488" s="291"/>
      <c r="J488" s="291"/>
      <c r="K488" s="291"/>
      <c r="M488" s="193"/>
      <c r="O488" s="353">
        <v>1.1870957704319998E-2</v>
      </c>
      <c r="P488" s="353"/>
      <c r="Q488" s="353"/>
      <c r="R488" s="353"/>
      <c r="T488" s="193"/>
    </row>
    <row r="489" spans="2:20" outlineLevel="2">
      <c r="B489" s="660"/>
      <c r="C489" s="666" t="s">
        <v>769</v>
      </c>
      <c r="D489" s="696" t="s">
        <v>28</v>
      </c>
      <c r="E489" s="262"/>
      <c r="F489" s="193"/>
      <c r="H489" s="291" t="s">
        <v>179</v>
      </c>
      <c r="I489" s="291"/>
      <c r="J489" s="291"/>
      <c r="K489" s="291"/>
      <c r="M489" s="193"/>
      <c r="O489" s="353">
        <v>1.8201425424436798E-2</v>
      </c>
      <c r="P489" s="353"/>
      <c r="Q489" s="353"/>
      <c r="R489" s="353"/>
      <c r="T489" s="193"/>
    </row>
    <row r="490" spans="2:20" outlineLevel="2">
      <c r="B490" s="660"/>
      <c r="C490" s="697"/>
      <c r="D490" s="696"/>
      <c r="E490" s="262"/>
      <c r="F490" s="193"/>
      <c r="H490" s="292"/>
      <c r="I490" s="292"/>
      <c r="J490" s="292"/>
      <c r="K490" s="292"/>
      <c r="M490" s="193"/>
      <c r="O490" s="353"/>
      <c r="P490" s="353"/>
      <c r="Q490" s="353"/>
      <c r="R490" s="353"/>
      <c r="T490" s="193"/>
    </row>
    <row r="491" spans="2:20" outlineLevel="2">
      <c r="B491" s="660"/>
      <c r="C491" s="698" t="s">
        <v>776</v>
      </c>
      <c r="D491" s="699" t="s">
        <v>28</v>
      </c>
      <c r="E491" s="262"/>
      <c r="F491" s="193"/>
      <c r="H491" s="336" t="s">
        <v>32</v>
      </c>
      <c r="I491" s="336"/>
      <c r="J491" s="336"/>
      <c r="K491" s="336"/>
      <c r="M491" s="193"/>
      <c r="O491" s="353">
        <v>0.06</v>
      </c>
      <c r="P491" s="353"/>
      <c r="Q491" s="353"/>
      <c r="R491" s="353"/>
      <c r="T491" s="193"/>
    </row>
    <row r="492" spans="2:20" outlineLevel="2">
      <c r="B492" s="660"/>
      <c r="C492" s="698" t="s">
        <v>776</v>
      </c>
      <c r="D492" s="699" t="s">
        <v>28</v>
      </c>
      <c r="E492" s="262"/>
      <c r="F492" s="193"/>
      <c r="H492" s="248" t="s">
        <v>197</v>
      </c>
      <c r="I492" s="248"/>
      <c r="J492" s="248"/>
      <c r="K492" s="248"/>
      <c r="M492" s="193"/>
      <c r="O492" s="353">
        <v>0.06</v>
      </c>
      <c r="P492" s="353"/>
      <c r="Q492" s="353"/>
      <c r="R492" s="353"/>
      <c r="T492" s="193"/>
    </row>
    <row r="493" spans="2:20" outlineLevel="2">
      <c r="B493" s="660"/>
      <c r="C493" s="698" t="s">
        <v>776</v>
      </c>
      <c r="D493" s="699" t="s">
        <v>28</v>
      </c>
      <c r="E493" s="262"/>
      <c r="F493" s="193"/>
      <c r="H493" s="293" t="s">
        <v>61</v>
      </c>
      <c r="I493" s="293"/>
      <c r="J493" s="293"/>
      <c r="K493" s="293"/>
      <c r="M493" s="193"/>
      <c r="O493" s="353">
        <v>0.13</v>
      </c>
      <c r="P493" s="353"/>
      <c r="Q493" s="353"/>
      <c r="R493" s="353"/>
      <c r="T493" s="193"/>
    </row>
    <row r="494" spans="2:20" outlineLevel="2">
      <c r="B494" s="660"/>
      <c r="C494" s="666"/>
      <c r="D494" s="696"/>
      <c r="E494" s="262"/>
      <c r="F494" s="193"/>
      <c r="H494" s="292"/>
      <c r="I494" s="292"/>
      <c r="J494" s="292"/>
      <c r="K494" s="292"/>
      <c r="M494" s="193"/>
      <c r="O494" s="353"/>
      <c r="P494" s="353"/>
      <c r="Q494" s="353"/>
      <c r="R494" s="353"/>
      <c r="T494" s="193"/>
    </row>
    <row r="495" spans="2:20" outlineLevel="2">
      <c r="B495" s="246"/>
      <c r="C495" s="698" t="s">
        <v>776</v>
      </c>
      <c r="D495" s="696" t="s">
        <v>976</v>
      </c>
      <c r="E495" s="262"/>
      <c r="F495" s="193"/>
      <c r="G495" s="262"/>
      <c r="H495" s="293" t="s">
        <v>32</v>
      </c>
      <c r="I495" s="293"/>
      <c r="J495" s="293"/>
      <c r="K495" s="293"/>
      <c r="L495" s="262"/>
      <c r="M495" s="193"/>
      <c r="N495" s="262"/>
      <c r="O495" s="353">
        <v>0.05</v>
      </c>
      <c r="P495" s="353"/>
      <c r="Q495" s="353"/>
      <c r="R495" s="353"/>
      <c r="S495" s="262"/>
      <c r="T495" s="193"/>
    </row>
    <row r="496" spans="2:20" outlineLevel="2">
      <c r="B496" s="246"/>
      <c r="C496" s="698" t="s">
        <v>776</v>
      </c>
      <c r="D496" s="699" t="s">
        <v>976</v>
      </c>
      <c r="E496" s="262"/>
      <c r="F496" s="193"/>
      <c r="G496" s="262"/>
      <c r="H496" s="293" t="s">
        <v>335</v>
      </c>
      <c r="I496" s="293"/>
      <c r="J496" s="293"/>
      <c r="K496" s="293"/>
      <c r="L496" s="262"/>
      <c r="M496" s="193"/>
      <c r="N496" s="262"/>
      <c r="O496" s="353">
        <v>0.02</v>
      </c>
      <c r="P496" s="353"/>
      <c r="Q496" s="353"/>
      <c r="R496" s="353"/>
      <c r="S496" s="262"/>
      <c r="T496" s="193"/>
    </row>
    <row r="497" spans="2:20" outlineLevel="2">
      <c r="B497" s="246"/>
      <c r="C497" s="698" t="s">
        <v>776</v>
      </c>
      <c r="D497" s="699" t="s">
        <v>976</v>
      </c>
      <c r="E497" s="262"/>
      <c r="F497" s="193"/>
      <c r="G497" s="262"/>
      <c r="H497" s="293" t="s">
        <v>61</v>
      </c>
      <c r="I497" s="293"/>
      <c r="J497" s="293"/>
      <c r="K497" s="293"/>
      <c r="L497" s="262"/>
      <c r="M497" s="193"/>
      <c r="N497" s="262"/>
      <c r="O497" s="353">
        <v>0.01</v>
      </c>
      <c r="P497" s="353"/>
      <c r="Q497" s="353"/>
      <c r="R497" s="353"/>
      <c r="S497" s="262"/>
      <c r="T497" s="193"/>
    </row>
    <row r="498" spans="2:20" outlineLevel="2">
      <c r="B498" s="246"/>
      <c r="C498" s="698"/>
      <c r="D498" s="696"/>
      <c r="E498" s="262"/>
      <c r="F498" s="193"/>
      <c r="G498" s="262"/>
      <c r="H498" s="292"/>
      <c r="I498" s="292"/>
      <c r="J498" s="292"/>
      <c r="K498" s="292"/>
      <c r="L498" s="262"/>
      <c r="M498" s="193"/>
      <c r="N498" s="262"/>
      <c r="O498" s="353"/>
      <c r="P498" s="353"/>
      <c r="Q498" s="353"/>
      <c r="R498" s="353"/>
      <c r="S498" s="262"/>
      <c r="T498" s="193"/>
    </row>
    <row r="499" spans="2:20" ht="3" customHeight="1" outlineLevel="1">
      <c r="B499" s="246"/>
      <c r="C499" s="246"/>
      <c r="D499" s="246"/>
      <c r="E499" s="262"/>
      <c r="F499" s="193"/>
      <c r="G499" s="262"/>
      <c r="H499" s="670"/>
      <c r="I499" s="670"/>
      <c r="J499" s="670"/>
      <c r="K499" s="670"/>
      <c r="L499" s="262"/>
      <c r="M499" s="193"/>
      <c r="N499" s="262"/>
      <c r="O499" s="671"/>
      <c r="P499" s="671"/>
      <c r="Q499" s="671"/>
      <c r="R499" s="671"/>
      <c r="S499" s="262"/>
      <c r="T499" s="193"/>
    </row>
    <row r="500" spans="2:20" s="238" customFormat="1" outlineLevel="1">
      <c r="B500" s="239" t="s">
        <v>994</v>
      </c>
      <c r="C500" s="239"/>
      <c r="D500" s="239"/>
      <c r="E500" s="236"/>
      <c r="F500" s="193"/>
      <c r="G500" s="236"/>
      <c r="H500" s="240">
        <f>COUNTA(H501:H501)</f>
        <v>0</v>
      </c>
      <c r="I500" s="240"/>
      <c r="J500" s="240"/>
      <c r="K500" s="240"/>
      <c r="L500" s="236"/>
      <c r="M500" s="193"/>
      <c r="N500" s="236"/>
      <c r="O500" s="265">
        <f>SUM(O501:O501)</f>
        <v>0</v>
      </c>
      <c r="P500" s="265"/>
      <c r="Q500" s="265"/>
      <c r="R500" s="265"/>
      <c r="S500" s="236"/>
      <c r="T500" s="193"/>
    </row>
    <row r="501" spans="2:20" outlineLevel="2">
      <c r="B501" s="246"/>
      <c r="C501" s="246" t="s">
        <v>919</v>
      </c>
      <c r="D501" s="255" t="s">
        <v>28</v>
      </c>
      <c r="E501" s="262"/>
      <c r="F501" s="193"/>
      <c r="G501" s="262"/>
      <c r="H501" s="669"/>
      <c r="I501" s="669"/>
      <c r="J501" s="669"/>
      <c r="K501" s="669"/>
      <c r="L501" s="262"/>
      <c r="M501" s="193"/>
      <c r="N501" s="262"/>
      <c r="O501" s="357"/>
      <c r="P501" s="357"/>
      <c r="Q501" s="357"/>
      <c r="R501" s="357"/>
      <c r="S501" s="262"/>
      <c r="T501" s="193"/>
    </row>
    <row r="502" spans="2:20" ht="3" customHeight="1" outlineLevel="1">
      <c r="B502" s="246"/>
      <c r="C502" s="246"/>
      <c r="D502" s="246"/>
      <c r="E502" s="262"/>
      <c r="F502" s="193"/>
      <c r="G502" s="262"/>
      <c r="H502" s="670"/>
      <c r="I502" s="670"/>
      <c r="J502" s="670"/>
      <c r="K502" s="670"/>
      <c r="L502" s="262"/>
      <c r="M502" s="193"/>
      <c r="N502" s="262"/>
      <c r="O502" s="671"/>
      <c r="P502" s="671"/>
      <c r="Q502" s="671"/>
      <c r="R502" s="671"/>
      <c r="S502" s="262"/>
      <c r="T502" s="193"/>
    </row>
    <row r="503" spans="2:20" s="238" customFormat="1" outlineLevel="1">
      <c r="B503" s="239" t="s">
        <v>921</v>
      </c>
      <c r="C503" s="239"/>
      <c r="D503" s="239"/>
      <c r="E503" s="236"/>
      <c r="F503" s="193"/>
      <c r="G503" s="236"/>
      <c r="H503" s="240">
        <f>COUNTA(H504:H505)</f>
        <v>2</v>
      </c>
      <c r="I503" s="240"/>
      <c r="J503" s="240"/>
      <c r="K503" s="240"/>
      <c r="L503" s="236"/>
      <c r="M503" s="193"/>
      <c r="N503" s="236"/>
      <c r="O503" s="265">
        <f>SUM(O504:O505)</f>
        <v>0</v>
      </c>
      <c r="P503" s="265"/>
      <c r="Q503" s="265"/>
      <c r="R503" s="265"/>
      <c r="S503" s="236"/>
      <c r="T503" s="193"/>
    </row>
    <row r="504" spans="2:20" outlineLevel="2">
      <c r="B504" s="246"/>
      <c r="C504" s="246" t="s">
        <v>922</v>
      </c>
      <c r="D504" s="255" t="s">
        <v>28</v>
      </c>
      <c r="E504" s="262"/>
      <c r="F504" s="193"/>
      <c r="G504" s="262"/>
      <c r="H504" s="294" t="s">
        <v>995</v>
      </c>
      <c r="I504" s="294"/>
      <c r="J504" s="294"/>
      <c r="K504" s="294"/>
      <c r="L504" s="262"/>
      <c r="M504" s="193"/>
      <c r="N504" s="262"/>
      <c r="O504" s="357"/>
      <c r="P504" s="357"/>
      <c r="Q504" s="357"/>
      <c r="R504" s="357"/>
      <c r="S504" s="262"/>
      <c r="T504" s="193"/>
    </row>
    <row r="505" spans="2:20" outlineLevel="2">
      <c r="B505" s="246"/>
      <c r="C505" s="246" t="s">
        <v>922</v>
      </c>
      <c r="D505" s="255" t="s">
        <v>976</v>
      </c>
      <c r="E505" s="262"/>
      <c r="F505" s="193"/>
      <c r="G505" s="262"/>
      <c r="H505" s="294" t="s">
        <v>995</v>
      </c>
      <c r="I505" s="294"/>
      <c r="J505" s="294"/>
      <c r="K505" s="294"/>
      <c r="L505" s="262"/>
      <c r="M505" s="193"/>
      <c r="N505" s="262"/>
      <c r="O505" s="357"/>
      <c r="P505" s="357"/>
      <c r="Q505" s="357"/>
      <c r="R505" s="357"/>
      <c r="S505" s="262"/>
      <c r="T505" s="193"/>
    </row>
    <row r="506" spans="2:20" ht="3" customHeight="1" outlineLevel="1">
      <c r="B506" s="246"/>
      <c r="C506" s="246"/>
      <c r="D506" s="246"/>
      <c r="E506" s="262"/>
      <c r="F506" s="193"/>
      <c r="G506" s="262"/>
      <c r="H506" s="670"/>
      <c r="I506" s="670"/>
      <c r="J506" s="670"/>
      <c r="K506" s="670"/>
      <c r="L506" s="262"/>
      <c r="M506" s="193"/>
      <c r="N506" s="262"/>
      <c r="O506" s="671"/>
      <c r="P506" s="671"/>
      <c r="Q506" s="671"/>
      <c r="R506" s="671"/>
      <c r="S506" s="262"/>
      <c r="T506" s="193"/>
    </row>
    <row r="507" spans="2:20" s="238" customFormat="1" outlineLevel="1">
      <c r="B507" s="239" t="s">
        <v>996</v>
      </c>
      <c r="C507" s="239"/>
      <c r="D507" s="239"/>
      <c r="E507" s="236"/>
      <c r="F507" s="193"/>
      <c r="G507" s="236"/>
      <c r="H507" s="240"/>
      <c r="I507" s="240"/>
      <c r="J507" s="240"/>
      <c r="K507" s="240"/>
      <c r="L507" s="236"/>
      <c r="M507" s="193"/>
      <c r="N507" s="236"/>
      <c r="O507" s="265">
        <f t="shared" ref="O507" si="5">SUM(O508:O509)</f>
        <v>0</v>
      </c>
      <c r="P507" s="265"/>
      <c r="Q507" s="265"/>
      <c r="R507" s="265"/>
      <c r="S507" s="236"/>
      <c r="T507" s="193"/>
    </row>
    <row r="508" spans="2:20" outlineLevel="2">
      <c r="B508" s="246"/>
      <c r="C508" s="246" t="s">
        <v>997</v>
      </c>
      <c r="D508" s="255" t="s">
        <v>28</v>
      </c>
      <c r="E508" s="262"/>
      <c r="F508" s="193"/>
      <c r="G508" s="262"/>
      <c r="H508" s="669"/>
      <c r="I508" s="669"/>
      <c r="J508" s="669"/>
      <c r="K508" s="669"/>
      <c r="L508" s="262"/>
      <c r="M508" s="193"/>
      <c r="N508" s="262"/>
      <c r="O508" s="357"/>
      <c r="P508" s="357"/>
      <c r="Q508" s="357"/>
      <c r="R508" s="357"/>
      <c r="S508" s="262"/>
      <c r="T508" s="193"/>
    </row>
    <row r="509" spans="2:20" outlineLevel="2">
      <c r="B509" s="246"/>
      <c r="C509" s="246" t="s">
        <v>997</v>
      </c>
      <c r="D509" s="255" t="s">
        <v>976</v>
      </c>
      <c r="E509" s="262"/>
      <c r="F509" s="193"/>
      <c r="G509" s="262"/>
      <c r="H509" s="669"/>
      <c r="I509" s="669"/>
      <c r="J509" s="669"/>
      <c r="K509" s="669"/>
      <c r="L509" s="262"/>
      <c r="M509" s="193"/>
      <c r="N509" s="262"/>
      <c r="O509" s="673"/>
      <c r="P509" s="673"/>
      <c r="Q509" s="673"/>
      <c r="R509" s="673"/>
      <c r="S509" s="262"/>
      <c r="T509" s="193"/>
    </row>
    <row r="510" spans="2:20" ht="3" customHeight="1" outlineLevel="1">
      <c r="B510" s="246"/>
      <c r="C510" s="246"/>
      <c r="D510" s="246"/>
      <c r="E510" s="262"/>
      <c r="F510" s="193"/>
      <c r="G510" s="262"/>
      <c r="H510" s="670"/>
      <c r="I510" s="670"/>
      <c r="J510" s="670"/>
      <c r="K510" s="670"/>
      <c r="L510" s="262"/>
      <c r="M510" s="193"/>
      <c r="N510" s="262"/>
      <c r="O510" s="671"/>
      <c r="P510" s="671"/>
      <c r="Q510" s="671"/>
      <c r="R510" s="671"/>
      <c r="S510" s="262"/>
      <c r="T510" s="193"/>
    </row>
    <row r="511" spans="2:20" s="238" customFormat="1" outlineLevel="1">
      <c r="B511" s="239" t="s">
        <v>998</v>
      </c>
      <c r="C511" s="239"/>
      <c r="D511" s="239"/>
      <c r="E511" s="236"/>
      <c r="F511" s="193"/>
      <c r="G511" s="236"/>
      <c r="H511" s="240"/>
      <c r="I511" s="240"/>
      <c r="J511" s="240"/>
      <c r="K511" s="240"/>
      <c r="L511" s="236"/>
      <c r="M511" s="193"/>
      <c r="N511" s="236"/>
      <c r="O511" s="265">
        <f>SUM(O512:O513)</f>
        <v>0</v>
      </c>
      <c r="P511" s="265"/>
      <c r="Q511" s="265"/>
      <c r="R511" s="265"/>
      <c r="S511" s="236"/>
      <c r="T511" s="193"/>
    </row>
    <row r="512" spans="2:20" outlineLevel="2">
      <c r="B512" s="246"/>
      <c r="C512" s="666" t="s">
        <v>999</v>
      </c>
      <c r="D512" s="255" t="s">
        <v>28</v>
      </c>
      <c r="E512" s="262"/>
      <c r="F512" s="193"/>
      <c r="G512" s="262"/>
      <c r="H512" s="669"/>
      <c r="I512" s="669"/>
      <c r="J512" s="669"/>
      <c r="K512" s="669"/>
      <c r="L512" s="262"/>
      <c r="M512" s="193"/>
      <c r="N512" s="262"/>
      <c r="O512" s="357"/>
      <c r="P512" s="357"/>
      <c r="Q512" s="357"/>
      <c r="R512" s="357"/>
      <c r="S512" s="262"/>
      <c r="T512" s="193"/>
    </row>
    <row r="513" spans="2:20" outlineLevel="2">
      <c r="B513" s="246"/>
      <c r="C513" s="666" t="s">
        <v>999</v>
      </c>
      <c r="D513" s="255" t="s">
        <v>976</v>
      </c>
      <c r="E513" s="262"/>
      <c r="F513" s="193"/>
      <c r="G513" s="262"/>
      <c r="H513" s="669"/>
      <c r="I513" s="669"/>
      <c r="J513" s="669"/>
      <c r="K513" s="669"/>
      <c r="L513" s="262"/>
      <c r="M513" s="193"/>
      <c r="N513" s="262"/>
      <c r="O513" s="673"/>
      <c r="P513" s="673"/>
      <c r="Q513" s="673"/>
      <c r="R513" s="673"/>
      <c r="S513" s="262"/>
      <c r="T513" s="193"/>
    </row>
    <row r="514" spans="2:20" ht="3" customHeight="1" outlineLevel="1">
      <c r="B514" s="246"/>
      <c r="C514" s="246"/>
      <c r="D514" s="246"/>
      <c r="E514" s="262"/>
      <c r="F514" s="193"/>
      <c r="G514" s="262"/>
      <c r="H514" s="670"/>
      <c r="I514" s="670"/>
      <c r="J514" s="670"/>
      <c r="K514" s="670"/>
      <c r="L514" s="262"/>
      <c r="M514" s="193"/>
      <c r="N514" s="262"/>
      <c r="O514" s="671"/>
      <c r="P514" s="671"/>
      <c r="Q514" s="671"/>
      <c r="R514" s="671"/>
      <c r="S514" s="262"/>
      <c r="T514" s="193"/>
    </row>
    <row r="515" spans="2:20" s="238" customFormat="1" outlineLevel="1">
      <c r="B515" s="239" t="s">
        <v>1000</v>
      </c>
      <c r="C515" s="239"/>
      <c r="D515" s="239"/>
      <c r="E515" s="236"/>
      <c r="F515" s="193"/>
      <c r="G515" s="236"/>
      <c r="H515" s="240">
        <f>COUNTA(H516:H516)</f>
        <v>0</v>
      </c>
      <c r="I515" s="240"/>
      <c r="J515" s="240"/>
      <c r="K515" s="240"/>
      <c r="L515" s="236"/>
      <c r="M515" s="193"/>
      <c r="N515" s="236"/>
      <c r="O515" s="265">
        <f>SUM(O516:O516)</f>
        <v>0</v>
      </c>
      <c r="P515" s="265"/>
      <c r="Q515" s="265"/>
      <c r="R515" s="265"/>
      <c r="S515" s="236"/>
      <c r="T515" s="193"/>
    </row>
    <row r="516" spans="2:20" outlineLevel="2">
      <c r="B516" s="246"/>
      <c r="C516" s="666" t="s">
        <v>897</v>
      </c>
      <c r="D516" s="667" t="s">
        <v>28</v>
      </c>
      <c r="E516" s="262"/>
      <c r="F516" s="193"/>
      <c r="G516" s="262"/>
      <c r="H516" s="669"/>
      <c r="I516" s="669"/>
      <c r="J516" s="669"/>
      <c r="K516" s="669"/>
      <c r="L516" s="262"/>
      <c r="M516" s="193"/>
      <c r="N516" s="262"/>
      <c r="O516" s="357"/>
      <c r="P516" s="357"/>
      <c r="Q516" s="357"/>
      <c r="R516" s="357"/>
      <c r="S516" s="262"/>
      <c r="T516" s="193"/>
    </row>
    <row r="517" spans="2:20" ht="3" customHeight="1" outlineLevel="1">
      <c r="B517" s="246"/>
      <c r="C517" s="246"/>
      <c r="D517" s="253"/>
      <c r="E517" s="243"/>
      <c r="F517" s="193"/>
      <c r="G517" s="243"/>
      <c r="H517" s="670"/>
      <c r="I517" s="670"/>
      <c r="J517" s="670"/>
      <c r="K517" s="670"/>
      <c r="L517" s="243"/>
      <c r="M517" s="193"/>
      <c r="N517" s="243"/>
      <c r="O517" s="671"/>
      <c r="P517" s="671"/>
      <c r="Q517" s="671"/>
      <c r="R517" s="671"/>
      <c r="S517" s="243"/>
      <c r="T517" s="193"/>
    </row>
    <row r="518" spans="2:20" s="238" customFormat="1" outlineLevel="1">
      <c r="B518" s="239" t="s">
        <v>212</v>
      </c>
      <c r="C518" s="239"/>
      <c r="D518" s="239"/>
      <c r="E518" s="236"/>
      <c r="F518" s="254"/>
      <c r="G518" s="236"/>
      <c r="H518" s="240">
        <f>COUNTA(H519:H539)</f>
        <v>19</v>
      </c>
      <c r="I518" s="240"/>
      <c r="J518" s="240"/>
      <c r="K518" s="240"/>
      <c r="L518" s="236"/>
      <c r="M518" s="254"/>
      <c r="N518" s="236"/>
      <c r="O518" s="265">
        <f>SUM(O519:O539)</f>
        <v>1.3942232459772042</v>
      </c>
      <c r="P518" s="265"/>
      <c r="Q518" s="265"/>
      <c r="R518" s="265"/>
      <c r="S518" s="236"/>
      <c r="T518" s="254"/>
    </row>
    <row r="519" spans="2:20" outlineLevel="2">
      <c r="B519" s="246"/>
      <c r="C519" s="246" t="s">
        <v>212</v>
      </c>
      <c r="D519" s="255" t="s">
        <v>28</v>
      </c>
      <c r="E519" s="236"/>
      <c r="F519" s="254"/>
      <c r="G519" s="236"/>
      <c r="H519" s="253" t="s">
        <v>819</v>
      </c>
      <c r="I519" s="253"/>
      <c r="J519" s="253"/>
      <c r="K519" s="253"/>
      <c r="L519" s="236"/>
      <c r="M519" s="254"/>
      <c r="N519" s="236"/>
      <c r="O519" s="354">
        <v>0.30995276083200002</v>
      </c>
      <c r="P519" s="354"/>
      <c r="Q519" s="354"/>
      <c r="R519" s="354"/>
      <c r="S519" s="236"/>
      <c r="T519" s="254"/>
    </row>
    <row r="520" spans="2:20" outlineLevel="2">
      <c r="B520" s="246"/>
      <c r="C520" s="246" t="s">
        <v>212</v>
      </c>
      <c r="D520" s="255" t="s">
        <v>28</v>
      </c>
      <c r="E520" s="236"/>
      <c r="F520" s="254"/>
      <c r="G520" s="236"/>
      <c r="H520" s="253" t="s">
        <v>820</v>
      </c>
      <c r="I520" s="253"/>
      <c r="J520" s="253"/>
      <c r="K520" s="253"/>
      <c r="L520" s="236"/>
      <c r="M520" s="254"/>
      <c r="N520" s="236"/>
      <c r="O520" s="354">
        <v>0.29586399897600002</v>
      </c>
      <c r="P520" s="354"/>
      <c r="Q520" s="354"/>
      <c r="R520" s="354"/>
      <c r="S520" s="236"/>
      <c r="T520" s="254"/>
    </row>
    <row r="521" spans="2:20" outlineLevel="2">
      <c r="B521" s="246"/>
      <c r="C521" s="246" t="s">
        <v>212</v>
      </c>
      <c r="D521" s="255" t="s">
        <v>28</v>
      </c>
      <c r="E521" s="236"/>
      <c r="F521" s="254"/>
      <c r="G521" s="236"/>
      <c r="H521" s="253" t="s">
        <v>821</v>
      </c>
      <c r="I521" s="253"/>
      <c r="J521" s="253"/>
      <c r="K521" s="253"/>
      <c r="L521" s="236"/>
      <c r="M521" s="254"/>
      <c r="N521" s="236"/>
      <c r="O521" s="354">
        <v>0.02</v>
      </c>
      <c r="P521" s="354"/>
      <c r="Q521" s="354"/>
      <c r="R521" s="354"/>
      <c r="S521" s="236"/>
      <c r="T521" s="254"/>
    </row>
    <row r="522" spans="2:20" outlineLevel="2">
      <c r="B522" s="246"/>
      <c r="C522" s="246" t="s">
        <v>212</v>
      </c>
      <c r="D522" s="255" t="s">
        <v>28</v>
      </c>
      <c r="E522" s="236"/>
      <c r="F522" s="254"/>
      <c r="G522" s="236"/>
      <c r="H522" s="253" t="s">
        <v>271</v>
      </c>
      <c r="I522" s="253"/>
      <c r="J522" s="253"/>
      <c r="K522" s="253"/>
      <c r="L522" s="236"/>
      <c r="M522" s="254"/>
      <c r="N522" s="236"/>
      <c r="O522" s="354">
        <v>0.05</v>
      </c>
      <c r="P522" s="354"/>
      <c r="Q522" s="354"/>
      <c r="R522" s="354"/>
      <c r="S522" s="236"/>
      <c r="T522" s="254"/>
    </row>
    <row r="523" spans="2:20" outlineLevel="2">
      <c r="B523" s="246"/>
      <c r="C523" s="246" t="s">
        <v>212</v>
      </c>
      <c r="D523" s="255" t="s">
        <v>28</v>
      </c>
      <c r="E523" s="236"/>
      <c r="F523" s="254"/>
      <c r="G523" s="236"/>
      <c r="H523" s="253" t="s">
        <v>824</v>
      </c>
      <c r="I523" s="253"/>
      <c r="J523" s="253"/>
      <c r="K523" s="253"/>
      <c r="L523" s="236"/>
      <c r="M523" s="254"/>
      <c r="N523" s="236"/>
      <c r="O523" s="700">
        <v>0.05</v>
      </c>
      <c r="P523" s="700"/>
      <c r="Q523" s="700"/>
      <c r="R523" s="700"/>
      <c r="S523" s="236"/>
      <c r="T523" s="254"/>
    </row>
    <row r="524" spans="2:20" outlineLevel="2">
      <c r="B524" s="246"/>
      <c r="C524" s="246" t="s">
        <v>212</v>
      </c>
      <c r="D524" s="255" t="s">
        <v>28</v>
      </c>
      <c r="E524" s="236"/>
      <c r="F524" s="254"/>
      <c r="G524" s="236"/>
      <c r="H524" s="677" t="s">
        <v>826</v>
      </c>
      <c r="I524" s="677"/>
      <c r="J524" s="677"/>
      <c r="K524" s="677"/>
      <c r="L524" s="236"/>
      <c r="M524" s="254"/>
      <c r="N524" s="236"/>
      <c r="O524" s="700">
        <v>0.05</v>
      </c>
      <c r="P524" s="700"/>
      <c r="Q524" s="700"/>
      <c r="R524" s="700"/>
      <c r="S524" s="236"/>
      <c r="T524" s="254"/>
    </row>
    <row r="525" spans="2:20" outlineLevel="2">
      <c r="B525" s="246"/>
      <c r="C525" s="246" t="s">
        <v>212</v>
      </c>
      <c r="D525" s="255" t="s">
        <v>28</v>
      </c>
      <c r="E525" s="236"/>
      <c r="F525" s="254"/>
      <c r="G525" s="236"/>
      <c r="H525" s="253" t="s">
        <v>828</v>
      </c>
      <c r="I525" s="253"/>
      <c r="J525" s="253"/>
      <c r="K525" s="253"/>
      <c r="L525" s="236"/>
      <c r="M525" s="254"/>
      <c r="N525" s="236"/>
      <c r="O525" s="354">
        <v>0.05</v>
      </c>
      <c r="P525" s="354"/>
      <c r="Q525" s="354"/>
      <c r="R525" s="354"/>
      <c r="S525" s="236"/>
      <c r="T525" s="254"/>
    </row>
    <row r="526" spans="2:20" ht="35.85" customHeight="1" outlineLevel="2">
      <c r="B526" s="246"/>
      <c r="C526" s="246" t="s">
        <v>212</v>
      </c>
      <c r="D526" s="255" t="s">
        <v>28</v>
      </c>
      <c r="E526" s="236"/>
      <c r="F526" s="254"/>
      <c r="G526" s="236"/>
      <c r="H526" s="253" t="s">
        <v>1001</v>
      </c>
      <c r="I526" s="253"/>
      <c r="J526" s="253"/>
      <c r="K526" s="253"/>
      <c r="L526" s="236"/>
      <c r="M526" s="254"/>
      <c r="N526" s="236"/>
      <c r="O526" s="354">
        <v>0.04</v>
      </c>
      <c r="P526" s="354"/>
      <c r="Q526" s="354"/>
      <c r="R526" s="354"/>
      <c r="S526" s="236"/>
      <c r="T526" s="254"/>
    </row>
    <row r="527" spans="2:20" ht="42.6" customHeight="1" outlineLevel="2">
      <c r="B527" s="246"/>
      <c r="C527" s="246" t="s">
        <v>212</v>
      </c>
      <c r="D527" s="255" t="s">
        <v>28</v>
      </c>
      <c r="E527" s="236"/>
      <c r="F527" s="254"/>
      <c r="G527" s="236"/>
      <c r="H527" s="253" t="s">
        <v>205</v>
      </c>
      <c r="I527" s="253"/>
      <c r="J527" s="253"/>
      <c r="K527" s="253"/>
      <c r="L527" s="236"/>
      <c r="M527" s="254"/>
      <c r="N527" s="236"/>
      <c r="O527" s="354">
        <v>0.02</v>
      </c>
      <c r="P527" s="354"/>
      <c r="Q527" s="354"/>
      <c r="R527" s="354"/>
      <c r="S527" s="236"/>
      <c r="T527" s="254"/>
    </row>
    <row r="528" spans="2:20" ht="31.35" customHeight="1" outlineLevel="2">
      <c r="B528" s="246"/>
      <c r="C528" s="246" t="s">
        <v>212</v>
      </c>
      <c r="D528" s="255" t="s">
        <v>28</v>
      </c>
      <c r="E528" s="236"/>
      <c r="F528" s="254"/>
      <c r="G528" s="236"/>
      <c r="H528" s="667" t="s">
        <v>117</v>
      </c>
      <c r="I528" s="667"/>
      <c r="J528" s="667"/>
      <c r="K528" s="667"/>
      <c r="L528" s="236"/>
      <c r="M528" s="254"/>
      <c r="N528" s="236"/>
      <c r="O528" s="682">
        <v>0.01</v>
      </c>
      <c r="P528" s="682"/>
      <c r="Q528" s="682"/>
      <c r="R528" s="682"/>
      <c r="S528" s="236"/>
      <c r="T528" s="254"/>
    </row>
    <row r="529" spans="2:20" ht="38.85" customHeight="1" outlineLevel="2">
      <c r="B529" s="246"/>
      <c r="C529" s="246" t="s">
        <v>212</v>
      </c>
      <c r="D529" s="255" t="s">
        <v>28</v>
      </c>
      <c r="E529" s="236"/>
      <c r="F529" s="254"/>
      <c r="G529" s="236"/>
      <c r="H529" s="253" t="s">
        <v>24</v>
      </c>
      <c r="I529" s="253"/>
      <c r="J529" s="253"/>
      <c r="K529" s="253"/>
      <c r="L529" s="236"/>
      <c r="M529" s="254"/>
      <c r="N529" s="236"/>
      <c r="O529" s="354">
        <v>0.12284444962643681</v>
      </c>
      <c r="P529" s="354"/>
      <c r="Q529" s="354"/>
      <c r="R529" s="354"/>
      <c r="S529" s="236"/>
      <c r="T529" s="254"/>
    </row>
    <row r="530" spans="2:20" ht="35.85" customHeight="1" outlineLevel="2">
      <c r="B530" s="246"/>
      <c r="C530" s="246" t="s">
        <v>212</v>
      </c>
      <c r="D530" s="255" t="s">
        <v>28</v>
      </c>
      <c r="E530" s="236"/>
      <c r="F530" s="254"/>
      <c r="G530" s="236"/>
      <c r="H530" s="253" t="s">
        <v>116</v>
      </c>
      <c r="I530" s="253"/>
      <c r="J530" s="253"/>
      <c r="K530" s="253"/>
      <c r="L530" s="236"/>
      <c r="M530" s="254"/>
      <c r="N530" s="236"/>
      <c r="O530" s="354">
        <v>8.1296301249949125E-3</v>
      </c>
      <c r="P530" s="354"/>
      <c r="Q530" s="354"/>
      <c r="R530" s="354"/>
      <c r="S530" s="236"/>
      <c r="T530" s="254"/>
    </row>
    <row r="531" spans="2:20" ht="42" customHeight="1" outlineLevel="2">
      <c r="B531" s="246"/>
      <c r="C531" s="246" t="s">
        <v>212</v>
      </c>
      <c r="D531" s="255" t="s">
        <v>28</v>
      </c>
      <c r="E531" s="236"/>
      <c r="F531" s="254"/>
      <c r="G531" s="236"/>
      <c r="H531" s="253" t="s">
        <v>98</v>
      </c>
      <c r="I531" s="253"/>
      <c r="J531" s="253"/>
      <c r="K531" s="253"/>
      <c r="L531" s="236"/>
      <c r="M531" s="254"/>
      <c r="N531" s="236"/>
      <c r="O531" s="354">
        <v>2.7098767083316381E-3</v>
      </c>
      <c r="P531" s="354"/>
      <c r="Q531" s="354"/>
      <c r="R531" s="354"/>
      <c r="S531" s="236"/>
      <c r="T531" s="254"/>
    </row>
    <row r="532" spans="2:20" outlineLevel="2">
      <c r="B532" s="246"/>
      <c r="C532" s="246" t="s">
        <v>212</v>
      </c>
      <c r="D532" s="255" t="s">
        <v>28</v>
      </c>
      <c r="E532" s="236"/>
      <c r="F532" s="254"/>
      <c r="G532" s="236"/>
      <c r="H532" s="677" t="s">
        <v>813</v>
      </c>
      <c r="I532" s="677"/>
      <c r="J532" s="677"/>
      <c r="K532" s="677"/>
      <c r="L532" s="236"/>
      <c r="M532" s="254"/>
      <c r="N532" s="236"/>
      <c r="O532" s="700">
        <v>2.3284349999999999E-2</v>
      </c>
      <c r="P532" s="700"/>
      <c r="Q532" s="700"/>
      <c r="R532" s="700"/>
      <c r="S532" s="236"/>
      <c r="T532" s="254"/>
    </row>
    <row r="533" spans="2:20" outlineLevel="2">
      <c r="B533" s="246"/>
      <c r="C533" s="246"/>
      <c r="D533" s="255"/>
      <c r="E533" s="236"/>
      <c r="F533" s="254"/>
      <c r="G533" s="236"/>
      <c r="H533" s="253"/>
      <c r="I533" s="253"/>
      <c r="J533" s="253"/>
      <c r="K533" s="253"/>
      <c r="L533" s="236"/>
      <c r="M533" s="254"/>
      <c r="N533" s="236"/>
      <c r="O533" s="354"/>
      <c r="P533" s="354"/>
      <c r="Q533" s="354"/>
      <c r="R533" s="354"/>
      <c r="S533" s="236"/>
      <c r="T533" s="254"/>
    </row>
    <row r="534" spans="2:20" outlineLevel="2">
      <c r="B534" s="246"/>
      <c r="C534" s="246"/>
      <c r="D534" s="255"/>
      <c r="E534" s="236"/>
      <c r="F534" s="254"/>
      <c r="G534" s="236"/>
      <c r="H534" s="685"/>
      <c r="I534" s="685"/>
      <c r="J534" s="685"/>
      <c r="K534" s="685"/>
      <c r="L534" s="236"/>
      <c r="M534" s="254"/>
      <c r="N534" s="236"/>
      <c r="O534" s="671"/>
      <c r="P534" s="671"/>
      <c r="Q534" s="671"/>
      <c r="R534" s="671"/>
      <c r="S534" s="236"/>
      <c r="T534" s="254"/>
    </row>
    <row r="535" spans="2:20" outlineLevel="2">
      <c r="B535" s="246"/>
      <c r="C535" s="246" t="s">
        <v>212</v>
      </c>
      <c r="D535" s="255" t="s">
        <v>976</v>
      </c>
      <c r="E535" s="236"/>
      <c r="F535" s="254"/>
      <c r="G535" s="236"/>
      <c r="H535" s="684" t="s">
        <v>47</v>
      </c>
      <c r="I535" s="684"/>
      <c r="J535" s="684"/>
      <c r="K535" s="684"/>
      <c r="L535" s="236"/>
      <c r="M535" s="254"/>
      <c r="N535" s="236"/>
      <c r="O535" s="680">
        <v>0.10269917259520001</v>
      </c>
      <c r="P535" s="680"/>
      <c r="Q535" s="680"/>
      <c r="R535" s="680"/>
      <c r="S535" s="236"/>
      <c r="T535" s="254"/>
    </row>
    <row r="536" spans="2:20" outlineLevel="2">
      <c r="B536" s="246"/>
      <c r="C536" s="246" t="s">
        <v>212</v>
      </c>
      <c r="D536" s="255" t="s">
        <v>976</v>
      </c>
      <c r="E536" s="236"/>
      <c r="F536" s="254"/>
      <c r="G536" s="236"/>
      <c r="H536" s="684" t="s">
        <v>74</v>
      </c>
      <c r="I536" s="684"/>
      <c r="J536" s="684"/>
      <c r="K536" s="684"/>
      <c r="L536" s="236"/>
      <c r="M536" s="254"/>
      <c r="N536" s="236"/>
      <c r="O536" s="680">
        <v>0.12323900711424056</v>
      </c>
      <c r="P536" s="680"/>
      <c r="Q536" s="680"/>
      <c r="R536" s="680"/>
      <c r="S536" s="236"/>
      <c r="T536" s="254"/>
    </row>
    <row r="537" spans="2:20" outlineLevel="2">
      <c r="B537" s="246"/>
      <c r="C537" s="246" t="s">
        <v>212</v>
      </c>
      <c r="D537" s="255" t="s">
        <v>976</v>
      </c>
      <c r="E537" s="236"/>
      <c r="F537" s="254"/>
      <c r="G537" s="236"/>
      <c r="H537" s="253" t="s">
        <v>116</v>
      </c>
      <c r="I537" s="253"/>
      <c r="J537" s="253"/>
      <c r="K537" s="253"/>
      <c r="L537" s="236"/>
      <c r="M537" s="254"/>
      <c r="N537" s="236"/>
      <c r="O537" s="680">
        <v>2.1000000000000001E-2</v>
      </c>
      <c r="P537" s="680"/>
      <c r="Q537" s="680"/>
      <c r="R537" s="680"/>
      <c r="S537" s="236"/>
      <c r="T537" s="254"/>
    </row>
    <row r="538" spans="2:20" outlineLevel="2">
      <c r="B538" s="246"/>
      <c r="C538" s="246" t="s">
        <v>212</v>
      </c>
      <c r="D538" s="255" t="s">
        <v>976</v>
      </c>
      <c r="E538" s="236"/>
      <c r="F538" s="254"/>
      <c r="G538" s="236"/>
      <c r="H538" s="684" t="s">
        <v>117</v>
      </c>
      <c r="I538" s="684"/>
      <c r="J538" s="684"/>
      <c r="K538" s="684"/>
      <c r="L538" s="236"/>
      <c r="M538" s="254"/>
      <c r="N538" s="236"/>
      <c r="O538" s="680">
        <v>4.2000000000000003E-2</v>
      </c>
      <c r="P538" s="680"/>
      <c r="Q538" s="680"/>
      <c r="R538" s="680"/>
      <c r="S538" s="236"/>
      <c r="T538" s="254"/>
    </row>
    <row r="539" spans="2:20" outlineLevel="2">
      <c r="B539" s="246"/>
      <c r="C539" s="246" t="s">
        <v>212</v>
      </c>
      <c r="D539" s="255" t="s">
        <v>976</v>
      </c>
      <c r="E539" s="236"/>
      <c r="F539" s="254"/>
      <c r="G539" s="236"/>
      <c r="H539" s="667" t="s">
        <v>805</v>
      </c>
      <c r="I539" s="667"/>
      <c r="J539" s="667"/>
      <c r="K539" s="667"/>
      <c r="L539" s="236"/>
      <c r="M539" s="254"/>
      <c r="N539" s="236"/>
      <c r="O539" s="680">
        <v>5.2499999999999998E-2</v>
      </c>
      <c r="P539" s="680"/>
      <c r="Q539" s="680"/>
      <c r="R539" s="680"/>
      <c r="S539" s="236"/>
      <c r="T539" s="254"/>
    </row>
    <row r="540" spans="2:20" outlineLevel="2">
      <c r="B540" s="246"/>
      <c r="C540" s="246"/>
      <c r="D540" s="253"/>
      <c r="E540" s="236"/>
      <c r="F540" s="254"/>
      <c r="G540" s="236"/>
      <c r="H540" s="662"/>
      <c r="I540" s="662"/>
      <c r="J540" s="662"/>
      <c r="K540" s="662"/>
      <c r="L540" s="236"/>
      <c r="M540" s="254"/>
      <c r="N540" s="236"/>
      <c r="O540" s="671"/>
      <c r="P540" s="671"/>
      <c r="Q540" s="671"/>
      <c r="R540" s="671"/>
      <c r="S540" s="236"/>
      <c r="T540" s="254"/>
    </row>
    <row r="541" spans="2:20" ht="3" customHeight="1" outlineLevel="1">
      <c r="B541" s="246"/>
      <c r="C541" s="246"/>
      <c r="D541" s="253"/>
      <c r="E541" s="236"/>
      <c r="F541" s="254"/>
      <c r="G541" s="236"/>
      <c r="H541" s="670"/>
      <c r="I541" s="670"/>
      <c r="J541" s="670"/>
      <c r="K541" s="670"/>
      <c r="L541" s="236"/>
      <c r="M541" s="254"/>
      <c r="N541" s="236"/>
      <c r="O541" s="671"/>
      <c r="P541" s="671"/>
      <c r="Q541" s="671"/>
      <c r="R541" s="671"/>
      <c r="S541" s="236"/>
      <c r="T541" s="254"/>
    </row>
    <row r="542" spans="2:20" s="238" customFormat="1" outlineLevel="1">
      <c r="B542" s="239" t="s">
        <v>830</v>
      </c>
      <c r="C542" s="239"/>
      <c r="D542" s="239"/>
      <c r="E542" s="236"/>
      <c r="F542" s="254"/>
      <c r="G542" s="236"/>
      <c r="H542" s="240">
        <f>COUNTA(H543:H555)</f>
        <v>10</v>
      </c>
      <c r="I542" s="240"/>
      <c r="J542" s="240"/>
      <c r="K542" s="240"/>
      <c r="L542" s="236"/>
      <c r="M542" s="254"/>
      <c r="N542" s="236"/>
      <c r="O542" s="265">
        <f>SUM(O543:O555)</f>
        <v>1.8335089521167911</v>
      </c>
      <c r="P542" s="265"/>
      <c r="Q542" s="265"/>
      <c r="R542" s="265"/>
      <c r="S542" s="236"/>
      <c r="T542" s="254"/>
    </row>
    <row r="543" spans="2:20" outlineLevel="2">
      <c r="B543" s="246"/>
      <c r="C543" s="246" t="s">
        <v>830</v>
      </c>
      <c r="D543" s="255" t="s">
        <v>28</v>
      </c>
      <c r="E543" s="236"/>
      <c r="F543" s="254"/>
      <c r="G543" s="236"/>
      <c r="H543" s="667" t="s">
        <v>1002</v>
      </c>
      <c r="I543" s="667"/>
      <c r="J543" s="667"/>
      <c r="K543" s="667"/>
      <c r="L543" s="236"/>
      <c r="M543" s="254"/>
      <c r="N543" s="236"/>
      <c r="O543" s="663">
        <v>0.14000000000000001</v>
      </c>
      <c r="P543" s="663"/>
      <c r="Q543" s="663"/>
      <c r="R543" s="663"/>
      <c r="S543" s="236"/>
      <c r="T543" s="254"/>
    </row>
    <row r="544" spans="2:20" outlineLevel="2">
      <c r="B544" s="246"/>
      <c r="C544" s="246" t="s">
        <v>830</v>
      </c>
      <c r="D544" s="255" t="s">
        <v>28</v>
      </c>
      <c r="E544" s="236"/>
      <c r="F544" s="254"/>
      <c r="G544" s="236"/>
      <c r="H544" s="667" t="s">
        <v>205</v>
      </c>
      <c r="I544" s="667"/>
      <c r="J544" s="667"/>
      <c r="K544" s="667"/>
      <c r="L544" s="236"/>
      <c r="M544" s="254"/>
      <c r="N544" s="236"/>
      <c r="O544" s="663">
        <v>0.17350895211679071</v>
      </c>
      <c r="P544" s="663"/>
      <c r="Q544" s="663"/>
      <c r="R544" s="663"/>
      <c r="S544" s="236"/>
      <c r="T544" s="254"/>
    </row>
    <row r="545" spans="2:21" outlineLevel="2" collapsed="1">
      <c r="B545" s="246"/>
      <c r="C545" s="246" t="s">
        <v>830</v>
      </c>
      <c r="D545" s="255" t="s">
        <v>28</v>
      </c>
      <c r="E545" s="236"/>
      <c r="F545" s="254"/>
      <c r="G545" s="236"/>
      <c r="H545" s="667" t="s">
        <v>117</v>
      </c>
      <c r="I545" s="667"/>
      <c r="J545" s="667"/>
      <c r="K545" s="667"/>
      <c r="L545" s="236"/>
      <c r="M545" s="254"/>
      <c r="N545" s="236"/>
      <c r="O545" s="663">
        <v>0.05</v>
      </c>
      <c r="P545" s="663"/>
      <c r="Q545" s="663"/>
      <c r="R545" s="663"/>
      <c r="S545" s="236"/>
      <c r="T545" s="254"/>
      <c r="U545" s="659"/>
    </row>
    <row r="546" spans="2:21" outlineLevel="2">
      <c r="B546" s="246"/>
      <c r="C546" s="246" t="s">
        <v>830</v>
      </c>
      <c r="D546" s="255" t="s">
        <v>28</v>
      </c>
      <c r="E546" s="236"/>
      <c r="F546" s="254"/>
      <c r="G546" s="236"/>
      <c r="H546" s="667" t="s">
        <v>116</v>
      </c>
      <c r="I546" s="667"/>
      <c r="J546" s="667"/>
      <c r="K546" s="667"/>
      <c r="L546" s="236"/>
      <c r="M546" s="254"/>
      <c r="N546" s="236"/>
      <c r="O546" s="663">
        <v>7.0000000000000007E-2</v>
      </c>
      <c r="P546" s="663"/>
      <c r="Q546" s="663"/>
      <c r="R546" s="663"/>
      <c r="S546" s="236"/>
      <c r="T546" s="254"/>
      <c r="U546" s="659"/>
    </row>
    <row r="547" spans="2:21" outlineLevel="2">
      <c r="B547" s="246"/>
      <c r="C547" s="246" t="s">
        <v>830</v>
      </c>
      <c r="D547" s="255" t="s">
        <v>28</v>
      </c>
      <c r="E547" s="236"/>
      <c r="F547" s="254"/>
      <c r="G547" s="236"/>
      <c r="H547" s="667" t="s">
        <v>98</v>
      </c>
      <c r="I547" s="667"/>
      <c r="J547" s="667"/>
      <c r="K547" s="667"/>
      <c r="L547" s="236"/>
      <c r="M547" s="254"/>
      <c r="N547" s="236"/>
      <c r="O547" s="663">
        <v>0.02</v>
      </c>
      <c r="P547" s="663"/>
      <c r="Q547" s="663"/>
      <c r="R547" s="663"/>
      <c r="S547" s="236"/>
      <c r="T547" s="254"/>
      <c r="U547" s="659"/>
    </row>
    <row r="548" spans="2:21" outlineLevel="2">
      <c r="B548" s="246"/>
      <c r="C548" s="246"/>
      <c r="D548" s="255"/>
      <c r="E548" s="236"/>
      <c r="F548" s="254"/>
      <c r="G548" s="236"/>
      <c r="H548" s="667"/>
      <c r="I548" s="667"/>
      <c r="J548" s="667"/>
      <c r="K548" s="667"/>
      <c r="L548" s="236"/>
      <c r="M548" s="254"/>
      <c r="N548" s="236"/>
      <c r="O548" s="663"/>
      <c r="P548" s="663"/>
      <c r="Q548" s="663"/>
      <c r="R548" s="663"/>
      <c r="S548" s="236"/>
      <c r="T548" s="254"/>
      <c r="U548" s="659"/>
    </row>
    <row r="549" spans="2:21" outlineLevel="2">
      <c r="B549" s="246"/>
      <c r="C549" s="246"/>
      <c r="D549" s="253"/>
      <c r="E549" s="236"/>
      <c r="F549" s="254"/>
      <c r="G549" s="236"/>
      <c r="H549" s="667"/>
      <c r="I549" s="667"/>
      <c r="J549" s="667"/>
      <c r="K549" s="667"/>
      <c r="L549" s="236"/>
      <c r="M549" s="254"/>
      <c r="N549" s="236"/>
      <c r="O549" s="663"/>
      <c r="P549" s="663"/>
      <c r="Q549" s="663"/>
      <c r="R549" s="663"/>
      <c r="S549" s="236"/>
      <c r="T549" s="254"/>
      <c r="U549" s="659"/>
    </row>
    <row r="550" spans="2:21" outlineLevel="2">
      <c r="B550" s="246"/>
      <c r="C550" s="246" t="s">
        <v>830</v>
      </c>
      <c r="D550" s="262" t="s">
        <v>1003</v>
      </c>
      <c r="E550" s="236"/>
      <c r="F550" s="254"/>
      <c r="G550" s="236"/>
      <c r="H550" s="667" t="s">
        <v>24</v>
      </c>
      <c r="I550" s="667"/>
      <c r="J550" s="667"/>
      <c r="K550" s="667"/>
      <c r="L550" s="236"/>
      <c r="M550" s="254"/>
      <c r="N550" s="236"/>
      <c r="O550" s="284">
        <v>0.3</v>
      </c>
      <c r="P550" s="284"/>
      <c r="Q550" s="284"/>
      <c r="R550" s="284"/>
      <c r="S550" s="236"/>
      <c r="T550" s="254"/>
      <c r="U550" s="659"/>
    </row>
    <row r="551" spans="2:21" outlineLevel="2">
      <c r="B551" s="246"/>
      <c r="C551" s="246" t="s">
        <v>830</v>
      </c>
      <c r="D551" s="262" t="s">
        <v>1003</v>
      </c>
      <c r="E551" s="236"/>
      <c r="F551" s="254"/>
      <c r="G551" s="236"/>
      <c r="H551" s="667" t="s">
        <v>73</v>
      </c>
      <c r="I551" s="667"/>
      <c r="J551" s="667"/>
      <c r="K551" s="667"/>
      <c r="L551" s="236"/>
      <c r="M551" s="254"/>
      <c r="N551" s="236"/>
      <c r="O551" s="284">
        <v>0.91</v>
      </c>
      <c r="P551" s="284"/>
      <c r="Q551" s="284"/>
      <c r="R551" s="284"/>
      <c r="S551" s="236"/>
      <c r="T551" s="254"/>
      <c r="U551" s="659"/>
    </row>
    <row r="552" spans="2:21" outlineLevel="2">
      <c r="B552" s="246"/>
      <c r="C552" s="246"/>
      <c r="D552" s="262"/>
      <c r="E552" s="236"/>
      <c r="F552" s="254"/>
      <c r="G552" s="236"/>
      <c r="H552" s="667"/>
      <c r="I552" s="667"/>
      <c r="J552" s="667"/>
      <c r="K552" s="667"/>
      <c r="L552" s="236"/>
      <c r="M552" s="254"/>
      <c r="N552" s="236"/>
      <c r="O552" s="663"/>
      <c r="P552" s="663"/>
      <c r="Q552" s="663"/>
      <c r="R552" s="663"/>
      <c r="S552" s="236"/>
      <c r="T552" s="254"/>
      <c r="U552" s="659"/>
    </row>
    <row r="553" spans="2:21" outlineLevel="2">
      <c r="B553" s="246"/>
      <c r="C553" s="246" t="s">
        <v>830</v>
      </c>
      <c r="D553" s="262" t="s">
        <v>976</v>
      </c>
      <c r="E553" s="236"/>
      <c r="F553" s="254"/>
      <c r="G553" s="236"/>
      <c r="H553" s="667" t="s">
        <v>117</v>
      </c>
      <c r="I553" s="667"/>
      <c r="J553" s="667"/>
      <c r="K553" s="667"/>
      <c r="L553" s="236"/>
      <c r="M553" s="254"/>
      <c r="N553" s="236"/>
      <c r="O553" s="663">
        <v>0.06</v>
      </c>
      <c r="P553" s="663"/>
      <c r="Q553" s="663"/>
      <c r="R553" s="663"/>
      <c r="S553" s="236"/>
      <c r="T553" s="254"/>
      <c r="U553" s="659"/>
    </row>
    <row r="554" spans="2:21" outlineLevel="2">
      <c r="B554" s="246"/>
      <c r="C554" s="246" t="s">
        <v>830</v>
      </c>
      <c r="D554" s="262" t="s">
        <v>976</v>
      </c>
      <c r="E554" s="236"/>
      <c r="F554" s="254"/>
      <c r="G554" s="236"/>
      <c r="H554" s="667" t="s">
        <v>116</v>
      </c>
      <c r="I554" s="667"/>
      <c r="J554" s="667"/>
      <c r="K554" s="667"/>
      <c r="L554" s="236"/>
      <c r="M554" s="254"/>
      <c r="N554" s="236"/>
      <c r="O554" s="663">
        <v>0.03</v>
      </c>
      <c r="P554" s="663"/>
      <c r="Q554" s="663"/>
      <c r="R554" s="663"/>
      <c r="S554" s="236"/>
      <c r="T554" s="254"/>
      <c r="U554" s="659"/>
    </row>
    <row r="555" spans="2:21" outlineLevel="2">
      <c r="B555" s="246"/>
      <c r="C555" s="246" t="s">
        <v>830</v>
      </c>
      <c r="D555" s="262" t="s">
        <v>976</v>
      </c>
      <c r="E555" s="236"/>
      <c r="F555" s="254"/>
      <c r="G555" s="236"/>
      <c r="H555" s="667" t="s">
        <v>118</v>
      </c>
      <c r="I555" s="667"/>
      <c r="J555" s="667"/>
      <c r="K555" s="667"/>
      <c r="L555" s="236"/>
      <c r="M555" s="254"/>
      <c r="N555" s="236"/>
      <c r="O555" s="663">
        <v>0.08</v>
      </c>
      <c r="P555" s="663"/>
      <c r="Q555" s="663"/>
      <c r="R555" s="663"/>
      <c r="S555" s="236"/>
      <c r="T555" s="254"/>
      <c r="U555" s="659"/>
    </row>
    <row r="556" spans="2:21" ht="3" customHeight="1" outlineLevel="1">
      <c r="B556" s="246"/>
      <c r="C556" s="246"/>
      <c r="D556" s="253"/>
      <c r="E556" s="236"/>
      <c r="F556" s="254"/>
      <c r="G556" s="236"/>
      <c r="H556" s="670"/>
      <c r="I556" s="670"/>
      <c r="J556" s="670"/>
      <c r="K556" s="670"/>
      <c r="L556" s="236"/>
      <c r="M556" s="254"/>
      <c r="N556" s="236"/>
      <c r="O556" s="671"/>
      <c r="P556" s="671"/>
      <c r="Q556" s="671"/>
      <c r="R556" s="671"/>
      <c r="S556" s="236"/>
      <c r="T556" s="254"/>
      <c r="U556" s="659"/>
    </row>
    <row r="557" spans="2:21" s="238" customFormat="1" outlineLevel="1">
      <c r="B557" s="239" t="s">
        <v>780</v>
      </c>
      <c r="C557" s="239"/>
      <c r="D557" s="239"/>
      <c r="E557" s="236"/>
      <c r="F557" s="254"/>
      <c r="G557" s="236"/>
      <c r="H557" s="240">
        <f>COUNTA(H558:H569)</f>
        <v>9</v>
      </c>
      <c r="I557" s="240"/>
      <c r="J557" s="240"/>
      <c r="K557" s="240"/>
      <c r="L557" s="236"/>
      <c r="M557" s="254"/>
      <c r="N557" s="236"/>
      <c r="O557" s="265">
        <f>SUM(O558:O569)</f>
        <v>5.6307479699999998</v>
      </c>
      <c r="P557" s="265"/>
      <c r="Q557" s="265"/>
      <c r="R557" s="265"/>
      <c r="S557" s="236"/>
      <c r="T557" s="254"/>
      <c r="U557" s="659"/>
    </row>
    <row r="558" spans="2:21" outlineLevel="2">
      <c r="B558" s="246"/>
      <c r="C558" s="246" t="s">
        <v>781</v>
      </c>
      <c r="D558" s="235" t="s">
        <v>28</v>
      </c>
      <c r="E558" s="236"/>
      <c r="F558" s="254"/>
      <c r="G558" s="236"/>
      <c r="H558" s="701" t="s">
        <v>32</v>
      </c>
      <c r="I558" s="701"/>
      <c r="J558" s="701"/>
      <c r="K558" s="701"/>
      <c r="L558" s="236"/>
      <c r="M558" s="254"/>
      <c r="N558" s="236"/>
      <c r="O558" s="663">
        <v>0.97</v>
      </c>
      <c r="P558" s="663"/>
      <c r="Q558" s="663"/>
      <c r="R558" s="663"/>
      <c r="S558" s="236"/>
      <c r="T558" s="254"/>
      <c r="U558" s="659"/>
    </row>
    <row r="559" spans="2:21" outlineLevel="2">
      <c r="B559" s="246"/>
      <c r="C559" s="246" t="s">
        <v>781</v>
      </c>
      <c r="D559" s="235" t="s">
        <v>28</v>
      </c>
      <c r="E559" s="236"/>
      <c r="F559" s="254"/>
      <c r="G559" s="236"/>
      <c r="H559" s="701" t="s">
        <v>66</v>
      </c>
      <c r="I559" s="701"/>
      <c r="J559" s="701"/>
      <c r="K559" s="701"/>
      <c r="L559" s="236"/>
      <c r="M559" s="254"/>
      <c r="N559" s="236"/>
      <c r="O559" s="663">
        <v>0.97</v>
      </c>
      <c r="P559" s="663"/>
      <c r="Q559" s="663"/>
      <c r="R559" s="663"/>
      <c r="S559" s="236"/>
      <c r="T559" s="254"/>
      <c r="U559" s="659"/>
    </row>
    <row r="560" spans="2:21" outlineLevel="2">
      <c r="B560" s="246"/>
      <c r="C560" s="246" t="s">
        <v>781</v>
      </c>
      <c r="D560" s="235" t="s">
        <v>28</v>
      </c>
      <c r="E560" s="236"/>
      <c r="F560" s="254"/>
      <c r="G560" s="236"/>
      <c r="H560" s="690" t="s">
        <v>33</v>
      </c>
      <c r="I560" s="690"/>
      <c r="J560" s="690"/>
      <c r="K560" s="690"/>
      <c r="L560" s="236"/>
      <c r="M560" s="254"/>
      <c r="N560" s="236"/>
      <c r="O560" s="663">
        <v>0.48</v>
      </c>
      <c r="P560" s="663"/>
      <c r="Q560" s="663"/>
      <c r="R560" s="663"/>
      <c r="S560" s="236"/>
      <c r="T560" s="254"/>
      <c r="U560" s="659"/>
    </row>
    <row r="561" spans="2:20" outlineLevel="2">
      <c r="B561" s="246"/>
      <c r="C561" s="246" t="s">
        <v>781</v>
      </c>
      <c r="D561" s="235" t="s">
        <v>28</v>
      </c>
      <c r="E561" s="236"/>
      <c r="F561" s="254"/>
      <c r="G561" s="236"/>
      <c r="H561" s="289" t="s">
        <v>197</v>
      </c>
      <c r="I561" s="289"/>
      <c r="J561" s="289"/>
      <c r="K561" s="289"/>
      <c r="L561" s="236"/>
      <c r="M561" s="254"/>
      <c r="N561" s="236"/>
      <c r="O561" s="663">
        <v>0.48</v>
      </c>
      <c r="P561" s="663"/>
      <c r="Q561" s="663"/>
      <c r="R561" s="663"/>
      <c r="S561" s="236"/>
      <c r="T561" s="254"/>
    </row>
    <row r="562" spans="2:20" outlineLevel="2">
      <c r="B562" s="246"/>
      <c r="C562" s="246"/>
      <c r="D562" s="253"/>
      <c r="E562" s="236"/>
      <c r="F562" s="254"/>
      <c r="G562" s="236"/>
      <c r="H562" s="251"/>
      <c r="I562" s="251"/>
      <c r="J562" s="251"/>
      <c r="K562" s="251"/>
      <c r="L562" s="236"/>
      <c r="M562" s="254"/>
      <c r="N562" s="236"/>
      <c r="O562" s="321"/>
      <c r="P562" s="321"/>
      <c r="Q562" s="321"/>
      <c r="R562" s="321"/>
      <c r="S562" s="236"/>
      <c r="T562" s="254"/>
    </row>
    <row r="563" spans="2:20" outlineLevel="2">
      <c r="B563" s="246"/>
      <c r="C563" s="246" t="s">
        <v>1004</v>
      </c>
      <c r="D563" s="235" t="s">
        <v>28</v>
      </c>
      <c r="E563" s="236"/>
      <c r="F563" s="254"/>
      <c r="G563" s="236"/>
      <c r="H563" s="701" t="s">
        <v>32</v>
      </c>
      <c r="I563" s="701"/>
      <c r="J563" s="701"/>
      <c r="K563" s="701"/>
      <c r="L563" s="236"/>
      <c r="M563" s="254"/>
      <c r="N563" s="236"/>
      <c r="O563" s="663">
        <v>0.57967523600000004</v>
      </c>
      <c r="P563" s="663"/>
      <c r="Q563" s="663"/>
      <c r="R563" s="663"/>
      <c r="S563" s="236"/>
      <c r="T563" s="254"/>
    </row>
    <row r="564" spans="2:20" outlineLevel="2">
      <c r="B564" s="246"/>
      <c r="C564" s="246" t="s">
        <v>1004</v>
      </c>
      <c r="D564" s="235" t="s">
        <v>28</v>
      </c>
      <c r="E564" s="236"/>
      <c r="F564" s="254"/>
      <c r="G564" s="236"/>
      <c r="H564" s="690" t="s">
        <v>33</v>
      </c>
      <c r="I564" s="690"/>
      <c r="J564" s="690"/>
      <c r="K564" s="690"/>
      <c r="L564" s="236"/>
      <c r="M564" s="254"/>
      <c r="N564" s="236"/>
      <c r="O564" s="663">
        <v>0.57967523600000004</v>
      </c>
      <c r="P564" s="663"/>
      <c r="Q564" s="663"/>
      <c r="R564" s="663"/>
      <c r="S564" s="236"/>
      <c r="T564" s="254"/>
    </row>
    <row r="565" spans="2:20" outlineLevel="2">
      <c r="B565" s="246"/>
      <c r="C565" s="246"/>
      <c r="D565" s="253"/>
      <c r="E565" s="236"/>
      <c r="F565" s="254"/>
      <c r="G565" s="236"/>
      <c r="H565" s="251"/>
      <c r="I565" s="251"/>
      <c r="J565" s="251"/>
      <c r="K565" s="251"/>
      <c r="L565" s="236"/>
      <c r="M565" s="254"/>
      <c r="N565" s="236"/>
      <c r="O565" s="321"/>
      <c r="P565" s="321"/>
      <c r="Q565" s="321"/>
      <c r="R565" s="321"/>
      <c r="S565" s="236"/>
      <c r="T565" s="254"/>
    </row>
    <row r="566" spans="2:20" outlineLevel="2">
      <c r="B566" s="246"/>
      <c r="C566" s="246" t="s">
        <v>781</v>
      </c>
      <c r="D566" s="253" t="s">
        <v>976</v>
      </c>
      <c r="E566" s="236"/>
      <c r="F566" s="254"/>
      <c r="G566" s="236"/>
      <c r="H566" s="669" t="s">
        <v>32</v>
      </c>
      <c r="I566" s="669"/>
      <c r="J566" s="669"/>
      <c r="K566" s="669"/>
      <c r="L566" s="236"/>
      <c r="M566" s="254"/>
      <c r="N566" s="236"/>
      <c r="O566" s="673">
        <v>0.81379484999999996</v>
      </c>
      <c r="P566" s="673"/>
      <c r="Q566" s="673"/>
      <c r="R566" s="673"/>
      <c r="S566" s="236"/>
      <c r="T566" s="254"/>
    </row>
    <row r="567" spans="2:20" outlineLevel="2">
      <c r="B567" s="246"/>
      <c r="C567" s="246" t="s">
        <v>781</v>
      </c>
      <c r="D567" s="253" t="s">
        <v>976</v>
      </c>
      <c r="E567" s="236"/>
      <c r="F567" s="254"/>
      <c r="G567" s="236"/>
      <c r="H567" s="691" t="s">
        <v>197</v>
      </c>
      <c r="I567" s="691"/>
      <c r="J567" s="691"/>
      <c r="K567" s="691"/>
      <c r="L567" s="236"/>
      <c r="M567" s="254"/>
      <c r="N567" s="236"/>
      <c r="O567" s="673">
        <v>0.27126495</v>
      </c>
      <c r="P567" s="673"/>
      <c r="Q567" s="673"/>
      <c r="R567" s="673"/>
      <c r="S567" s="236"/>
      <c r="T567" s="254"/>
    </row>
    <row r="568" spans="2:20" outlineLevel="2">
      <c r="B568" s="246"/>
      <c r="C568" s="246"/>
      <c r="D568" s="253"/>
      <c r="E568" s="236"/>
      <c r="F568" s="254"/>
      <c r="G568" s="236"/>
      <c r="H568" s="251"/>
      <c r="I568" s="251"/>
      <c r="J568" s="251"/>
      <c r="K568" s="251"/>
      <c r="L568" s="236"/>
      <c r="M568" s="254"/>
      <c r="N568" s="236"/>
      <c r="O568" s="321"/>
      <c r="P568" s="321"/>
      <c r="Q568" s="321"/>
      <c r="R568" s="321"/>
      <c r="S568" s="236"/>
      <c r="T568" s="254"/>
    </row>
    <row r="569" spans="2:20" outlineLevel="2">
      <c r="B569" s="246"/>
      <c r="C569" s="246" t="s">
        <v>1004</v>
      </c>
      <c r="D569" s="253" t="s">
        <v>976</v>
      </c>
      <c r="E569" s="236"/>
      <c r="F569" s="254"/>
      <c r="G569" s="236"/>
      <c r="H569" s="669" t="s">
        <v>32</v>
      </c>
      <c r="I569" s="669"/>
      <c r="J569" s="669"/>
      <c r="K569" s="669"/>
      <c r="L569" s="236"/>
      <c r="M569" s="254"/>
      <c r="N569" s="236"/>
      <c r="O569" s="673">
        <v>0.48633769799999993</v>
      </c>
      <c r="P569" s="673"/>
      <c r="Q569" s="673"/>
      <c r="R569" s="673"/>
      <c r="S569" s="236"/>
      <c r="T569" s="254"/>
    </row>
    <row r="570" spans="2:20" ht="3" customHeight="1" outlineLevel="1">
      <c r="B570" s="246"/>
      <c r="C570" s="246"/>
      <c r="D570" s="253"/>
      <c r="E570" s="236"/>
      <c r="F570" s="254"/>
      <c r="G570" s="236"/>
      <c r="H570" s="683"/>
      <c r="I570" s="683"/>
      <c r="J570" s="683"/>
      <c r="K570" s="683"/>
      <c r="L570" s="236"/>
      <c r="M570" s="254"/>
      <c r="N570" s="236"/>
      <c r="O570" s="682"/>
      <c r="P570" s="682"/>
      <c r="Q570" s="682"/>
      <c r="R570" s="682"/>
      <c r="S570" s="236"/>
      <c r="T570" s="254"/>
    </row>
    <row r="571" spans="2:20" s="238" customFormat="1" outlineLevel="1">
      <c r="B571" s="273" t="s">
        <v>1005</v>
      </c>
      <c r="C571" s="239"/>
      <c r="D571" s="239"/>
      <c r="E571" s="236"/>
      <c r="F571" s="254"/>
      <c r="G571" s="236"/>
      <c r="H571" s="240"/>
      <c r="I571" s="240"/>
      <c r="J571" s="240"/>
      <c r="K571" s="240"/>
      <c r="L571" s="236"/>
      <c r="M571" s="254"/>
      <c r="N571" s="236"/>
      <c r="O571" s="265"/>
      <c r="P571" s="265"/>
      <c r="Q571" s="265"/>
      <c r="R571" s="265"/>
      <c r="S571" s="236"/>
      <c r="T571" s="254"/>
    </row>
    <row r="572" spans="2:20" ht="3" customHeight="1" outlineLevel="1">
      <c r="B572" s="246"/>
      <c r="C572" s="246"/>
      <c r="D572" s="253"/>
      <c r="E572" s="236"/>
      <c r="F572" s="254"/>
      <c r="G572" s="236"/>
      <c r="H572" s="670"/>
      <c r="I572" s="670"/>
      <c r="J572" s="670"/>
      <c r="K572" s="670"/>
      <c r="L572" s="236"/>
      <c r="M572" s="254"/>
      <c r="N572" s="236"/>
      <c r="O572" s="671"/>
      <c r="P572" s="671"/>
      <c r="Q572" s="671"/>
      <c r="R572" s="671"/>
      <c r="S572" s="236"/>
      <c r="T572" s="254"/>
    </row>
    <row r="573" spans="2:20" s="238" customFormat="1" outlineLevel="1">
      <c r="B573" s="273" t="s">
        <v>321</v>
      </c>
      <c r="C573" s="239"/>
      <c r="D573" s="239"/>
      <c r="E573" s="236"/>
      <c r="F573" s="254"/>
      <c r="G573" s="236"/>
      <c r="H573" s="240"/>
      <c r="I573" s="240"/>
      <c r="J573" s="240"/>
      <c r="K573" s="240"/>
      <c r="L573" s="236"/>
      <c r="M573" s="254"/>
      <c r="N573" s="236"/>
      <c r="O573" s="265"/>
      <c r="P573" s="265"/>
      <c r="Q573" s="265"/>
      <c r="R573" s="265"/>
      <c r="S573" s="236"/>
      <c r="T573" s="254"/>
    </row>
    <row r="574" spans="2:20" ht="3" customHeight="1" outlineLevel="1">
      <c r="B574" s="246"/>
      <c r="C574" s="246"/>
      <c r="D574" s="253"/>
      <c r="E574" s="236"/>
      <c r="F574" s="254"/>
      <c r="G574" s="236"/>
      <c r="H574" s="683"/>
      <c r="I574" s="683"/>
      <c r="J574" s="683"/>
      <c r="K574" s="683"/>
      <c r="L574" s="236"/>
      <c r="M574" s="254"/>
      <c r="N574" s="236"/>
      <c r="O574" s="682"/>
      <c r="P574" s="682"/>
      <c r="Q574" s="682"/>
      <c r="R574" s="682"/>
      <c r="S574" s="236"/>
      <c r="T574" s="254"/>
    </row>
    <row r="575" spans="2:20" s="238" customFormat="1" outlineLevel="1">
      <c r="B575" s="239" t="s">
        <v>498</v>
      </c>
      <c r="C575" s="239"/>
      <c r="D575" s="239"/>
      <c r="E575" s="236"/>
      <c r="F575" s="254"/>
      <c r="G575" s="236"/>
      <c r="H575" s="240">
        <f>COUNTA(H576:H584)</f>
        <v>3</v>
      </c>
      <c r="I575" s="240"/>
      <c r="J575" s="240"/>
      <c r="K575" s="240"/>
      <c r="L575" s="236"/>
      <c r="M575" s="254"/>
      <c r="N575" s="236"/>
      <c r="O575" s="265">
        <f>SUM(O576:O584)</f>
        <v>3.0649999999999999</v>
      </c>
      <c r="P575" s="265"/>
      <c r="Q575" s="265"/>
      <c r="R575" s="265"/>
      <c r="S575" s="236"/>
      <c r="T575" s="254"/>
    </row>
    <row r="576" spans="2:20" outlineLevel="2">
      <c r="B576" s="246"/>
      <c r="C576" s="246" t="s">
        <v>498</v>
      </c>
      <c r="D576" s="253" t="s">
        <v>976</v>
      </c>
      <c r="E576" s="236"/>
      <c r="F576" s="254"/>
      <c r="G576" s="236"/>
      <c r="H576" s="669"/>
      <c r="I576" s="669"/>
      <c r="J576" s="669"/>
      <c r="K576" s="669"/>
      <c r="L576" s="236"/>
      <c r="M576" s="254"/>
      <c r="N576" s="236"/>
      <c r="O576" s="673"/>
      <c r="P576" s="673"/>
      <c r="Q576" s="673"/>
      <c r="R576" s="673"/>
      <c r="S576" s="236"/>
      <c r="T576" s="254"/>
    </row>
    <row r="577" spans="2:20" outlineLevel="2">
      <c r="B577" s="246"/>
      <c r="C577" s="246" t="s">
        <v>498</v>
      </c>
      <c r="D577" s="253" t="s">
        <v>976</v>
      </c>
      <c r="E577" s="236"/>
      <c r="F577" s="254"/>
      <c r="G577" s="236"/>
      <c r="H577" s="659"/>
      <c r="I577" s="659"/>
      <c r="J577" s="659"/>
      <c r="K577" s="659"/>
      <c r="L577" s="236"/>
      <c r="M577" s="254"/>
      <c r="N577" s="236"/>
      <c r="O577" s="686"/>
      <c r="P577" s="686"/>
      <c r="Q577" s="686"/>
      <c r="R577" s="686"/>
      <c r="S577" s="236"/>
      <c r="T577" s="254"/>
    </row>
    <row r="578" spans="2:20" outlineLevel="2">
      <c r="B578" s="246"/>
      <c r="C578" s="246"/>
      <c r="D578" s="253"/>
      <c r="E578" s="236"/>
      <c r="F578" s="254"/>
      <c r="G578" s="236"/>
      <c r="H578" s="251"/>
      <c r="I578" s="251"/>
      <c r="J578" s="251"/>
      <c r="K578" s="251"/>
      <c r="L578" s="236"/>
      <c r="M578" s="254"/>
      <c r="N578" s="236"/>
      <c r="O578" s="321"/>
      <c r="P578" s="321"/>
      <c r="Q578" s="321"/>
      <c r="R578" s="321"/>
      <c r="S578" s="236"/>
      <c r="T578" s="254"/>
    </row>
    <row r="579" spans="2:20" outlineLevel="2">
      <c r="B579" s="246"/>
      <c r="C579" s="246" t="s">
        <v>498</v>
      </c>
      <c r="D579" s="253" t="s">
        <v>28</v>
      </c>
      <c r="E579" s="236"/>
      <c r="F579" s="254"/>
      <c r="G579" s="236"/>
      <c r="H579" s="701"/>
      <c r="I579" s="701"/>
      <c r="J579" s="701"/>
      <c r="K579" s="701"/>
      <c r="L579" s="236"/>
      <c r="M579" s="254"/>
      <c r="N579" s="236"/>
      <c r="O579" s="663"/>
      <c r="P579" s="663"/>
      <c r="Q579" s="663"/>
      <c r="R579" s="663"/>
      <c r="S579" s="236"/>
      <c r="T579" s="254"/>
    </row>
    <row r="580" spans="2:20" outlineLevel="2">
      <c r="B580" s="246"/>
      <c r="C580" s="246" t="s">
        <v>498</v>
      </c>
      <c r="D580" s="253" t="s">
        <v>28</v>
      </c>
      <c r="E580" s="236"/>
      <c r="F580" s="254"/>
      <c r="G580" s="236"/>
      <c r="H580" s="289"/>
      <c r="I580" s="289"/>
      <c r="J580" s="289"/>
      <c r="K580" s="289"/>
      <c r="L580" s="236"/>
      <c r="M580" s="254"/>
      <c r="N580" s="236"/>
      <c r="O580" s="321"/>
      <c r="P580" s="321"/>
      <c r="Q580" s="321"/>
      <c r="R580" s="321"/>
      <c r="S580" s="236"/>
      <c r="T580" s="254"/>
    </row>
    <row r="581" spans="2:20" outlineLevel="2">
      <c r="B581" s="246"/>
      <c r="C581" s="246"/>
      <c r="D581" s="253"/>
      <c r="E581" s="236"/>
      <c r="F581" s="254"/>
      <c r="G581" s="236"/>
      <c r="H581" s="669"/>
      <c r="I581" s="669"/>
      <c r="J581" s="669"/>
      <c r="K581" s="669"/>
      <c r="L581" s="236"/>
      <c r="M581" s="254"/>
      <c r="N581" s="236"/>
      <c r="O581" s="673"/>
      <c r="P581" s="673"/>
      <c r="Q581" s="673"/>
      <c r="R581" s="673"/>
      <c r="S581" s="236"/>
      <c r="T581" s="254"/>
    </row>
    <row r="582" spans="2:20" outlineLevel="2">
      <c r="B582" s="246"/>
      <c r="C582" s="246" t="s">
        <v>498</v>
      </c>
      <c r="D582" s="253" t="s">
        <v>1003</v>
      </c>
      <c r="E582" s="236"/>
      <c r="F582" s="254"/>
      <c r="G582" s="236"/>
      <c r="H582" s="659" t="s">
        <v>334</v>
      </c>
      <c r="I582" s="659"/>
      <c r="J582" s="659"/>
      <c r="K582" s="659"/>
      <c r="L582" s="236"/>
      <c r="M582" s="254"/>
      <c r="N582" s="236"/>
      <c r="O582" s="686">
        <v>1.02</v>
      </c>
      <c r="P582" s="686"/>
      <c r="Q582" s="686"/>
      <c r="R582" s="686"/>
      <c r="S582" s="236"/>
      <c r="T582" s="254"/>
    </row>
    <row r="583" spans="2:20" outlineLevel="2">
      <c r="B583" s="246"/>
      <c r="C583" s="246" t="s">
        <v>498</v>
      </c>
      <c r="D583" s="253" t="s">
        <v>1003</v>
      </c>
      <c r="E583" s="236"/>
      <c r="F583" s="254"/>
      <c r="G583" s="236"/>
      <c r="H583" s="690" t="s">
        <v>32</v>
      </c>
      <c r="I583" s="690"/>
      <c r="J583" s="690"/>
      <c r="K583" s="690"/>
      <c r="L583" s="236"/>
      <c r="M583" s="254"/>
      <c r="N583" s="236"/>
      <c r="O583" s="689">
        <v>1.0225</v>
      </c>
      <c r="P583" s="689"/>
      <c r="Q583" s="689"/>
      <c r="R583" s="689"/>
      <c r="S583" s="236"/>
      <c r="T583" s="254"/>
    </row>
    <row r="584" spans="2:20" outlineLevel="2">
      <c r="B584" s="246"/>
      <c r="C584" s="246" t="s">
        <v>498</v>
      </c>
      <c r="D584" s="253" t="s">
        <v>1003</v>
      </c>
      <c r="E584" s="236"/>
      <c r="F584" s="254"/>
      <c r="G584" s="236"/>
      <c r="H584" s="659" t="s">
        <v>33</v>
      </c>
      <c r="I584" s="659"/>
      <c r="J584" s="659"/>
      <c r="K584" s="659"/>
      <c r="L584" s="236"/>
      <c r="M584" s="254"/>
      <c r="N584" s="236"/>
      <c r="O584" s="686">
        <v>1.0225</v>
      </c>
      <c r="P584" s="686"/>
      <c r="Q584" s="686"/>
      <c r="R584" s="686"/>
      <c r="S584" s="236"/>
      <c r="T584" s="254"/>
    </row>
    <row r="585" spans="2:20" ht="3" customHeight="1" outlineLevel="1">
      <c r="B585" s="246"/>
      <c r="C585" s="246"/>
      <c r="D585" s="253"/>
      <c r="E585" s="236"/>
      <c r="F585" s="254"/>
      <c r="G585" s="236"/>
      <c r="H585" s="683"/>
      <c r="I585" s="683"/>
      <c r="J585" s="683"/>
      <c r="K585" s="683"/>
      <c r="L585" s="236"/>
      <c r="M585" s="254"/>
      <c r="N585" s="236"/>
      <c r="O585" s="682"/>
      <c r="P585" s="682"/>
      <c r="Q585" s="682"/>
      <c r="R585" s="682"/>
      <c r="S585" s="236"/>
      <c r="T585" s="254"/>
    </row>
    <row r="586" spans="2:20" s="238" customFormat="1" outlineLevel="1">
      <c r="B586" s="273" t="s">
        <v>832</v>
      </c>
      <c r="C586" s="239"/>
      <c r="D586" s="239"/>
      <c r="E586" s="236"/>
      <c r="F586" s="254"/>
      <c r="G586" s="236"/>
      <c r="H586" s="240">
        <f>COUNTA(H587:H589)</f>
        <v>0</v>
      </c>
      <c r="I586" s="240"/>
      <c r="J586" s="240"/>
      <c r="K586" s="240"/>
      <c r="L586" s="236"/>
      <c r="M586" s="254"/>
      <c r="N586" s="236"/>
      <c r="O586" s="265">
        <f>SUM(O587:O589)</f>
        <v>0</v>
      </c>
      <c r="P586" s="265"/>
      <c r="Q586" s="265"/>
      <c r="R586" s="265"/>
      <c r="S586" s="236"/>
      <c r="T586" s="254"/>
    </row>
    <row r="587" spans="2:20" outlineLevel="2">
      <c r="B587" s="246"/>
      <c r="C587" s="246"/>
      <c r="D587" s="253"/>
      <c r="E587" s="236"/>
      <c r="F587" s="254"/>
      <c r="G587" s="236"/>
      <c r="H587" s="251"/>
      <c r="I587" s="251"/>
      <c r="J587" s="251"/>
      <c r="K587" s="251"/>
      <c r="L587" s="236"/>
      <c r="M587" s="254"/>
      <c r="N587" s="236"/>
      <c r="O587" s="321"/>
      <c r="P587" s="321"/>
      <c r="Q587" s="321"/>
      <c r="R587" s="321"/>
      <c r="S587" s="236"/>
      <c r="T587" s="254"/>
    </row>
    <row r="588" spans="2:20" outlineLevel="2">
      <c r="B588" s="246"/>
      <c r="C588" s="246"/>
      <c r="D588" s="253"/>
      <c r="E588" s="236"/>
      <c r="F588" s="254"/>
      <c r="G588" s="236"/>
      <c r="H588" s="251"/>
      <c r="I588" s="251"/>
      <c r="J588" s="251"/>
      <c r="K588" s="251"/>
      <c r="L588" s="236"/>
      <c r="M588" s="254"/>
      <c r="N588" s="236"/>
      <c r="O588" s="321"/>
      <c r="P588" s="321"/>
      <c r="Q588" s="321"/>
      <c r="R588" s="321"/>
      <c r="S588" s="236"/>
      <c r="T588" s="254"/>
    </row>
    <row r="589" spans="2:20" outlineLevel="2">
      <c r="B589" s="246"/>
      <c r="C589" s="246" t="s">
        <v>832</v>
      </c>
      <c r="D589" s="253" t="s">
        <v>1003</v>
      </c>
      <c r="E589" s="236"/>
      <c r="F589" s="254"/>
      <c r="G589" s="236"/>
      <c r="H589" s="669"/>
      <c r="I589" s="669"/>
      <c r="J589" s="669"/>
      <c r="K589" s="669"/>
      <c r="L589" s="236"/>
      <c r="M589" s="254"/>
      <c r="N589" s="236"/>
      <c r="O589" s="673"/>
      <c r="P589" s="673"/>
      <c r="Q589" s="673"/>
      <c r="R589" s="673"/>
      <c r="S589" s="236"/>
      <c r="T589" s="254"/>
    </row>
    <row r="590" spans="2:20" ht="3" customHeight="1" outlineLevel="1">
      <c r="B590" s="246"/>
      <c r="C590" s="246"/>
      <c r="D590" s="253"/>
      <c r="E590" s="236"/>
      <c r="F590" s="254"/>
      <c r="G590" s="236"/>
      <c r="H590" s="683"/>
      <c r="I590" s="683"/>
      <c r="J590" s="683"/>
      <c r="K590" s="683"/>
      <c r="L590" s="236"/>
      <c r="M590" s="254"/>
      <c r="N590" s="236"/>
      <c r="O590" s="682"/>
      <c r="P590" s="682"/>
      <c r="Q590" s="682"/>
      <c r="R590" s="682"/>
      <c r="S590" s="236"/>
      <c r="T590" s="254"/>
    </row>
    <row r="591" spans="2:20" s="238" customFormat="1" outlineLevel="1">
      <c r="B591" s="239" t="s">
        <v>313</v>
      </c>
      <c r="C591" s="239"/>
      <c r="D591" s="239"/>
      <c r="E591" s="236"/>
      <c r="F591" s="254"/>
      <c r="G591" s="236"/>
      <c r="H591" s="240">
        <f>COUNTA(H592:H603)</f>
        <v>6</v>
      </c>
      <c r="I591" s="240"/>
      <c r="J591" s="240"/>
      <c r="K591" s="240"/>
      <c r="L591" s="236"/>
      <c r="M591" s="254"/>
      <c r="N591" s="236"/>
      <c r="O591" s="265">
        <f>SUM(O592:O603)</f>
        <v>2.6166961500000006</v>
      </c>
      <c r="P591" s="265"/>
      <c r="Q591" s="265"/>
      <c r="R591" s="265"/>
      <c r="S591" s="241"/>
      <c r="T591" s="254"/>
    </row>
    <row r="592" spans="2:20" outlineLevel="2">
      <c r="B592" s="246"/>
      <c r="C592" s="246" t="s">
        <v>313</v>
      </c>
      <c r="D592" s="253" t="s">
        <v>28</v>
      </c>
      <c r="E592" s="236"/>
      <c r="F592" s="254"/>
      <c r="G592" s="236"/>
      <c r="H592" s="669" t="s">
        <v>32</v>
      </c>
      <c r="I592" s="669"/>
      <c r="J592" s="669"/>
      <c r="K592" s="669"/>
      <c r="L592" s="236"/>
      <c r="M592" s="254"/>
      <c r="N592" s="236"/>
      <c r="O592" s="673">
        <v>2.8907049999999997E-2</v>
      </c>
      <c r="P592" s="673"/>
      <c r="Q592" s="673"/>
      <c r="R592" s="673"/>
      <c r="S592" s="236"/>
      <c r="T592" s="254"/>
    </row>
    <row r="593" spans="2:24" outlineLevel="2">
      <c r="B593" s="246"/>
      <c r="C593" s="246" t="s">
        <v>313</v>
      </c>
      <c r="D593" s="253" t="s">
        <v>28</v>
      </c>
      <c r="E593" s="236"/>
      <c r="F593" s="254"/>
      <c r="G593" s="236"/>
      <c r="H593" s="659" t="s">
        <v>33</v>
      </c>
      <c r="I593" s="659"/>
      <c r="J593" s="659"/>
      <c r="K593" s="659"/>
      <c r="L593" s="236"/>
      <c r="M593" s="254"/>
      <c r="N593" s="236"/>
      <c r="O593" s="686">
        <v>5.7814099999999993E-2</v>
      </c>
      <c r="P593" s="686"/>
      <c r="Q593" s="686"/>
      <c r="R593" s="686"/>
      <c r="S593" s="236"/>
      <c r="T593" s="254"/>
      <c r="U593" s="659"/>
      <c r="V593" s="659"/>
      <c r="W593" s="659"/>
      <c r="X593" s="659"/>
    </row>
    <row r="594" spans="2:24" outlineLevel="2">
      <c r="B594" s="246"/>
      <c r="C594" s="246" t="s">
        <v>313</v>
      </c>
      <c r="D594" s="253" t="s">
        <v>28</v>
      </c>
      <c r="E594" s="236"/>
      <c r="F594" s="254"/>
      <c r="G594" s="236"/>
      <c r="H594" s="669"/>
      <c r="I594" s="669"/>
      <c r="J594" s="669"/>
      <c r="K594" s="669"/>
      <c r="L594" s="236"/>
      <c r="M594" s="254"/>
      <c r="N594" s="236"/>
      <c r="O594" s="673"/>
      <c r="P594" s="673"/>
      <c r="Q594" s="673"/>
      <c r="R594" s="673"/>
      <c r="S594" s="236"/>
      <c r="T594" s="254"/>
      <c r="U594" s="659"/>
      <c r="V594" s="659"/>
      <c r="W594" s="659"/>
      <c r="X594" s="659"/>
    </row>
    <row r="595" spans="2:24" outlineLevel="2">
      <c r="B595" s="246"/>
      <c r="C595" s="246"/>
      <c r="D595" s="253"/>
      <c r="E595" s="236"/>
      <c r="F595" s="254"/>
      <c r="G595" s="236"/>
      <c r="H595" s="251"/>
      <c r="I595" s="251"/>
      <c r="J595" s="251"/>
      <c r="K595" s="251"/>
      <c r="L595" s="236"/>
      <c r="M595" s="254"/>
      <c r="N595" s="236"/>
      <c r="O595" s="321"/>
      <c r="P595" s="321"/>
      <c r="Q595" s="321"/>
      <c r="R595" s="321"/>
      <c r="S595" s="236"/>
      <c r="T595" s="254"/>
      <c r="U595" s="659"/>
      <c r="V595" s="659"/>
      <c r="W595" s="659"/>
      <c r="X595" s="659"/>
    </row>
    <row r="596" spans="2:24" outlineLevel="2">
      <c r="B596" s="246"/>
      <c r="C596" s="246" t="s">
        <v>313</v>
      </c>
      <c r="D596" s="253" t="s">
        <v>976</v>
      </c>
      <c r="E596" s="236"/>
      <c r="F596" s="254"/>
      <c r="G596" s="236"/>
      <c r="H596" s="701"/>
      <c r="I596" s="701"/>
      <c r="J596" s="701"/>
      <c r="K596" s="701"/>
      <c r="L596" s="236"/>
      <c r="M596" s="254"/>
      <c r="N596" s="236"/>
      <c r="O596" s="673"/>
      <c r="P596" s="673"/>
      <c r="Q596" s="673"/>
      <c r="R596" s="673"/>
      <c r="S596" s="236"/>
      <c r="T596" s="254"/>
      <c r="U596" s="659"/>
      <c r="V596" s="659"/>
      <c r="W596" s="659"/>
      <c r="X596" s="659"/>
    </row>
    <row r="597" spans="2:24" outlineLevel="2">
      <c r="B597" s="246"/>
      <c r="C597" s="246" t="s">
        <v>313</v>
      </c>
      <c r="D597" s="253" t="s">
        <v>976</v>
      </c>
      <c r="E597" s="236"/>
      <c r="F597" s="254"/>
      <c r="G597" s="236"/>
      <c r="H597" s="289"/>
      <c r="I597" s="289"/>
      <c r="J597" s="289"/>
      <c r="K597" s="289"/>
      <c r="L597" s="236"/>
      <c r="M597" s="254"/>
      <c r="N597" s="236"/>
      <c r="O597" s="321"/>
      <c r="P597" s="321"/>
      <c r="Q597" s="321"/>
      <c r="R597" s="321"/>
      <c r="S597" s="236"/>
      <c r="T597" s="254"/>
      <c r="U597" s="659"/>
      <c r="V597" s="659"/>
      <c r="W597" s="659"/>
      <c r="X597" s="659"/>
    </row>
    <row r="598" spans="2:24" outlineLevel="2">
      <c r="B598" s="246"/>
      <c r="C598" s="246" t="s">
        <v>313</v>
      </c>
      <c r="D598" s="253" t="s">
        <v>976</v>
      </c>
      <c r="E598" s="236"/>
      <c r="F598" s="254"/>
      <c r="G598" s="236"/>
      <c r="H598" s="701"/>
      <c r="I598" s="701"/>
      <c r="J598" s="701"/>
      <c r="K598" s="701"/>
      <c r="L598" s="236"/>
      <c r="M598" s="254"/>
      <c r="N598" s="236"/>
      <c r="O598" s="673"/>
      <c r="P598" s="673"/>
      <c r="Q598" s="673"/>
      <c r="R598" s="673"/>
      <c r="S598" s="236"/>
      <c r="T598" s="254"/>
      <c r="U598" s="659"/>
      <c r="V598" s="659"/>
      <c r="W598" s="659"/>
      <c r="X598" s="659"/>
    </row>
    <row r="599" spans="2:24" s="250" customFormat="1" outlineLevel="2">
      <c r="B599" s="330"/>
      <c r="C599" s="330"/>
      <c r="D599" s="331"/>
      <c r="E599" s="332"/>
      <c r="F599" s="333"/>
      <c r="G599" s="332"/>
      <c r="H599" s="369"/>
      <c r="I599" s="369"/>
      <c r="J599" s="369"/>
      <c r="K599" s="369"/>
      <c r="L599" s="332"/>
      <c r="M599" s="333"/>
      <c r="N599" s="332"/>
      <c r="O599" s="370"/>
      <c r="P599" s="370"/>
      <c r="Q599" s="370"/>
      <c r="R599" s="370"/>
      <c r="S599" s="332"/>
      <c r="T599" s="333"/>
      <c r="U599" s="702"/>
      <c r="V599" s="702"/>
      <c r="W599" s="702"/>
      <c r="X599" s="702"/>
    </row>
    <row r="600" spans="2:24" s="250" customFormat="1" outlineLevel="2">
      <c r="B600" s="330"/>
      <c r="C600" s="330" t="s">
        <v>313</v>
      </c>
      <c r="D600" s="331" t="s">
        <v>1003</v>
      </c>
      <c r="E600" s="334"/>
      <c r="F600" s="335"/>
      <c r="G600" s="334"/>
      <c r="H600" s="703" t="s">
        <v>334</v>
      </c>
      <c r="I600" s="703"/>
      <c r="J600" s="703"/>
      <c r="K600" s="703"/>
      <c r="L600" s="334"/>
      <c r="M600" s="335"/>
      <c r="N600" s="334"/>
      <c r="O600" s="693">
        <v>0.24</v>
      </c>
      <c r="P600" s="693"/>
      <c r="Q600" s="693"/>
      <c r="R600" s="693"/>
      <c r="S600" s="334"/>
      <c r="T600" s="335"/>
      <c r="U600" s="702"/>
      <c r="V600" s="702"/>
      <c r="W600" s="702"/>
      <c r="X600" s="704">
        <f>SUM(R596:R598)</f>
        <v>0</v>
      </c>
    </row>
    <row r="601" spans="2:24" s="250" customFormat="1" outlineLevel="2">
      <c r="B601" s="330"/>
      <c r="C601" s="330" t="s">
        <v>313</v>
      </c>
      <c r="D601" s="331" t="s">
        <v>1003</v>
      </c>
      <c r="E601" s="334"/>
      <c r="F601" s="335"/>
      <c r="G601" s="334"/>
      <c r="H601" s="702" t="s">
        <v>32</v>
      </c>
      <c r="I601" s="702"/>
      <c r="J601" s="702"/>
      <c r="K601" s="702"/>
      <c r="L601" s="334"/>
      <c r="M601" s="335"/>
      <c r="N601" s="334"/>
      <c r="O601" s="705">
        <v>1.0225000000000002</v>
      </c>
      <c r="P601" s="705"/>
      <c r="Q601" s="705"/>
      <c r="R601" s="705"/>
      <c r="S601" s="334"/>
      <c r="T601" s="335"/>
      <c r="U601" s="702"/>
      <c r="V601" s="702"/>
      <c r="W601" s="702"/>
      <c r="X601" s="702"/>
    </row>
    <row r="602" spans="2:24" s="250" customFormat="1" outlineLevel="2">
      <c r="B602" s="330"/>
      <c r="C602" s="330" t="s">
        <v>313</v>
      </c>
      <c r="D602" s="331" t="s">
        <v>1003</v>
      </c>
      <c r="E602" s="334"/>
      <c r="F602" s="335"/>
      <c r="G602" s="334"/>
      <c r="H602" s="692" t="s">
        <v>33</v>
      </c>
      <c r="I602" s="692"/>
      <c r="J602" s="692"/>
      <c r="K602" s="692"/>
      <c r="L602" s="334"/>
      <c r="M602" s="335"/>
      <c r="N602" s="334"/>
      <c r="O602" s="693">
        <v>1.0225000000000002</v>
      </c>
      <c r="P602" s="693"/>
      <c r="Q602" s="693"/>
      <c r="R602" s="693"/>
      <c r="S602" s="334"/>
      <c r="T602" s="335"/>
      <c r="U602" s="702"/>
      <c r="V602" s="702"/>
      <c r="W602" s="702"/>
      <c r="X602" s="702"/>
    </row>
    <row r="603" spans="2:24" s="250" customFormat="1" outlineLevel="2">
      <c r="B603" s="330"/>
      <c r="C603" s="330" t="s">
        <v>313</v>
      </c>
      <c r="D603" s="331" t="s">
        <v>1003</v>
      </c>
      <c r="E603" s="332"/>
      <c r="F603" s="333"/>
      <c r="G603" s="332"/>
      <c r="H603" s="702" t="s">
        <v>1006</v>
      </c>
      <c r="I603" s="702"/>
      <c r="J603" s="702"/>
      <c r="K603" s="702"/>
      <c r="L603" s="332"/>
      <c r="M603" s="333"/>
      <c r="N603" s="332"/>
      <c r="O603" s="705">
        <v>0.244975</v>
      </c>
      <c r="P603" s="705"/>
      <c r="Q603" s="705"/>
      <c r="R603" s="705"/>
      <c r="S603" s="332"/>
      <c r="T603" s="333"/>
      <c r="U603" s="702"/>
      <c r="V603" s="702"/>
      <c r="W603" s="702"/>
      <c r="X603" s="702"/>
    </row>
    <row r="604" spans="2:24" ht="3" customHeight="1" outlineLevel="1">
      <c r="B604" s="246"/>
      <c r="C604" s="246"/>
      <c r="D604" s="253"/>
      <c r="E604" s="236"/>
      <c r="F604" s="254"/>
      <c r="G604" s="236"/>
      <c r="H604" s="670"/>
      <c r="I604" s="670"/>
      <c r="J604" s="670"/>
      <c r="K604" s="670"/>
      <c r="L604" s="236"/>
      <c r="M604" s="254"/>
      <c r="N604" s="236"/>
      <c r="O604" s="671"/>
      <c r="P604" s="671"/>
      <c r="Q604" s="671"/>
      <c r="R604" s="671"/>
      <c r="S604" s="236"/>
      <c r="T604" s="254"/>
      <c r="U604" s="659"/>
      <c r="V604" s="659"/>
      <c r="W604" s="659"/>
      <c r="X604" s="659"/>
    </row>
    <row r="605" spans="2:24" s="238" customFormat="1" outlineLevel="1">
      <c r="B605" s="273" t="s">
        <v>1007</v>
      </c>
      <c r="C605" s="239"/>
      <c r="D605" s="239"/>
      <c r="E605" s="236"/>
      <c r="F605" s="254"/>
      <c r="G605" s="236"/>
      <c r="H605" s="240">
        <f>COUNTA(H606:H607)</f>
        <v>0</v>
      </c>
      <c r="I605" s="240"/>
      <c r="J605" s="240"/>
      <c r="K605" s="240"/>
      <c r="L605" s="236"/>
      <c r="M605" s="254"/>
      <c r="N605" s="236"/>
      <c r="O605" s="265">
        <f>SUM(O606:O607)</f>
        <v>0</v>
      </c>
      <c r="P605" s="265"/>
      <c r="Q605" s="265"/>
      <c r="R605" s="265"/>
      <c r="S605" s="236"/>
      <c r="T605" s="254"/>
    </row>
    <row r="606" spans="2:24" outlineLevel="2">
      <c r="B606" s="246"/>
      <c r="C606" s="246"/>
      <c r="D606" s="253"/>
      <c r="E606" s="236"/>
      <c r="F606" s="254"/>
      <c r="G606" s="236"/>
      <c r="H606" s="659"/>
      <c r="I606" s="659"/>
      <c r="J606" s="659"/>
      <c r="K606" s="659"/>
      <c r="L606" s="236"/>
      <c r="M606" s="254"/>
      <c r="N606" s="236"/>
      <c r="O606" s="686"/>
      <c r="P606" s="686"/>
      <c r="Q606" s="686"/>
      <c r="R606" s="686"/>
      <c r="S606" s="236"/>
      <c r="T606" s="254"/>
      <c r="U606" s="659"/>
      <c r="V606" s="659"/>
      <c r="W606" s="659"/>
      <c r="X606" s="659"/>
    </row>
    <row r="607" spans="2:24" outlineLevel="2">
      <c r="B607" s="246"/>
      <c r="C607" s="246"/>
      <c r="D607" s="253"/>
      <c r="E607" s="236"/>
      <c r="F607" s="254"/>
      <c r="G607" s="236"/>
      <c r="H607" s="659"/>
      <c r="I607" s="659"/>
      <c r="J607" s="659"/>
      <c r="K607" s="659"/>
      <c r="L607" s="236"/>
      <c r="M607" s="254"/>
      <c r="N607" s="236"/>
      <c r="O607" s="663"/>
      <c r="P607" s="663"/>
      <c r="Q607" s="663"/>
      <c r="R607" s="663"/>
      <c r="S607" s="236"/>
      <c r="T607" s="254"/>
      <c r="U607" s="659"/>
      <c r="V607" s="659"/>
      <c r="W607" s="659"/>
      <c r="X607" s="659"/>
    </row>
    <row r="608" spans="2:24" ht="3" customHeight="1" outlineLevel="1">
      <c r="B608" s="666"/>
      <c r="C608" s="666"/>
      <c r="D608" s="667"/>
      <c r="E608" s="236"/>
      <c r="F608" s="254"/>
      <c r="G608" s="236"/>
      <c r="H608" s="264"/>
      <c r="I608" s="264"/>
      <c r="J608" s="264"/>
      <c r="K608" s="264"/>
      <c r="L608" s="236"/>
      <c r="M608" s="254"/>
      <c r="N608" s="236"/>
      <c r="O608" s="352"/>
      <c r="P608" s="352"/>
      <c r="Q608" s="352"/>
      <c r="R608" s="352"/>
      <c r="S608" s="236"/>
      <c r="T608" s="254"/>
      <c r="U608" s="659"/>
      <c r="V608" s="659"/>
      <c r="W608" s="659"/>
      <c r="X608" s="659"/>
    </row>
    <row r="609" spans="1:27" s="238" customFormat="1" outlineLevel="1">
      <c r="B609" s="273" t="s">
        <v>839</v>
      </c>
      <c r="C609" s="239"/>
      <c r="D609" s="239"/>
      <c r="E609" s="236"/>
      <c r="F609" s="254"/>
      <c r="G609" s="236"/>
      <c r="H609" s="240">
        <f>COUNTA(H610:H613)</f>
        <v>0</v>
      </c>
      <c r="I609" s="240"/>
      <c r="J609" s="240"/>
      <c r="K609" s="240"/>
      <c r="L609" s="236"/>
      <c r="M609" s="254"/>
      <c r="N609" s="236"/>
      <c r="O609" s="265">
        <f>SUM(O610:O613)</f>
        <v>0</v>
      </c>
      <c r="P609" s="265"/>
      <c r="Q609" s="265"/>
      <c r="R609" s="265"/>
      <c r="S609" s="236"/>
      <c r="T609" s="254"/>
    </row>
    <row r="610" spans="1:27" outlineLevel="2">
      <c r="A610" s="659"/>
      <c r="B610" s="246"/>
      <c r="C610" s="666" t="s">
        <v>794</v>
      </c>
      <c r="D610" s="253" t="s">
        <v>28</v>
      </c>
      <c r="E610" s="236"/>
      <c r="F610" s="254"/>
      <c r="G610" s="236"/>
      <c r="H610" s="672"/>
      <c r="I610" s="672"/>
      <c r="J610" s="672"/>
      <c r="K610" s="672"/>
      <c r="L610" s="236"/>
      <c r="M610" s="254"/>
      <c r="N610" s="236"/>
      <c r="O610" s="288"/>
      <c r="P610" s="288"/>
      <c r="Q610" s="288"/>
      <c r="R610" s="288"/>
      <c r="S610" s="236"/>
      <c r="T610" s="254"/>
      <c r="U610" s="659"/>
      <c r="V610" s="659"/>
      <c r="W610" s="659"/>
      <c r="X610" s="659"/>
      <c r="Y610" s="659"/>
      <c r="Z610" s="659"/>
      <c r="AA610" s="659"/>
    </row>
    <row r="611" spans="1:27" outlineLevel="2">
      <c r="A611" s="659"/>
      <c r="B611" s="246"/>
      <c r="C611" s="246"/>
      <c r="D611" s="253"/>
      <c r="E611" s="236"/>
      <c r="F611" s="254"/>
      <c r="G611" s="236"/>
      <c r="H611" s="659"/>
      <c r="I611" s="659"/>
      <c r="J611" s="659"/>
      <c r="K611" s="659"/>
      <c r="L611" s="236"/>
      <c r="M611" s="254"/>
      <c r="N611" s="236"/>
      <c r="O611" s="686"/>
      <c r="P611" s="686"/>
      <c r="Q611" s="686"/>
      <c r="R611" s="686"/>
      <c r="S611" s="236"/>
      <c r="T611" s="254"/>
      <c r="U611" s="659"/>
      <c r="V611" s="659"/>
      <c r="W611" s="659"/>
      <c r="X611" s="659"/>
      <c r="Y611" s="659"/>
      <c r="Z611" s="659"/>
      <c r="AA611" s="659"/>
    </row>
    <row r="612" spans="1:27" outlineLevel="2">
      <c r="A612" s="659"/>
      <c r="B612" s="246"/>
      <c r="C612" s="666" t="s">
        <v>794</v>
      </c>
      <c r="D612" s="253" t="s">
        <v>976</v>
      </c>
      <c r="E612" s="236"/>
      <c r="F612" s="254"/>
      <c r="G612" s="236"/>
      <c r="H612" s="672"/>
      <c r="I612" s="672"/>
      <c r="J612" s="672"/>
      <c r="K612" s="672"/>
      <c r="L612" s="236"/>
      <c r="M612" s="254"/>
      <c r="N612" s="236"/>
      <c r="O612" s="288"/>
      <c r="P612" s="288"/>
      <c r="Q612" s="288"/>
      <c r="R612" s="288"/>
      <c r="S612" s="236"/>
      <c r="T612" s="254"/>
      <c r="U612" s="659"/>
      <c r="V612" s="659"/>
      <c r="W612" s="659"/>
      <c r="X612" s="659"/>
      <c r="Y612" s="659"/>
      <c r="Z612" s="659"/>
      <c r="AA612" s="659"/>
    </row>
    <row r="613" spans="1:27" outlineLevel="2">
      <c r="A613" s="659"/>
      <c r="B613" s="246"/>
      <c r="C613" s="246"/>
      <c r="D613" s="253"/>
      <c r="E613" s="236"/>
      <c r="F613" s="254"/>
      <c r="G613" s="236"/>
      <c r="H613" s="659"/>
      <c r="I613" s="659"/>
      <c r="J613" s="659"/>
      <c r="K613" s="659"/>
      <c r="L613" s="236"/>
      <c r="M613" s="254"/>
      <c r="N613" s="236"/>
      <c r="O613" s="663"/>
      <c r="P613" s="663"/>
      <c r="Q613" s="663"/>
      <c r="R613" s="663"/>
      <c r="S613" s="236"/>
      <c r="T613" s="254"/>
      <c r="U613" s="659"/>
      <c r="V613" s="659"/>
      <c r="W613" s="659"/>
      <c r="X613" s="659"/>
      <c r="Y613" s="659"/>
      <c r="Z613" s="659"/>
      <c r="AA613" s="659"/>
    </row>
    <row r="614" spans="1:27" ht="3" customHeight="1" outlineLevel="1">
      <c r="A614" s="659"/>
      <c r="B614" s="666"/>
      <c r="C614" s="666"/>
      <c r="D614" s="667"/>
      <c r="E614" s="236"/>
      <c r="F614" s="254"/>
      <c r="G614" s="236"/>
      <c r="H614" s="264"/>
      <c r="I614" s="264"/>
      <c r="J614" s="264"/>
      <c r="K614" s="264"/>
      <c r="L614" s="236"/>
      <c r="M614" s="254"/>
      <c r="N614" s="236"/>
      <c r="O614" s="352"/>
      <c r="P614" s="352"/>
      <c r="Q614" s="352"/>
      <c r="R614" s="352"/>
      <c r="S614" s="236"/>
      <c r="T614" s="254"/>
      <c r="U614" s="659"/>
      <c r="V614" s="659"/>
      <c r="W614" s="659"/>
      <c r="X614" s="659"/>
      <c r="Y614" s="659"/>
      <c r="Z614" s="659"/>
      <c r="AA614" s="659"/>
    </row>
    <row r="615" spans="1:27" s="238" customFormat="1" outlineLevel="1">
      <c r="B615" s="239" t="s">
        <v>536</v>
      </c>
      <c r="C615" s="239"/>
      <c r="D615" s="239"/>
      <c r="E615" s="236"/>
      <c r="F615" s="254"/>
      <c r="G615" s="236"/>
      <c r="H615" s="240">
        <f>COUNTA(H616:H621)</f>
        <v>0</v>
      </c>
      <c r="I615" s="240"/>
      <c r="J615" s="240"/>
      <c r="K615" s="240"/>
      <c r="L615" s="236"/>
      <c r="M615" s="254"/>
      <c r="N615" s="236"/>
      <c r="O615" s="265">
        <f>SUM(O616:O621)</f>
        <v>0</v>
      </c>
      <c r="P615" s="265"/>
      <c r="Q615" s="265"/>
      <c r="R615" s="265"/>
      <c r="S615" s="236"/>
      <c r="T615" s="254"/>
    </row>
    <row r="616" spans="1:27" s="337" customFormat="1" outlineLevel="2">
      <c r="A616" s="665"/>
      <c r="B616" s="233"/>
      <c r="C616" s="234" t="s">
        <v>536</v>
      </c>
      <c r="D616" s="235" t="s">
        <v>28</v>
      </c>
      <c r="E616" s="236"/>
      <c r="F616" s="254"/>
      <c r="G616" s="236"/>
      <c r="H616" s="287"/>
      <c r="I616" s="287"/>
      <c r="J616" s="287"/>
      <c r="K616" s="287"/>
      <c r="L616" s="236"/>
      <c r="M616" s="254"/>
      <c r="N616" s="236"/>
      <c r="O616" s="327"/>
      <c r="P616" s="327"/>
      <c r="Q616" s="327"/>
      <c r="R616" s="327"/>
      <c r="S616" s="236"/>
      <c r="T616" s="254"/>
      <c r="U616" s="659"/>
      <c r="V616" s="659"/>
      <c r="W616" s="659"/>
      <c r="X616" s="659"/>
      <c r="Y616" s="659"/>
      <c r="Z616" s="659"/>
      <c r="AA616" s="659"/>
    </row>
    <row r="617" spans="1:27" s="337" customFormat="1" outlineLevel="2">
      <c r="A617" s="665"/>
      <c r="B617" s="233"/>
      <c r="C617" s="234" t="s">
        <v>536</v>
      </c>
      <c r="D617" s="235" t="s">
        <v>28</v>
      </c>
      <c r="E617" s="236"/>
      <c r="F617" s="254"/>
      <c r="G617" s="236"/>
      <c r="H617" s="261"/>
      <c r="I617" s="261"/>
      <c r="J617" s="261"/>
      <c r="K617" s="261"/>
      <c r="L617" s="236"/>
      <c r="M617" s="254"/>
      <c r="N617" s="236"/>
      <c r="O617" s="288"/>
      <c r="P617" s="288"/>
      <c r="Q617" s="288"/>
      <c r="R617" s="288"/>
      <c r="S617" s="236"/>
      <c r="T617" s="254"/>
      <c r="U617" s="659"/>
      <c r="V617" s="659"/>
      <c r="W617" s="659"/>
      <c r="X617" s="659"/>
      <c r="Y617" s="659"/>
      <c r="Z617" s="659"/>
      <c r="AA617" s="659"/>
    </row>
    <row r="618" spans="1:27" outlineLevel="2">
      <c r="A618" s="665"/>
      <c r="B618" s="233"/>
      <c r="C618" s="234"/>
      <c r="D618" s="235"/>
      <c r="E618" s="236"/>
      <c r="F618" s="254"/>
      <c r="G618" s="236"/>
      <c r="H618" s="690"/>
      <c r="I618" s="690"/>
      <c r="J618" s="690"/>
      <c r="K618" s="690"/>
      <c r="L618" s="236"/>
      <c r="M618" s="254"/>
      <c r="N618" s="236"/>
      <c r="O618" s="689"/>
      <c r="P618" s="689"/>
      <c r="Q618" s="689"/>
      <c r="R618" s="689"/>
      <c r="S618" s="236"/>
      <c r="T618" s="254"/>
      <c r="U618" s="659"/>
      <c r="V618" s="659"/>
      <c r="W618" s="659"/>
      <c r="X618" s="659"/>
      <c r="Y618" s="659"/>
      <c r="Z618" s="659"/>
      <c r="AA618" s="659"/>
    </row>
    <row r="619" spans="1:27" outlineLevel="2">
      <c r="A619" s="665"/>
      <c r="B619" s="233"/>
      <c r="C619" s="234" t="s">
        <v>536</v>
      </c>
      <c r="D619" s="235" t="s">
        <v>976</v>
      </c>
      <c r="E619" s="236"/>
      <c r="F619" s="254"/>
      <c r="G619" s="236"/>
      <c r="H619" s="261"/>
      <c r="I619" s="261"/>
      <c r="J619" s="261"/>
      <c r="K619" s="261"/>
      <c r="L619" s="236"/>
      <c r="M619" s="254"/>
      <c r="N619" s="236"/>
      <c r="O619" s="288"/>
      <c r="P619" s="288"/>
      <c r="Q619" s="288"/>
      <c r="R619" s="288"/>
      <c r="S619" s="236"/>
      <c r="T619" s="254"/>
      <c r="U619" s="659"/>
      <c r="V619" s="659"/>
      <c r="W619" s="659"/>
      <c r="X619" s="659"/>
      <c r="Y619" s="659"/>
      <c r="Z619" s="659"/>
      <c r="AA619" s="659"/>
    </row>
    <row r="620" spans="1:27" outlineLevel="2">
      <c r="A620" s="665"/>
      <c r="B620" s="233"/>
      <c r="C620" s="234" t="s">
        <v>536</v>
      </c>
      <c r="D620" s="235" t="s">
        <v>976</v>
      </c>
      <c r="E620" s="236"/>
      <c r="F620" s="254"/>
      <c r="G620" s="236"/>
      <c r="H620" s="659"/>
      <c r="I620" s="659"/>
      <c r="J620" s="659"/>
      <c r="K620" s="659"/>
      <c r="L620" s="236"/>
      <c r="M620" s="254"/>
      <c r="N620" s="236"/>
      <c r="O620" s="686"/>
      <c r="P620" s="686"/>
      <c r="Q620" s="686"/>
      <c r="R620" s="686"/>
      <c r="S620" s="236"/>
      <c r="T620" s="254"/>
      <c r="U620" s="659"/>
      <c r="V620" s="659"/>
      <c r="W620" s="659"/>
      <c r="X620" s="659"/>
      <c r="Y620" s="659"/>
      <c r="Z620" s="659"/>
      <c r="AA620" s="659"/>
    </row>
    <row r="621" spans="1:27" outlineLevel="2">
      <c r="A621" s="665"/>
      <c r="B621" s="233"/>
      <c r="C621" s="234"/>
      <c r="D621" s="235"/>
      <c r="E621" s="236"/>
      <c r="F621" s="254"/>
      <c r="G621" s="236"/>
      <c r="H621" s="690"/>
      <c r="I621" s="690"/>
      <c r="J621" s="690"/>
      <c r="K621" s="690"/>
      <c r="L621" s="236"/>
      <c r="M621" s="254"/>
      <c r="N621" s="236"/>
      <c r="O621" s="689"/>
      <c r="P621" s="689"/>
      <c r="Q621" s="689"/>
      <c r="R621" s="689"/>
      <c r="S621" s="236"/>
      <c r="T621" s="254"/>
      <c r="U621" s="659"/>
      <c r="V621" s="659"/>
      <c r="W621" s="659"/>
      <c r="X621" s="659"/>
      <c r="Y621" s="659"/>
      <c r="Z621" s="659"/>
      <c r="AA621" s="659"/>
    </row>
    <row r="622" spans="1:27" ht="3" customHeight="1" outlineLevel="1">
      <c r="A622" s="665"/>
      <c r="B622" s="233"/>
      <c r="C622" s="234"/>
      <c r="D622" s="235"/>
      <c r="E622" s="236"/>
      <c r="F622" s="254"/>
      <c r="G622" s="236"/>
      <c r="H622" s="706"/>
      <c r="I622" s="706"/>
      <c r="J622" s="706"/>
      <c r="K622" s="706"/>
      <c r="L622" s="236"/>
      <c r="M622" s="254"/>
      <c r="N622" s="236"/>
      <c r="O622" s="700"/>
      <c r="P622" s="700"/>
      <c r="Q622" s="700"/>
      <c r="R622" s="700"/>
      <c r="S622" s="236"/>
      <c r="T622" s="254"/>
      <c r="U622" s="659"/>
      <c r="V622" s="659"/>
      <c r="W622" s="659"/>
      <c r="X622" s="659"/>
      <c r="Y622" s="659"/>
      <c r="Z622" s="659"/>
      <c r="AA622" s="659"/>
    </row>
    <row r="623" spans="1:27" s="238" customFormat="1" outlineLevel="1">
      <c r="B623" s="239" t="s">
        <v>837</v>
      </c>
      <c r="C623" s="239"/>
      <c r="D623" s="239"/>
      <c r="E623" s="236"/>
      <c r="F623" s="254"/>
      <c r="G623" s="236"/>
      <c r="H623" s="240">
        <f>COUNTA(H624:H631)</f>
        <v>5</v>
      </c>
      <c r="I623" s="240"/>
      <c r="J623" s="240"/>
      <c r="K623" s="240"/>
      <c r="L623" s="236"/>
      <c r="M623" s="254"/>
      <c r="N623" s="236"/>
      <c r="O623" s="265">
        <f>SUM(O624:P631)</f>
        <v>0.59609482549255288</v>
      </c>
      <c r="P623" s="265"/>
      <c r="Q623" s="265"/>
      <c r="R623" s="265"/>
      <c r="S623" s="236"/>
      <c r="T623" s="254"/>
    </row>
    <row r="624" spans="1:27" outlineLevel="2">
      <c r="A624" s="665"/>
      <c r="B624" s="233"/>
      <c r="C624" s="234"/>
      <c r="D624" s="235"/>
      <c r="E624" s="236"/>
      <c r="F624" s="254"/>
      <c r="G624" s="236"/>
      <c r="H624" s="287"/>
      <c r="I624" s="287"/>
      <c r="J624" s="287"/>
      <c r="K624" s="287"/>
      <c r="L624" s="236"/>
      <c r="M624" s="254"/>
      <c r="N624" s="236"/>
      <c r="O624" s="327"/>
      <c r="P624" s="327"/>
      <c r="Q624" s="327"/>
      <c r="R624" s="327"/>
      <c r="S624" s="236"/>
      <c r="T624" s="254"/>
      <c r="U624" s="659"/>
      <c r="V624" s="659"/>
      <c r="W624" s="659"/>
      <c r="X624" s="659"/>
      <c r="Y624" s="659"/>
      <c r="Z624" s="659"/>
      <c r="AA624" s="659"/>
    </row>
    <row r="625" spans="1:27" s="337" customFormat="1" outlineLevel="2">
      <c r="A625" s="665"/>
      <c r="B625" s="233"/>
      <c r="C625" s="234" t="s">
        <v>837</v>
      </c>
      <c r="D625" s="235" t="s">
        <v>28</v>
      </c>
      <c r="E625" s="236"/>
      <c r="F625" s="254"/>
      <c r="G625" s="236"/>
      <c r="H625" s="287" t="s">
        <v>32</v>
      </c>
      <c r="I625" s="287"/>
      <c r="J625" s="287"/>
      <c r="K625" s="287"/>
      <c r="L625" s="236"/>
      <c r="M625" s="254"/>
      <c r="N625" s="236"/>
      <c r="O625" s="327">
        <v>0.1343568139141843</v>
      </c>
      <c r="P625" s="327"/>
      <c r="Q625" s="327"/>
      <c r="R625" s="327"/>
      <c r="S625" s="236"/>
      <c r="T625" s="254"/>
      <c r="U625" s="659"/>
      <c r="V625" s="659"/>
      <c r="W625" s="659"/>
      <c r="X625" s="659"/>
      <c r="Y625" s="659"/>
      <c r="Z625" s="659"/>
      <c r="AA625" s="659"/>
    </row>
    <row r="626" spans="1:27" s="337" customFormat="1" outlineLevel="2">
      <c r="A626" s="665"/>
      <c r="B626" s="233"/>
      <c r="C626" s="234" t="s">
        <v>837</v>
      </c>
      <c r="D626" s="235" t="s">
        <v>28</v>
      </c>
      <c r="E626" s="236"/>
      <c r="F626" s="254"/>
      <c r="G626" s="236"/>
      <c r="H626" s="287" t="s">
        <v>33</v>
      </c>
      <c r="I626" s="287"/>
      <c r="J626" s="287"/>
      <c r="K626" s="287"/>
      <c r="L626" s="236"/>
      <c r="M626" s="254"/>
      <c r="N626" s="236"/>
      <c r="O626" s="327">
        <v>6.7178406957092152E-2</v>
      </c>
      <c r="P626" s="327"/>
      <c r="Q626" s="327"/>
      <c r="R626" s="327"/>
      <c r="S626" s="236"/>
      <c r="T626" s="254"/>
      <c r="U626" s="659"/>
      <c r="V626" s="659"/>
      <c r="W626" s="659"/>
      <c r="X626" s="659"/>
      <c r="Y626" s="659"/>
      <c r="Z626" s="659"/>
      <c r="AA626" s="659"/>
    </row>
    <row r="627" spans="1:27" s="337" customFormat="1" outlineLevel="2">
      <c r="A627" s="665"/>
      <c r="B627" s="233"/>
      <c r="C627" s="234" t="s">
        <v>837</v>
      </c>
      <c r="D627" s="235" t="s">
        <v>28</v>
      </c>
      <c r="E627" s="236"/>
      <c r="F627" s="254"/>
      <c r="G627" s="236"/>
      <c r="H627" s="287" t="s">
        <v>34</v>
      </c>
      <c r="I627" s="287"/>
      <c r="J627" s="287"/>
      <c r="K627" s="287"/>
      <c r="L627" s="236"/>
      <c r="M627" s="254"/>
      <c r="N627" s="236"/>
      <c r="O627" s="327">
        <v>0.1343568139141843</v>
      </c>
      <c r="P627" s="327"/>
      <c r="Q627" s="327"/>
      <c r="R627" s="327"/>
      <c r="S627" s="236"/>
      <c r="T627" s="254"/>
      <c r="U627" s="659"/>
      <c r="V627" s="659"/>
      <c r="W627" s="659"/>
      <c r="X627" s="659"/>
      <c r="Y627" s="659"/>
      <c r="Z627" s="659"/>
      <c r="AA627" s="659"/>
    </row>
    <row r="628" spans="1:27" s="337" customFormat="1" outlineLevel="2">
      <c r="A628" s="665"/>
      <c r="B628" s="233"/>
      <c r="C628" s="234" t="s">
        <v>837</v>
      </c>
      <c r="D628" s="235" t="s">
        <v>28</v>
      </c>
      <c r="E628" s="236"/>
      <c r="F628" s="254"/>
      <c r="G628" s="236"/>
      <c r="H628" s="287" t="s">
        <v>197</v>
      </c>
      <c r="I628" s="287"/>
      <c r="J628" s="287"/>
      <c r="K628" s="287"/>
      <c r="L628" s="236"/>
      <c r="M628" s="254"/>
      <c r="N628" s="236"/>
      <c r="O628" s="327">
        <v>6.7178406957092152E-2</v>
      </c>
      <c r="P628" s="327"/>
      <c r="Q628" s="327"/>
      <c r="R628" s="327"/>
      <c r="S628" s="236"/>
      <c r="T628" s="254"/>
      <c r="U628" s="659"/>
      <c r="V628" s="659"/>
      <c r="W628" s="659"/>
      <c r="X628" s="659"/>
      <c r="Y628" s="659"/>
      <c r="Z628" s="659"/>
      <c r="AA628" s="659"/>
    </row>
    <row r="629" spans="1:27" outlineLevel="2">
      <c r="A629" s="665"/>
      <c r="B629" s="233"/>
      <c r="C629" s="234"/>
      <c r="D629" s="235"/>
      <c r="E629" s="236"/>
      <c r="F629" s="254"/>
      <c r="G629" s="236"/>
      <c r="H629" s="261"/>
      <c r="I629" s="261"/>
      <c r="J629" s="261"/>
      <c r="K629" s="261"/>
      <c r="L629" s="236"/>
      <c r="M629" s="254"/>
      <c r="N629" s="236"/>
      <c r="O629" s="288"/>
      <c r="P629" s="288"/>
      <c r="Q629" s="288"/>
      <c r="R629" s="288"/>
      <c r="S629" s="236"/>
      <c r="T629" s="254"/>
      <c r="U629" s="659"/>
      <c r="V629" s="659"/>
      <c r="W629" s="659"/>
      <c r="X629" s="659"/>
      <c r="Y629" s="659"/>
      <c r="Z629" s="659"/>
      <c r="AA629" s="659"/>
    </row>
    <row r="630" spans="1:27" outlineLevel="2">
      <c r="A630" s="665"/>
      <c r="B630" s="233"/>
      <c r="C630" s="234" t="s">
        <v>837</v>
      </c>
      <c r="D630" s="235" t="s">
        <v>976</v>
      </c>
      <c r="E630" s="236"/>
      <c r="F630" s="254"/>
      <c r="G630" s="236"/>
      <c r="H630" s="287" t="s">
        <v>32</v>
      </c>
      <c r="I630" s="287"/>
      <c r="J630" s="287"/>
      <c r="K630" s="287"/>
      <c r="L630" s="236"/>
      <c r="M630" s="254"/>
      <c r="N630" s="236"/>
      <c r="O630" s="327">
        <v>0.19302438375</v>
      </c>
      <c r="P630" s="327"/>
      <c r="Q630" s="327"/>
      <c r="R630" s="327"/>
      <c r="S630" s="236"/>
      <c r="T630" s="254"/>
      <c r="U630" s="659"/>
      <c r="V630" s="659"/>
      <c r="W630" s="659"/>
      <c r="X630" s="659"/>
      <c r="Y630" s="659"/>
      <c r="Z630" s="659"/>
      <c r="AA630" s="659"/>
    </row>
    <row r="631" spans="1:27" outlineLevel="2">
      <c r="A631" s="665"/>
      <c r="B631" s="233"/>
      <c r="C631" s="234"/>
      <c r="D631" s="235"/>
      <c r="E631" s="236"/>
      <c r="F631" s="254"/>
      <c r="G631" s="236"/>
      <c r="H631" s="659"/>
      <c r="I631" s="659"/>
      <c r="J631" s="659"/>
      <c r="K631" s="659"/>
      <c r="L631" s="236"/>
      <c r="M631" s="254"/>
      <c r="N631" s="236"/>
      <c r="O631" s="686"/>
      <c r="P631" s="686"/>
      <c r="Q631" s="686"/>
      <c r="R631" s="686"/>
      <c r="S631" s="236"/>
      <c r="T631" s="254"/>
      <c r="U631" s="659"/>
      <c r="V631" s="659"/>
      <c r="W631" s="659"/>
      <c r="X631" s="659"/>
      <c r="Y631" s="659"/>
      <c r="Z631" s="659"/>
      <c r="AA631" s="659"/>
    </row>
    <row r="632" spans="1:27" ht="3" customHeight="1" outlineLevel="1">
      <c r="A632" s="659"/>
      <c r="B632" s="246"/>
      <c r="C632" s="246"/>
      <c r="D632" s="253"/>
      <c r="E632" s="236"/>
      <c r="F632" s="254"/>
      <c r="G632" s="236"/>
      <c r="H632" s="670"/>
      <c r="I632" s="670"/>
      <c r="J632" s="670"/>
      <c r="K632" s="670"/>
      <c r="L632" s="236"/>
      <c r="M632" s="254"/>
      <c r="N632" s="236"/>
      <c r="O632" s="671"/>
      <c r="P632" s="671"/>
      <c r="Q632" s="671"/>
      <c r="R632" s="671"/>
      <c r="S632" s="236"/>
      <c r="T632" s="254"/>
      <c r="U632" s="659"/>
      <c r="V632" s="659"/>
      <c r="W632" s="659"/>
      <c r="X632" s="659"/>
      <c r="Y632" s="659"/>
      <c r="Z632" s="659"/>
      <c r="AA632" s="659"/>
    </row>
    <row r="633" spans="1:27" s="238" customFormat="1" outlineLevel="1">
      <c r="B633" s="239" t="s">
        <v>786</v>
      </c>
      <c r="C633" s="239"/>
      <c r="D633" s="239"/>
      <c r="E633" s="236"/>
      <c r="F633" s="254"/>
      <c r="G633" s="236"/>
      <c r="H633" s="240">
        <f>COUNTA(H634:H640)</f>
        <v>1</v>
      </c>
      <c r="I633" s="240"/>
      <c r="J633" s="240"/>
      <c r="K633" s="240"/>
      <c r="L633" s="236"/>
      <c r="M633" s="254"/>
      <c r="N633" s="236"/>
      <c r="O633" s="265">
        <f>SUM(O634:O640)</f>
        <v>7.4218848599999998E-2</v>
      </c>
      <c r="P633" s="265"/>
      <c r="Q633" s="265"/>
      <c r="R633" s="265"/>
      <c r="S633" s="241"/>
      <c r="T633" s="254"/>
      <c r="U633" s="659"/>
    </row>
    <row r="634" spans="1:27" outlineLevel="2">
      <c r="A634" s="659"/>
      <c r="B634" s="242"/>
      <c r="C634" s="666" t="s">
        <v>787</v>
      </c>
      <c r="D634" s="667" t="s">
        <v>28</v>
      </c>
      <c r="E634" s="236"/>
      <c r="F634" s="254"/>
      <c r="G634" s="236"/>
      <c r="H634" s="667" t="s">
        <v>97</v>
      </c>
      <c r="I634" s="667"/>
      <c r="J634" s="667"/>
      <c r="K634" s="667"/>
      <c r="L634" s="236"/>
      <c r="M634" s="254"/>
      <c r="N634" s="236"/>
      <c r="O634" s="663">
        <v>7.4218848599999998E-2</v>
      </c>
      <c r="P634" s="663"/>
      <c r="Q634" s="663"/>
      <c r="R634" s="663"/>
      <c r="S634" s="236"/>
      <c r="T634" s="254"/>
      <c r="U634" s="659"/>
      <c r="V634" s="659"/>
      <c r="W634" s="659"/>
      <c r="X634" s="659"/>
      <c r="Y634" s="659"/>
      <c r="Z634" s="659"/>
      <c r="AA634" s="659"/>
    </row>
    <row r="635" spans="1:27" outlineLevel="2">
      <c r="A635" s="659"/>
      <c r="B635" s="242"/>
      <c r="C635" s="666" t="s">
        <v>791</v>
      </c>
      <c r="D635" s="667" t="s">
        <v>28</v>
      </c>
      <c r="E635" s="236"/>
      <c r="F635" s="254"/>
      <c r="G635" s="236"/>
      <c r="H635" s="667"/>
      <c r="I635" s="667"/>
      <c r="J635" s="667"/>
      <c r="K635" s="667"/>
      <c r="L635" s="236"/>
      <c r="M635" s="254"/>
      <c r="N635" s="236"/>
      <c r="O635" s="663"/>
      <c r="P635" s="663"/>
      <c r="Q635" s="663"/>
      <c r="R635" s="663"/>
      <c r="S635" s="236"/>
      <c r="T635" s="254"/>
      <c r="U635" s="659"/>
      <c r="V635" s="659"/>
      <c r="W635" s="659"/>
      <c r="X635" s="659"/>
      <c r="Y635" s="659"/>
      <c r="Z635" s="659"/>
      <c r="AA635" s="659"/>
    </row>
    <row r="636" spans="1:27" outlineLevel="2">
      <c r="A636" s="659"/>
      <c r="B636" s="242"/>
      <c r="C636" s="666" t="s">
        <v>791</v>
      </c>
      <c r="D636" s="667" t="s">
        <v>28</v>
      </c>
      <c r="E636" s="236"/>
      <c r="F636" s="254"/>
      <c r="G636" s="236"/>
      <c r="H636" s="667"/>
      <c r="I636" s="667"/>
      <c r="J636" s="667"/>
      <c r="K636" s="667"/>
      <c r="L636" s="236"/>
      <c r="M636" s="254"/>
      <c r="N636" s="236"/>
      <c r="O636" s="663"/>
      <c r="P636" s="663"/>
      <c r="Q636" s="663"/>
      <c r="R636" s="663"/>
      <c r="S636" s="236"/>
      <c r="T636" s="254"/>
      <c r="U636" s="659"/>
      <c r="V636" s="659"/>
      <c r="W636" s="659"/>
      <c r="X636" s="659"/>
      <c r="Y636" s="659"/>
      <c r="Z636" s="659"/>
      <c r="AA636" s="659"/>
    </row>
    <row r="637" spans="1:27" outlineLevel="2">
      <c r="A637" s="659"/>
      <c r="B637" s="242"/>
      <c r="C637" s="666"/>
      <c r="D637" s="667"/>
      <c r="E637" s="236"/>
      <c r="F637" s="254"/>
      <c r="G637" s="236"/>
      <c r="H637" s="667"/>
      <c r="I637" s="667"/>
      <c r="J637" s="667"/>
      <c r="K637" s="667"/>
      <c r="L637" s="236"/>
      <c r="M637" s="254"/>
      <c r="N637" s="236"/>
      <c r="O637" s="663"/>
      <c r="P637" s="663"/>
      <c r="Q637" s="663"/>
      <c r="R637" s="663"/>
      <c r="S637" s="236"/>
      <c r="T637" s="254"/>
      <c r="U637" s="659"/>
      <c r="V637" s="659"/>
      <c r="W637" s="659"/>
      <c r="X637" s="659"/>
      <c r="Y637" s="659"/>
      <c r="Z637" s="659"/>
      <c r="AA637" s="659"/>
    </row>
    <row r="638" spans="1:27" outlineLevel="2">
      <c r="A638" s="659"/>
      <c r="B638" s="242"/>
      <c r="C638" s="666" t="s">
        <v>791</v>
      </c>
      <c r="D638" s="667" t="s">
        <v>976</v>
      </c>
      <c r="E638" s="236"/>
      <c r="F638" s="254"/>
      <c r="G638" s="236"/>
      <c r="H638" s="667"/>
      <c r="I638" s="667"/>
      <c r="J638" s="667"/>
      <c r="K638" s="667"/>
      <c r="L638" s="236"/>
      <c r="M638" s="254"/>
      <c r="N638" s="236"/>
      <c r="O638" s="676"/>
      <c r="P638" s="676"/>
      <c r="Q638" s="676"/>
      <c r="R638" s="676"/>
      <c r="S638" s="236"/>
      <c r="T638" s="254"/>
      <c r="U638" s="659"/>
      <c r="V638" s="659"/>
      <c r="W638" s="659"/>
      <c r="X638" s="659"/>
      <c r="Y638" s="659"/>
      <c r="Z638" s="659"/>
      <c r="AA638" s="659"/>
    </row>
    <row r="639" spans="1:27" outlineLevel="2">
      <c r="A639" s="659"/>
      <c r="B639" s="242"/>
      <c r="C639" s="666" t="s">
        <v>791</v>
      </c>
      <c r="D639" s="667" t="s">
        <v>976</v>
      </c>
      <c r="E639" s="236"/>
      <c r="F639" s="254"/>
      <c r="G639" s="236"/>
      <c r="H639" s="667"/>
      <c r="I639" s="667"/>
      <c r="J639" s="667"/>
      <c r="K639" s="667"/>
      <c r="L639" s="236"/>
      <c r="M639" s="254"/>
      <c r="N639" s="236"/>
      <c r="O639" s="676"/>
      <c r="P639" s="676"/>
      <c r="Q639" s="676"/>
      <c r="R639" s="676"/>
      <c r="S639" s="236"/>
      <c r="T639" s="254"/>
      <c r="U639" s="659"/>
      <c r="V639" s="659"/>
      <c r="W639" s="659"/>
      <c r="X639" s="659"/>
      <c r="Y639" s="659"/>
      <c r="Z639" s="659"/>
      <c r="AA639" s="659"/>
    </row>
    <row r="640" spans="1:27" outlineLevel="2">
      <c r="A640" s="659"/>
      <c r="B640" s="242"/>
      <c r="C640" s="666" t="s">
        <v>791</v>
      </c>
      <c r="D640" s="667" t="s">
        <v>976</v>
      </c>
      <c r="E640" s="236"/>
      <c r="F640" s="254"/>
      <c r="G640" s="236"/>
      <c r="H640" s="667"/>
      <c r="I640" s="667"/>
      <c r="J640" s="667"/>
      <c r="K640" s="667"/>
      <c r="L640" s="236"/>
      <c r="M640" s="254"/>
      <c r="N640" s="236"/>
      <c r="O640" s="676"/>
      <c r="P640" s="676"/>
      <c r="Q640" s="676"/>
      <c r="R640" s="676"/>
      <c r="S640" s="236"/>
      <c r="T640" s="254"/>
      <c r="U640" s="659"/>
      <c r="V640" s="659"/>
      <c r="W640" s="659"/>
      <c r="X640" s="659"/>
      <c r="Y640" s="659"/>
      <c r="Z640" s="659"/>
      <c r="AA640" s="659"/>
    </row>
    <row r="641" spans="1:20" ht="3" customHeight="1" outlineLevel="1">
      <c r="A641" s="659"/>
      <c r="B641" s="666"/>
      <c r="C641" s="666"/>
      <c r="D641" s="667"/>
      <c r="E641" s="236"/>
      <c r="F641" s="254"/>
      <c r="G641" s="236"/>
      <c r="H641" s="264"/>
      <c r="I641" s="264"/>
      <c r="J641" s="264"/>
      <c r="K641" s="264"/>
      <c r="L641" s="236"/>
      <c r="M641" s="254"/>
      <c r="N641" s="236"/>
      <c r="O641" s="352"/>
      <c r="P641" s="352"/>
      <c r="Q641" s="352"/>
      <c r="R641" s="352"/>
      <c r="S641" s="236"/>
      <c r="T641" s="254"/>
    </row>
    <row r="642" spans="1:20" s="238" customFormat="1" outlineLevel="1">
      <c r="B642" s="239" t="s">
        <v>905</v>
      </c>
      <c r="C642" s="239"/>
      <c r="D642" s="239"/>
      <c r="E642" s="236"/>
      <c r="F642" s="254"/>
      <c r="G642" s="236"/>
      <c r="H642" s="240">
        <f>COUNTA(H643:H655)</f>
        <v>0</v>
      </c>
      <c r="I642" s="240"/>
      <c r="J642" s="240"/>
      <c r="K642" s="240"/>
      <c r="L642" s="236"/>
      <c r="M642" s="254"/>
      <c r="N642" s="236"/>
      <c r="O642" s="265">
        <f>SUM(O649:O650)</f>
        <v>0</v>
      </c>
      <c r="P642" s="265"/>
      <c r="Q642" s="265"/>
      <c r="R642" s="265"/>
      <c r="S642" s="236"/>
      <c r="T642" s="254"/>
    </row>
    <row r="643" spans="1:20" outlineLevel="2">
      <c r="A643" s="665"/>
      <c r="B643" s="233"/>
      <c r="C643" s="666"/>
      <c r="D643" s="667"/>
      <c r="E643" s="236"/>
      <c r="F643" s="254"/>
      <c r="G643" s="236"/>
      <c r="H643" s="690"/>
      <c r="I643" s="690"/>
      <c r="J643" s="690"/>
      <c r="K643" s="690"/>
      <c r="L643" s="236"/>
      <c r="M643" s="254"/>
      <c r="N643" s="236"/>
      <c r="O643" s="689"/>
      <c r="P643" s="689"/>
      <c r="Q643" s="689"/>
      <c r="R643" s="689"/>
      <c r="S643" s="236"/>
      <c r="T643" s="254"/>
    </row>
    <row r="644" spans="1:20" outlineLevel="2">
      <c r="A644" s="665"/>
      <c r="B644" s="233"/>
      <c r="C644" s="666"/>
      <c r="D644" s="667"/>
      <c r="E644" s="236"/>
      <c r="F644" s="254"/>
      <c r="G644" s="236"/>
      <c r="H644" s="690"/>
      <c r="I644" s="690"/>
      <c r="J644" s="690"/>
      <c r="K644" s="690"/>
      <c r="L644" s="236"/>
      <c r="M644" s="254"/>
      <c r="N644" s="236"/>
      <c r="O644" s="689"/>
      <c r="P644" s="689"/>
      <c r="Q644" s="689"/>
      <c r="R644" s="689"/>
      <c r="S644" s="236"/>
      <c r="T644" s="254"/>
    </row>
    <row r="645" spans="1:20" outlineLevel="2">
      <c r="A645" s="665"/>
      <c r="B645" s="233"/>
      <c r="C645" s="666"/>
      <c r="D645" s="667"/>
      <c r="E645" s="236"/>
      <c r="F645" s="254"/>
      <c r="G645" s="236"/>
      <c r="H645" s="690"/>
      <c r="I645" s="690"/>
      <c r="J645" s="690"/>
      <c r="K645" s="690"/>
      <c r="L645" s="236"/>
      <c r="M645" s="254"/>
      <c r="N645" s="236"/>
      <c r="O645" s="689"/>
      <c r="P645" s="689"/>
      <c r="Q645" s="689"/>
      <c r="R645" s="689"/>
      <c r="S645" s="236"/>
      <c r="T645" s="254"/>
    </row>
    <row r="646" spans="1:20" outlineLevel="2">
      <c r="A646" s="665"/>
      <c r="B646" s="233"/>
      <c r="C646" s="666"/>
      <c r="D646" s="667"/>
      <c r="E646" s="236"/>
      <c r="F646" s="254"/>
      <c r="G646" s="236"/>
      <c r="H646" s="690"/>
      <c r="I646" s="690"/>
      <c r="J646" s="690"/>
      <c r="K646" s="690"/>
      <c r="L646" s="236"/>
      <c r="M646" s="254"/>
      <c r="N646" s="236"/>
      <c r="O646" s="689"/>
      <c r="P646" s="689"/>
      <c r="Q646" s="689"/>
      <c r="R646" s="689"/>
      <c r="S646" s="236"/>
      <c r="T646" s="254"/>
    </row>
    <row r="647" spans="1:20" outlineLevel="2">
      <c r="A647" s="665"/>
      <c r="B647" s="233"/>
      <c r="C647" s="666"/>
      <c r="D647" s="667"/>
      <c r="E647" s="236"/>
      <c r="F647" s="254"/>
      <c r="G647" s="236"/>
      <c r="H647" s="690"/>
      <c r="I647" s="690"/>
      <c r="J647" s="690"/>
      <c r="K647" s="690"/>
      <c r="L647" s="236"/>
      <c r="M647" s="254"/>
      <c r="N647" s="236"/>
      <c r="O647" s="689"/>
      <c r="P647" s="689"/>
      <c r="Q647" s="689"/>
      <c r="R647" s="689"/>
      <c r="S647" s="236"/>
      <c r="T647" s="254"/>
    </row>
    <row r="648" spans="1:20" outlineLevel="2">
      <c r="A648" s="665"/>
      <c r="B648" s="233"/>
      <c r="C648" s="666"/>
      <c r="D648" s="667"/>
      <c r="E648" s="236"/>
      <c r="F648" s="254"/>
      <c r="G648" s="236"/>
      <c r="H648" s="690"/>
      <c r="I648" s="690"/>
      <c r="J648" s="690"/>
      <c r="K648" s="690"/>
      <c r="L648" s="236"/>
      <c r="M648" s="254"/>
      <c r="N648" s="236"/>
      <c r="O648" s="689"/>
      <c r="P648" s="689"/>
      <c r="Q648" s="689"/>
      <c r="R648" s="689"/>
      <c r="S648" s="236"/>
      <c r="T648" s="254"/>
    </row>
    <row r="649" spans="1:20" outlineLevel="2">
      <c r="A649" s="665"/>
      <c r="B649" s="233"/>
      <c r="C649" s="666"/>
      <c r="D649" s="667"/>
      <c r="E649" s="236"/>
      <c r="F649" s="254"/>
      <c r="G649" s="236"/>
      <c r="H649" s="690"/>
      <c r="I649" s="690"/>
      <c r="J649" s="690"/>
      <c r="K649" s="690"/>
      <c r="L649" s="236"/>
      <c r="M649" s="254"/>
      <c r="N649" s="236"/>
      <c r="O649" s="689"/>
      <c r="P649" s="689"/>
      <c r="Q649" s="689"/>
      <c r="R649" s="689"/>
      <c r="S649" s="236"/>
      <c r="T649" s="254"/>
    </row>
    <row r="650" spans="1:20" outlineLevel="2">
      <c r="A650" s="665"/>
      <c r="B650" s="233"/>
      <c r="C650" s="666"/>
      <c r="D650" s="667"/>
      <c r="E650" s="236"/>
      <c r="F650" s="254"/>
      <c r="G650" s="236"/>
      <c r="H650" s="690"/>
      <c r="I650" s="690"/>
      <c r="J650" s="690"/>
      <c r="K650" s="690"/>
      <c r="L650" s="236"/>
      <c r="M650" s="254"/>
      <c r="N650" s="236"/>
      <c r="O650" s="689"/>
      <c r="P650" s="689"/>
      <c r="Q650" s="689"/>
      <c r="R650" s="689"/>
      <c r="S650" s="236"/>
      <c r="T650" s="254"/>
    </row>
    <row r="651" spans="1:20" outlineLevel="2">
      <c r="A651" s="665"/>
      <c r="B651" s="233"/>
      <c r="C651" s="666"/>
      <c r="D651" s="667"/>
      <c r="E651" s="236"/>
      <c r="F651" s="254"/>
      <c r="G651" s="236"/>
      <c r="H651" s="690"/>
      <c r="I651" s="690"/>
      <c r="J651" s="690"/>
      <c r="K651" s="690"/>
      <c r="L651" s="236"/>
      <c r="M651" s="254"/>
      <c r="N651" s="236"/>
      <c r="O651" s="689"/>
      <c r="P651" s="689"/>
      <c r="Q651" s="689"/>
      <c r="R651" s="689"/>
      <c r="S651" s="236"/>
      <c r="T651" s="254"/>
    </row>
    <row r="652" spans="1:20" s="258" customFormat="1" outlineLevel="2">
      <c r="A652" s="707"/>
      <c r="B652" s="233"/>
      <c r="C652" s="666"/>
      <c r="D652" s="667"/>
      <c r="E652" s="275"/>
      <c r="F652" s="276"/>
      <c r="G652" s="275"/>
      <c r="H652" s="677"/>
      <c r="I652" s="677"/>
      <c r="J652" s="677"/>
      <c r="K652" s="677"/>
      <c r="L652" s="275"/>
      <c r="M652" s="276"/>
      <c r="N652" s="275"/>
      <c r="O652" s="708"/>
      <c r="P652" s="708"/>
      <c r="Q652" s="708"/>
      <c r="R652" s="708"/>
      <c r="S652" s="275"/>
      <c r="T652" s="276"/>
    </row>
    <row r="653" spans="1:20" s="258" customFormat="1" outlineLevel="2">
      <c r="A653" s="707"/>
      <c r="B653" s="233"/>
      <c r="C653" s="666"/>
      <c r="D653" s="667"/>
      <c r="E653" s="275"/>
      <c r="F653" s="276"/>
      <c r="G653" s="275"/>
      <c r="H653" s="677"/>
      <c r="I653" s="677"/>
      <c r="J653" s="677"/>
      <c r="K653" s="677"/>
      <c r="L653" s="275"/>
      <c r="M653" s="276"/>
      <c r="N653" s="275"/>
      <c r="O653" s="708"/>
      <c r="P653" s="708"/>
      <c r="Q653" s="708"/>
      <c r="R653" s="708"/>
      <c r="S653" s="275"/>
      <c r="T653" s="276"/>
    </row>
    <row r="654" spans="1:20" s="258" customFormat="1" outlineLevel="2">
      <c r="A654" s="707"/>
      <c r="B654" s="233"/>
      <c r="C654" s="666"/>
      <c r="D654" s="667"/>
      <c r="E654" s="275"/>
      <c r="F654" s="276"/>
      <c r="G654" s="275"/>
      <c r="H654" s="677"/>
      <c r="I654" s="677"/>
      <c r="J654" s="677"/>
      <c r="K654" s="677"/>
      <c r="L654" s="275"/>
      <c r="M654" s="276"/>
      <c r="N654" s="275"/>
      <c r="O654" s="708"/>
      <c r="P654" s="708"/>
      <c r="Q654" s="708"/>
      <c r="R654" s="708"/>
      <c r="S654" s="275"/>
      <c r="T654" s="276"/>
    </row>
    <row r="655" spans="1:20" s="258" customFormat="1" outlineLevel="2">
      <c r="A655" s="707"/>
      <c r="B655" s="233"/>
      <c r="C655" s="666"/>
      <c r="D655" s="667"/>
      <c r="E655" s="275"/>
      <c r="F655" s="276"/>
      <c r="G655" s="275"/>
      <c r="H655" s="677"/>
      <c r="I655" s="677"/>
      <c r="J655" s="677"/>
      <c r="K655" s="677"/>
      <c r="L655" s="275"/>
      <c r="M655" s="276"/>
      <c r="N655" s="275"/>
      <c r="O655" s="708"/>
      <c r="P655" s="708"/>
      <c r="Q655" s="708"/>
      <c r="R655" s="708"/>
      <c r="S655" s="275"/>
      <c r="T655" s="276"/>
    </row>
    <row r="656" spans="1:20" ht="3" customHeight="1" outlineLevel="1">
      <c r="A656" s="659"/>
      <c r="B656" s="666"/>
      <c r="C656" s="666"/>
      <c r="D656" s="666"/>
      <c r="E656" s="236"/>
      <c r="F656" s="254"/>
      <c r="G656" s="236"/>
      <c r="H656" s="670"/>
      <c r="I656" s="670"/>
      <c r="J656" s="670"/>
      <c r="K656" s="670"/>
      <c r="L656" s="236"/>
      <c r="M656" s="254"/>
      <c r="N656" s="236"/>
      <c r="O656" s="671"/>
      <c r="P656" s="671"/>
      <c r="Q656" s="671"/>
      <c r="R656" s="671"/>
      <c r="S656" s="236"/>
      <c r="T656" s="254"/>
    </row>
    <row r="657" spans="1:20" s="238" customFormat="1" outlineLevel="1">
      <c r="B657" s="239" t="s">
        <v>516</v>
      </c>
      <c r="C657" s="239"/>
      <c r="D657" s="239"/>
      <c r="E657" s="236"/>
      <c r="F657" s="254"/>
      <c r="G657" s="236"/>
      <c r="H657" s="240">
        <f t="shared" ref="H657" si="6">COUNTA(H658:H663)</f>
        <v>3</v>
      </c>
      <c r="I657" s="240"/>
      <c r="J657" s="240"/>
      <c r="K657" s="240"/>
      <c r="L657" s="236"/>
      <c r="M657" s="254"/>
      <c r="N657" s="236"/>
      <c r="O657" s="265">
        <f>SUM(O658:O663)</f>
        <v>0</v>
      </c>
      <c r="P657" s="265"/>
      <c r="Q657" s="265"/>
      <c r="R657" s="265"/>
      <c r="S657" s="236"/>
      <c r="T657" s="254"/>
    </row>
    <row r="658" spans="1:20" outlineLevel="2">
      <c r="A658" s="665"/>
      <c r="B658" s="233"/>
      <c r="C658" s="234" t="s">
        <v>913</v>
      </c>
      <c r="D658" s="235" t="s">
        <v>28</v>
      </c>
      <c r="E658" s="236"/>
      <c r="F658" s="254"/>
      <c r="G658" s="236"/>
      <c r="H658" s="690" t="s">
        <v>32</v>
      </c>
      <c r="I658" s="690"/>
      <c r="J658" s="690"/>
      <c r="K658" s="690"/>
      <c r="L658" s="236"/>
      <c r="M658" s="254"/>
      <c r="N658" s="236"/>
      <c r="O658" s="284"/>
      <c r="P658" s="284"/>
      <c r="Q658" s="284"/>
      <c r="R658" s="284"/>
      <c r="S658" s="236"/>
      <c r="T658" s="254"/>
    </row>
    <row r="659" spans="1:20" outlineLevel="2">
      <c r="A659" s="665"/>
      <c r="B659" s="233"/>
      <c r="C659" s="234" t="s">
        <v>913</v>
      </c>
      <c r="D659" s="235" t="s">
        <v>28</v>
      </c>
      <c r="E659" s="236"/>
      <c r="F659" s="254"/>
      <c r="G659" s="236"/>
      <c r="H659" s="690"/>
      <c r="I659" s="690"/>
      <c r="J659" s="690"/>
      <c r="K659" s="690"/>
      <c r="L659" s="236"/>
      <c r="M659" s="254"/>
      <c r="N659" s="236"/>
      <c r="O659" s="284"/>
      <c r="P659" s="284"/>
      <c r="Q659" s="284"/>
      <c r="R659" s="284"/>
      <c r="S659" s="236"/>
      <c r="T659" s="254"/>
    </row>
    <row r="660" spans="1:20" outlineLevel="2">
      <c r="A660" s="665"/>
      <c r="B660" s="233"/>
      <c r="C660" s="234" t="s">
        <v>913</v>
      </c>
      <c r="D660" s="235" t="s">
        <v>28</v>
      </c>
      <c r="E660" s="236"/>
      <c r="F660" s="254"/>
      <c r="G660" s="236"/>
      <c r="H660" s="690" t="s">
        <v>33</v>
      </c>
      <c r="I660" s="690"/>
      <c r="J660" s="690"/>
      <c r="K660" s="690"/>
      <c r="L660" s="236"/>
      <c r="M660" s="254"/>
      <c r="N660" s="236"/>
      <c r="O660" s="284"/>
      <c r="P660" s="284"/>
      <c r="Q660" s="284"/>
      <c r="R660" s="284"/>
      <c r="S660" s="236"/>
      <c r="T660" s="254"/>
    </row>
    <row r="661" spans="1:20" outlineLevel="2">
      <c r="A661" s="665"/>
      <c r="B661" s="233"/>
      <c r="C661" s="234"/>
      <c r="D661" s="235"/>
      <c r="E661" s="236"/>
      <c r="F661" s="254"/>
      <c r="G661" s="236"/>
      <c r="H661" s="249"/>
      <c r="I661" s="249"/>
      <c r="J661" s="249"/>
      <c r="K661" s="249"/>
      <c r="L661" s="236"/>
      <c r="M661" s="254"/>
      <c r="N661" s="236"/>
      <c r="O661" s="284"/>
      <c r="P661" s="284"/>
      <c r="Q661" s="284"/>
      <c r="R661" s="284"/>
      <c r="S661" s="236"/>
      <c r="T661" s="254"/>
    </row>
    <row r="662" spans="1:20" outlineLevel="2">
      <c r="A662" s="665"/>
      <c r="B662" s="233"/>
      <c r="C662" s="234" t="s">
        <v>913</v>
      </c>
      <c r="D662" s="235" t="s">
        <v>976</v>
      </c>
      <c r="E662" s="236"/>
      <c r="F662" s="254"/>
      <c r="G662" s="236"/>
      <c r="H662" s="690" t="s">
        <v>33</v>
      </c>
      <c r="I662" s="690"/>
      <c r="J662" s="690"/>
      <c r="K662" s="690"/>
      <c r="L662" s="236"/>
      <c r="M662" s="254"/>
      <c r="N662" s="236"/>
      <c r="O662" s="284"/>
      <c r="P662" s="284"/>
      <c r="Q662" s="284"/>
      <c r="R662" s="284"/>
      <c r="S662" s="236"/>
      <c r="T662" s="254"/>
    </row>
    <row r="663" spans="1:20" outlineLevel="2">
      <c r="A663" s="665"/>
      <c r="B663" s="233"/>
      <c r="C663" s="234" t="s">
        <v>913</v>
      </c>
      <c r="D663" s="235" t="s">
        <v>976</v>
      </c>
      <c r="E663" s="236"/>
      <c r="F663" s="254"/>
      <c r="G663" s="236"/>
      <c r="H663" s="690"/>
      <c r="I663" s="690"/>
      <c r="J663" s="690"/>
      <c r="K663" s="690"/>
      <c r="L663" s="236"/>
      <c r="M663" s="254"/>
      <c r="N663" s="236"/>
      <c r="O663" s="284"/>
      <c r="P663" s="284"/>
      <c r="Q663" s="284"/>
      <c r="R663" s="284"/>
      <c r="S663" s="236"/>
      <c r="T663" s="254"/>
    </row>
    <row r="664" spans="1:20" ht="3" customHeight="1" outlineLevel="1">
      <c r="A664" s="659"/>
      <c r="B664" s="666"/>
      <c r="C664" s="666"/>
      <c r="D664" s="666"/>
      <c r="E664" s="236"/>
      <c r="F664" s="254"/>
      <c r="G664" s="236"/>
      <c r="H664" s="670"/>
      <c r="I664" s="670"/>
      <c r="J664" s="670"/>
      <c r="K664" s="670"/>
      <c r="L664" s="236"/>
      <c r="M664" s="254"/>
      <c r="N664" s="236"/>
      <c r="O664" s="671"/>
      <c r="P664" s="671"/>
      <c r="Q664" s="671"/>
      <c r="R664" s="671"/>
      <c r="S664" s="236"/>
      <c r="T664" s="254"/>
    </row>
    <row r="665" spans="1:20" s="238" customFormat="1" outlineLevel="1">
      <c r="B665" s="239" t="s">
        <v>911</v>
      </c>
      <c r="C665" s="239"/>
      <c r="D665" s="239"/>
      <c r="E665" s="236"/>
      <c r="F665" s="254"/>
      <c r="G665" s="236"/>
      <c r="H665" s="240">
        <f>COUNTA(H666:H673)</f>
        <v>0</v>
      </c>
      <c r="I665" s="240"/>
      <c r="J665" s="240"/>
      <c r="K665" s="240"/>
      <c r="L665" s="236"/>
      <c r="M665" s="254"/>
      <c r="N665" s="236"/>
      <c r="O665" s="265">
        <f>SUM(O666:O673)</f>
        <v>0</v>
      </c>
      <c r="P665" s="265"/>
      <c r="Q665" s="265"/>
      <c r="R665" s="265"/>
      <c r="S665" s="236"/>
      <c r="T665" s="254"/>
    </row>
    <row r="666" spans="1:20" outlineLevel="2">
      <c r="A666" s="665"/>
      <c r="B666" s="660"/>
      <c r="C666" s="234" t="s">
        <v>912</v>
      </c>
      <c r="D666" s="235" t="s">
        <v>28</v>
      </c>
      <c r="E666" s="236"/>
      <c r="F666" s="254"/>
      <c r="G666" s="236"/>
      <c r="H666" s="289"/>
      <c r="I666" s="289"/>
      <c r="J666" s="289"/>
      <c r="K666" s="289"/>
      <c r="L666" s="236"/>
      <c r="M666" s="254"/>
      <c r="N666" s="236"/>
      <c r="O666" s="284"/>
      <c r="P666" s="284"/>
      <c r="Q666" s="284"/>
      <c r="R666" s="284"/>
      <c r="S666" s="236"/>
      <c r="T666" s="254"/>
    </row>
    <row r="667" spans="1:20" outlineLevel="2">
      <c r="A667" s="665"/>
      <c r="B667" s="660"/>
      <c r="C667" s="234" t="s">
        <v>912</v>
      </c>
      <c r="D667" s="235" t="s">
        <v>28</v>
      </c>
      <c r="E667" s="236"/>
      <c r="F667" s="254"/>
      <c r="G667" s="236"/>
      <c r="H667" s="289"/>
      <c r="I667" s="289"/>
      <c r="J667" s="289"/>
      <c r="K667" s="289"/>
      <c r="L667" s="236"/>
      <c r="M667" s="254"/>
      <c r="N667" s="236"/>
      <c r="O667" s="284"/>
      <c r="P667" s="284"/>
      <c r="Q667" s="284"/>
      <c r="R667" s="284"/>
      <c r="S667" s="236"/>
      <c r="T667" s="254"/>
    </row>
    <row r="668" spans="1:20" outlineLevel="2">
      <c r="A668" s="665"/>
      <c r="B668" s="660"/>
      <c r="C668" s="234"/>
      <c r="D668" s="235"/>
      <c r="E668" s="236"/>
      <c r="F668" s="254"/>
      <c r="G668" s="236"/>
      <c r="H668" s="289"/>
      <c r="I668" s="289"/>
      <c r="J668" s="289"/>
      <c r="K668" s="289"/>
      <c r="L668" s="236"/>
      <c r="M668" s="254"/>
      <c r="N668" s="236"/>
      <c r="O668" s="284"/>
      <c r="P668" s="284"/>
      <c r="Q668" s="284"/>
      <c r="R668" s="284"/>
      <c r="S668" s="236"/>
      <c r="T668" s="254"/>
    </row>
    <row r="669" spans="1:20" outlineLevel="2">
      <c r="A669" s="665"/>
      <c r="B669" s="660"/>
      <c r="C669" s="234" t="s">
        <v>912</v>
      </c>
      <c r="D669" s="235" t="s">
        <v>1003</v>
      </c>
      <c r="E669" s="236"/>
      <c r="F669" s="254"/>
      <c r="G669" s="236"/>
      <c r="H669" s="289"/>
      <c r="I669" s="289"/>
      <c r="J669" s="289"/>
      <c r="K669" s="289"/>
      <c r="L669" s="236"/>
      <c r="M669" s="254"/>
      <c r="N669" s="236"/>
      <c r="O669" s="284"/>
      <c r="P669" s="284"/>
      <c r="Q669" s="284"/>
      <c r="R669" s="284"/>
      <c r="S669" s="236"/>
      <c r="T669" s="254"/>
    </row>
    <row r="670" spans="1:20" outlineLevel="2">
      <c r="A670" s="665"/>
      <c r="B670" s="660"/>
      <c r="C670" s="234" t="s">
        <v>912</v>
      </c>
      <c r="D670" s="235" t="s">
        <v>1003</v>
      </c>
      <c r="E670" s="236"/>
      <c r="F670" s="254"/>
      <c r="G670" s="236"/>
      <c r="H670" s="289"/>
      <c r="I670" s="289"/>
      <c r="J670" s="289"/>
      <c r="K670" s="289"/>
      <c r="L670" s="236"/>
      <c r="M670" s="254"/>
      <c r="N670" s="236"/>
      <c r="O670" s="284"/>
      <c r="P670" s="284"/>
      <c r="Q670" s="284"/>
      <c r="R670" s="284"/>
      <c r="S670" s="236"/>
      <c r="T670" s="254"/>
    </row>
    <row r="671" spans="1:20" outlineLevel="2">
      <c r="A671" s="665"/>
      <c r="B671" s="660"/>
      <c r="C671" s="234"/>
      <c r="D671" s="235"/>
      <c r="E671" s="236"/>
      <c r="F671" s="254"/>
      <c r="G671" s="236"/>
      <c r="H671" s="289"/>
      <c r="I671" s="289"/>
      <c r="J671" s="289"/>
      <c r="K671" s="289"/>
      <c r="L671" s="236"/>
      <c r="M671" s="254"/>
      <c r="N671" s="236"/>
      <c r="O671" s="284"/>
      <c r="P671" s="284"/>
      <c r="Q671" s="284"/>
      <c r="R671" s="284"/>
      <c r="S671" s="236"/>
      <c r="T671" s="254"/>
    </row>
    <row r="672" spans="1:20" outlineLevel="2">
      <c r="A672" s="665"/>
      <c r="B672" s="660"/>
      <c r="C672" s="234" t="s">
        <v>912</v>
      </c>
      <c r="D672" s="235" t="s">
        <v>976</v>
      </c>
      <c r="E672" s="236"/>
      <c r="F672" s="254"/>
      <c r="G672" s="236"/>
      <c r="H672" s="289"/>
      <c r="I672" s="289"/>
      <c r="J672" s="289"/>
      <c r="K672" s="289"/>
      <c r="L672" s="236"/>
      <c r="M672" s="254"/>
      <c r="N672" s="236"/>
      <c r="O672" s="284"/>
      <c r="P672" s="284"/>
      <c r="Q672" s="284"/>
      <c r="R672" s="284"/>
      <c r="S672" s="236"/>
      <c r="T672" s="254"/>
    </row>
    <row r="673" spans="1:20" outlineLevel="2">
      <c r="A673" s="665"/>
      <c r="B673" s="660"/>
      <c r="C673" s="234" t="s">
        <v>912</v>
      </c>
      <c r="D673" s="235" t="s">
        <v>976</v>
      </c>
      <c r="E673" s="236"/>
      <c r="F673" s="254"/>
      <c r="G673" s="236"/>
      <c r="H673" s="289"/>
      <c r="I673" s="289"/>
      <c r="J673" s="289"/>
      <c r="K673" s="289"/>
      <c r="L673" s="236"/>
      <c r="M673" s="254"/>
      <c r="N673" s="236"/>
      <c r="O673" s="284"/>
      <c r="P673" s="284"/>
      <c r="Q673" s="284"/>
      <c r="R673" s="284"/>
      <c r="S673" s="236"/>
      <c r="T673" s="254"/>
    </row>
    <row r="674" spans="1:20" ht="3" customHeight="1" outlineLevel="1">
      <c r="A674" s="659"/>
      <c r="B674" s="246"/>
      <c r="C674" s="246"/>
      <c r="D674" s="253"/>
      <c r="E674" s="243"/>
      <c r="F674" s="193"/>
      <c r="G674" s="243"/>
      <c r="H674" s="670"/>
      <c r="I674" s="670"/>
      <c r="J674" s="670"/>
      <c r="K674" s="670"/>
      <c r="L674" s="243"/>
      <c r="M674" s="193"/>
      <c r="N674" s="243"/>
      <c r="O674" s="671"/>
      <c r="P674" s="671"/>
      <c r="Q674" s="671"/>
      <c r="R674" s="671"/>
      <c r="S674" s="243"/>
      <c r="T674" s="193"/>
    </row>
    <row r="675" spans="1:20" s="238" customFormat="1" outlineLevel="1">
      <c r="B675" s="239" t="s">
        <v>792</v>
      </c>
      <c r="C675" s="239"/>
      <c r="D675" s="239"/>
      <c r="E675" s="236"/>
      <c r="F675" s="254"/>
      <c r="G675" s="236"/>
      <c r="H675" s="240">
        <f>COUNTA(H676:H682)</f>
        <v>0</v>
      </c>
      <c r="I675" s="240"/>
      <c r="J675" s="240"/>
      <c r="K675" s="240"/>
      <c r="L675" s="236"/>
      <c r="M675" s="254"/>
      <c r="N675" s="236"/>
      <c r="O675" s="265">
        <f>SUM(O676:O682)</f>
        <v>0</v>
      </c>
      <c r="P675" s="265"/>
      <c r="Q675" s="265"/>
      <c r="R675" s="265"/>
      <c r="S675" s="236"/>
      <c r="T675" s="254"/>
    </row>
    <row r="676" spans="1:20" outlineLevel="2">
      <c r="A676" s="659"/>
      <c r="B676" s="242"/>
      <c r="C676" s="666" t="s">
        <v>290</v>
      </c>
      <c r="D676" s="667" t="s">
        <v>28</v>
      </c>
      <c r="E676" s="236"/>
      <c r="F676" s="254"/>
      <c r="G676" s="236"/>
      <c r="H676" s="677"/>
      <c r="I676" s="677"/>
      <c r="J676" s="677"/>
      <c r="K676" s="677"/>
      <c r="L676" s="236"/>
      <c r="M676" s="254"/>
      <c r="N676" s="236"/>
      <c r="O676" s="663"/>
      <c r="P676" s="663"/>
      <c r="Q676" s="663"/>
      <c r="R676" s="663"/>
      <c r="S676" s="236"/>
      <c r="T676" s="254"/>
    </row>
    <row r="677" spans="1:20" outlineLevel="2" collapsed="1">
      <c r="A677" s="659"/>
      <c r="B677" s="242"/>
      <c r="C677" s="666" t="s">
        <v>290</v>
      </c>
      <c r="D677" s="667" t="s">
        <v>28</v>
      </c>
      <c r="E677" s="236"/>
      <c r="F677" s="254"/>
      <c r="G677" s="236"/>
      <c r="H677" s="677"/>
      <c r="I677" s="677"/>
      <c r="J677" s="677"/>
      <c r="K677" s="677"/>
      <c r="L677" s="236"/>
      <c r="M677" s="254"/>
      <c r="N677" s="236"/>
      <c r="O677" s="663"/>
      <c r="P677" s="663"/>
      <c r="Q677" s="663"/>
      <c r="R677" s="663"/>
      <c r="S677" s="236"/>
      <c r="T677" s="254"/>
    </row>
    <row r="678" spans="1:20" outlineLevel="2">
      <c r="A678" s="659"/>
      <c r="B678" s="242"/>
      <c r="C678" s="666" t="s">
        <v>290</v>
      </c>
      <c r="D678" s="667" t="s">
        <v>28</v>
      </c>
      <c r="E678" s="236"/>
      <c r="F678" s="254"/>
      <c r="G678" s="236"/>
      <c r="H678" s="677"/>
      <c r="I678" s="677"/>
      <c r="J678" s="677"/>
      <c r="K678" s="677"/>
      <c r="L678" s="236"/>
      <c r="M678" s="254"/>
      <c r="N678" s="236"/>
      <c r="O678" s="663"/>
      <c r="P678" s="663"/>
      <c r="Q678" s="663"/>
      <c r="R678" s="663"/>
      <c r="S678" s="236"/>
      <c r="T678" s="254"/>
    </row>
    <row r="679" spans="1:20" outlineLevel="2">
      <c r="A679" s="659"/>
      <c r="B679" s="242"/>
      <c r="C679" s="666"/>
      <c r="D679" s="667"/>
      <c r="E679" s="236"/>
      <c r="F679" s="254"/>
      <c r="G679" s="236"/>
      <c r="H679" s="677"/>
      <c r="I679" s="677"/>
      <c r="J679" s="677"/>
      <c r="K679" s="677"/>
      <c r="L679" s="236"/>
      <c r="M679" s="254"/>
      <c r="N679" s="236"/>
      <c r="O679" s="663"/>
      <c r="P679" s="663"/>
      <c r="Q679" s="663"/>
      <c r="R679" s="663"/>
      <c r="S679" s="236"/>
      <c r="T679" s="254"/>
    </row>
    <row r="680" spans="1:20" outlineLevel="2">
      <c r="A680" s="659"/>
      <c r="B680" s="242"/>
      <c r="C680" s="666" t="s">
        <v>290</v>
      </c>
      <c r="D680" s="667" t="s">
        <v>976</v>
      </c>
      <c r="E680" s="236"/>
      <c r="F680" s="254"/>
      <c r="G680" s="236"/>
      <c r="H680" s="677"/>
      <c r="I680" s="677"/>
      <c r="J680" s="677"/>
      <c r="K680" s="677"/>
      <c r="L680" s="236"/>
      <c r="M680" s="254"/>
      <c r="N680" s="236"/>
      <c r="O680" s="663"/>
      <c r="P680" s="663"/>
      <c r="Q680" s="663"/>
      <c r="R680" s="663"/>
      <c r="S680" s="236"/>
      <c r="T680" s="254"/>
    </row>
    <row r="681" spans="1:20" outlineLevel="2">
      <c r="A681" s="659"/>
      <c r="B681" s="242"/>
      <c r="C681" s="666" t="s">
        <v>290</v>
      </c>
      <c r="D681" s="667" t="s">
        <v>976</v>
      </c>
      <c r="E681" s="236"/>
      <c r="F681" s="254"/>
      <c r="G681" s="236"/>
      <c r="H681" s="677"/>
      <c r="I681" s="677"/>
      <c r="J681" s="677"/>
      <c r="K681" s="677"/>
      <c r="L681" s="236"/>
      <c r="M681" s="254"/>
      <c r="N681" s="236"/>
      <c r="O681" s="663"/>
      <c r="P681" s="663"/>
      <c r="Q681" s="663"/>
      <c r="R681" s="663"/>
      <c r="S681" s="236"/>
      <c r="T681" s="254"/>
    </row>
    <row r="682" spans="1:20" outlineLevel="2">
      <c r="A682" s="659"/>
      <c r="B682" s="242"/>
      <c r="C682" s="666" t="s">
        <v>290</v>
      </c>
      <c r="D682" s="667" t="s">
        <v>976</v>
      </c>
      <c r="E682" s="236"/>
      <c r="F682" s="254"/>
      <c r="G682" s="236"/>
      <c r="H682" s="677"/>
      <c r="I682" s="677"/>
      <c r="J682" s="677"/>
      <c r="K682" s="677"/>
      <c r="L682" s="236"/>
      <c r="M682" s="254"/>
      <c r="N682" s="236"/>
      <c r="O682" s="663"/>
      <c r="P682" s="663"/>
      <c r="Q682" s="663"/>
      <c r="R682" s="663"/>
      <c r="S682" s="236"/>
      <c r="T682" s="254"/>
    </row>
    <row r="683" spans="1:20" outlineLevel="1">
      <c r="A683" s="659"/>
      <c r="B683" s="666"/>
      <c r="C683" s="666"/>
      <c r="D683" s="666"/>
      <c r="E683" s="236"/>
      <c r="F683" s="254"/>
      <c r="G683" s="236"/>
      <c r="H683" s="670"/>
      <c r="I683" s="670"/>
      <c r="J683" s="670"/>
      <c r="K683" s="670"/>
      <c r="L683" s="236"/>
      <c r="M683" s="254"/>
      <c r="N683" s="236"/>
      <c r="O683" s="671"/>
      <c r="P683" s="671"/>
      <c r="Q683" s="671"/>
      <c r="R683" s="671"/>
      <c r="S683" s="236"/>
      <c r="T683" s="254"/>
    </row>
    <row r="684" spans="1:20" s="238" customFormat="1" outlineLevel="1">
      <c r="B684" s="239" t="s">
        <v>941</v>
      </c>
      <c r="C684" s="239"/>
      <c r="D684" s="239"/>
      <c r="E684" s="236"/>
      <c r="F684" s="254"/>
      <c r="G684" s="236"/>
      <c r="H684" s="240">
        <f>COUNTA(H685:H688)</f>
        <v>0</v>
      </c>
      <c r="I684" s="240"/>
      <c r="J684" s="240"/>
      <c r="K684" s="240"/>
      <c r="L684" s="236"/>
      <c r="M684" s="254"/>
      <c r="N684" s="236"/>
      <c r="O684" s="265">
        <f>SUM(O685:O688)</f>
        <v>0</v>
      </c>
      <c r="P684" s="265"/>
      <c r="Q684" s="265"/>
      <c r="R684" s="265"/>
      <c r="S684" s="236"/>
      <c r="T684" s="254"/>
    </row>
    <row r="685" spans="1:20" outlineLevel="2">
      <c r="A685" s="659"/>
      <c r="B685" s="242"/>
      <c r="C685" s="666" t="s">
        <v>285</v>
      </c>
      <c r="D685" s="667" t="s">
        <v>28</v>
      </c>
      <c r="E685" s="236"/>
      <c r="F685" s="254"/>
      <c r="G685" s="236"/>
      <c r="H685" s="678"/>
      <c r="I685" s="678"/>
      <c r="J685" s="678"/>
      <c r="K685" s="678"/>
      <c r="L685" s="236"/>
      <c r="M685" s="254"/>
      <c r="N685" s="236"/>
      <c r="O685" s="663"/>
      <c r="P685" s="663"/>
      <c r="Q685" s="663"/>
      <c r="R685" s="663"/>
      <c r="S685" s="236"/>
      <c r="T685" s="254"/>
    </row>
    <row r="686" spans="1:20" outlineLevel="2">
      <c r="A686" s="659"/>
      <c r="B686" s="242"/>
      <c r="C686" s="666"/>
      <c r="D686" s="667"/>
      <c r="E686" s="236"/>
      <c r="F686" s="254"/>
      <c r="G686" s="236"/>
      <c r="H686" s="677"/>
      <c r="I686" s="677"/>
      <c r="J686" s="677"/>
      <c r="K686" s="677"/>
      <c r="L686" s="236"/>
      <c r="M686" s="254"/>
      <c r="N686" s="236"/>
      <c r="O686" s="663"/>
      <c r="P686" s="663"/>
      <c r="Q686" s="663"/>
      <c r="R686" s="663"/>
      <c r="S686" s="236"/>
      <c r="T686" s="254"/>
    </row>
    <row r="687" spans="1:20" outlineLevel="2">
      <c r="A687" s="659"/>
      <c r="B687" s="242"/>
      <c r="C687" s="666" t="s">
        <v>285</v>
      </c>
      <c r="D687" s="667" t="s">
        <v>976</v>
      </c>
      <c r="E687" s="236"/>
      <c r="F687" s="254"/>
      <c r="G687" s="236"/>
      <c r="H687" s="678"/>
      <c r="I687" s="678"/>
      <c r="J687" s="678"/>
      <c r="K687" s="678"/>
      <c r="L687" s="236"/>
      <c r="M687" s="254"/>
      <c r="N687" s="236"/>
      <c r="O687" s="663"/>
      <c r="P687" s="663"/>
      <c r="Q687" s="663"/>
      <c r="R687" s="663"/>
      <c r="S687" s="236"/>
      <c r="T687" s="254"/>
    </row>
    <row r="688" spans="1:20" outlineLevel="1">
      <c r="A688" s="659"/>
      <c r="B688" s="666"/>
      <c r="C688" s="666"/>
      <c r="D688" s="666"/>
      <c r="E688" s="236"/>
      <c r="F688" s="254"/>
      <c r="G688" s="236"/>
      <c r="H688" s="670"/>
      <c r="I688" s="670"/>
      <c r="J688" s="670"/>
      <c r="K688" s="670"/>
      <c r="L688" s="236"/>
      <c r="M688" s="254"/>
      <c r="N688" s="236"/>
      <c r="O688" s="671"/>
      <c r="P688" s="671"/>
      <c r="Q688" s="671"/>
      <c r="R688" s="671"/>
      <c r="S688" s="236"/>
      <c r="T688" s="254"/>
    </row>
    <row r="689" spans="1:20" s="238" customFormat="1" outlineLevel="1">
      <c r="B689" s="239" t="s">
        <v>305</v>
      </c>
      <c r="C689" s="239"/>
      <c r="D689" s="239"/>
      <c r="E689" s="236"/>
      <c r="F689" s="254"/>
      <c r="G689" s="236"/>
      <c r="H689" s="240">
        <f>COUNTA(H690:H693)</f>
        <v>0</v>
      </c>
      <c r="I689" s="240"/>
      <c r="J689" s="240"/>
      <c r="K689" s="240"/>
      <c r="L689" s="236"/>
      <c r="M689" s="254"/>
      <c r="N689" s="236"/>
      <c r="O689" s="265">
        <f>SUM(O690:O693)</f>
        <v>0</v>
      </c>
      <c r="P689" s="265"/>
      <c r="Q689" s="265"/>
      <c r="R689" s="265"/>
      <c r="S689" s="236"/>
      <c r="T689" s="254"/>
    </row>
    <row r="690" spans="1:20" outlineLevel="2">
      <c r="A690" s="659"/>
      <c r="B690" s="242"/>
      <c r="C690" s="666" t="s">
        <v>305</v>
      </c>
      <c r="D690" s="667" t="s">
        <v>28</v>
      </c>
      <c r="E690" s="236"/>
      <c r="F690" s="254"/>
      <c r="G690" s="236"/>
      <c r="H690" s="678"/>
      <c r="I690" s="678"/>
      <c r="J690" s="678"/>
      <c r="K690" s="678"/>
      <c r="L690" s="236"/>
      <c r="M690" s="254"/>
      <c r="N690" s="236"/>
      <c r="O690" s="663"/>
      <c r="P690" s="663"/>
      <c r="Q690" s="663"/>
      <c r="R690" s="663"/>
      <c r="S690" s="236"/>
      <c r="T690" s="254"/>
    </row>
    <row r="691" spans="1:20" outlineLevel="2">
      <c r="A691" s="659"/>
      <c r="B691" s="242"/>
      <c r="C691" s="666"/>
      <c r="D691" s="667"/>
      <c r="E691" s="236"/>
      <c r="F691" s="254"/>
      <c r="G691" s="236"/>
      <c r="H691" s="677"/>
      <c r="I691" s="677"/>
      <c r="J691" s="677"/>
      <c r="K691" s="677"/>
      <c r="L691" s="236"/>
      <c r="M691" s="254"/>
      <c r="N691" s="236"/>
      <c r="O691" s="663"/>
      <c r="P691" s="663"/>
      <c r="Q691" s="663"/>
      <c r="R691" s="663"/>
      <c r="S691" s="236"/>
      <c r="T691" s="254"/>
    </row>
    <row r="692" spans="1:20" outlineLevel="2">
      <c r="A692" s="659"/>
      <c r="B692" s="242"/>
      <c r="C692" s="666" t="s">
        <v>305</v>
      </c>
      <c r="D692" s="667" t="s">
        <v>976</v>
      </c>
      <c r="E692" s="236"/>
      <c r="F692" s="254"/>
      <c r="G692" s="236"/>
      <c r="H692" s="678"/>
      <c r="I692" s="678"/>
      <c r="J692" s="678"/>
      <c r="K692" s="678"/>
      <c r="L692" s="236"/>
      <c r="M692" s="254"/>
      <c r="N692" s="236"/>
      <c r="O692" s="663"/>
      <c r="P692" s="663"/>
      <c r="Q692" s="663"/>
      <c r="R692" s="663"/>
      <c r="S692" s="236"/>
      <c r="T692" s="254"/>
    </row>
    <row r="693" spans="1:20" outlineLevel="1">
      <c r="A693" s="659"/>
      <c r="B693" s="666"/>
      <c r="C693" s="666"/>
      <c r="D693" s="666"/>
      <c r="E693" s="236"/>
      <c r="F693" s="254"/>
      <c r="G693" s="236"/>
      <c r="H693" s="670"/>
      <c r="I693" s="670"/>
      <c r="J693" s="670"/>
      <c r="K693" s="670"/>
      <c r="L693" s="236"/>
      <c r="M693" s="254"/>
      <c r="N693" s="236"/>
      <c r="O693" s="671"/>
      <c r="P693" s="671"/>
      <c r="Q693" s="671"/>
      <c r="R693" s="671"/>
      <c r="S693" s="236"/>
      <c r="T693" s="254"/>
    </row>
    <row r="694" spans="1:20" s="238" customFormat="1" outlineLevel="1">
      <c r="B694" s="239" t="s">
        <v>1008</v>
      </c>
      <c r="C694" s="239"/>
      <c r="D694" s="239"/>
      <c r="E694" s="236"/>
      <c r="F694" s="254"/>
      <c r="G694" s="236"/>
      <c r="H694" s="240">
        <f>COUNTA(H695:H703)</f>
        <v>8</v>
      </c>
      <c r="I694" s="240"/>
      <c r="J694" s="240"/>
      <c r="K694" s="240"/>
      <c r="L694" s="236"/>
      <c r="M694" s="254"/>
      <c r="N694" s="236"/>
      <c r="O694" s="265">
        <f>SUM(O695:O703)</f>
        <v>2.4698100000000001E-2</v>
      </c>
      <c r="P694" s="265"/>
      <c r="Q694" s="265"/>
      <c r="R694" s="265"/>
      <c r="S694" s="236"/>
      <c r="T694" s="254"/>
    </row>
    <row r="695" spans="1:20" outlineLevel="2">
      <c r="A695" s="659"/>
      <c r="B695" s="242"/>
      <c r="C695" s="666" t="s">
        <v>1008</v>
      </c>
      <c r="D695" s="667" t="s">
        <v>28</v>
      </c>
      <c r="E695" s="236"/>
      <c r="F695" s="254"/>
      <c r="G695" s="236"/>
      <c r="H695" s="678" t="s">
        <v>32</v>
      </c>
      <c r="I695" s="678"/>
      <c r="J695" s="678"/>
      <c r="K695" s="678"/>
      <c r="L695" s="236"/>
      <c r="M695" s="254"/>
      <c r="N695" s="236"/>
      <c r="O695" s="663">
        <v>1.5877349999999998E-2</v>
      </c>
      <c r="P695" s="663"/>
      <c r="Q695" s="663"/>
      <c r="R695" s="663"/>
      <c r="S695" s="236"/>
      <c r="T695" s="254"/>
    </row>
    <row r="696" spans="1:20" outlineLevel="2" collapsed="1">
      <c r="A696" s="659"/>
      <c r="B696" s="242"/>
      <c r="C696" s="666" t="s">
        <v>1008</v>
      </c>
      <c r="D696" s="667" t="s">
        <v>28</v>
      </c>
      <c r="E696" s="236"/>
      <c r="F696" s="254"/>
      <c r="G696" s="236"/>
      <c r="H696" s="677" t="s">
        <v>33</v>
      </c>
      <c r="I696" s="677"/>
      <c r="J696" s="677"/>
      <c r="K696" s="677"/>
      <c r="L696" s="236"/>
      <c r="M696" s="254"/>
      <c r="N696" s="236"/>
      <c r="O696" s="663"/>
      <c r="P696" s="663"/>
      <c r="Q696" s="663"/>
      <c r="R696" s="663"/>
      <c r="S696" s="236"/>
      <c r="T696" s="254"/>
    </row>
    <row r="697" spans="1:20" outlineLevel="2">
      <c r="A697" s="659"/>
      <c r="B697" s="242"/>
      <c r="C697" s="666" t="s">
        <v>1008</v>
      </c>
      <c r="D697" s="667" t="s">
        <v>28</v>
      </c>
      <c r="E697" s="236"/>
      <c r="F697" s="254"/>
      <c r="G697" s="236"/>
      <c r="H697" s="678" t="s">
        <v>842</v>
      </c>
      <c r="I697" s="678"/>
      <c r="J697" s="678"/>
      <c r="K697" s="678"/>
      <c r="L697" s="236"/>
      <c r="M697" s="254"/>
      <c r="N697" s="236"/>
      <c r="O697" s="663"/>
      <c r="P697" s="663"/>
      <c r="Q697" s="663"/>
      <c r="R697" s="663"/>
      <c r="S697" s="236"/>
      <c r="T697" s="254"/>
    </row>
    <row r="698" spans="1:20" outlineLevel="2">
      <c r="A698" s="659"/>
      <c r="B698" s="242"/>
      <c r="C698" s="666" t="s">
        <v>1008</v>
      </c>
      <c r="D698" s="667" t="s">
        <v>28</v>
      </c>
      <c r="E698" s="236"/>
      <c r="F698" s="254"/>
      <c r="G698" s="236"/>
      <c r="H698" s="677" t="s">
        <v>1009</v>
      </c>
      <c r="I698" s="677"/>
      <c r="J698" s="677"/>
      <c r="K698" s="677"/>
      <c r="L698" s="236"/>
      <c r="M698" s="254"/>
      <c r="N698" s="236"/>
      <c r="O698" s="663"/>
      <c r="P698" s="663"/>
      <c r="Q698" s="663"/>
      <c r="R698" s="663"/>
      <c r="S698" s="236"/>
      <c r="T698" s="254"/>
    </row>
    <row r="699" spans="1:20" outlineLevel="2">
      <c r="A699" s="659"/>
      <c r="B699" s="242"/>
      <c r="C699" s="666"/>
      <c r="D699" s="667"/>
      <c r="E699" s="236"/>
      <c r="F699" s="254"/>
      <c r="G699" s="236"/>
      <c r="H699" s="677"/>
      <c r="I699" s="677"/>
      <c r="J699" s="677"/>
      <c r="K699" s="677"/>
      <c r="L699" s="236"/>
      <c r="M699" s="254"/>
      <c r="N699" s="236"/>
      <c r="O699" s="663"/>
      <c r="P699" s="663"/>
      <c r="Q699" s="663"/>
      <c r="R699" s="663"/>
      <c r="S699" s="236"/>
      <c r="T699" s="254"/>
    </row>
    <row r="700" spans="1:20" outlineLevel="2">
      <c r="A700" s="659"/>
      <c r="B700" s="242"/>
      <c r="C700" s="666" t="s">
        <v>1008</v>
      </c>
      <c r="D700" s="667" t="s">
        <v>976</v>
      </c>
      <c r="E700" s="236"/>
      <c r="F700" s="254"/>
      <c r="G700" s="236"/>
      <c r="H700" s="678" t="s">
        <v>32</v>
      </c>
      <c r="I700" s="678"/>
      <c r="J700" s="678"/>
      <c r="K700" s="678"/>
      <c r="L700" s="236"/>
      <c r="M700" s="254"/>
      <c r="N700" s="236"/>
      <c r="O700" s="663">
        <v>8.8207500000000005E-3</v>
      </c>
      <c r="P700" s="663"/>
      <c r="Q700" s="663"/>
      <c r="R700" s="663"/>
      <c r="S700" s="236"/>
      <c r="T700" s="254"/>
    </row>
    <row r="701" spans="1:20" outlineLevel="2">
      <c r="A701" s="659"/>
      <c r="B701" s="242"/>
      <c r="C701" s="666" t="s">
        <v>1008</v>
      </c>
      <c r="D701" s="667" t="s">
        <v>976</v>
      </c>
      <c r="E701" s="236"/>
      <c r="F701" s="254"/>
      <c r="G701" s="236"/>
      <c r="H701" s="677" t="s">
        <v>33</v>
      </c>
      <c r="I701" s="677"/>
      <c r="J701" s="677"/>
      <c r="K701" s="677"/>
      <c r="L701" s="236"/>
      <c r="M701" s="254"/>
      <c r="N701" s="236"/>
      <c r="O701" s="663"/>
      <c r="P701" s="663"/>
      <c r="Q701" s="663"/>
      <c r="R701" s="663"/>
      <c r="S701" s="236"/>
      <c r="T701" s="254"/>
    </row>
    <row r="702" spans="1:20" outlineLevel="2">
      <c r="A702" s="659"/>
      <c r="B702" s="242"/>
      <c r="C702" s="666" t="s">
        <v>1008</v>
      </c>
      <c r="D702" s="667" t="s">
        <v>976</v>
      </c>
      <c r="E702" s="236"/>
      <c r="F702" s="254"/>
      <c r="G702" s="236"/>
      <c r="H702" s="678" t="s">
        <v>842</v>
      </c>
      <c r="I702" s="678"/>
      <c r="J702" s="678"/>
      <c r="K702" s="678"/>
      <c r="L702" s="236"/>
      <c r="M702" s="254"/>
      <c r="N702" s="236"/>
      <c r="O702" s="663"/>
      <c r="P702" s="663"/>
      <c r="Q702" s="663"/>
      <c r="R702" s="663"/>
      <c r="S702" s="236"/>
      <c r="T702" s="254"/>
    </row>
    <row r="703" spans="1:20" outlineLevel="2">
      <c r="A703" s="659"/>
      <c r="B703" s="242"/>
      <c r="C703" s="666" t="s">
        <v>1008</v>
      </c>
      <c r="D703" s="667" t="s">
        <v>976</v>
      </c>
      <c r="E703" s="236"/>
      <c r="F703" s="254"/>
      <c r="G703" s="236"/>
      <c r="H703" s="677" t="s">
        <v>1009</v>
      </c>
      <c r="I703" s="677"/>
      <c r="J703" s="677"/>
      <c r="K703" s="677"/>
      <c r="L703" s="236"/>
      <c r="M703" s="254"/>
      <c r="N703" s="236"/>
      <c r="O703" s="663"/>
      <c r="P703" s="663"/>
      <c r="Q703" s="663"/>
      <c r="R703" s="663"/>
      <c r="S703" s="236"/>
      <c r="T703" s="254"/>
    </row>
    <row r="704" spans="1:20" ht="3" customHeight="1" outlineLevel="1">
      <c r="A704" s="665"/>
      <c r="B704" s="709"/>
      <c r="C704" s="709"/>
      <c r="D704" s="710"/>
      <c r="E704" s="236"/>
      <c r="F704" s="254"/>
      <c r="G704" s="236"/>
      <c r="H704" s="264"/>
      <c r="I704" s="264"/>
      <c r="J704" s="264"/>
      <c r="K704" s="264"/>
      <c r="L704" s="236"/>
      <c r="M704" s="254"/>
      <c r="N704" s="236"/>
      <c r="O704" s="352"/>
      <c r="P704" s="352"/>
      <c r="Q704" s="352"/>
      <c r="R704" s="352"/>
      <c r="S704" s="236"/>
      <c r="T704" s="254"/>
    </row>
    <row r="705" spans="1:20" s="238" customFormat="1" outlineLevel="1">
      <c r="B705" s="239" t="s">
        <v>1010</v>
      </c>
      <c r="C705" s="239"/>
      <c r="D705" s="239"/>
      <c r="E705" s="236"/>
      <c r="F705" s="254"/>
      <c r="G705" s="236"/>
      <c r="H705" s="240">
        <f>COUNTA(H706:H712)</f>
        <v>0</v>
      </c>
      <c r="I705" s="240"/>
      <c r="J705" s="240"/>
      <c r="K705" s="240"/>
      <c r="L705" s="236"/>
      <c r="M705" s="254"/>
      <c r="N705" s="236"/>
      <c r="O705" s="265">
        <f>SUM(O706:O712)</f>
        <v>0</v>
      </c>
      <c r="P705" s="265"/>
      <c r="Q705" s="265"/>
      <c r="R705" s="265"/>
      <c r="S705" s="236"/>
      <c r="T705" s="254"/>
    </row>
    <row r="706" spans="1:20" outlineLevel="2">
      <c r="A706" s="659"/>
      <c r="B706" s="242"/>
      <c r="C706" s="666" t="s">
        <v>943</v>
      </c>
      <c r="D706" s="667" t="s">
        <v>28</v>
      </c>
      <c r="E706" s="236"/>
      <c r="F706" s="254"/>
      <c r="G706" s="236"/>
      <c r="H706" s="678"/>
      <c r="I706" s="678"/>
      <c r="J706" s="678"/>
      <c r="K706" s="678"/>
      <c r="L706" s="236"/>
      <c r="M706" s="254"/>
      <c r="N706" s="236"/>
      <c r="O706" s="663"/>
      <c r="P706" s="663"/>
      <c r="Q706" s="663"/>
      <c r="R706" s="663"/>
      <c r="S706" s="236"/>
      <c r="T706" s="254"/>
    </row>
    <row r="707" spans="1:20" outlineLevel="2">
      <c r="A707" s="659"/>
      <c r="B707" s="242"/>
      <c r="C707" s="666" t="s">
        <v>943</v>
      </c>
      <c r="D707" s="667" t="s">
        <v>28</v>
      </c>
      <c r="E707" s="236"/>
      <c r="F707" s="254"/>
      <c r="G707" s="236"/>
      <c r="H707" s="677"/>
      <c r="I707" s="677"/>
      <c r="J707" s="677"/>
      <c r="K707" s="677"/>
      <c r="L707" s="236"/>
      <c r="M707" s="254"/>
      <c r="N707" s="236"/>
      <c r="O707" s="663"/>
      <c r="P707" s="663"/>
      <c r="Q707" s="663"/>
      <c r="R707" s="663"/>
      <c r="S707" s="236"/>
      <c r="T707" s="254"/>
    </row>
    <row r="708" spans="1:20" outlineLevel="2">
      <c r="A708" s="659"/>
      <c r="B708" s="242"/>
      <c r="C708" s="666" t="s">
        <v>943</v>
      </c>
      <c r="D708" s="667" t="s">
        <v>28</v>
      </c>
      <c r="E708" s="236"/>
      <c r="F708" s="254"/>
      <c r="G708" s="236"/>
      <c r="H708" s="677"/>
      <c r="I708" s="677"/>
      <c r="J708" s="677"/>
      <c r="K708" s="677"/>
      <c r="L708" s="236"/>
      <c r="M708" s="254"/>
      <c r="N708" s="236"/>
      <c r="O708" s="663"/>
      <c r="P708" s="663"/>
      <c r="Q708" s="663"/>
      <c r="R708" s="663"/>
      <c r="S708" s="236"/>
      <c r="T708" s="254"/>
    </row>
    <row r="709" spans="1:20" outlineLevel="2">
      <c r="A709" s="659"/>
      <c r="B709" s="242"/>
      <c r="C709" s="666"/>
      <c r="D709" s="667"/>
      <c r="E709" s="236"/>
      <c r="F709" s="254"/>
      <c r="G709" s="236"/>
      <c r="H709" s="677"/>
      <c r="I709" s="677"/>
      <c r="J709" s="677"/>
      <c r="K709" s="677"/>
      <c r="L709" s="236"/>
      <c r="M709" s="254"/>
      <c r="N709" s="236"/>
      <c r="O709" s="663"/>
      <c r="P709" s="663"/>
      <c r="Q709" s="663"/>
      <c r="R709" s="663"/>
      <c r="S709" s="236"/>
      <c r="T709" s="254"/>
    </row>
    <row r="710" spans="1:20" outlineLevel="2">
      <c r="A710" s="659"/>
      <c r="B710" s="242"/>
      <c r="C710" s="666" t="s">
        <v>943</v>
      </c>
      <c r="D710" s="667" t="s">
        <v>976</v>
      </c>
      <c r="E710" s="236"/>
      <c r="F710" s="254"/>
      <c r="G710" s="236"/>
      <c r="H710" s="677"/>
      <c r="I710" s="677"/>
      <c r="J710" s="677"/>
      <c r="K710" s="677"/>
      <c r="L710" s="236"/>
      <c r="M710" s="254"/>
      <c r="N710" s="236"/>
      <c r="O710" s="663"/>
      <c r="P710" s="663"/>
      <c r="Q710" s="663"/>
      <c r="R710" s="663"/>
      <c r="S710" s="236"/>
      <c r="T710" s="254"/>
    </row>
    <row r="711" spans="1:20" outlineLevel="2">
      <c r="A711" s="659"/>
      <c r="B711" s="242"/>
      <c r="C711" s="666" t="s">
        <v>943</v>
      </c>
      <c r="D711" s="667" t="s">
        <v>976</v>
      </c>
      <c r="E711" s="236"/>
      <c r="F711" s="254"/>
      <c r="G711" s="236"/>
      <c r="H711" s="678"/>
      <c r="I711" s="678"/>
      <c r="J711" s="678"/>
      <c r="K711" s="678"/>
      <c r="L711" s="236"/>
      <c r="M711" s="254"/>
      <c r="N711" s="236"/>
      <c r="O711" s="663"/>
      <c r="P711" s="663"/>
      <c r="Q711" s="663"/>
      <c r="R711" s="663"/>
      <c r="S711" s="236"/>
      <c r="T711" s="254"/>
    </row>
    <row r="712" spans="1:20" outlineLevel="2">
      <c r="A712" s="659"/>
      <c r="B712" s="242"/>
      <c r="C712" s="666" t="s">
        <v>943</v>
      </c>
      <c r="D712" s="667" t="s">
        <v>976</v>
      </c>
      <c r="E712" s="236"/>
      <c r="F712" s="254"/>
      <c r="G712" s="236"/>
      <c r="H712" s="677"/>
      <c r="I712" s="677"/>
      <c r="J712" s="677"/>
      <c r="K712" s="677"/>
      <c r="L712" s="236"/>
      <c r="M712" s="254"/>
      <c r="N712" s="236"/>
      <c r="O712" s="663"/>
      <c r="P712" s="663"/>
      <c r="Q712" s="663"/>
      <c r="R712" s="663"/>
      <c r="S712" s="236"/>
      <c r="T712" s="254"/>
    </row>
    <row r="713" spans="1:20" ht="3" customHeight="1" outlineLevel="1">
      <c r="A713" s="665"/>
      <c r="B713" s="709"/>
      <c r="C713" s="709"/>
      <c r="D713" s="710"/>
      <c r="E713" s="236"/>
      <c r="F713" s="254"/>
      <c r="G713" s="236"/>
      <c r="H713" s="264"/>
      <c r="I713" s="264"/>
      <c r="J713" s="264"/>
      <c r="K713" s="264"/>
      <c r="L713" s="236"/>
      <c r="M713" s="254"/>
      <c r="N713" s="236"/>
      <c r="O713" s="352"/>
      <c r="P713" s="352"/>
      <c r="Q713" s="352"/>
      <c r="R713" s="352"/>
      <c r="S713" s="236"/>
      <c r="T713" s="254"/>
    </row>
    <row r="714" spans="1:20" s="238" customFormat="1" outlineLevel="1">
      <c r="B714" s="239" t="s">
        <v>276</v>
      </c>
      <c r="C714" s="239"/>
      <c r="D714" s="239"/>
      <c r="E714" s="236"/>
      <c r="F714" s="254"/>
      <c r="G714" s="236"/>
      <c r="H714" s="240">
        <f>COUNTA(H715:H721)</f>
        <v>3</v>
      </c>
      <c r="I714" s="240"/>
      <c r="J714" s="240"/>
      <c r="K714" s="240"/>
      <c r="L714" s="236"/>
      <c r="M714" s="254"/>
      <c r="N714" s="236"/>
      <c r="O714" s="265">
        <f>SUM(O715:O721)</f>
        <v>0</v>
      </c>
      <c r="P714" s="265"/>
      <c r="Q714" s="265"/>
      <c r="R714" s="265"/>
      <c r="S714" s="236"/>
      <c r="T714" s="254"/>
    </row>
    <row r="715" spans="1:20" outlineLevel="2">
      <c r="A715" s="659"/>
      <c r="B715" s="242"/>
      <c r="C715" s="666" t="s">
        <v>276</v>
      </c>
      <c r="D715" s="667" t="s">
        <v>28</v>
      </c>
      <c r="E715" s="236"/>
      <c r="F715" s="254"/>
      <c r="G715" s="236"/>
      <c r="H715" s="677" t="s">
        <v>32</v>
      </c>
      <c r="I715" s="677"/>
      <c r="J715" s="677"/>
      <c r="K715" s="677"/>
      <c r="L715" s="236"/>
      <c r="M715" s="254"/>
      <c r="N715" s="236"/>
      <c r="O715" s="663"/>
      <c r="P715" s="663"/>
      <c r="Q715" s="663"/>
      <c r="R715" s="663"/>
      <c r="S715" s="236"/>
      <c r="T715" s="254"/>
    </row>
    <row r="716" spans="1:20" outlineLevel="2">
      <c r="A716" s="659"/>
      <c r="B716" s="242"/>
      <c r="C716" s="666" t="s">
        <v>276</v>
      </c>
      <c r="D716" s="667" t="s">
        <v>28</v>
      </c>
      <c r="E716" s="236"/>
      <c r="F716" s="254"/>
      <c r="G716" s="236"/>
      <c r="H716" s="677" t="s">
        <v>33</v>
      </c>
      <c r="I716" s="677"/>
      <c r="J716" s="677"/>
      <c r="K716" s="677"/>
      <c r="L716" s="236"/>
      <c r="M716" s="254"/>
      <c r="N716" s="236"/>
      <c r="O716" s="663"/>
      <c r="P716" s="663"/>
      <c r="Q716" s="663"/>
      <c r="R716" s="663"/>
      <c r="S716" s="236"/>
      <c r="T716" s="254"/>
    </row>
    <row r="717" spans="1:20" outlineLevel="2">
      <c r="A717" s="659"/>
      <c r="B717" s="242"/>
      <c r="C717" s="666" t="s">
        <v>276</v>
      </c>
      <c r="D717" s="667" t="s">
        <v>28</v>
      </c>
      <c r="E717" s="236"/>
      <c r="F717" s="254"/>
      <c r="G717" s="236"/>
      <c r="H717" s="677" t="s">
        <v>842</v>
      </c>
      <c r="I717" s="677"/>
      <c r="J717" s="677"/>
      <c r="K717" s="677"/>
      <c r="L717" s="236"/>
      <c r="M717" s="254"/>
      <c r="N717" s="236"/>
      <c r="O717" s="663"/>
      <c r="P717" s="663"/>
      <c r="Q717" s="663"/>
      <c r="R717" s="663"/>
      <c r="S717" s="236"/>
      <c r="T717" s="254"/>
    </row>
    <row r="718" spans="1:20" outlineLevel="2">
      <c r="A718" s="659"/>
      <c r="B718" s="242"/>
      <c r="C718" s="666"/>
      <c r="D718" s="667"/>
      <c r="E718" s="236"/>
      <c r="F718" s="254"/>
      <c r="G718" s="236"/>
      <c r="H718" s="677"/>
      <c r="I718" s="677"/>
      <c r="J718" s="677"/>
      <c r="K718" s="677"/>
      <c r="L718" s="236"/>
      <c r="M718" s="254"/>
      <c r="N718" s="236"/>
      <c r="O718" s="663"/>
      <c r="P718" s="663"/>
      <c r="Q718" s="663"/>
      <c r="R718" s="663"/>
      <c r="S718" s="236"/>
      <c r="T718" s="254"/>
    </row>
    <row r="719" spans="1:20" outlineLevel="2">
      <c r="A719" s="659"/>
      <c r="B719" s="242"/>
      <c r="C719" s="666" t="s">
        <v>276</v>
      </c>
      <c r="D719" s="667" t="s">
        <v>976</v>
      </c>
      <c r="E719" s="236"/>
      <c r="F719" s="254"/>
      <c r="G719" s="236"/>
      <c r="H719" s="677"/>
      <c r="I719" s="677"/>
      <c r="J719" s="677"/>
      <c r="K719" s="677"/>
      <c r="L719" s="236"/>
      <c r="M719" s="254"/>
      <c r="N719" s="236"/>
      <c r="O719" s="663"/>
      <c r="P719" s="663"/>
      <c r="Q719" s="663"/>
      <c r="R719" s="663"/>
      <c r="S719" s="236"/>
      <c r="T719" s="254"/>
    </row>
    <row r="720" spans="1:20" outlineLevel="2">
      <c r="A720" s="659"/>
      <c r="B720" s="242"/>
      <c r="C720" s="666" t="s">
        <v>276</v>
      </c>
      <c r="D720" s="667" t="s">
        <v>976</v>
      </c>
      <c r="E720" s="236"/>
      <c r="F720" s="254"/>
      <c r="G720" s="236"/>
      <c r="H720" s="677"/>
      <c r="I720" s="677"/>
      <c r="J720" s="677"/>
      <c r="K720" s="677"/>
      <c r="L720" s="236"/>
      <c r="M720" s="254"/>
      <c r="N720" s="236"/>
      <c r="O720" s="663"/>
      <c r="P720" s="663"/>
      <c r="Q720" s="663"/>
      <c r="R720" s="663"/>
      <c r="S720" s="236"/>
      <c r="T720" s="254"/>
    </row>
    <row r="721" spans="2:20" outlineLevel="2">
      <c r="B721" s="242"/>
      <c r="C721" s="666" t="s">
        <v>276</v>
      </c>
      <c r="D721" s="667" t="s">
        <v>976</v>
      </c>
      <c r="E721" s="236"/>
      <c r="F721" s="254"/>
      <c r="G721" s="236"/>
      <c r="H721" s="677"/>
      <c r="I721" s="677"/>
      <c r="J721" s="677"/>
      <c r="K721" s="677"/>
      <c r="L721" s="236"/>
      <c r="M721" s="254"/>
      <c r="N721" s="236"/>
      <c r="O721" s="663"/>
      <c r="P721" s="663"/>
      <c r="Q721" s="663"/>
      <c r="R721" s="663"/>
      <c r="S721" s="236"/>
      <c r="T721" s="254"/>
    </row>
    <row r="722" spans="2:20" ht="3" customHeight="1" outlineLevel="1">
      <c r="B722" s="666"/>
      <c r="C722" s="666"/>
      <c r="D722" s="666"/>
      <c r="E722" s="236"/>
      <c r="F722" s="254"/>
      <c r="G722" s="236"/>
      <c r="H722" s="670"/>
      <c r="I722" s="670"/>
      <c r="J722" s="670"/>
      <c r="K722" s="670"/>
      <c r="L722" s="236"/>
      <c r="M722" s="254"/>
      <c r="N722" s="236"/>
      <c r="O722" s="671"/>
      <c r="P722" s="671"/>
      <c r="Q722" s="671"/>
      <c r="R722" s="671"/>
      <c r="S722" s="236"/>
      <c r="T722" s="254"/>
    </row>
    <row r="723" spans="2:20" s="238" customFormat="1" outlineLevel="1">
      <c r="B723" s="239" t="s">
        <v>317</v>
      </c>
      <c r="C723" s="239"/>
      <c r="D723" s="239"/>
      <c r="E723" s="236"/>
      <c r="F723" s="254"/>
      <c r="G723" s="236"/>
      <c r="H723" s="240">
        <f>COUNTA(H724:H727)</f>
        <v>4</v>
      </c>
      <c r="I723" s="240"/>
      <c r="J723" s="240"/>
      <c r="K723" s="240"/>
      <c r="L723" s="236"/>
      <c r="M723" s="254"/>
      <c r="N723" s="236"/>
      <c r="O723" s="265">
        <f>SUM(O724:O735)</f>
        <v>2.4949999999999997</v>
      </c>
      <c r="P723" s="265"/>
      <c r="Q723" s="265"/>
      <c r="R723" s="265"/>
      <c r="S723" s="236"/>
      <c r="T723" s="254"/>
    </row>
    <row r="724" spans="2:20" outlineLevel="2">
      <c r="B724" s="246"/>
      <c r="C724" s="246" t="s">
        <v>317</v>
      </c>
      <c r="D724" s="253" t="s">
        <v>1003</v>
      </c>
      <c r="E724" s="236"/>
      <c r="F724" s="254"/>
      <c r="G724" s="236"/>
      <c r="H724" s="261" t="s">
        <v>334</v>
      </c>
      <c r="I724" s="261"/>
      <c r="J724" s="261"/>
      <c r="K724" s="261"/>
      <c r="L724" s="236"/>
      <c r="M724" s="254"/>
      <c r="N724" s="236"/>
      <c r="O724" s="288">
        <v>0.47</v>
      </c>
      <c r="P724" s="288"/>
      <c r="Q724" s="288"/>
      <c r="R724" s="288"/>
      <c r="S724" s="236"/>
      <c r="T724" s="254"/>
    </row>
    <row r="725" spans="2:20" outlineLevel="2">
      <c r="B725" s="246"/>
      <c r="C725" s="246" t="s">
        <v>317</v>
      </c>
      <c r="D725" s="253" t="s">
        <v>1003</v>
      </c>
      <c r="E725" s="236"/>
      <c r="F725" s="254"/>
      <c r="G725" s="236"/>
      <c r="H725" s="659" t="s">
        <v>32</v>
      </c>
      <c r="I725" s="659"/>
      <c r="J725" s="659"/>
      <c r="K725" s="659"/>
      <c r="L725" s="236"/>
      <c r="M725" s="254"/>
      <c r="N725" s="236"/>
      <c r="O725" s="686">
        <v>0.85</v>
      </c>
      <c r="P725" s="686"/>
      <c r="Q725" s="686"/>
      <c r="R725" s="686"/>
      <c r="S725" s="236"/>
      <c r="T725" s="254"/>
    </row>
    <row r="726" spans="2:20" outlineLevel="2" collapsed="1">
      <c r="B726" s="246"/>
      <c r="C726" s="246" t="s">
        <v>317</v>
      </c>
      <c r="D726" s="253" t="s">
        <v>1003</v>
      </c>
      <c r="E726" s="236"/>
      <c r="F726" s="254"/>
      <c r="G726" s="236"/>
      <c r="H726" s="659" t="s">
        <v>33</v>
      </c>
      <c r="I726" s="659"/>
      <c r="J726" s="659"/>
      <c r="K726" s="659"/>
      <c r="L726" s="236"/>
      <c r="M726" s="254"/>
      <c r="N726" s="236"/>
      <c r="O726" s="686">
        <v>0.94000000000000006</v>
      </c>
      <c r="P726" s="686"/>
      <c r="Q726" s="686"/>
      <c r="R726" s="686"/>
      <c r="S726" s="236"/>
      <c r="T726" s="254"/>
    </row>
    <row r="727" spans="2:20" outlineLevel="2">
      <c r="B727" s="246"/>
      <c r="C727" s="246" t="s">
        <v>317</v>
      </c>
      <c r="D727" s="253" t="s">
        <v>1003</v>
      </c>
      <c r="E727" s="236"/>
      <c r="F727" s="254"/>
      <c r="G727" s="236"/>
      <c r="H727" s="261" t="s">
        <v>1006</v>
      </c>
      <c r="I727" s="261"/>
      <c r="J727" s="261"/>
      <c r="K727" s="261"/>
      <c r="L727" s="236"/>
      <c r="M727" s="254"/>
      <c r="N727" s="236"/>
      <c r="O727" s="288">
        <v>0.23499999999999999</v>
      </c>
      <c r="P727" s="288"/>
      <c r="Q727" s="288"/>
      <c r="R727" s="288"/>
      <c r="S727" s="236"/>
      <c r="T727" s="254"/>
    </row>
    <row r="728" spans="2:20" outlineLevel="2">
      <c r="B728" s="261"/>
      <c r="C728" s="246"/>
      <c r="D728" s="253"/>
      <c r="E728" s="236"/>
      <c r="F728" s="254"/>
      <c r="G728" s="236"/>
      <c r="H728" s="659"/>
      <c r="I728" s="659"/>
      <c r="J728" s="659"/>
      <c r="K728" s="659"/>
      <c r="L728" s="236"/>
      <c r="M728" s="254"/>
      <c r="N728" s="236"/>
      <c r="O728" s="686"/>
      <c r="P728" s="686"/>
      <c r="Q728" s="686"/>
      <c r="R728" s="686"/>
      <c r="S728" s="236"/>
      <c r="T728" s="254"/>
    </row>
    <row r="729" spans="2:20" outlineLevel="2">
      <c r="B729" s="246"/>
      <c r="C729" s="246" t="s">
        <v>317</v>
      </c>
      <c r="D729" s="253" t="s">
        <v>28</v>
      </c>
      <c r="E729" s="236"/>
      <c r="F729" s="254"/>
      <c r="G729" s="236"/>
      <c r="H729" s="342"/>
      <c r="I729" s="342"/>
      <c r="J729" s="342"/>
      <c r="K729" s="342"/>
      <c r="L729" s="236"/>
      <c r="M729" s="254"/>
      <c r="N729" s="236"/>
      <c r="O729" s="371"/>
      <c r="P729" s="371"/>
      <c r="Q729" s="371"/>
      <c r="R729" s="371"/>
      <c r="S729" s="236"/>
      <c r="T729" s="254"/>
    </row>
    <row r="730" spans="2:20" outlineLevel="2">
      <c r="B730" s="246"/>
      <c r="C730" s="246" t="s">
        <v>317</v>
      </c>
      <c r="D730" s="253" t="s">
        <v>28</v>
      </c>
      <c r="E730" s="236"/>
      <c r="F730" s="254"/>
      <c r="G730" s="236"/>
      <c r="H730" s="345"/>
      <c r="I730" s="345"/>
      <c r="J730" s="345"/>
      <c r="K730" s="345"/>
      <c r="L730" s="236"/>
      <c r="M730" s="254"/>
      <c r="N730" s="236"/>
      <c r="O730" s="372"/>
      <c r="P730" s="372"/>
      <c r="Q730" s="372"/>
      <c r="R730" s="372"/>
      <c r="S730" s="236"/>
      <c r="T730" s="254"/>
    </row>
    <row r="731" spans="2:20" outlineLevel="2">
      <c r="B731" s="246"/>
      <c r="C731" s="246" t="s">
        <v>317</v>
      </c>
      <c r="D731" s="253" t="s">
        <v>28</v>
      </c>
      <c r="E731" s="236"/>
      <c r="F731" s="254"/>
      <c r="G731" s="236"/>
      <c r="H731" s="342"/>
      <c r="I731" s="342"/>
      <c r="J731" s="342"/>
      <c r="K731" s="342"/>
      <c r="L731" s="236"/>
      <c r="M731" s="254"/>
      <c r="N731" s="236"/>
      <c r="O731" s="371"/>
      <c r="P731" s="371"/>
      <c r="Q731" s="371"/>
      <c r="R731" s="371"/>
      <c r="S731" s="236"/>
      <c r="T731" s="254"/>
    </row>
    <row r="732" spans="2:20" outlineLevel="2">
      <c r="B732" s="246"/>
      <c r="C732" s="246"/>
      <c r="D732" s="253"/>
      <c r="E732" s="236"/>
      <c r="F732" s="254"/>
      <c r="G732" s="236"/>
      <c r="H732" s="659"/>
      <c r="I732" s="659"/>
      <c r="J732" s="659"/>
      <c r="K732" s="659"/>
      <c r="L732" s="236"/>
      <c r="M732" s="254"/>
      <c r="N732" s="236"/>
      <c r="O732" s="686"/>
      <c r="P732" s="686"/>
      <c r="Q732" s="686"/>
      <c r="R732" s="686"/>
      <c r="S732" s="236"/>
      <c r="T732" s="254"/>
    </row>
    <row r="733" spans="2:20" outlineLevel="2">
      <c r="B733" s="246"/>
      <c r="C733" s="246" t="s">
        <v>317</v>
      </c>
      <c r="D733" s="253" t="s">
        <v>976</v>
      </c>
      <c r="E733" s="236"/>
      <c r="F733" s="254"/>
      <c r="G733" s="236"/>
      <c r="H733" s="345"/>
      <c r="I733" s="345"/>
      <c r="J733" s="345"/>
      <c r="K733" s="345"/>
      <c r="L733" s="236"/>
      <c r="M733" s="254"/>
      <c r="N733" s="236"/>
      <c r="O733" s="372"/>
      <c r="P733" s="372"/>
      <c r="Q733" s="372"/>
      <c r="R733" s="372"/>
      <c r="S733" s="236"/>
      <c r="T733" s="254"/>
    </row>
    <row r="734" spans="2:20" outlineLevel="2">
      <c r="B734" s="246"/>
      <c r="C734" s="246" t="s">
        <v>317</v>
      </c>
      <c r="D734" s="253" t="s">
        <v>976</v>
      </c>
      <c r="E734" s="236"/>
      <c r="F734" s="254"/>
      <c r="G734" s="236"/>
      <c r="H734" s="342"/>
      <c r="I734" s="342"/>
      <c r="J734" s="342"/>
      <c r="K734" s="342"/>
      <c r="L734" s="236"/>
      <c r="M734" s="254"/>
      <c r="N734" s="236"/>
      <c r="O734" s="371"/>
      <c r="P734" s="371"/>
      <c r="Q734" s="371"/>
      <c r="R734" s="371"/>
      <c r="S734" s="236"/>
      <c r="T734" s="254"/>
    </row>
    <row r="735" spans="2:20" outlineLevel="2">
      <c r="B735" s="246"/>
      <c r="C735" s="246" t="s">
        <v>317</v>
      </c>
      <c r="D735" s="253" t="s">
        <v>976</v>
      </c>
      <c r="E735" s="236"/>
      <c r="F735" s="254"/>
      <c r="G735" s="236"/>
      <c r="H735" s="345"/>
      <c r="I735" s="345"/>
      <c r="J735" s="345"/>
      <c r="K735" s="345"/>
      <c r="L735" s="236"/>
      <c r="M735" s="254"/>
      <c r="N735" s="236"/>
      <c r="O735" s="372"/>
      <c r="P735" s="372"/>
      <c r="Q735" s="372"/>
      <c r="R735" s="372"/>
      <c r="S735" s="236"/>
      <c r="T735" s="254"/>
    </row>
    <row r="736" spans="2:20" ht="3" customHeight="1" outlineLevel="1">
      <c r="B736" s="246"/>
      <c r="C736" s="246"/>
      <c r="D736" s="253"/>
      <c r="E736" s="236"/>
      <c r="F736" s="254"/>
      <c r="G736" s="236"/>
      <c r="H736" s="670"/>
      <c r="I736" s="670"/>
      <c r="J736" s="670"/>
      <c r="K736" s="670"/>
      <c r="L736" s="236"/>
      <c r="M736" s="254"/>
      <c r="N736" s="236"/>
      <c r="O736" s="671"/>
      <c r="P736" s="671"/>
      <c r="Q736" s="671"/>
      <c r="R736" s="671"/>
      <c r="S736" s="236"/>
      <c r="T736" s="254"/>
    </row>
    <row r="737" spans="2:20" s="238" customFormat="1" outlineLevel="1">
      <c r="B737" s="239" t="s">
        <v>315</v>
      </c>
      <c r="C737" s="239"/>
      <c r="D737" s="239"/>
      <c r="E737" s="236"/>
      <c r="F737" s="254"/>
      <c r="G737" s="236"/>
      <c r="H737" s="240">
        <f>COUNTA(H738:H743)</f>
        <v>4</v>
      </c>
      <c r="I737" s="240"/>
      <c r="J737" s="240"/>
      <c r="K737" s="240"/>
      <c r="L737" s="236"/>
      <c r="M737" s="254"/>
      <c r="N737" s="236"/>
      <c r="O737" s="265">
        <f>SUM(O738:O743)</f>
        <v>0.43655340342342008</v>
      </c>
      <c r="P737" s="265"/>
      <c r="Q737" s="265"/>
      <c r="R737" s="265"/>
      <c r="S737" s="236"/>
      <c r="T737" s="254"/>
    </row>
    <row r="738" spans="2:20" outlineLevel="2">
      <c r="B738" s="246"/>
      <c r="C738" s="246" t="s">
        <v>315</v>
      </c>
      <c r="D738" s="253" t="s">
        <v>1003</v>
      </c>
      <c r="E738" s="236"/>
      <c r="F738" s="254"/>
      <c r="G738" s="236"/>
      <c r="H738" s="261" t="s">
        <v>457</v>
      </c>
      <c r="I738" s="261"/>
      <c r="J738" s="261"/>
      <c r="K738" s="261"/>
      <c r="L738" s="236"/>
      <c r="M738" s="254"/>
      <c r="N738" s="236"/>
      <c r="O738" s="288">
        <v>0.12160261933800001</v>
      </c>
      <c r="P738" s="288"/>
      <c r="Q738" s="288"/>
      <c r="R738" s="288"/>
      <c r="S738" s="236"/>
      <c r="T738" s="254"/>
    </row>
    <row r="739" spans="2:20" outlineLevel="2">
      <c r="B739" s="246"/>
      <c r="C739" s="246" t="s">
        <v>315</v>
      </c>
      <c r="D739" s="253" t="s">
        <v>1003</v>
      </c>
      <c r="E739" s="236"/>
      <c r="F739" s="254"/>
      <c r="G739" s="236"/>
      <c r="H739" s="659" t="s">
        <v>458</v>
      </c>
      <c r="I739" s="659"/>
      <c r="J739" s="659"/>
      <c r="K739" s="659"/>
      <c r="L739" s="236"/>
      <c r="M739" s="254"/>
      <c r="N739" s="236"/>
      <c r="O739" s="288">
        <v>0.24320523867600002</v>
      </c>
      <c r="P739" s="288"/>
      <c r="Q739" s="288"/>
      <c r="R739" s="288"/>
      <c r="S739" s="236"/>
      <c r="T739" s="254"/>
    </row>
    <row r="740" spans="2:20" outlineLevel="2">
      <c r="B740" s="261"/>
      <c r="C740" s="246"/>
      <c r="D740" s="253"/>
      <c r="E740" s="236"/>
      <c r="F740" s="254"/>
      <c r="G740" s="236"/>
      <c r="H740" s="659"/>
      <c r="I740" s="659"/>
      <c r="J740" s="659"/>
      <c r="K740" s="659"/>
      <c r="L740" s="236"/>
      <c r="M740" s="254"/>
      <c r="N740" s="236"/>
      <c r="O740" s="686"/>
      <c r="P740" s="686"/>
      <c r="Q740" s="686"/>
      <c r="R740" s="686"/>
      <c r="S740" s="236"/>
      <c r="T740" s="254"/>
    </row>
    <row r="741" spans="2:20" outlineLevel="2">
      <c r="B741" s="246"/>
      <c r="C741" s="246" t="s">
        <v>315</v>
      </c>
      <c r="D741" s="253" t="s">
        <v>28</v>
      </c>
      <c r="E741" s="236"/>
      <c r="F741" s="254"/>
      <c r="G741" s="236"/>
      <c r="H741" s="659" t="s">
        <v>458</v>
      </c>
      <c r="I741" s="659"/>
      <c r="J741" s="659"/>
      <c r="K741" s="659"/>
      <c r="L741" s="236"/>
      <c r="M741" s="254"/>
      <c r="N741" s="236"/>
      <c r="O741" s="288">
        <v>5.7396436327535993E-2</v>
      </c>
      <c r="P741" s="288"/>
      <c r="Q741" s="288"/>
      <c r="R741" s="288"/>
      <c r="S741" s="236"/>
      <c r="T741" s="254"/>
    </row>
    <row r="742" spans="2:20" outlineLevel="2">
      <c r="B742" s="246"/>
      <c r="C742" s="246"/>
      <c r="D742" s="253"/>
      <c r="E742" s="236"/>
      <c r="F742" s="254"/>
      <c r="G742" s="236"/>
      <c r="H742" s="659"/>
      <c r="I742" s="659"/>
      <c r="J742" s="659"/>
      <c r="K742" s="659"/>
      <c r="L742" s="236"/>
      <c r="M742" s="254"/>
      <c r="N742" s="236"/>
      <c r="O742" s="686"/>
      <c r="P742" s="686"/>
      <c r="Q742" s="686"/>
      <c r="R742" s="686"/>
      <c r="S742" s="236"/>
      <c r="T742" s="254"/>
    </row>
    <row r="743" spans="2:20" outlineLevel="2">
      <c r="B743" s="246"/>
      <c r="C743" s="246" t="s">
        <v>315</v>
      </c>
      <c r="D743" s="253" t="s">
        <v>976</v>
      </c>
      <c r="E743" s="236"/>
      <c r="F743" s="254"/>
      <c r="G743" s="236"/>
      <c r="H743" s="659" t="s">
        <v>458</v>
      </c>
      <c r="I743" s="659"/>
      <c r="J743" s="659"/>
      <c r="K743" s="659"/>
      <c r="L743" s="236"/>
      <c r="M743" s="254"/>
      <c r="N743" s="236"/>
      <c r="O743" s="686">
        <v>1.4349109081883998E-2</v>
      </c>
      <c r="P743" s="686"/>
      <c r="Q743" s="686"/>
      <c r="R743" s="686"/>
      <c r="S743" s="236"/>
      <c r="T743" s="254"/>
    </row>
    <row r="744" spans="2:20" ht="3" customHeight="1" outlineLevel="1">
      <c r="B744" s="246"/>
      <c r="C744" s="246"/>
      <c r="D744" s="253"/>
      <c r="E744" s="236"/>
      <c r="F744" s="254"/>
      <c r="G744" s="236"/>
      <c r="H744" s="670"/>
      <c r="I744" s="670"/>
      <c r="J744" s="670"/>
      <c r="K744" s="670"/>
      <c r="L744" s="236"/>
      <c r="M744" s="254"/>
      <c r="N744" s="236"/>
      <c r="O744" s="671"/>
      <c r="P744" s="671"/>
      <c r="Q744" s="671"/>
      <c r="R744" s="671"/>
      <c r="S744" s="236"/>
      <c r="T744" s="254"/>
    </row>
    <row r="745" spans="2:20" s="238" customFormat="1" outlineLevel="1">
      <c r="B745" s="273" t="s">
        <v>843</v>
      </c>
      <c r="C745" s="239"/>
      <c r="D745" s="239"/>
      <c r="E745" s="236"/>
      <c r="F745" s="254"/>
      <c r="G745" s="236"/>
      <c r="H745" s="240">
        <f>COUNTA(H746)</f>
        <v>0</v>
      </c>
      <c r="I745" s="240"/>
      <c r="J745" s="240"/>
      <c r="K745" s="240"/>
      <c r="L745" s="236"/>
      <c r="M745" s="254"/>
      <c r="N745" s="236"/>
      <c r="O745" s="265">
        <f>SUM(O746:O757)</f>
        <v>0</v>
      </c>
      <c r="P745" s="265"/>
      <c r="Q745" s="265"/>
      <c r="R745" s="265"/>
      <c r="S745" s="236"/>
      <c r="T745" s="254"/>
    </row>
    <row r="746" spans="2:20" outlineLevel="3">
      <c r="B746" s="246"/>
      <c r="C746" s="246" t="s">
        <v>843</v>
      </c>
      <c r="D746" s="253" t="s">
        <v>1003</v>
      </c>
      <c r="E746" s="236"/>
      <c r="F746" s="254"/>
      <c r="G746" s="236"/>
      <c r="H746" s="261"/>
      <c r="I746" s="261"/>
      <c r="J746" s="261"/>
      <c r="K746" s="261"/>
      <c r="L746" s="236"/>
      <c r="M746" s="254"/>
      <c r="N746" s="236"/>
      <c r="O746" s="663"/>
      <c r="P746" s="663"/>
      <c r="Q746" s="663"/>
      <c r="R746" s="663"/>
      <c r="S746" s="236"/>
      <c r="T746" s="254"/>
    </row>
    <row r="747" spans="2:20" outlineLevel="3">
      <c r="B747" s="246"/>
      <c r="C747" s="341" t="s">
        <v>843</v>
      </c>
      <c r="D747" s="342" t="s">
        <v>1003</v>
      </c>
      <c r="E747" s="343"/>
      <c r="F747" s="344"/>
      <c r="G747" s="343"/>
      <c r="H747" s="342"/>
      <c r="I747" s="342"/>
      <c r="J747" s="342"/>
      <c r="K747" s="342"/>
      <c r="L747" s="236"/>
      <c r="M747" s="254"/>
      <c r="N747" s="236"/>
      <c r="O747" s="673"/>
      <c r="P747" s="673"/>
      <c r="Q747" s="673"/>
      <c r="R747" s="673"/>
      <c r="S747" s="236"/>
      <c r="T747" s="254"/>
    </row>
    <row r="748" spans="2:20" outlineLevel="3">
      <c r="B748" s="246"/>
      <c r="C748" s="341" t="s">
        <v>843</v>
      </c>
      <c r="D748" s="342" t="s">
        <v>1003</v>
      </c>
      <c r="E748" s="343"/>
      <c r="F748" s="344"/>
      <c r="G748" s="343"/>
      <c r="H748" s="342"/>
      <c r="I748" s="342"/>
      <c r="J748" s="342"/>
      <c r="K748" s="342"/>
      <c r="L748" s="236"/>
      <c r="M748" s="254"/>
      <c r="N748" s="236"/>
      <c r="O748" s="673"/>
      <c r="P748" s="673"/>
      <c r="Q748" s="673"/>
      <c r="R748" s="673"/>
      <c r="S748" s="236"/>
      <c r="T748" s="254"/>
    </row>
    <row r="749" spans="2:20" outlineLevel="2">
      <c r="B749" s="261"/>
      <c r="C749" s="341"/>
      <c r="D749" s="342"/>
      <c r="E749" s="343"/>
      <c r="F749" s="344"/>
      <c r="G749" s="343"/>
      <c r="H749" s="345"/>
      <c r="I749" s="345"/>
      <c r="J749" s="345"/>
      <c r="K749" s="345"/>
      <c r="L749" s="236"/>
      <c r="M749" s="254"/>
      <c r="N749" s="236"/>
      <c r="O749" s="663"/>
      <c r="P749" s="663"/>
      <c r="Q749" s="663"/>
      <c r="R749" s="663"/>
      <c r="S749" s="236"/>
      <c r="T749" s="254"/>
    </row>
    <row r="750" spans="2:20" outlineLevel="2">
      <c r="B750" s="246"/>
      <c r="C750" s="341" t="s">
        <v>843</v>
      </c>
      <c r="D750" s="342" t="s">
        <v>28</v>
      </c>
      <c r="E750" s="343"/>
      <c r="F750" s="344"/>
      <c r="G750" s="343"/>
      <c r="H750" s="342"/>
      <c r="I750" s="342"/>
      <c r="J750" s="342"/>
      <c r="K750" s="342"/>
      <c r="L750" s="236"/>
      <c r="M750" s="254"/>
      <c r="N750" s="236"/>
      <c r="O750" s="663"/>
      <c r="P750" s="663"/>
      <c r="Q750" s="663"/>
      <c r="R750" s="663"/>
      <c r="S750" s="236"/>
      <c r="T750" s="254"/>
    </row>
    <row r="751" spans="2:20" outlineLevel="2">
      <c r="B751" s="246"/>
      <c r="C751" s="341" t="s">
        <v>843</v>
      </c>
      <c r="D751" s="342" t="s">
        <v>28</v>
      </c>
      <c r="E751" s="343"/>
      <c r="F751" s="344"/>
      <c r="G751" s="343"/>
      <c r="H751" s="342"/>
      <c r="I751" s="342"/>
      <c r="J751" s="342"/>
      <c r="K751" s="342"/>
      <c r="L751" s="236"/>
      <c r="M751" s="254"/>
      <c r="N751" s="236"/>
      <c r="O751" s="663"/>
      <c r="P751" s="663"/>
      <c r="Q751" s="663"/>
      <c r="R751" s="663"/>
      <c r="S751" s="236"/>
      <c r="T751" s="254"/>
    </row>
    <row r="752" spans="2:20" outlineLevel="2">
      <c r="B752" s="246"/>
      <c r="C752" s="341" t="s">
        <v>843</v>
      </c>
      <c r="D752" s="342" t="s">
        <v>28</v>
      </c>
      <c r="E752" s="343"/>
      <c r="F752" s="344"/>
      <c r="G752" s="343"/>
      <c r="H752" s="342"/>
      <c r="I752" s="342"/>
      <c r="J752" s="342"/>
      <c r="K752" s="342"/>
      <c r="L752" s="236"/>
      <c r="M752" s="254"/>
      <c r="N752" s="236"/>
      <c r="O752" s="663"/>
      <c r="P752" s="663"/>
      <c r="Q752" s="663"/>
      <c r="R752" s="663"/>
      <c r="S752" s="236"/>
      <c r="T752" s="254"/>
    </row>
    <row r="753" spans="2:20" outlineLevel="2">
      <c r="B753" s="246"/>
      <c r="C753" s="341"/>
      <c r="D753" s="342"/>
      <c r="E753" s="343"/>
      <c r="F753" s="344"/>
      <c r="G753" s="343"/>
      <c r="H753" s="345"/>
      <c r="I753" s="345"/>
      <c r="J753" s="345"/>
      <c r="K753" s="345"/>
      <c r="L753" s="236"/>
      <c r="M753" s="254"/>
      <c r="N753" s="236"/>
      <c r="O753" s="663"/>
      <c r="P753" s="663"/>
      <c r="Q753" s="663"/>
      <c r="R753" s="663"/>
      <c r="S753" s="236"/>
      <c r="T753" s="254"/>
    </row>
    <row r="754" spans="2:20" outlineLevel="2">
      <c r="B754" s="246"/>
      <c r="C754" s="341" t="s">
        <v>843</v>
      </c>
      <c r="D754" s="342" t="s">
        <v>976</v>
      </c>
      <c r="E754" s="343"/>
      <c r="F754" s="344"/>
      <c r="G754" s="343"/>
      <c r="H754" s="342"/>
      <c r="I754" s="342"/>
      <c r="J754" s="342"/>
      <c r="K754" s="342"/>
      <c r="L754" s="236"/>
      <c r="M754" s="254"/>
      <c r="N754" s="236"/>
      <c r="O754" s="663"/>
      <c r="P754" s="663"/>
      <c r="Q754" s="663"/>
      <c r="R754" s="663"/>
      <c r="S754" s="236"/>
      <c r="T754" s="254"/>
    </row>
    <row r="755" spans="2:20" outlineLevel="2">
      <c r="B755" s="246"/>
      <c r="C755" s="341" t="s">
        <v>843</v>
      </c>
      <c r="D755" s="342" t="s">
        <v>976</v>
      </c>
      <c r="E755" s="343"/>
      <c r="F755" s="344"/>
      <c r="G755" s="343"/>
      <c r="H755" s="342"/>
      <c r="I755" s="342"/>
      <c r="J755" s="342"/>
      <c r="K755" s="342"/>
      <c r="L755" s="236"/>
      <c r="M755" s="254"/>
      <c r="N755" s="236"/>
      <c r="O755" s="663"/>
      <c r="P755" s="663"/>
      <c r="Q755" s="663"/>
      <c r="R755" s="663"/>
      <c r="S755" s="236"/>
      <c r="T755" s="254"/>
    </row>
    <row r="756" spans="2:20" outlineLevel="2">
      <c r="B756" s="246"/>
      <c r="C756" s="341" t="s">
        <v>843</v>
      </c>
      <c r="D756" s="342" t="s">
        <v>976</v>
      </c>
      <c r="E756" s="343"/>
      <c r="F756" s="344"/>
      <c r="G756" s="343"/>
      <c r="H756" s="342"/>
      <c r="I756" s="342"/>
      <c r="J756" s="342"/>
      <c r="K756" s="342"/>
      <c r="L756" s="236"/>
      <c r="M756" s="254"/>
      <c r="N756" s="236"/>
      <c r="O756" s="663"/>
      <c r="P756" s="663"/>
      <c r="Q756" s="663"/>
      <c r="R756" s="663"/>
      <c r="S756" s="236"/>
      <c r="T756" s="254"/>
    </row>
    <row r="757" spans="2:20" outlineLevel="2">
      <c r="B757" s="246"/>
      <c r="C757" s="341" t="s">
        <v>843</v>
      </c>
      <c r="D757" s="342" t="s">
        <v>976</v>
      </c>
      <c r="E757" s="343"/>
      <c r="F757" s="344"/>
      <c r="G757" s="343"/>
      <c r="H757" s="342"/>
      <c r="I757" s="342"/>
      <c r="J757" s="342"/>
      <c r="K757" s="342"/>
      <c r="L757" s="236"/>
      <c r="M757" s="254"/>
      <c r="N757" s="236"/>
      <c r="O757" s="663"/>
      <c r="P757" s="663"/>
      <c r="Q757" s="663"/>
      <c r="R757" s="663"/>
      <c r="S757" s="236"/>
      <c r="T757" s="254"/>
    </row>
    <row r="758" spans="2:20" ht="3" customHeight="1" outlineLevel="1">
      <c r="B758" s="246"/>
      <c r="C758" s="246"/>
      <c r="D758" s="253"/>
      <c r="E758" s="236"/>
      <c r="F758" s="254"/>
      <c r="G758" s="236"/>
      <c r="H758" s="670"/>
      <c r="I758" s="670"/>
      <c r="J758" s="670"/>
      <c r="K758" s="670"/>
      <c r="L758" s="236"/>
      <c r="M758" s="254"/>
      <c r="N758" s="236"/>
      <c r="O758" s="671"/>
      <c r="P758" s="671"/>
      <c r="Q758" s="671"/>
      <c r="R758" s="671"/>
      <c r="S758" s="236"/>
      <c r="T758" s="254"/>
    </row>
    <row r="759" spans="2:20" s="238" customFormat="1" outlineLevel="1">
      <c r="B759" s="273" t="s">
        <v>581</v>
      </c>
      <c r="C759" s="239"/>
      <c r="D759" s="239"/>
      <c r="E759" s="236"/>
      <c r="F759" s="254"/>
      <c r="G759" s="236"/>
      <c r="H759" s="240"/>
      <c r="I759" s="240"/>
      <c r="J759" s="240"/>
      <c r="K759" s="240"/>
      <c r="L759" s="236"/>
      <c r="M759" s="254"/>
      <c r="N759" s="236"/>
      <c r="O759" s="265">
        <f>SUM(O760:O761)</f>
        <v>0</v>
      </c>
      <c r="P759" s="265"/>
      <c r="Q759" s="265"/>
      <c r="R759" s="265"/>
      <c r="S759" s="236"/>
      <c r="T759" s="254"/>
    </row>
    <row r="760" spans="2:20" outlineLevel="2">
      <c r="B760" s="246"/>
      <c r="C760" s="246" t="s">
        <v>581</v>
      </c>
      <c r="D760" s="253" t="s">
        <v>1003</v>
      </c>
      <c r="E760" s="236"/>
      <c r="F760" s="254"/>
      <c r="G760" s="236"/>
      <c r="H760" s="261"/>
      <c r="I760" s="261"/>
      <c r="J760" s="261"/>
      <c r="K760" s="261"/>
      <c r="L760" s="236"/>
      <c r="M760" s="254"/>
      <c r="N760" s="236"/>
      <c r="O760" s="288"/>
      <c r="P760" s="288"/>
      <c r="Q760" s="288"/>
      <c r="R760" s="288"/>
      <c r="S760" s="236"/>
      <c r="T760" s="254"/>
    </row>
    <row r="761" spans="2:20" outlineLevel="2">
      <c r="B761" s="246"/>
      <c r="C761" s="246"/>
      <c r="D761" s="253"/>
      <c r="E761" s="236"/>
      <c r="F761" s="254"/>
      <c r="G761" s="236"/>
      <c r="H761" s="261"/>
      <c r="I761" s="261"/>
      <c r="J761" s="261"/>
      <c r="K761" s="261"/>
      <c r="L761" s="236"/>
      <c r="M761" s="254"/>
      <c r="N761" s="236"/>
      <c r="O761" s="663"/>
      <c r="P761" s="663"/>
      <c r="Q761" s="663"/>
      <c r="R761" s="663"/>
      <c r="S761" s="236"/>
      <c r="T761" s="254"/>
    </row>
    <row r="762" spans="2:20" ht="3" customHeight="1" outlineLevel="1">
      <c r="B762" s="246"/>
      <c r="C762" s="246"/>
      <c r="D762" s="253"/>
      <c r="E762" s="236"/>
      <c r="F762" s="254"/>
      <c r="G762" s="236"/>
      <c r="H762" s="670"/>
      <c r="I762" s="670"/>
      <c r="J762" s="670"/>
      <c r="K762" s="670"/>
      <c r="L762" s="236"/>
      <c r="M762" s="254"/>
      <c r="N762" s="236"/>
      <c r="O762" s="671"/>
      <c r="P762" s="671"/>
      <c r="Q762" s="671"/>
      <c r="R762" s="671"/>
      <c r="S762" s="236"/>
      <c r="T762" s="254"/>
    </row>
    <row r="763" spans="2:20" s="238" customFormat="1" outlineLevel="1">
      <c r="B763" s="273" t="s">
        <v>1011</v>
      </c>
      <c r="C763" s="239"/>
      <c r="D763" s="239"/>
      <c r="E763" s="236"/>
      <c r="F763" s="254"/>
      <c r="G763" s="236"/>
      <c r="H763" s="240"/>
      <c r="I763" s="240"/>
      <c r="J763" s="240"/>
      <c r="K763" s="240"/>
      <c r="L763" s="236"/>
      <c r="M763" s="254"/>
      <c r="N763" s="236"/>
      <c r="O763" s="265">
        <f>SUM(O764:O769)</f>
        <v>0</v>
      </c>
      <c r="P763" s="265"/>
      <c r="Q763" s="265"/>
      <c r="R763" s="265"/>
      <c r="S763" s="236"/>
      <c r="T763" s="254"/>
    </row>
    <row r="764" spans="2:20" outlineLevel="3">
      <c r="B764" s="246"/>
      <c r="C764" s="246" t="s">
        <v>1011</v>
      </c>
      <c r="D764" s="253" t="s">
        <v>1003</v>
      </c>
      <c r="E764" s="236"/>
      <c r="F764" s="254"/>
      <c r="G764" s="236"/>
      <c r="H764" s="261"/>
      <c r="I764" s="261"/>
      <c r="J764" s="261"/>
      <c r="K764" s="261"/>
      <c r="L764" s="236"/>
      <c r="M764" s="254"/>
      <c r="N764" s="236"/>
      <c r="O764" s="288"/>
      <c r="P764" s="288"/>
      <c r="Q764" s="288"/>
      <c r="R764" s="288"/>
      <c r="S764" s="236"/>
      <c r="T764" s="254"/>
    </row>
    <row r="765" spans="2:20" outlineLevel="3">
      <c r="B765" s="246"/>
      <c r="C765" s="246"/>
      <c r="D765" s="253"/>
      <c r="E765" s="236"/>
      <c r="F765" s="254"/>
      <c r="G765" s="236"/>
      <c r="H765" s="659"/>
      <c r="I765" s="659"/>
      <c r="J765" s="659"/>
      <c r="K765" s="659"/>
      <c r="L765" s="236"/>
      <c r="M765" s="254"/>
      <c r="N765" s="236"/>
      <c r="O765" s="686"/>
      <c r="P765" s="686"/>
      <c r="Q765" s="686"/>
      <c r="R765" s="686"/>
      <c r="S765" s="236"/>
      <c r="T765" s="254"/>
    </row>
    <row r="766" spans="2:20" outlineLevel="2">
      <c r="B766" s="261"/>
      <c r="C766" s="246" t="s">
        <v>1011</v>
      </c>
      <c r="D766" s="253"/>
      <c r="E766" s="236"/>
      <c r="F766" s="254"/>
      <c r="G766" s="236"/>
      <c r="H766" s="261"/>
      <c r="I766" s="261"/>
      <c r="J766" s="261"/>
      <c r="K766" s="261"/>
      <c r="L766" s="236"/>
      <c r="M766" s="254"/>
      <c r="N766" s="236"/>
      <c r="O766" s="288"/>
      <c r="P766" s="288"/>
      <c r="Q766" s="288"/>
      <c r="R766" s="288"/>
      <c r="S766" s="236"/>
      <c r="T766" s="254"/>
    </row>
    <row r="767" spans="2:20" outlineLevel="2">
      <c r="B767" s="246"/>
      <c r="C767" s="246"/>
      <c r="D767" s="253"/>
      <c r="E767" s="236"/>
      <c r="F767" s="254"/>
      <c r="G767" s="236"/>
      <c r="H767" s="659"/>
      <c r="I767" s="659"/>
      <c r="J767" s="659"/>
      <c r="K767" s="659"/>
      <c r="L767" s="236"/>
      <c r="M767" s="254"/>
      <c r="N767" s="236"/>
      <c r="O767" s="686"/>
      <c r="P767" s="686"/>
      <c r="Q767" s="686"/>
      <c r="R767" s="686"/>
      <c r="S767" s="236"/>
      <c r="T767" s="254"/>
    </row>
    <row r="768" spans="2:20" outlineLevel="2">
      <c r="B768" s="246"/>
      <c r="C768" s="246" t="s">
        <v>1011</v>
      </c>
      <c r="D768" s="253"/>
      <c r="E768" s="236"/>
      <c r="F768" s="254"/>
      <c r="G768" s="236"/>
      <c r="H768" s="261"/>
      <c r="I768" s="261"/>
      <c r="J768" s="261"/>
      <c r="K768" s="261"/>
      <c r="L768" s="236"/>
      <c r="M768" s="254"/>
      <c r="N768" s="236"/>
      <c r="O768" s="288"/>
      <c r="P768" s="288"/>
      <c r="Q768" s="288"/>
      <c r="R768" s="288"/>
      <c r="S768" s="236"/>
      <c r="T768" s="254"/>
    </row>
    <row r="769" spans="2:20" outlineLevel="2">
      <c r="B769" s="246"/>
      <c r="C769" s="246"/>
      <c r="D769" s="253"/>
      <c r="E769" s="236"/>
      <c r="F769" s="254"/>
      <c r="G769" s="236"/>
      <c r="H769" s="261"/>
      <c r="I769" s="261"/>
      <c r="J769" s="261"/>
      <c r="K769" s="261"/>
      <c r="L769" s="236"/>
      <c r="M769" s="254"/>
      <c r="N769" s="236"/>
      <c r="O769" s="288"/>
      <c r="P769" s="288"/>
      <c r="Q769" s="288"/>
      <c r="R769" s="288"/>
      <c r="S769" s="236"/>
      <c r="T769" s="254"/>
    </row>
    <row r="770" spans="2:20" outlineLevel="1">
      <c r="B770" s="666"/>
      <c r="C770" s="666"/>
      <c r="D770" s="666"/>
      <c r="E770" s="236"/>
      <c r="F770" s="254"/>
      <c r="G770" s="236"/>
      <c r="H770" s="670"/>
      <c r="I770" s="670"/>
      <c r="J770" s="670"/>
      <c r="K770" s="670"/>
      <c r="L770" s="236"/>
      <c r="M770" s="254"/>
      <c r="N770" s="236"/>
      <c r="O770" s="671"/>
      <c r="P770" s="671"/>
      <c r="Q770" s="671"/>
      <c r="R770" s="671"/>
      <c r="S770" s="236"/>
      <c r="T770" s="254"/>
    </row>
    <row r="771" spans="2:20" s="238" customFormat="1" outlineLevel="1">
      <c r="B771" s="273" t="s">
        <v>589</v>
      </c>
      <c r="C771" s="239"/>
      <c r="D771" s="239"/>
      <c r="E771" s="236"/>
      <c r="F771" s="254"/>
      <c r="G771" s="236"/>
      <c r="H771" s="240"/>
      <c r="I771" s="240"/>
      <c r="J771" s="240"/>
      <c r="K771" s="240"/>
      <c r="L771" s="236"/>
      <c r="M771" s="254"/>
      <c r="N771" s="236"/>
      <c r="O771" s="265">
        <f>SUM(O772:O772)</f>
        <v>0</v>
      </c>
      <c r="P771" s="265"/>
      <c r="Q771" s="265"/>
      <c r="R771" s="265"/>
      <c r="S771" s="236"/>
      <c r="T771" s="254"/>
    </row>
    <row r="772" spans="2:20" outlineLevel="3">
      <c r="B772" s="246"/>
      <c r="C772" s="246" t="s">
        <v>589</v>
      </c>
      <c r="D772" s="253" t="s">
        <v>1003</v>
      </c>
      <c r="E772" s="236"/>
      <c r="F772" s="254"/>
      <c r="G772" s="236"/>
      <c r="H772" s="261"/>
      <c r="I772" s="261"/>
      <c r="J772" s="261"/>
      <c r="K772" s="261"/>
      <c r="L772" s="236"/>
      <c r="M772" s="254"/>
      <c r="N772" s="236"/>
      <c r="O772" s="288"/>
      <c r="P772" s="288"/>
      <c r="Q772" s="288"/>
      <c r="R772" s="288"/>
      <c r="S772" s="236"/>
      <c r="T772" s="254"/>
    </row>
    <row r="773" spans="2:20" outlineLevel="1">
      <c r="B773" s="666"/>
      <c r="C773" s="666"/>
      <c r="D773" s="666"/>
      <c r="E773" s="236"/>
      <c r="F773" s="254"/>
      <c r="G773" s="236"/>
      <c r="H773" s="670"/>
      <c r="I773" s="670"/>
      <c r="J773" s="670"/>
      <c r="K773" s="670"/>
      <c r="L773" s="236"/>
      <c r="M773" s="254"/>
      <c r="N773" s="236"/>
      <c r="O773" s="671"/>
      <c r="P773" s="671"/>
      <c r="Q773" s="671"/>
      <c r="R773" s="671"/>
      <c r="S773" s="236"/>
      <c r="T773" s="254"/>
    </row>
    <row r="774" spans="2:20" s="238" customFormat="1" outlineLevel="1">
      <c r="B774" s="273" t="s">
        <v>580</v>
      </c>
      <c r="C774" s="239"/>
      <c r="D774" s="239"/>
      <c r="E774" s="236"/>
      <c r="F774" s="254"/>
      <c r="G774" s="236"/>
      <c r="H774" s="240"/>
      <c r="I774" s="240"/>
      <c r="J774" s="240"/>
      <c r="K774" s="240"/>
      <c r="L774" s="236"/>
      <c r="M774" s="254"/>
      <c r="N774" s="236"/>
      <c r="O774" s="265">
        <f>SUM(O775:O775)</f>
        <v>0</v>
      </c>
      <c r="P774" s="265"/>
      <c r="Q774" s="265"/>
      <c r="R774" s="265"/>
      <c r="S774" s="236"/>
      <c r="T774" s="254"/>
    </row>
    <row r="775" spans="2:20" outlineLevel="3">
      <c r="B775" s="246"/>
      <c r="C775" s="246" t="s">
        <v>580</v>
      </c>
      <c r="D775" s="253" t="s">
        <v>1003</v>
      </c>
      <c r="E775" s="236"/>
      <c r="F775" s="254"/>
      <c r="G775" s="236"/>
      <c r="H775" s="261"/>
      <c r="I775" s="261"/>
      <c r="J775" s="261"/>
      <c r="K775" s="261"/>
      <c r="L775" s="236"/>
      <c r="M775" s="254"/>
      <c r="N775" s="236"/>
      <c r="O775" s="288"/>
      <c r="P775" s="288"/>
      <c r="Q775" s="288"/>
      <c r="R775" s="288"/>
      <c r="S775" s="236"/>
      <c r="T775" s="254"/>
    </row>
    <row r="776" spans="2:20" outlineLevel="1">
      <c r="B776" s="666"/>
      <c r="C776" s="666"/>
      <c r="D776" s="666"/>
      <c r="E776" s="236"/>
      <c r="F776" s="254"/>
      <c r="G776" s="236"/>
      <c r="H776" s="670"/>
      <c r="I776" s="670"/>
      <c r="J776" s="670"/>
      <c r="K776" s="670"/>
      <c r="L776" s="236"/>
      <c r="M776" s="254"/>
      <c r="N776" s="236"/>
      <c r="O776" s="671"/>
      <c r="P776" s="671"/>
      <c r="Q776" s="671"/>
      <c r="R776" s="671"/>
      <c r="S776" s="236"/>
      <c r="T776" s="254"/>
    </row>
    <row r="777" spans="2:20" s="238" customFormat="1" outlineLevel="1">
      <c r="B777" s="273" t="s">
        <v>1012</v>
      </c>
      <c r="C777" s="239"/>
      <c r="D777" s="239"/>
      <c r="E777" s="236"/>
      <c r="F777" s="254"/>
      <c r="G777" s="236"/>
      <c r="H777" s="240"/>
      <c r="I777" s="240"/>
      <c r="J777" s="240"/>
      <c r="K777" s="240"/>
      <c r="L777" s="236"/>
      <c r="M777" s="254"/>
      <c r="N777" s="236"/>
      <c r="O777" s="265">
        <f>SUM(O778:O778)</f>
        <v>0</v>
      </c>
      <c r="P777" s="265"/>
      <c r="Q777" s="265"/>
      <c r="R777" s="265"/>
      <c r="S777" s="236"/>
      <c r="T777" s="254"/>
    </row>
    <row r="778" spans="2:20" outlineLevel="3">
      <c r="B778" s="246"/>
      <c r="C778" s="246" t="s">
        <v>1012</v>
      </c>
      <c r="D778" s="253" t="s">
        <v>1003</v>
      </c>
      <c r="E778" s="236"/>
      <c r="F778" s="254"/>
      <c r="G778" s="236"/>
      <c r="H778" s="261"/>
      <c r="I778" s="261"/>
      <c r="J778" s="261"/>
      <c r="K778" s="261"/>
      <c r="L778" s="236"/>
      <c r="M778" s="254"/>
      <c r="N778" s="236"/>
      <c r="O778" s="288"/>
      <c r="P778" s="288"/>
      <c r="Q778" s="288"/>
      <c r="R778" s="288"/>
      <c r="S778" s="236"/>
      <c r="T778" s="254"/>
    </row>
    <row r="779" spans="2:20" outlineLevel="1">
      <c r="B779" s="666"/>
      <c r="C779" s="666"/>
      <c r="D779" s="666"/>
      <c r="E779" s="236"/>
      <c r="F779" s="254"/>
      <c r="G779" s="236"/>
      <c r="H779" s="670"/>
      <c r="I779" s="670"/>
      <c r="J779" s="670"/>
      <c r="K779" s="670"/>
      <c r="L779" s="236"/>
      <c r="M779" s="254"/>
      <c r="N779" s="236"/>
      <c r="O779" s="671"/>
      <c r="P779" s="671"/>
      <c r="Q779" s="671"/>
      <c r="R779" s="671"/>
      <c r="S779" s="236"/>
      <c r="T779" s="254"/>
    </row>
    <row r="780" spans="2:20" s="238" customFormat="1" outlineLevel="1">
      <c r="B780" s="273" t="s">
        <v>586</v>
      </c>
      <c r="C780" s="239"/>
      <c r="D780" s="239"/>
      <c r="E780" s="236"/>
      <c r="F780" s="254"/>
      <c r="G780" s="236"/>
      <c r="H780" s="240">
        <f>COUNTA(H781:H785)</f>
        <v>0</v>
      </c>
      <c r="I780" s="240"/>
      <c r="J780" s="240"/>
      <c r="K780" s="240"/>
      <c r="L780" s="236"/>
      <c r="M780" s="254"/>
      <c r="N780" s="236"/>
      <c r="O780" s="265">
        <f>SUM(O781:O785)</f>
        <v>0</v>
      </c>
      <c r="P780" s="265"/>
      <c r="Q780" s="265"/>
      <c r="R780" s="265"/>
      <c r="S780" s="236"/>
      <c r="T780" s="254"/>
    </row>
    <row r="781" spans="2:20" outlineLevel="3">
      <c r="B781" s="246"/>
      <c r="C781" s="246" t="s">
        <v>586</v>
      </c>
      <c r="D781" s="253" t="s">
        <v>1003</v>
      </c>
      <c r="E781" s="236"/>
      <c r="F781" s="254"/>
      <c r="G781" s="236"/>
      <c r="H781" s="261"/>
      <c r="I781" s="261"/>
      <c r="J781" s="261"/>
      <c r="K781" s="261"/>
      <c r="L781" s="236"/>
      <c r="M781" s="254"/>
      <c r="N781" s="236"/>
      <c r="O781" s="288"/>
      <c r="P781" s="288"/>
      <c r="Q781" s="288"/>
      <c r="R781" s="288"/>
      <c r="S781" s="236"/>
      <c r="T781" s="254"/>
    </row>
    <row r="782" spans="2:20" outlineLevel="3">
      <c r="B782" s="246"/>
      <c r="C782" s="246"/>
      <c r="D782" s="253"/>
      <c r="E782" s="236"/>
      <c r="F782" s="254"/>
      <c r="G782" s="236"/>
      <c r="H782" s="659"/>
      <c r="I782" s="659"/>
      <c r="J782" s="659"/>
      <c r="K782" s="659"/>
      <c r="L782" s="236"/>
      <c r="M782" s="254"/>
      <c r="N782" s="236"/>
      <c r="O782" s="686"/>
      <c r="P782" s="686"/>
      <c r="Q782" s="686"/>
      <c r="R782" s="686"/>
      <c r="S782" s="236"/>
      <c r="T782" s="254"/>
    </row>
    <row r="783" spans="2:20" outlineLevel="2">
      <c r="B783" s="261"/>
      <c r="C783" s="246" t="s">
        <v>586</v>
      </c>
      <c r="D783" s="253"/>
      <c r="E783" s="236"/>
      <c r="F783" s="254"/>
      <c r="G783" s="236"/>
      <c r="H783" s="261"/>
      <c r="I783" s="261"/>
      <c r="J783" s="261"/>
      <c r="K783" s="261"/>
      <c r="L783" s="236"/>
      <c r="M783" s="254"/>
      <c r="N783" s="236"/>
      <c r="O783" s="288"/>
      <c r="P783" s="288"/>
      <c r="Q783" s="288"/>
      <c r="R783" s="288"/>
      <c r="S783" s="236"/>
      <c r="T783" s="254"/>
    </row>
    <row r="784" spans="2:20" outlineLevel="2">
      <c r="B784" s="261"/>
      <c r="C784" s="246"/>
      <c r="D784" s="253"/>
      <c r="E784" s="236"/>
      <c r="F784" s="254"/>
      <c r="G784" s="236"/>
      <c r="H784" s="659"/>
      <c r="I784" s="659"/>
      <c r="J784" s="659"/>
      <c r="K784" s="659"/>
      <c r="L784" s="236"/>
      <c r="M784" s="254"/>
      <c r="N784" s="236"/>
      <c r="O784" s="686"/>
      <c r="P784" s="686"/>
      <c r="Q784" s="686"/>
      <c r="R784" s="686"/>
      <c r="S784" s="236"/>
      <c r="T784" s="254"/>
    </row>
    <row r="785" spans="2:20" outlineLevel="2">
      <c r="B785" s="246"/>
      <c r="C785" s="246" t="s">
        <v>586</v>
      </c>
      <c r="D785" s="253"/>
      <c r="E785" s="236"/>
      <c r="F785" s="254"/>
      <c r="G785" s="236"/>
      <c r="H785" s="261"/>
      <c r="I785" s="261"/>
      <c r="J785" s="261"/>
      <c r="K785" s="261"/>
      <c r="L785" s="236"/>
      <c r="M785" s="254"/>
      <c r="N785" s="236"/>
      <c r="O785" s="288"/>
      <c r="P785" s="288"/>
      <c r="Q785" s="288"/>
      <c r="R785" s="288"/>
      <c r="S785" s="236"/>
      <c r="T785" s="254"/>
    </row>
    <row r="786" spans="2:20" outlineLevel="1">
      <c r="B786" s="666"/>
      <c r="C786" s="666"/>
      <c r="D786" s="666"/>
      <c r="E786" s="236"/>
      <c r="F786" s="254"/>
      <c r="G786" s="236"/>
      <c r="H786" s="670"/>
      <c r="I786" s="670"/>
      <c r="J786" s="670"/>
      <c r="K786" s="670"/>
      <c r="L786" s="236"/>
      <c r="M786" s="254"/>
      <c r="N786" s="236"/>
      <c r="O786" s="671"/>
      <c r="P786" s="671"/>
      <c r="Q786" s="671"/>
      <c r="R786" s="671"/>
      <c r="S786" s="236"/>
      <c r="T786" s="254"/>
    </row>
    <row r="787" spans="2:20" s="238" customFormat="1" outlineLevel="1">
      <c r="B787" s="239" t="s">
        <v>590</v>
      </c>
      <c r="C787" s="239"/>
      <c r="D787" s="239"/>
      <c r="E787" s="236"/>
      <c r="F787" s="254"/>
      <c r="G787" s="236"/>
      <c r="H787" s="240"/>
      <c r="I787" s="240"/>
      <c r="J787" s="240"/>
      <c r="K787" s="240"/>
      <c r="L787" s="236"/>
      <c r="M787" s="254"/>
      <c r="N787" s="236"/>
      <c r="O787" s="265">
        <f>SUM(O788:O788)</f>
        <v>0</v>
      </c>
      <c r="P787" s="265"/>
      <c r="Q787" s="265"/>
      <c r="R787" s="265"/>
      <c r="S787" s="236"/>
      <c r="T787" s="254"/>
    </row>
    <row r="788" spans="2:20" outlineLevel="3">
      <c r="B788" s="246"/>
      <c r="C788" s="246" t="s">
        <v>590</v>
      </c>
      <c r="D788" s="253" t="s">
        <v>1003</v>
      </c>
      <c r="E788" s="236"/>
      <c r="F788" s="254"/>
      <c r="G788" s="236"/>
      <c r="H788" s="261"/>
      <c r="I788" s="261"/>
      <c r="J788" s="261"/>
      <c r="K788" s="261"/>
      <c r="L788" s="236"/>
      <c r="M788" s="254"/>
      <c r="N788" s="236"/>
      <c r="O788" s="288"/>
      <c r="P788" s="288"/>
      <c r="Q788" s="288"/>
      <c r="R788" s="288"/>
      <c r="S788" s="236"/>
      <c r="T788" s="254"/>
    </row>
    <row r="789" spans="2:20" ht="3" customHeight="1" outlineLevel="1">
      <c r="B789" s="246"/>
      <c r="C789" s="246"/>
      <c r="D789" s="253"/>
      <c r="E789" s="236"/>
      <c r="F789" s="254"/>
      <c r="G789" s="236"/>
      <c r="H789" s="670"/>
      <c r="I789" s="670"/>
      <c r="J789" s="670"/>
      <c r="K789" s="670"/>
      <c r="L789" s="236"/>
      <c r="M789" s="254"/>
      <c r="N789" s="236"/>
      <c r="O789" s="671"/>
      <c r="P789" s="671"/>
      <c r="Q789" s="671"/>
      <c r="R789" s="671"/>
      <c r="S789" s="236"/>
      <c r="T789" s="254"/>
    </row>
    <row r="790" spans="2:20" s="238" customFormat="1" outlineLevel="1">
      <c r="B790" s="273" t="s">
        <v>526</v>
      </c>
      <c r="C790" s="239"/>
      <c r="D790" s="239"/>
      <c r="E790" s="236"/>
      <c r="F790" s="254"/>
      <c r="G790" s="236"/>
      <c r="H790" s="240"/>
      <c r="I790" s="240"/>
      <c r="J790" s="240"/>
      <c r="K790" s="240"/>
      <c r="L790" s="236"/>
      <c r="M790" s="254"/>
      <c r="N790" s="236"/>
      <c r="O790" s="265">
        <f>SUM(O791:O797)</f>
        <v>0</v>
      </c>
      <c r="P790" s="265"/>
      <c r="Q790" s="265"/>
      <c r="R790" s="265"/>
      <c r="S790" s="236"/>
      <c r="T790" s="254"/>
    </row>
    <row r="791" spans="2:20" outlineLevel="3">
      <c r="B791" s="246"/>
      <c r="C791" s="246" t="s">
        <v>526</v>
      </c>
      <c r="D791" s="253" t="s">
        <v>1003</v>
      </c>
      <c r="E791" s="236"/>
      <c r="F791" s="254"/>
      <c r="G791" s="236"/>
      <c r="H791" s="261"/>
      <c r="I791" s="261"/>
      <c r="J791" s="261"/>
      <c r="K791" s="261"/>
      <c r="L791" s="236"/>
      <c r="M791" s="254"/>
      <c r="N791" s="236"/>
      <c r="O791" s="663"/>
      <c r="P791" s="663"/>
      <c r="Q791" s="663"/>
      <c r="R791" s="663"/>
      <c r="S791" s="236"/>
      <c r="T791" s="254"/>
    </row>
    <row r="792" spans="2:20" outlineLevel="3">
      <c r="B792" s="246"/>
      <c r="C792" s="246"/>
      <c r="D792" s="253"/>
      <c r="E792" s="236"/>
      <c r="F792" s="254"/>
      <c r="G792" s="236"/>
      <c r="H792" s="659"/>
      <c r="I792" s="659"/>
      <c r="J792" s="659"/>
      <c r="K792" s="659"/>
      <c r="L792" s="236"/>
      <c r="M792" s="254"/>
      <c r="N792" s="236"/>
      <c r="O792" s="673"/>
      <c r="P792" s="673"/>
      <c r="Q792" s="673"/>
      <c r="R792" s="673"/>
      <c r="S792" s="236"/>
      <c r="T792" s="254"/>
    </row>
    <row r="793" spans="2:20" outlineLevel="3">
      <c r="B793" s="246"/>
      <c r="C793" s="246" t="s">
        <v>526</v>
      </c>
      <c r="D793" s="253" t="s">
        <v>28</v>
      </c>
      <c r="E793" s="236"/>
      <c r="F793" s="254"/>
      <c r="G793" s="236"/>
      <c r="H793" s="261"/>
      <c r="I793" s="261"/>
      <c r="J793" s="261"/>
      <c r="K793" s="261"/>
      <c r="L793" s="236"/>
      <c r="M793" s="254"/>
      <c r="N793" s="236"/>
      <c r="O793" s="663"/>
      <c r="P793" s="663"/>
      <c r="Q793" s="663"/>
      <c r="R793" s="663"/>
      <c r="S793" s="236"/>
      <c r="T793" s="254"/>
    </row>
    <row r="794" spans="2:20" outlineLevel="3">
      <c r="B794" s="246"/>
      <c r="C794" s="246" t="s">
        <v>526</v>
      </c>
      <c r="D794" s="253" t="s">
        <v>28</v>
      </c>
      <c r="E794" s="236"/>
      <c r="F794" s="254"/>
      <c r="G794" s="236"/>
      <c r="H794" s="261"/>
      <c r="I794" s="261"/>
      <c r="J794" s="261"/>
      <c r="K794" s="261"/>
      <c r="L794" s="236"/>
      <c r="M794" s="254"/>
      <c r="N794" s="236"/>
      <c r="O794" s="663"/>
      <c r="P794" s="663"/>
      <c r="Q794" s="663"/>
      <c r="R794" s="663"/>
      <c r="S794" s="236"/>
      <c r="T794" s="254"/>
    </row>
    <row r="795" spans="2:20" outlineLevel="3">
      <c r="B795" s="246"/>
      <c r="C795" s="246"/>
      <c r="D795" s="253"/>
      <c r="E795" s="236"/>
      <c r="F795" s="254"/>
      <c r="G795" s="236"/>
      <c r="H795" s="659"/>
      <c r="I795" s="659"/>
      <c r="J795" s="659"/>
      <c r="K795" s="659"/>
      <c r="L795" s="236"/>
      <c r="M795" s="254"/>
      <c r="N795" s="236"/>
      <c r="O795" s="673"/>
      <c r="P795" s="673"/>
      <c r="Q795" s="673"/>
      <c r="R795" s="673"/>
      <c r="S795" s="236"/>
      <c r="T795" s="254"/>
    </row>
    <row r="796" spans="2:20" outlineLevel="3">
      <c r="B796" s="246"/>
      <c r="C796" s="246" t="s">
        <v>526</v>
      </c>
      <c r="D796" s="253" t="s">
        <v>976</v>
      </c>
      <c r="E796" s="236"/>
      <c r="F796" s="254"/>
      <c r="G796" s="236"/>
      <c r="H796" s="261"/>
      <c r="I796" s="261"/>
      <c r="J796" s="261"/>
      <c r="K796" s="261"/>
      <c r="L796" s="236"/>
      <c r="M796" s="254"/>
      <c r="N796" s="236"/>
      <c r="O796" s="663"/>
      <c r="P796" s="663"/>
      <c r="Q796" s="663"/>
      <c r="R796" s="663"/>
      <c r="S796" s="236"/>
      <c r="T796" s="254"/>
    </row>
    <row r="797" spans="2:20" outlineLevel="3">
      <c r="B797" s="246"/>
      <c r="C797" s="246" t="s">
        <v>526</v>
      </c>
      <c r="D797" s="253" t="s">
        <v>976</v>
      </c>
      <c r="E797" s="236"/>
      <c r="F797" s="254"/>
      <c r="G797" s="236"/>
      <c r="H797" s="261"/>
      <c r="I797" s="261"/>
      <c r="J797" s="261"/>
      <c r="K797" s="261"/>
      <c r="L797" s="236"/>
      <c r="M797" s="254"/>
      <c r="N797" s="236"/>
      <c r="O797" s="663"/>
      <c r="P797" s="663"/>
      <c r="Q797" s="663"/>
      <c r="R797" s="663"/>
      <c r="S797" s="236"/>
      <c r="T797" s="254"/>
    </row>
    <row r="798" spans="2:20" ht="3" customHeight="1" outlineLevel="1">
      <c r="B798" s="246"/>
      <c r="C798" s="246"/>
      <c r="D798" s="253"/>
      <c r="E798" s="236"/>
      <c r="F798" s="254"/>
      <c r="G798" s="236"/>
      <c r="H798" s="670"/>
      <c r="I798" s="670"/>
      <c r="J798" s="670"/>
      <c r="K798" s="670"/>
      <c r="L798" s="236"/>
      <c r="M798" s="254"/>
      <c r="N798" s="236"/>
      <c r="O798" s="671"/>
      <c r="P798" s="671"/>
      <c r="Q798" s="671"/>
      <c r="R798" s="671"/>
      <c r="S798" s="236"/>
      <c r="T798" s="254"/>
    </row>
    <row r="799" spans="2:20" s="238" customFormat="1" outlineLevel="1">
      <c r="B799" s="239" t="s">
        <v>1013</v>
      </c>
      <c r="C799" s="239"/>
      <c r="D799" s="239"/>
      <c r="E799" s="236"/>
      <c r="F799" s="193"/>
      <c r="G799" s="236"/>
      <c r="H799" s="240">
        <f>COUNTA(H800:H803)</f>
        <v>3</v>
      </c>
      <c r="I799" s="240"/>
      <c r="J799" s="240"/>
      <c r="K799" s="240"/>
      <c r="L799" s="236"/>
      <c r="M799" s="193"/>
      <c r="N799" s="236"/>
      <c r="O799" s="265">
        <f>SUM(O801:O803)</f>
        <v>0</v>
      </c>
      <c r="P799" s="265"/>
      <c r="Q799" s="265"/>
      <c r="R799" s="265"/>
      <c r="S799" s="236"/>
      <c r="T799" s="193"/>
    </row>
    <row r="800" spans="2:20" ht="3" customHeight="1" outlineLevel="2">
      <c r="B800" s="246"/>
      <c r="C800" s="246"/>
      <c r="D800" s="253"/>
      <c r="E800" s="262"/>
      <c r="F800" s="193"/>
      <c r="G800" s="262"/>
      <c r="H800" s="279"/>
      <c r="I800" s="279"/>
      <c r="J800" s="279"/>
      <c r="K800" s="279"/>
      <c r="L800" s="262"/>
      <c r="M800" s="193"/>
      <c r="N800" s="262"/>
      <c r="O800" s="357"/>
      <c r="P800" s="357"/>
      <c r="Q800" s="357"/>
      <c r="R800" s="357"/>
      <c r="S800" s="262"/>
      <c r="T800" s="193"/>
    </row>
    <row r="801" spans="1:21" ht="15.6" outlineLevel="2">
      <c r="A801" s="238"/>
      <c r="B801" s="246" t="s">
        <v>765</v>
      </c>
      <c r="C801" s="246" t="s">
        <v>1014</v>
      </c>
      <c r="D801" s="253" t="s">
        <v>1015</v>
      </c>
      <c r="E801" s="262"/>
      <c r="F801" s="193"/>
      <c r="G801" s="262"/>
      <c r="H801" s="253" t="s">
        <v>1014</v>
      </c>
      <c r="I801" s="253"/>
      <c r="J801" s="253"/>
      <c r="K801" s="253"/>
      <c r="L801" s="296"/>
      <c r="M801" s="297"/>
      <c r="N801" s="296"/>
      <c r="O801" s="673"/>
      <c r="P801" s="673"/>
      <c r="Q801" s="673"/>
      <c r="R801" s="673"/>
      <c r="S801" s="296"/>
      <c r="T801" s="193"/>
      <c r="U801" s="659"/>
    </row>
    <row r="802" spans="1:21" ht="15.6" outlineLevel="2">
      <c r="A802" s="238"/>
      <c r="B802" s="246" t="s">
        <v>873</v>
      </c>
      <c r="C802" s="246" t="s">
        <v>1016</v>
      </c>
      <c r="D802" s="253" t="s">
        <v>1015</v>
      </c>
      <c r="E802" s="262"/>
      <c r="F802" s="193"/>
      <c r="G802" s="262"/>
      <c r="H802" s="253" t="s">
        <v>1016</v>
      </c>
      <c r="I802" s="253"/>
      <c r="J802" s="253"/>
      <c r="K802" s="253"/>
      <c r="L802" s="296"/>
      <c r="M802" s="297"/>
      <c r="N802" s="296"/>
      <c r="O802" s="673"/>
      <c r="P802" s="673"/>
      <c r="Q802" s="673"/>
      <c r="R802" s="673"/>
      <c r="S802" s="296"/>
      <c r="T802" s="193"/>
      <c r="U802" s="659"/>
    </row>
    <row r="803" spans="1:21" ht="15.6" outlineLevel="2">
      <c r="A803" s="238"/>
      <c r="B803" s="246" t="s">
        <v>1017</v>
      </c>
      <c r="C803" s="246" t="s">
        <v>1018</v>
      </c>
      <c r="D803" s="253" t="s">
        <v>1015</v>
      </c>
      <c r="E803" s="262"/>
      <c r="F803" s="193"/>
      <c r="G803" s="262"/>
      <c r="H803" s="669" t="s">
        <v>1018</v>
      </c>
      <c r="I803" s="669"/>
      <c r="J803" s="669"/>
      <c r="K803" s="669"/>
      <c r="L803" s="296"/>
      <c r="M803" s="297"/>
      <c r="N803" s="296"/>
      <c r="O803" s="673"/>
      <c r="P803" s="673"/>
      <c r="Q803" s="673"/>
      <c r="R803" s="673"/>
      <c r="S803" s="296"/>
      <c r="T803" s="193"/>
      <c r="U803" s="659"/>
    </row>
    <row r="804" spans="1:21" ht="3" customHeight="1" outlineLevel="1">
      <c r="A804" s="659"/>
      <c r="B804" s="666"/>
      <c r="C804" s="666"/>
      <c r="D804" s="667"/>
      <c r="E804" s="252"/>
      <c r="F804" s="193"/>
      <c r="G804" s="252"/>
      <c r="H804" s="264"/>
      <c r="I804" s="264"/>
      <c r="J804" s="264"/>
      <c r="K804" s="264"/>
      <c r="L804" s="252"/>
      <c r="M804" s="193"/>
      <c r="N804" s="252"/>
      <c r="O804" s="352"/>
      <c r="P804" s="352"/>
      <c r="Q804" s="352"/>
      <c r="R804" s="352"/>
      <c r="S804" s="252"/>
      <c r="T804" s="193"/>
      <c r="U804" s="659"/>
    </row>
    <row r="805" spans="1:21" s="238" customFormat="1" outlineLevel="1">
      <c r="B805" s="239" t="s">
        <v>762</v>
      </c>
      <c r="C805" s="239"/>
      <c r="D805" s="239"/>
      <c r="E805" s="236"/>
      <c r="F805" s="254"/>
      <c r="G805" s="236"/>
      <c r="H805" s="240">
        <f t="shared" ref="H805" si="7">SUM(H806:H807)</f>
        <v>0</v>
      </c>
      <c r="I805" s="240"/>
      <c r="J805" s="240"/>
      <c r="K805" s="240"/>
      <c r="L805" s="236"/>
      <c r="M805" s="254"/>
      <c r="N805" s="236"/>
      <c r="O805" s="265">
        <f t="shared" ref="O805" si="8">SUM(O806:O807)</f>
        <v>0</v>
      </c>
      <c r="P805" s="265"/>
      <c r="Q805" s="265"/>
      <c r="R805" s="265"/>
      <c r="S805" s="236"/>
      <c r="T805" s="254"/>
      <c r="U805" s="659"/>
    </row>
    <row r="806" spans="1:21" outlineLevel="2">
      <c r="A806" s="659"/>
      <c r="B806" s="242"/>
      <c r="C806" s="666" t="s">
        <v>800</v>
      </c>
      <c r="D806" s="667" t="s">
        <v>28</v>
      </c>
      <c r="E806" s="236"/>
      <c r="F806" s="254"/>
      <c r="G806" s="236"/>
      <c r="H806" s="668"/>
      <c r="I806" s="668"/>
      <c r="J806" s="668"/>
      <c r="K806" s="668"/>
      <c r="L806" s="236"/>
      <c r="M806" s="254"/>
      <c r="N806" s="236"/>
      <c r="O806" s="663"/>
      <c r="P806" s="663"/>
      <c r="Q806" s="663"/>
      <c r="R806" s="663"/>
      <c r="S806" s="236"/>
      <c r="T806" s="254"/>
      <c r="U806" s="659"/>
    </row>
    <row r="807" spans="1:21" outlineLevel="2">
      <c r="A807" s="659"/>
      <c r="B807" s="242"/>
      <c r="C807" s="666" t="s">
        <v>800</v>
      </c>
      <c r="D807" s="667" t="s">
        <v>976</v>
      </c>
      <c r="E807" s="236"/>
      <c r="F807" s="254"/>
      <c r="G807" s="236"/>
      <c r="H807" s="668"/>
      <c r="I807" s="668"/>
      <c r="J807" s="668"/>
      <c r="K807" s="668"/>
      <c r="L807" s="236"/>
      <c r="M807" s="254"/>
      <c r="N807" s="236"/>
      <c r="O807" s="663"/>
      <c r="P807" s="663"/>
      <c r="Q807" s="663"/>
      <c r="R807" s="663"/>
      <c r="S807" s="236"/>
      <c r="T807" s="254"/>
      <c r="U807" s="659"/>
    </row>
    <row r="808" spans="1:21" ht="3" customHeight="1">
      <c r="A808" s="659"/>
      <c r="B808" s="666"/>
      <c r="C808" s="666"/>
      <c r="D808" s="667"/>
      <c r="E808" s="252"/>
      <c r="F808" s="193"/>
      <c r="G808" s="252"/>
      <c r="H808" s="264"/>
      <c r="I808" s="264"/>
      <c r="J808" s="264"/>
      <c r="K808" s="264"/>
      <c r="L808" s="252"/>
      <c r="M808" s="193"/>
      <c r="N808" s="252"/>
      <c r="O808" s="352"/>
      <c r="P808" s="352"/>
      <c r="Q808" s="352"/>
      <c r="R808" s="352"/>
      <c r="S808" s="252"/>
      <c r="T808" s="193"/>
      <c r="U808" s="659"/>
    </row>
    <row r="809" spans="1:21" s="232" customFormat="1" ht="15.6">
      <c r="A809" s="225"/>
      <c r="B809" s="226" t="s">
        <v>1019</v>
      </c>
      <c r="C809" s="227" t="s">
        <v>1020</v>
      </c>
      <c r="D809" s="228" t="s">
        <v>26</v>
      </c>
      <c r="E809" s="229"/>
      <c r="F809" s="230"/>
      <c r="G809" s="229"/>
      <c r="H809" s="231">
        <f>SUM(H811,H816,H837,H844,H856,H859,H862,H871,H901,H904,H907,H909,H913,H953,H961,H969,H971,H973,H975,H978,H980,H984,H987,H995,H998,H1002,H1004,H1008,H1012,H1017,H1022,H1024,H1027,H1031,H1035,H1040,H1044,H1046)</f>
        <v>158</v>
      </c>
      <c r="I809" s="231"/>
      <c r="J809" s="231"/>
      <c r="K809" s="231"/>
      <c r="L809" s="229"/>
      <c r="M809" s="230"/>
      <c r="N809" s="229"/>
      <c r="O809" s="350">
        <f>SUM(O811,O816,O837,O844,O856,O859,O862,O871,O901,O904,O907,O909,O913,O953,O961,O969,O971,O973,O975,O978,O980,O984,O987,O995,O998,O1002,O1004,O1008,O1012,O1017,O1022,O1024,O1027,O1031,O1035,O1040,O1044,O1046)</f>
        <v>30.088177755868358</v>
      </c>
      <c r="P809" s="350"/>
      <c r="Q809" s="350"/>
      <c r="R809" s="350"/>
      <c r="S809" s="229"/>
      <c r="T809" s="230"/>
    </row>
    <row r="810" spans="1:21" ht="3" customHeight="1" outlineLevel="1">
      <c r="A810" s="665"/>
      <c r="B810" s="233"/>
      <c r="C810" s="234"/>
      <c r="D810" s="235"/>
      <c r="E810" s="236"/>
      <c r="F810" s="193"/>
      <c r="G810" s="236"/>
      <c r="H810" s="237"/>
      <c r="I810" s="237"/>
      <c r="J810" s="237"/>
      <c r="K810" s="237"/>
      <c r="L810" s="236"/>
      <c r="M810" s="193"/>
      <c r="N810" s="236"/>
      <c r="O810" s="351"/>
      <c r="P810" s="351"/>
      <c r="Q810" s="351"/>
      <c r="R810" s="351"/>
      <c r="S810" s="236"/>
      <c r="T810" s="193"/>
      <c r="U810" s="659"/>
    </row>
    <row r="811" spans="1:21" s="238" customFormat="1" outlineLevel="1">
      <c r="B811" s="239" t="s">
        <v>966</v>
      </c>
      <c r="C811" s="239"/>
      <c r="D811" s="239"/>
      <c r="E811" s="236"/>
      <c r="F811" s="193"/>
      <c r="G811" s="236"/>
      <c r="H811" s="240">
        <f>COUNTA(H812:H814)</f>
        <v>3</v>
      </c>
      <c r="I811" s="240"/>
      <c r="J811" s="240"/>
      <c r="K811" s="240"/>
      <c r="L811" s="236"/>
      <c r="M811" s="193"/>
      <c r="N811" s="236"/>
      <c r="O811" s="265">
        <f>SUM(O812:O814)</f>
        <v>0.03</v>
      </c>
      <c r="P811" s="265"/>
      <c r="Q811" s="265"/>
      <c r="R811" s="265"/>
      <c r="S811" s="236"/>
      <c r="T811" s="193"/>
    </row>
    <row r="812" spans="1:21" outlineLevel="2">
      <c r="A812" s="659"/>
      <c r="B812" s="246"/>
      <c r="C812" s="246" t="s">
        <v>849</v>
      </c>
      <c r="D812" s="253" t="s">
        <v>26</v>
      </c>
      <c r="E812" s="236"/>
      <c r="F812" s="193"/>
      <c r="G812" s="236"/>
      <c r="H812" s="253" t="s">
        <v>1021</v>
      </c>
      <c r="I812" s="253"/>
      <c r="J812" s="253"/>
      <c r="K812" s="253"/>
      <c r="L812" s="236"/>
      <c r="M812" s="193"/>
      <c r="N812" s="236"/>
      <c r="O812" s="321">
        <v>0.01</v>
      </c>
      <c r="P812" s="321"/>
      <c r="Q812" s="321"/>
      <c r="R812" s="321"/>
      <c r="S812" s="236"/>
      <c r="T812" s="193"/>
      <c r="U812" s="659"/>
    </row>
    <row r="813" spans="1:21" outlineLevel="2">
      <c r="A813" s="659"/>
      <c r="B813" s="246"/>
      <c r="C813" s="246" t="s">
        <v>853</v>
      </c>
      <c r="D813" s="253" t="s">
        <v>26</v>
      </c>
      <c r="E813" s="236"/>
      <c r="F813" s="193"/>
      <c r="G813" s="236"/>
      <c r="H813" s="253" t="s">
        <v>1022</v>
      </c>
      <c r="I813" s="253"/>
      <c r="J813" s="253"/>
      <c r="K813" s="253"/>
      <c r="L813" s="236"/>
      <c r="M813" s="193"/>
      <c r="N813" s="236"/>
      <c r="O813" s="321">
        <v>0.01</v>
      </c>
      <c r="P813" s="321"/>
      <c r="Q813" s="321"/>
      <c r="R813" s="321"/>
      <c r="S813" s="236"/>
      <c r="T813" s="193"/>
      <c r="U813" s="659"/>
    </row>
    <row r="814" spans="1:21" outlineLevel="2">
      <c r="A814" s="659"/>
      <c r="B814" s="246"/>
      <c r="C814" s="246" t="s">
        <v>853</v>
      </c>
      <c r="D814" s="253" t="s">
        <v>26</v>
      </c>
      <c r="E814" s="236"/>
      <c r="F814" s="193"/>
      <c r="G814" s="236"/>
      <c r="H814" s="253" t="s">
        <v>1023</v>
      </c>
      <c r="I814" s="253"/>
      <c r="J814" s="253"/>
      <c r="K814" s="253"/>
      <c r="L814" s="236"/>
      <c r="M814" s="193"/>
      <c r="N814" s="236"/>
      <c r="O814" s="321">
        <v>0.01</v>
      </c>
      <c r="P814" s="321"/>
      <c r="Q814" s="321"/>
      <c r="R814" s="321"/>
      <c r="S814" s="236"/>
      <c r="T814" s="193"/>
      <c r="U814" s="659"/>
    </row>
    <row r="815" spans="1:21" ht="3" customHeight="1" outlineLevel="1">
      <c r="A815" s="659"/>
      <c r="B815" s="246"/>
      <c r="C815" s="246"/>
      <c r="D815" s="253"/>
      <c r="E815" s="236"/>
      <c r="F815" s="193"/>
      <c r="G815" s="236"/>
      <c r="H815" s="245"/>
      <c r="I815" s="245"/>
      <c r="J815" s="245"/>
      <c r="K815" s="245"/>
      <c r="L815" s="236"/>
      <c r="M815" s="193"/>
      <c r="N815" s="236"/>
      <c r="O815" s="353"/>
      <c r="P815" s="353"/>
      <c r="Q815" s="353"/>
      <c r="R815" s="353"/>
      <c r="S815" s="236"/>
      <c r="T815" s="193"/>
      <c r="U815" s="659"/>
    </row>
    <row r="816" spans="1:21" s="238" customFormat="1" outlineLevel="1">
      <c r="B816" s="239" t="s">
        <v>858</v>
      </c>
      <c r="C816" s="239"/>
      <c r="D816" s="239"/>
      <c r="E816" s="236"/>
      <c r="F816" s="254"/>
      <c r="G816" s="236"/>
      <c r="H816" s="240">
        <f>COUNTA(H817:H835)</f>
        <v>19</v>
      </c>
      <c r="I816" s="240"/>
      <c r="J816" s="240"/>
      <c r="K816" s="240"/>
      <c r="L816" s="236"/>
      <c r="M816" s="254"/>
      <c r="N816" s="236"/>
      <c r="O816" s="265">
        <f>SUM(O817:O835)</f>
        <v>0.4449553573555684</v>
      </c>
      <c r="P816" s="265"/>
      <c r="Q816" s="265"/>
      <c r="R816" s="265"/>
      <c r="S816" s="236"/>
      <c r="T816" s="254"/>
    </row>
    <row r="817" spans="3:20" s="283" customFormat="1" ht="27.75" customHeight="1" outlineLevel="2">
      <c r="C817" s="283" t="s">
        <v>858</v>
      </c>
      <c r="D817" s="253" t="s">
        <v>26</v>
      </c>
      <c r="E817" s="236"/>
      <c r="F817" s="254"/>
      <c r="G817" s="236"/>
      <c r="H817" s="261" t="s">
        <v>1024</v>
      </c>
      <c r="I817" s="261"/>
      <c r="J817" s="261"/>
      <c r="K817" s="261"/>
      <c r="L817" s="236"/>
      <c r="M817" s="254"/>
      <c r="N817" s="236"/>
      <c r="O817" s="322">
        <v>8.4427462647305926E-2</v>
      </c>
      <c r="P817" s="322"/>
      <c r="Q817" s="322"/>
      <c r="R817" s="322"/>
      <c r="S817" s="236"/>
      <c r="T817" s="254"/>
    </row>
    <row r="818" spans="3:20" s="283" customFormat="1" ht="27.75" customHeight="1" outlineLevel="2">
      <c r="C818" s="283" t="s">
        <v>858</v>
      </c>
      <c r="D818" s="253" t="s">
        <v>26</v>
      </c>
      <c r="E818" s="236"/>
      <c r="F818" s="254"/>
      <c r="G818" s="236"/>
      <c r="H818" s="261" t="s">
        <v>1025</v>
      </c>
      <c r="I818" s="261"/>
      <c r="J818" s="261"/>
      <c r="K818" s="261"/>
      <c r="L818" s="236"/>
      <c r="M818" s="254"/>
      <c r="N818" s="236"/>
      <c r="O818" s="322">
        <v>8.4427462647305926E-2</v>
      </c>
      <c r="P818" s="322"/>
      <c r="Q818" s="322"/>
      <c r="R818" s="322"/>
      <c r="S818" s="236"/>
      <c r="T818" s="254"/>
    </row>
    <row r="819" spans="3:20" s="283" customFormat="1" ht="27.75" customHeight="1" outlineLevel="2">
      <c r="C819" s="283" t="s">
        <v>858</v>
      </c>
      <c r="D819" s="253" t="s">
        <v>26</v>
      </c>
      <c r="E819" s="236"/>
      <c r="F819" s="254"/>
      <c r="G819" s="236"/>
      <c r="H819" s="261" t="s">
        <v>1026</v>
      </c>
      <c r="I819" s="261"/>
      <c r="J819" s="261"/>
      <c r="K819" s="261"/>
      <c r="L819" s="236"/>
      <c r="M819" s="254"/>
      <c r="N819" s="236"/>
      <c r="O819" s="322">
        <v>2.1106865436972901E-2</v>
      </c>
      <c r="P819" s="322"/>
      <c r="Q819" s="322"/>
      <c r="R819" s="322"/>
      <c r="S819" s="236"/>
      <c r="T819" s="254"/>
    </row>
    <row r="820" spans="3:20" s="283" customFormat="1" outlineLevel="2">
      <c r="C820" s="283" t="s">
        <v>858</v>
      </c>
      <c r="D820" s="253" t="s">
        <v>26</v>
      </c>
      <c r="E820" s="236"/>
      <c r="F820" s="254"/>
      <c r="G820" s="236"/>
      <c r="H820" s="261" t="s">
        <v>1027</v>
      </c>
      <c r="I820" s="261"/>
      <c r="J820" s="261"/>
      <c r="K820" s="261"/>
      <c r="L820" s="236"/>
      <c r="M820" s="254"/>
      <c r="N820" s="236"/>
      <c r="O820" s="322">
        <v>3.166029815545935E-2</v>
      </c>
      <c r="P820" s="322"/>
      <c r="Q820" s="322"/>
      <c r="R820" s="322"/>
      <c r="S820" s="236"/>
      <c r="T820" s="254"/>
    </row>
    <row r="821" spans="3:20" s="283" customFormat="1" outlineLevel="2">
      <c r="C821" s="283" t="s">
        <v>858</v>
      </c>
      <c r="D821" s="253" t="s">
        <v>26</v>
      </c>
      <c r="E821" s="236"/>
      <c r="F821" s="254"/>
      <c r="G821" s="236"/>
      <c r="H821" s="261" t="s">
        <v>1028</v>
      </c>
      <c r="I821" s="261"/>
      <c r="J821" s="261"/>
      <c r="K821" s="261"/>
      <c r="L821" s="236"/>
      <c r="M821" s="254"/>
      <c r="N821" s="236"/>
      <c r="O821" s="322">
        <v>5.2767163592432253E-3</v>
      </c>
      <c r="P821" s="322"/>
      <c r="Q821" s="322"/>
      <c r="R821" s="322"/>
      <c r="S821" s="236"/>
      <c r="T821" s="254"/>
    </row>
    <row r="822" spans="3:20" s="283" customFormat="1" outlineLevel="2">
      <c r="C822" s="283" t="s">
        <v>858</v>
      </c>
      <c r="D822" s="253" t="s">
        <v>26</v>
      </c>
      <c r="E822" s="236"/>
      <c r="F822" s="254"/>
      <c r="G822" s="236"/>
      <c r="H822" s="261" t="s">
        <v>1029</v>
      </c>
      <c r="I822" s="261"/>
      <c r="J822" s="261"/>
      <c r="K822" s="261"/>
      <c r="L822" s="236"/>
      <c r="M822" s="254"/>
      <c r="N822" s="236"/>
      <c r="O822" s="322">
        <v>2.1106865436972901E-2</v>
      </c>
      <c r="P822" s="322"/>
      <c r="Q822" s="322"/>
      <c r="R822" s="322"/>
      <c r="S822" s="236"/>
      <c r="T822" s="254"/>
    </row>
    <row r="823" spans="3:20" s="283" customFormat="1" outlineLevel="2">
      <c r="C823" s="283" t="s">
        <v>858</v>
      </c>
      <c r="D823" s="253" t="s">
        <v>26</v>
      </c>
      <c r="E823" s="236"/>
      <c r="F823" s="254"/>
      <c r="G823" s="236"/>
      <c r="H823" s="261" t="s">
        <v>1030</v>
      </c>
      <c r="I823" s="261"/>
      <c r="J823" s="261"/>
      <c r="K823" s="261"/>
      <c r="L823" s="236"/>
      <c r="M823" s="254"/>
      <c r="N823" s="236"/>
      <c r="O823" s="322">
        <v>3.166029815545935E-2</v>
      </c>
      <c r="P823" s="322"/>
      <c r="Q823" s="322"/>
      <c r="R823" s="322"/>
      <c r="S823" s="236"/>
      <c r="T823" s="254"/>
    </row>
    <row r="824" spans="3:20" s="283" customFormat="1" outlineLevel="2">
      <c r="C824" s="283" t="s">
        <v>858</v>
      </c>
      <c r="D824" s="253" t="s">
        <v>26</v>
      </c>
      <c r="E824" s="236"/>
      <c r="F824" s="254"/>
      <c r="G824" s="236"/>
      <c r="H824" s="261" t="s">
        <v>1031</v>
      </c>
      <c r="I824" s="261"/>
      <c r="J824" s="261"/>
      <c r="K824" s="261"/>
      <c r="L824" s="236"/>
      <c r="M824" s="254"/>
      <c r="N824" s="236"/>
      <c r="O824" s="322">
        <v>5.2767163592432253E-3</v>
      </c>
      <c r="P824" s="322"/>
      <c r="Q824" s="322"/>
      <c r="R824" s="322"/>
      <c r="S824" s="236"/>
      <c r="T824" s="254"/>
    </row>
    <row r="825" spans="3:20" s="283" customFormat="1" outlineLevel="2">
      <c r="C825" s="283" t="s">
        <v>858</v>
      </c>
      <c r="D825" s="253" t="s">
        <v>26</v>
      </c>
      <c r="E825" s="236"/>
      <c r="F825" s="254"/>
      <c r="G825" s="236"/>
      <c r="H825" s="261" t="s">
        <v>1032</v>
      </c>
      <c r="I825" s="261"/>
      <c r="J825" s="261"/>
      <c r="K825" s="261"/>
      <c r="L825" s="236"/>
      <c r="M825" s="254"/>
      <c r="N825" s="236"/>
      <c r="O825" s="322">
        <v>2.1106865436972901E-2</v>
      </c>
      <c r="P825" s="322"/>
      <c r="Q825" s="322"/>
      <c r="R825" s="322"/>
      <c r="S825" s="236"/>
      <c r="T825" s="254"/>
    </row>
    <row r="826" spans="3:20" s="283" customFormat="1" outlineLevel="2">
      <c r="C826" s="283" t="s">
        <v>858</v>
      </c>
      <c r="D826" s="253" t="s">
        <v>26</v>
      </c>
      <c r="E826" s="236"/>
      <c r="F826" s="254"/>
      <c r="G826" s="236"/>
      <c r="H826" s="261" t="s">
        <v>1033</v>
      </c>
      <c r="I826" s="261"/>
      <c r="J826" s="261"/>
      <c r="K826" s="261"/>
      <c r="L826" s="236"/>
      <c r="M826" s="254"/>
      <c r="N826" s="236"/>
      <c r="O826" s="322">
        <v>3.166029815545935E-2</v>
      </c>
      <c r="P826" s="322"/>
      <c r="Q826" s="322"/>
      <c r="R826" s="322"/>
      <c r="S826" s="236"/>
      <c r="T826" s="254"/>
    </row>
    <row r="827" spans="3:20" s="283" customFormat="1" outlineLevel="2">
      <c r="C827" s="283" t="s">
        <v>858</v>
      </c>
      <c r="D827" s="253" t="s">
        <v>26</v>
      </c>
      <c r="E827" s="236"/>
      <c r="F827" s="254"/>
      <c r="G827" s="236"/>
      <c r="H827" s="261" t="s">
        <v>1034</v>
      </c>
      <c r="I827" s="261"/>
      <c r="J827" s="261"/>
      <c r="K827" s="261"/>
      <c r="L827" s="236"/>
      <c r="M827" s="254"/>
      <c r="N827" s="236"/>
      <c r="O827" s="322">
        <v>5.2767163592432253E-3</v>
      </c>
      <c r="P827" s="322"/>
      <c r="Q827" s="322"/>
      <c r="R827" s="322"/>
      <c r="S827" s="236"/>
      <c r="T827" s="254"/>
    </row>
    <row r="828" spans="3:20" s="283" customFormat="1" outlineLevel="2">
      <c r="C828" s="283" t="s">
        <v>858</v>
      </c>
      <c r="D828" s="253" t="s">
        <v>26</v>
      </c>
      <c r="E828" s="236"/>
      <c r="F828" s="254"/>
      <c r="G828" s="236"/>
      <c r="H828" s="261" t="s">
        <v>1035</v>
      </c>
      <c r="I828" s="261"/>
      <c r="J828" s="261"/>
      <c r="K828" s="261"/>
      <c r="L828" s="236"/>
      <c r="M828" s="254"/>
      <c r="N828" s="236"/>
      <c r="O828" s="322">
        <v>9.3808290830990661E-3</v>
      </c>
      <c r="P828" s="322"/>
      <c r="Q828" s="322"/>
      <c r="R828" s="322"/>
      <c r="S828" s="236"/>
      <c r="T828" s="254"/>
    </row>
    <row r="829" spans="3:20" s="283" customFormat="1" outlineLevel="2">
      <c r="C829" s="283" t="s">
        <v>858</v>
      </c>
      <c r="D829" s="253" t="s">
        <v>26</v>
      </c>
      <c r="E829" s="236"/>
      <c r="F829" s="254"/>
      <c r="G829" s="236"/>
      <c r="H829" s="261" t="s">
        <v>1036</v>
      </c>
      <c r="I829" s="261"/>
      <c r="J829" s="261"/>
      <c r="K829" s="261"/>
      <c r="L829" s="236"/>
      <c r="M829" s="254"/>
      <c r="N829" s="236"/>
      <c r="O829" s="322">
        <v>1.4071243624648597E-2</v>
      </c>
      <c r="P829" s="322"/>
      <c r="Q829" s="322"/>
      <c r="R829" s="322"/>
      <c r="S829" s="236"/>
      <c r="T829" s="254"/>
    </row>
    <row r="830" spans="3:20" s="283" customFormat="1" outlineLevel="2">
      <c r="C830" s="283" t="s">
        <v>858</v>
      </c>
      <c r="D830" s="253" t="s">
        <v>26</v>
      </c>
      <c r="E830" s="236"/>
      <c r="F830" s="254"/>
      <c r="G830" s="236"/>
      <c r="H830" s="261" t="s">
        <v>1037</v>
      </c>
      <c r="I830" s="261"/>
      <c r="J830" s="261"/>
      <c r="K830" s="261"/>
      <c r="L830" s="236"/>
      <c r="M830" s="254"/>
      <c r="N830" s="236"/>
      <c r="O830" s="322">
        <v>2.3452072707747665E-3</v>
      </c>
      <c r="P830" s="322"/>
      <c r="Q830" s="322"/>
      <c r="R830" s="322"/>
      <c r="S830" s="236"/>
      <c r="T830" s="254"/>
    </row>
    <row r="831" spans="3:20" s="283" customFormat="1" outlineLevel="2">
      <c r="C831" s="283" t="s">
        <v>858</v>
      </c>
      <c r="D831" s="253" t="s">
        <v>26</v>
      </c>
      <c r="E831" s="236"/>
      <c r="F831" s="254"/>
      <c r="G831" s="236"/>
      <c r="H831" s="261" t="s">
        <v>1038</v>
      </c>
      <c r="I831" s="261"/>
      <c r="J831" s="261"/>
      <c r="K831" s="261"/>
      <c r="L831" s="236"/>
      <c r="M831" s="254"/>
      <c r="N831" s="236"/>
      <c r="O831" s="322">
        <v>1.4071243624648597E-2</v>
      </c>
      <c r="P831" s="322"/>
      <c r="Q831" s="322"/>
      <c r="R831" s="322"/>
      <c r="S831" s="236"/>
      <c r="T831" s="254"/>
    </row>
    <row r="832" spans="3:20" s="283" customFormat="1" outlineLevel="2">
      <c r="C832" s="283" t="s">
        <v>858</v>
      </c>
      <c r="D832" s="253" t="s">
        <v>26</v>
      </c>
      <c r="E832" s="236"/>
      <c r="F832" s="254"/>
      <c r="G832" s="236"/>
      <c r="H832" s="261" t="s">
        <v>1039</v>
      </c>
      <c r="I832" s="261"/>
      <c r="J832" s="261"/>
      <c r="K832" s="261"/>
      <c r="L832" s="236"/>
      <c r="M832" s="254"/>
      <c r="N832" s="236"/>
      <c r="O832" s="322">
        <v>2.1106865436972894E-2</v>
      </c>
      <c r="P832" s="322"/>
      <c r="Q832" s="322"/>
      <c r="R832" s="322"/>
      <c r="S832" s="236"/>
      <c r="T832" s="254"/>
    </row>
    <row r="833" spans="2:20" s="283" customFormat="1" outlineLevel="2">
      <c r="C833" s="283" t="s">
        <v>858</v>
      </c>
      <c r="D833" s="253" t="s">
        <v>26</v>
      </c>
      <c r="E833" s="236"/>
      <c r="F833" s="254"/>
      <c r="G833" s="236"/>
      <c r="H833" s="261" t="s">
        <v>1040</v>
      </c>
      <c r="I833" s="261"/>
      <c r="J833" s="261"/>
      <c r="K833" s="261"/>
      <c r="L833" s="236"/>
      <c r="M833" s="254"/>
      <c r="N833" s="236"/>
      <c r="O833" s="322">
        <v>3.5178109061621493E-3</v>
      </c>
      <c r="P833" s="322"/>
      <c r="Q833" s="322"/>
      <c r="R833" s="322"/>
      <c r="S833" s="236"/>
      <c r="T833" s="254"/>
    </row>
    <row r="834" spans="2:20" s="283" customFormat="1" outlineLevel="2">
      <c r="C834" s="283" t="s">
        <v>858</v>
      </c>
      <c r="D834" s="253" t="s">
        <v>26</v>
      </c>
      <c r="E834" s="236"/>
      <c r="F834" s="254"/>
      <c r="G834" s="236"/>
      <c r="H834" s="261" t="s">
        <v>1041</v>
      </c>
      <c r="I834" s="261"/>
      <c r="J834" s="261"/>
      <c r="K834" s="261"/>
      <c r="L834" s="236"/>
      <c r="M834" s="254"/>
      <c r="N834" s="236"/>
      <c r="O834" s="322">
        <v>2.0441232141613128E-2</v>
      </c>
      <c r="P834" s="322"/>
      <c r="Q834" s="322"/>
      <c r="R834" s="322"/>
      <c r="S834" s="236"/>
      <c r="T834" s="254"/>
    </row>
    <row r="835" spans="2:20" outlineLevel="2">
      <c r="B835" s="660"/>
      <c r="C835" s="659" t="s">
        <v>858</v>
      </c>
      <c r="D835" s="659" t="s">
        <v>26</v>
      </c>
      <c r="F835" s="243"/>
      <c r="H835" s="662" t="s">
        <v>1022</v>
      </c>
      <c r="I835" s="662"/>
      <c r="J835" s="662"/>
      <c r="K835" s="662"/>
      <c r="M835" s="243"/>
      <c r="O835" s="663">
        <v>1.703436011801094E-2</v>
      </c>
      <c r="P835" s="663"/>
      <c r="Q835" s="663"/>
      <c r="R835" s="663"/>
      <c r="T835" s="243"/>
    </row>
    <row r="836" spans="2:20" ht="3" customHeight="1" outlineLevel="1">
      <c r="B836" s="246"/>
      <c r="C836" s="246"/>
      <c r="D836" s="253"/>
      <c r="E836" s="236"/>
      <c r="F836" s="193"/>
      <c r="G836" s="236"/>
      <c r="H836" s="245"/>
      <c r="I836" s="245"/>
      <c r="J836" s="245"/>
      <c r="K836" s="245"/>
      <c r="L836" s="236"/>
      <c r="M836" s="193"/>
      <c r="N836" s="236"/>
      <c r="O836" s="353"/>
      <c r="P836" s="353"/>
      <c r="Q836" s="353"/>
      <c r="R836" s="353"/>
      <c r="S836" s="236"/>
      <c r="T836" s="193"/>
    </row>
    <row r="837" spans="2:20" s="238" customFormat="1" outlineLevel="1">
      <c r="B837" s="239" t="s">
        <v>900</v>
      </c>
      <c r="C837" s="239"/>
      <c r="D837" s="239"/>
      <c r="E837" s="236"/>
      <c r="F837" s="193"/>
      <c r="G837" s="236"/>
      <c r="H837" s="240">
        <f>COUNTA(H838:H842)</f>
        <v>5</v>
      </c>
      <c r="I837" s="240"/>
      <c r="J837" s="240"/>
      <c r="K837" s="240"/>
      <c r="L837" s="236"/>
      <c r="M837" s="193"/>
      <c r="N837" s="236"/>
      <c r="O837" s="265">
        <f>SUM(O838:O842)</f>
        <v>0.67</v>
      </c>
      <c r="P837" s="265"/>
      <c r="Q837" s="265"/>
      <c r="R837" s="265"/>
      <c r="S837" s="236"/>
      <c r="T837" s="193"/>
    </row>
    <row r="838" spans="2:20" outlineLevel="2">
      <c r="B838" s="246"/>
      <c r="C838" s="246" t="s">
        <v>900</v>
      </c>
      <c r="D838" s="253" t="s">
        <v>26</v>
      </c>
      <c r="E838" s="236"/>
      <c r="F838" s="193"/>
      <c r="G838" s="236"/>
      <c r="H838" s="691" t="s">
        <v>1042</v>
      </c>
      <c r="I838" s="691"/>
      <c r="J838" s="691"/>
      <c r="K838" s="691"/>
      <c r="L838" s="236"/>
      <c r="M838" s="193"/>
      <c r="N838" s="236"/>
      <c r="O838" s="663">
        <v>0.13</v>
      </c>
      <c r="P838" s="663"/>
      <c r="Q838" s="663"/>
      <c r="R838" s="663"/>
      <c r="S838" s="236"/>
      <c r="T838" s="193"/>
    </row>
    <row r="839" spans="2:20" outlineLevel="2">
      <c r="B839" s="246"/>
      <c r="C839" s="246" t="s">
        <v>900</v>
      </c>
      <c r="D839" s="253" t="s">
        <v>26</v>
      </c>
      <c r="E839" s="236"/>
      <c r="F839" s="193"/>
      <c r="G839" s="236"/>
      <c r="H839" s="691" t="s">
        <v>1043</v>
      </c>
      <c r="I839" s="691"/>
      <c r="J839" s="691"/>
      <c r="K839" s="691"/>
      <c r="L839" s="236"/>
      <c r="M839" s="193"/>
      <c r="N839" s="236"/>
      <c r="O839" s="663">
        <v>0.26</v>
      </c>
      <c r="P839" s="663"/>
      <c r="Q839" s="663"/>
      <c r="R839" s="663"/>
      <c r="S839" s="236"/>
      <c r="T839" s="193"/>
    </row>
    <row r="840" spans="2:20" outlineLevel="2">
      <c r="B840" s="246"/>
      <c r="C840" s="246" t="s">
        <v>900</v>
      </c>
      <c r="D840" s="253" t="s">
        <v>26</v>
      </c>
      <c r="E840" s="236"/>
      <c r="F840" s="193"/>
      <c r="G840" s="236"/>
      <c r="H840" s="691" t="s">
        <v>1044</v>
      </c>
      <c r="I840" s="691"/>
      <c r="J840" s="691"/>
      <c r="K840" s="691"/>
      <c r="L840" s="236"/>
      <c r="M840" s="193"/>
      <c r="N840" s="236"/>
      <c r="O840" s="663">
        <v>0.26</v>
      </c>
      <c r="P840" s="663"/>
      <c r="Q840" s="663"/>
      <c r="R840" s="663"/>
      <c r="S840" s="236"/>
      <c r="T840" s="193"/>
    </row>
    <row r="841" spans="2:20" outlineLevel="2">
      <c r="B841" s="246"/>
      <c r="C841" s="246" t="s">
        <v>900</v>
      </c>
      <c r="D841" s="253" t="s">
        <v>26</v>
      </c>
      <c r="E841" s="236"/>
      <c r="F841" s="193"/>
      <c r="G841" s="236"/>
      <c r="H841" s="691" t="s">
        <v>1041</v>
      </c>
      <c r="I841" s="691"/>
      <c r="J841" s="691"/>
      <c r="K841" s="691"/>
      <c r="L841" s="236"/>
      <c r="M841" s="193"/>
      <c r="N841" s="236"/>
      <c r="O841" s="663">
        <v>0.01</v>
      </c>
      <c r="P841" s="663"/>
      <c r="Q841" s="663"/>
      <c r="R841" s="663"/>
      <c r="S841" s="236"/>
      <c r="T841" s="193"/>
    </row>
    <row r="842" spans="2:20" outlineLevel="2">
      <c r="B842" s="246"/>
      <c r="C842" s="246" t="s">
        <v>900</v>
      </c>
      <c r="D842" s="253" t="s">
        <v>26</v>
      </c>
      <c r="E842" s="236"/>
      <c r="F842" s="193"/>
      <c r="G842" s="236"/>
      <c r="H842" s="691" t="s">
        <v>1022</v>
      </c>
      <c r="I842" s="691"/>
      <c r="J842" s="691"/>
      <c r="K842" s="691"/>
      <c r="L842" s="236"/>
      <c r="M842" s="193"/>
      <c r="N842" s="236"/>
      <c r="O842" s="663">
        <v>0.01</v>
      </c>
      <c r="P842" s="663"/>
      <c r="Q842" s="663"/>
      <c r="R842" s="663"/>
      <c r="S842" s="236"/>
      <c r="T842" s="193"/>
    </row>
    <row r="843" spans="2:20" ht="3" customHeight="1" outlineLevel="1">
      <c r="B843" s="246"/>
      <c r="C843" s="246"/>
      <c r="D843" s="253"/>
      <c r="E843" s="236"/>
      <c r="F843" s="193"/>
      <c r="G843" s="236"/>
      <c r="H843" s="670"/>
      <c r="I843" s="670"/>
      <c r="J843" s="670"/>
      <c r="K843" s="670"/>
      <c r="L843" s="236"/>
      <c r="M843" s="193"/>
      <c r="N843" s="236"/>
      <c r="O843" s="671"/>
      <c r="P843" s="671"/>
      <c r="Q843" s="671"/>
      <c r="R843" s="671"/>
      <c r="S843" s="236"/>
      <c r="T843" s="193"/>
    </row>
    <row r="844" spans="2:20" s="238" customFormat="1" outlineLevel="1">
      <c r="B844" s="239" t="s">
        <v>873</v>
      </c>
      <c r="C844" s="239"/>
      <c r="D844" s="239"/>
      <c r="E844" s="236"/>
      <c r="F844" s="193"/>
      <c r="G844" s="236"/>
      <c r="H844" s="240">
        <f>COUNTA(H845:H854)</f>
        <v>10</v>
      </c>
      <c r="I844" s="240"/>
      <c r="J844" s="240"/>
      <c r="K844" s="240"/>
      <c r="L844" s="236"/>
      <c r="M844" s="193"/>
      <c r="N844" s="236"/>
      <c r="O844" s="265">
        <f>SUM(O845:O854)</f>
        <v>2.06</v>
      </c>
      <c r="P844" s="265"/>
      <c r="Q844" s="265"/>
      <c r="R844" s="265"/>
      <c r="S844" s="236"/>
      <c r="T844" s="193"/>
    </row>
    <row r="845" spans="2:20" outlineLevel="2">
      <c r="B845" s="246"/>
      <c r="C845" s="246" t="s">
        <v>873</v>
      </c>
      <c r="D845" s="253" t="s">
        <v>26</v>
      </c>
      <c r="E845" s="236"/>
      <c r="F845" s="193"/>
      <c r="G845" s="236"/>
      <c r="H845" s="249" t="s">
        <v>96</v>
      </c>
      <c r="I845" s="249"/>
      <c r="J845" s="249"/>
      <c r="K845" s="249"/>
      <c r="L845" s="236"/>
      <c r="M845" s="193"/>
      <c r="N845" s="236"/>
      <c r="O845" s="284">
        <v>0.19</v>
      </c>
      <c r="P845" s="284"/>
      <c r="Q845" s="284"/>
      <c r="R845" s="284"/>
      <c r="S845" s="236"/>
      <c r="T845" s="193"/>
    </row>
    <row r="846" spans="2:20" outlineLevel="2">
      <c r="B846" s="246"/>
      <c r="C846" s="246" t="s">
        <v>873</v>
      </c>
      <c r="D846" s="253" t="s">
        <v>26</v>
      </c>
      <c r="E846" s="236"/>
      <c r="F846" s="193"/>
      <c r="G846" s="236"/>
      <c r="H846" s="249" t="s">
        <v>97</v>
      </c>
      <c r="I846" s="249"/>
      <c r="J846" s="249"/>
      <c r="K846" s="249"/>
      <c r="L846" s="236"/>
      <c r="M846" s="193"/>
      <c r="N846" s="236"/>
      <c r="O846" s="284">
        <v>0.16</v>
      </c>
      <c r="P846" s="284"/>
      <c r="Q846" s="284"/>
      <c r="R846" s="284"/>
      <c r="S846" s="236"/>
      <c r="T846" s="193"/>
    </row>
    <row r="847" spans="2:20" outlineLevel="2">
      <c r="B847" s="246"/>
      <c r="C847" s="246" t="s">
        <v>873</v>
      </c>
      <c r="D847" s="253" t="s">
        <v>26</v>
      </c>
      <c r="E847" s="236"/>
      <c r="F847" s="193"/>
      <c r="G847" s="236"/>
      <c r="H847" s="249" t="s">
        <v>98</v>
      </c>
      <c r="I847" s="249"/>
      <c r="J847" s="249"/>
      <c r="K847" s="249"/>
      <c r="L847" s="236"/>
      <c r="M847" s="193"/>
      <c r="N847" s="236"/>
      <c r="O847" s="284">
        <v>0.01</v>
      </c>
      <c r="P847" s="284"/>
      <c r="Q847" s="284"/>
      <c r="R847" s="284"/>
      <c r="S847" s="236"/>
      <c r="T847" s="193"/>
    </row>
    <row r="848" spans="2:20" outlineLevel="2">
      <c r="B848" s="246"/>
      <c r="C848" s="246" t="s">
        <v>876</v>
      </c>
      <c r="D848" s="253" t="s">
        <v>26</v>
      </c>
      <c r="E848" s="236"/>
      <c r="F848" s="193"/>
      <c r="G848" s="236"/>
      <c r="H848" s="249" t="s">
        <v>113</v>
      </c>
      <c r="I848" s="249"/>
      <c r="J848" s="249"/>
      <c r="K848" s="249"/>
      <c r="L848" s="236"/>
      <c r="M848" s="193"/>
      <c r="N848" s="236"/>
      <c r="O848" s="284">
        <v>0.2</v>
      </c>
      <c r="P848" s="284"/>
      <c r="Q848" s="284"/>
      <c r="R848" s="284"/>
      <c r="S848" s="236"/>
      <c r="T848" s="193"/>
    </row>
    <row r="849" spans="2:20" outlineLevel="2">
      <c r="B849" s="246"/>
      <c r="C849" s="246" t="s">
        <v>876</v>
      </c>
      <c r="D849" s="253" t="s">
        <v>26</v>
      </c>
      <c r="E849" s="236"/>
      <c r="F849" s="193"/>
      <c r="G849" s="236"/>
      <c r="H849" s="249" t="s">
        <v>114</v>
      </c>
      <c r="I849" s="249"/>
      <c r="J849" s="249"/>
      <c r="K849" s="249"/>
      <c r="L849" s="236"/>
      <c r="M849" s="193"/>
      <c r="N849" s="236"/>
      <c r="O849" s="284">
        <v>0.4</v>
      </c>
      <c r="P849" s="284"/>
      <c r="Q849" s="284"/>
      <c r="R849" s="284"/>
      <c r="S849" s="236"/>
      <c r="T849" s="193"/>
    </row>
    <row r="850" spans="2:20" outlineLevel="2">
      <c r="B850" s="246"/>
      <c r="C850" s="246" t="s">
        <v>876</v>
      </c>
      <c r="D850" s="253" t="s">
        <v>26</v>
      </c>
      <c r="E850" s="236"/>
      <c r="F850" s="193"/>
      <c r="G850" s="236"/>
      <c r="H850" s="249" t="s">
        <v>123</v>
      </c>
      <c r="I850" s="249"/>
      <c r="J850" s="249"/>
      <c r="K850" s="249"/>
      <c r="L850" s="236"/>
      <c r="M850" s="193"/>
      <c r="N850" s="236"/>
      <c r="O850" s="284">
        <v>0.32</v>
      </c>
      <c r="P850" s="284"/>
      <c r="Q850" s="284"/>
      <c r="R850" s="284"/>
      <c r="S850" s="236"/>
      <c r="T850" s="193"/>
    </row>
    <row r="851" spans="2:20" outlineLevel="2">
      <c r="B851" s="246"/>
      <c r="C851" s="246" t="s">
        <v>876</v>
      </c>
      <c r="D851" s="253" t="s">
        <v>26</v>
      </c>
      <c r="E851" s="236"/>
      <c r="F851" s="193"/>
      <c r="G851" s="236"/>
      <c r="H851" s="249" t="s">
        <v>124</v>
      </c>
      <c r="I851" s="249"/>
      <c r="J851" s="249"/>
      <c r="K851" s="249"/>
      <c r="L851" s="236"/>
      <c r="M851" s="193"/>
      <c r="N851" s="236"/>
      <c r="O851" s="284">
        <v>0.32</v>
      </c>
      <c r="P851" s="284"/>
      <c r="Q851" s="284"/>
      <c r="R851" s="284"/>
      <c r="S851" s="236"/>
      <c r="T851" s="193"/>
    </row>
    <row r="852" spans="2:20" outlineLevel="2">
      <c r="B852" s="246"/>
      <c r="C852" s="246" t="s">
        <v>876</v>
      </c>
      <c r="D852" s="253" t="s">
        <v>26</v>
      </c>
      <c r="E852" s="236"/>
      <c r="F852" s="193"/>
      <c r="G852" s="236"/>
      <c r="H852" s="249" t="s">
        <v>125</v>
      </c>
      <c r="I852" s="249"/>
      <c r="J852" s="249"/>
      <c r="K852" s="249"/>
      <c r="L852" s="236"/>
      <c r="M852" s="193"/>
      <c r="N852" s="236"/>
      <c r="O852" s="284">
        <v>0.43</v>
      </c>
      <c r="P852" s="284"/>
      <c r="Q852" s="284"/>
      <c r="R852" s="284"/>
      <c r="S852" s="236"/>
      <c r="T852" s="193"/>
    </row>
    <row r="853" spans="2:20" outlineLevel="2">
      <c r="B853" s="246"/>
      <c r="C853" s="246" t="s">
        <v>876</v>
      </c>
      <c r="D853" s="253" t="s">
        <v>26</v>
      </c>
      <c r="E853" s="236"/>
      <c r="F853" s="193"/>
      <c r="G853" s="236"/>
      <c r="H853" s="249" t="s">
        <v>96</v>
      </c>
      <c r="I853" s="249"/>
      <c r="J853" s="249"/>
      <c r="K853" s="249"/>
      <c r="L853" s="236"/>
      <c r="M853" s="193"/>
      <c r="N853" s="236"/>
      <c r="O853" s="284">
        <v>0.02</v>
      </c>
      <c r="P853" s="284"/>
      <c r="Q853" s="284"/>
      <c r="R853" s="284"/>
      <c r="S853" s="236"/>
      <c r="T853" s="193"/>
    </row>
    <row r="854" spans="2:20" outlineLevel="2">
      <c r="B854" s="246"/>
      <c r="C854" s="246" t="s">
        <v>876</v>
      </c>
      <c r="D854" s="253" t="s">
        <v>26</v>
      </c>
      <c r="E854" s="236"/>
      <c r="F854" s="193"/>
      <c r="G854" s="236"/>
      <c r="H854" s="249" t="s">
        <v>97</v>
      </c>
      <c r="I854" s="249"/>
      <c r="J854" s="249"/>
      <c r="K854" s="249"/>
      <c r="L854" s="236"/>
      <c r="M854" s="193"/>
      <c r="N854" s="236"/>
      <c r="O854" s="284">
        <v>0.01</v>
      </c>
      <c r="P854" s="284"/>
      <c r="Q854" s="284"/>
      <c r="R854" s="284"/>
      <c r="S854" s="236"/>
      <c r="T854" s="193"/>
    </row>
    <row r="855" spans="2:20" ht="3" customHeight="1" outlineLevel="1">
      <c r="B855" s="246"/>
      <c r="C855" s="246"/>
      <c r="D855" s="246"/>
      <c r="E855" s="236"/>
      <c r="F855" s="193"/>
      <c r="G855" s="236"/>
      <c r="H855" s="670"/>
      <c r="I855" s="670"/>
      <c r="J855" s="670"/>
      <c r="K855" s="670"/>
      <c r="L855" s="236"/>
      <c r="M855" s="193"/>
      <c r="N855" s="236"/>
      <c r="O855" s="671"/>
      <c r="P855" s="671"/>
      <c r="Q855" s="671"/>
      <c r="R855" s="671"/>
      <c r="S855" s="236"/>
      <c r="T855" s="193"/>
    </row>
    <row r="856" spans="2:20" s="238" customFormat="1" outlineLevel="1">
      <c r="B856" s="239" t="s">
        <v>1045</v>
      </c>
      <c r="C856" s="239"/>
      <c r="D856" s="239"/>
      <c r="E856" s="236"/>
      <c r="F856" s="193"/>
      <c r="G856" s="236"/>
      <c r="H856" s="240">
        <f>COUNTA(H857:H857)</f>
        <v>1</v>
      </c>
      <c r="I856" s="240"/>
      <c r="J856" s="240"/>
      <c r="K856" s="240"/>
      <c r="L856" s="236"/>
      <c r="M856" s="193"/>
      <c r="N856" s="236"/>
      <c r="O856" s="265">
        <f>SUM(O857:O857)</f>
        <v>2.8729968947520727E-2</v>
      </c>
      <c r="P856" s="265"/>
      <c r="Q856" s="265"/>
      <c r="R856" s="265"/>
      <c r="S856" s="236"/>
      <c r="T856" s="193"/>
    </row>
    <row r="857" spans="2:20" outlineLevel="2">
      <c r="B857" s="246"/>
      <c r="C857" s="246" t="s">
        <v>1046</v>
      </c>
      <c r="D857" s="253" t="s">
        <v>26</v>
      </c>
      <c r="E857" s="236"/>
      <c r="F857" s="193"/>
      <c r="G857" s="236"/>
      <c r="H857" s="249" t="s">
        <v>73</v>
      </c>
      <c r="I857" s="249"/>
      <c r="J857" s="249"/>
      <c r="K857" s="249"/>
      <c r="L857" s="236"/>
      <c r="M857" s="193"/>
      <c r="N857" s="236"/>
      <c r="O857" s="368">
        <v>2.8729968947520727E-2</v>
      </c>
      <c r="P857" s="368"/>
      <c r="Q857" s="368"/>
      <c r="R857" s="368"/>
      <c r="S857" s="236"/>
      <c r="T857" s="193"/>
    </row>
    <row r="858" spans="2:20" ht="3" customHeight="1" outlineLevel="1">
      <c r="B858" s="246"/>
      <c r="C858" s="246"/>
      <c r="D858" s="253"/>
      <c r="E858" s="236"/>
      <c r="F858" s="193"/>
      <c r="G858" s="236"/>
      <c r="H858" s="670"/>
      <c r="I858" s="670"/>
      <c r="J858" s="670"/>
      <c r="K858" s="670"/>
      <c r="L858" s="236"/>
      <c r="M858" s="193"/>
      <c r="N858" s="236"/>
      <c r="O858" s="671"/>
      <c r="P858" s="671"/>
      <c r="Q858" s="671"/>
      <c r="R858" s="671"/>
      <c r="S858" s="236"/>
      <c r="T858" s="193"/>
    </row>
    <row r="859" spans="2:20" s="238" customFormat="1" outlineLevel="1">
      <c r="B859" s="239" t="s">
        <v>803</v>
      </c>
      <c r="C859" s="239"/>
      <c r="D859" s="239"/>
      <c r="E859" s="236"/>
      <c r="F859" s="193"/>
      <c r="G859" s="236"/>
      <c r="H859" s="240">
        <f>COUNTA(H860:H860)</f>
        <v>1</v>
      </c>
      <c r="I859" s="240"/>
      <c r="J859" s="240"/>
      <c r="K859" s="240"/>
      <c r="L859" s="236"/>
      <c r="M859" s="193"/>
      <c r="N859" s="236"/>
      <c r="O859" s="265">
        <f>SUM(O860:O860)</f>
        <v>0</v>
      </c>
      <c r="P859" s="265"/>
      <c r="Q859" s="265"/>
      <c r="R859" s="265"/>
      <c r="S859" s="236"/>
      <c r="T859" s="193"/>
    </row>
    <row r="860" spans="2:20" outlineLevel="2">
      <c r="B860" s="246"/>
      <c r="C860" s="246" t="s">
        <v>803</v>
      </c>
      <c r="D860" s="253" t="s">
        <v>26</v>
      </c>
      <c r="E860" s="236"/>
      <c r="F860" s="193"/>
      <c r="G860" s="236"/>
      <c r="H860" s="256" t="s">
        <v>32</v>
      </c>
      <c r="I860" s="256"/>
      <c r="J860" s="256"/>
      <c r="K860" s="256"/>
      <c r="L860" s="236"/>
      <c r="M860" s="193"/>
      <c r="N860" s="236"/>
      <c r="O860" s="663"/>
      <c r="P860" s="663"/>
      <c r="Q860" s="663"/>
      <c r="R860" s="663"/>
      <c r="S860" s="236"/>
      <c r="T860" s="193"/>
    </row>
    <row r="861" spans="2:20" ht="3" customHeight="1" outlineLevel="1">
      <c r="B861" s="246"/>
      <c r="C861" s="246"/>
      <c r="D861" s="253"/>
      <c r="E861" s="236"/>
      <c r="F861" s="193"/>
      <c r="G861" s="236"/>
      <c r="H861" s="670"/>
      <c r="I861" s="670"/>
      <c r="J861" s="670"/>
      <c r="K861" s="670"/>
      <c r="L861" s="236"/>
      <c r="M861" s="193"/>
      <c r="N861" s="236"/>
      <c r="O861" s="671"/>
      <c r="P861" s="671"/>
      <c r="Q861" s="671"/>
      <c r="R861" s="671"/>
      <c r="S861" s="236"/>
      <c r="T861" s="193"/>
    </row>
    <row r="862" spans="2:20" s="238" customFormat="1" outlineLevel="1">
      <c r="B862" s="239" t="s">
        <v>804</v>
      </c>
      <c r="C862" s="239"/>
      <c r="D862" s="239"/>
      <c r="E862" s="236"/>
      <c r="F862" s="193"/>
      <c r="G862" s="236"/>
      <c r="H862" s="240">
        <f>COUNTA(H863:H869)</f>
        <v>7</v>
      </c>
      <c r="I862" s="240"/>
      <c r="J862" s="240"/>
      <c r="K862" s="240"/>
      <c r="L862" s="236"/>
      <c r="M862" s="193"/>
      <c r="N862" s="236"/>
      <c r="O862" s="265">
        <f>SUM(O863:O869)</f>
        <v>0.34916975508561954</v>
      </c>
      <c r="P862" s="265"/>
      <c r="Q862" s="265"/>
      <c r="R862" s="265"/>
      <c r="S862" s="236"/>
      <c r="T862" s="193"/>
    </row>
    <row r="863" spans="2:20" outlineLevel="2">
      <c r="B863" s="246"/>
      <c r="C863" s="246" t="s">
        <v>804</v>
      </c>
      <c r="D863" s="253" t="s">
        <v>26</v>
      </c>
      <c r="E863" s="236"/>
      <c r="F863" s="193"/>
      <c r="G863" s="236"/>
      <c r="H863" s="249" t="s">
        <v>271</v>
      </c>
      <c r="I863" s="249"/>
      <c r="J863" s="249"/>
      <c r="K863" s="249"/>
      <c r="L863" s="236"/>
      <c r="M863" s="193"/>
      <c r="N863" s="236"/>
      <c r="O863" s="354">
        <v>0.20115878538561949</v>
      </c>
      <c r="P863" s="354"/>
      <c r="Q863" s="354"/>
      <c r="R863" s="354"/>
      <c r="S863" s="236"/>
      <c r="T863" s="193"/>
    </row>
    <row r="864" spans="2:20" outlineLevel="2">
      <c r="B864" s="246"/>
      <c r="C864" s="246" t="s">
        <v>804</v>
      </c>
      <c r="D864" s="253" t="s">
        <v>26</v>
      </c>
      <c r="E864" s="236"/>
      <c r="F864" s="193"/>
      <c r="G864" s="236"/>
      <c r="H864" s="249" t="s">
        <v>73</v>
      </c>
      <c r="I864" s="249"/>
      <c r="J864" s="249"/>
      <c r="K864" s="249"/>
      <c r="L864" s="236"/>
      <c r="M864" s="193"/>
      <c r="N864" s="236"/>
      <c r="O864" s="354">
        <v>5.8456730700000001E-2</v>
      </c>
      <c r="P864" s="354"/>
      <c r="Q864" s="354"/>
      <c r="R864" s="354"/>
      <c r="S864" s="236"/>
      <c r="T864" s="193"/>
    </row>
    <row r="865" spans="2:21" outlineLevel="2">
      <c r="B865" s="246"/>
      <c r="C865" s="246" t="s">
        <v>804</v>
      </c>
      <c r="D865" s="253" t="s">
        <v>26</v>
      </c>
      <c r="E865" s="236"/>
      <c r="F865" s="193"/>
      <c r="G865" s="236"/>
      <c r="H865" s="249" t="s">
        <v>24</v>
      </c>
      <c r="I865" s="249"/>
      <c r="J865" s="249"/>
      <c r="K865" s="249"/>
      <c r="L865" s="236"/>
      <c r="M865" s="193"/>
      <c r="N865" s="236"/>
      <c r="O865" s="354">
        <v>4.8713942250000003E-2</v>
      </c>
      <c r="P865" s="354"/>
      <c r="Q865" s="354"/>
      <c r="R865" s="354"/>
      <c r="S865" s="236"/>
      <c r="T865" s="193"/>
      <c r="U865" s="659"/>
    </row>
    <row r="866" spans="2:21" outlineLevel="2">
      <c r="B866" s="246"/>
      <c r="C866" s="246" t="s">
        <v>804</v>
      </c>
      <c r="D866" s="253" t="s">
        <v>26</v>
      </c>
      <c r="E866" s="236"/>
      <c r="F866" s="193"/>
      <c r="G866" s="236"/>
      <c r="H866" s="249" t="s">
        <v>205</v>
      </c>
      <c r="I866" s="249"/>
      <c r="J866" s="249"/>
      <c r="K866" s="249"/>
      <c r="L866" s="236"/>
      <c r="M866" s="193"/>
      <c r="N866" s="236"/>
      <c r="O866" s="354">
        <v>2.5989279749999997E-2</v>
      </c>
      <c r="P866" s="354"/>
      <c r="Q866" s="354"/>
      <c r="R866" s="354"/>
      <c r="S866" s="236"/>
      <c r="T866" s="193"/>
      <c r="U866" s="659"/>
    </row>
    <row r="867" spans="2:21" outlineLevel="2">
      <c r="B867" s="246"/>
      <c r="C867" s="246" t="s">
        <v>804</v>
      </c>
      <c r="D867" s="253" t="s">
        <v>26</v>
      </c>
      <c r="E867" s="236"/>
      <c r="F867" s="193"/>
      <c r="G867" s="236"/>
      <c r="H867" s="249" t="s">
        <v>117</v>
      </c>
      <c r="I867" s="249"/>
      <c r="J867" s="249"/>
      <c r="K867" s="249"/>
      <c r="L867" s="236"/>
      <c r="M867" s="193"/>
      <c r="N867" s="236"/>
      <c r="O867" s="354">
        <v>3.7127542499999998E-3</v>
      </c>
      <c r="P867" s="354"/>
      <c r="Q867" s="354"/>
      <c r="R867" s="354"/>
      <c r="S867" s="236"/>
      <c r="T867" s="193"/>
      <c r="U867" s="659"/>
    </row>
    <row r="868" spans="2:21" outlineLevel="2">
      <c r="B868" s="246"/>
      <c r="C868" s="246" t="s">
        <v>804</v>
      </c>
      <c r="D868" s="253" t="s">
        <v>26</v>
      </c>
      <c r="E868" s="236"/>
      <c r="F868" s="193"/>
      <c r="G868" s="236"/>
      <c r="H868" s="249" t="s">
        <v>272</v>
      </c>
      <c r="I868" s="249"/>
      <c r="J868" s="249"/>
      <c r="K868" s="249"/>
      <c r="L868" s="236"/>
      <c r="M868" s="193"/>
      <c r="N868" s="236"/>
      <c r="O868" s="354">
        <v>3.7127542500000003E-3</v>
      </c>
      <c r="P868" s="354"/>
      <c r="Q868" s="354"/>
      <c r="R868" s="354"/>
      <c r="S868" s="236"/>
      <c r="T868" s="193"/>
      <c r="U868" s="659"/>
    </row>
    <row r="869" spans="2:21" outlineLevel="2">
      <c r="B869" s="246"/>
      <c r="C869" s="246" t="s">
        <v>804</v>
      </c>
      <c r="D869" s="253" t="s">
        <v>26</v>
      </c>
      <c r="E869" s="236"/>
      <c r="F869" s="193"/>
      <c r="G869" s="236"/>
      <c r="H869" s="249" t="s">
        <v>273</v>
      </c>
      <c r="I869" s="249"/>
      <c r="J869" s="249"/>
      <c r="K869" s="249"/>
      <c r="L869" s="236"/>
      <c r="M869" s="193"/>
      <c r="N869" s="236"/>
      <c r="O869" s="354">
        <v>7.4255085000000005E-3</v>
      </c>
      <c r="P869" s="354"/>
      <c r="Q869" s="354"/>
      <c r="R869" s="354"/>
      <c r="S869" s="236"/>
      <c r="T869" s="193"/>
      <c r="U869" s="659"/>
    </row>
    <row r="870" spans="2:21" ht="3" customHeight="1" outlineLevel="1">
      <c r="B870" s="246"/>
      <c r="C870" s="246"/>
      <c r="D870" s="246"/>
      <c r="E870" s="236"/>
      <c r="F870" s="193"/>
      <c r="G870" s="236"/>
      <c r="H870" s="670"/>
      <c r="I870" s="670"/>
      <c r="J870" s="670"/>
      <c r="K870" s="670"/>
      <c r="L870" s="236"/>
      <c r="M870" s="193"/>
      <c r="N870" s="236"/>
      <c r="O870" s="671"/>
      <c r="P870" s="671"/>
      <c r="Q870" s="671"/>
      <c r="R870" s="671"/>
      <c r="S870" s="236"/>
      <c r="T870" s="193"/>
      <c r="U870" s="659"/>
    </row>
    <row r="871" spans="2:21" s="238" customFormat="1" outlineLevel="1">
      <c r="B871" s="239" t="s">
        <v>765</v>
      </c>
      <c r="C871" s="239"/>
      <c r="D871" s="239"/>
      <c r="E871" s="236"/>
      <c r="F871" s="193"/>
      <c r="G871" s="236"/>
      <c r="H871" s="240">
        <f>COUNTA(H872:H899)</f>
        <v>28</v>
      </c>
      <c r="I871" s="240"/>
      <c r="J871" s="240"/>
      <c r="K871" s="240"/>
      <c r="L871" s="236"/>
      <c r="M871" s="193"/>
      <c r="N871" s="236"/>
      <c r="O871" s="265">
        <f>SUM(O872:O899)</f>
        <v>3.4647085280486221</v>
      </c>
      <c r="P871" s="265"/>
      <c r="Q871" s="265"/>
      <c r="R871" s="265"/>
      <c r="S871" s="241"/>
      <c r="T871" s="193"/>
    </row>
    <row r="872" spans="2:21" outlineLevel="2">
      <c r="B872" s="246"/>
      <c r="C872" s="666" t="s">
        <v>766</v>
      </c>
      <c r="D872" s="253" t="s">
        <v>26</v>
      </c>
      <c r="E872" s="236"/>
      <c r="F872" s="193"/>
      <c r="G872" s="236"/>
      <c r="H872" s="291" t="s">
        <v>137</v>
      </c>
      <c r="I872" s="291"/>
      <c r="J872" s="291"/>
      <c r="K872" s="291"/>
      <c r="L872" s="236"/>
      <c r="M872" s="193"/>
      <c r="N872" s="236"/>
      <c r="O872" s="353">
        <v>6.0248605439999423E-2</v>
      </c>
      <c r="P872" s="353"/>
      <c r="Q872" s="353"/>
      <c r="R872" s="353"/>
      <c r="S872" s="236"/>
      <c r="T872" s="193"/>
      <c r="U872" s="238"/>
    </row>
    <row r="873" spans="2:21" outlineLevel="2">
      <c r="B873" s="246"/>
      <c r="C873" s="666" t="s">
        <v>766</v>
      </c>
      <c r="D873" s="253" t="s">
        <v>26</v>
      </c>
      <c r="E873" s="236"/>
      <c r="F873" s="193"/>
      <c r="G873" s="236"/>
      <c r="H873" s="291" t="s">
        <v>140</v>
      </c>
      <c r="I873" s="291"/>
      <c r="J873" s="291"/>
      <c r="K873" s="291"/>
      <c r="L873" s="236"/>
      <c r="M873" s="193"/>
      <c r="N873" s="236"/>
      <c r="O873" s="353">
        <v>1.1911781127994301E-2</v>
      </c>
      <c r="P873" s="353"/>
      <c r="Q873" s="353"/>
      <c r="R873" s="353"/>
      <c r="S873" s="236"/>
      <c r="T873" s="193"/>
      <c r="U873" s="238"/>
    </row>
    <row r="874" spans="2:21" outlineLevel="2">
      <c r="B874" s="246"/>
      <c r="C874" s="666" t="s">
        <v>766</v>
      </c>
      <c r="D874" s="253" t="s">
        <v>26</v>
      </c>
      <c r="E874" s="236"/>
      <c r="F874" s="193"/>
      <c r="G874" s="236"/>
      <c r="H874" s="291" t="s">
        <v>141</v>
      </c>
      <c r="I874" s="291"/>
      <c r="J874" s="291"/>
      <c r="K874" s="291"/>
      <c r="L874" s="236"/>
      <c r="M874" s="193"/>
      <c r="N874" s="236"/>
      <c r="O874" s="353">
        <v>1.1911781127994301E-2</v>
      </c>
      <c r="P874" s="353"/>
      <c r="Q874" s="353"/>
      <c r="R874" s="353"/>
      <c r="S874" s="236"/>
      <c r="T874" s="193"/>
      <c r="U874" s="238"/>
    </row>
    <row r="875" spans="2:21" outlineLevel="2">
      <c r="B875" s="660"/>
      <c r="C875" s="666" t="s">
        <v>768</v>
      </c>
      <c r="D875" s="253" t="s">
        <v>26</v>
      </c>
      <c r="E875" s="236"/>
      <c r="F875" s="193"/>
      <c r="G875" s="236"/>
      <c r="H875" s="291" t="s">
        <v>137</v>
      </c>
      <c r="I875" s="291"/>
      <c r="J875" s="291"/>
      <c r="K875" s="291"/>
      <c r="L875" s="236"/>
      <c r="M875" s="193"/>
      <c r="N875" s="236"/>
      <c r="O875" s="353">
        <v>5.4103609800000001E-2</v>
      </c>
      <c r="P875" s="353"/>
      <c r="Q875" s="353"/>
      <c r="R875" s="353"/>
      <c r="S875" s="236"/>
      <c r="T875" s="193"/>
      <c r="U875" s="238"/>
    </row>
    <row r="876" spans="2:21" outlineLevel="2">
      <c r="B876" s="660"/>
      <c r="C876" s="666" t="s">
        <v>768</v>
      </c>
      <c r="D876" s="253" t="s">
        <v>26</v>
      </c>
      <c r="E876" s="236"/>
      <c r="F876" s="193"/>
      <c r="G876" s="236"/>
      <c r="H876" s="291" t="s">
        <v>146</v>
      </c>
      <c r="I876" s="291"/>
      <c r="J876" s="291"/>
      <c r="K876" s="291"/>
      <c r="L876" s="236"/>
      <c r="M876" s="193"/>
      <c r="N876" s="236"/>
      <c r="O876" s="353">
        <v>4.5086341500000002E-2</v>
      </c>
      <c r="P876" s="353"/>
      <c r="Q876" s="353"/>
      <c r="R876" s="353"/>
      <c r="S876" s="236"/>
      <c r="T876" s="193"/>
      <c r="U876" s="238"/>
    </row>
    <row r="877" spans="2:21" outlineLevel="2">
      <c r="B877" s="660"/>
      <c r="C877" s="666" t="s">
        <v>768</v>
      </c>
      <c r="D877" s="253" t="s">
        <v>26</v>
      </c>
      <c r="E877" s="236"/>
      <c r="F877" s="193"/>
      <c r="G877" s="236"/>
      <c r="H877" s="291" t="s">
        <v>145</v>
      </c>
      <c r="I877" s="291"/>
      <c r="J877" s="291"/>
      <c r="K877" s="291"/>
      <c r="L877" s="236"/>
      <c r="M877" s="193"/>
      <c r="N877" s="236"/>
      <c r="O877" s="353">
        <v>6.7724302924981147E-2</v>
      </c>
      <c r="P877" s="353"/>
      <c r="Q877" s="353"/>
      <c r="R877" s="353"/>
      <c r="S877" s="236"/>
      <c r="T877" s="193"/>
      <c r="U877" s="238"/>
    </row>
    <row r="878" spans="2:21" outlineLevel="2">
      <c r="B878" s="660"/>
      <c r="C878" s="666" t="s">
        <v>769</v>
      </c>
      <c r="D878" s="253" t="s">
        <v>26</v>
      </c>
      <c r="E878" s="236"/>
      <c r="F878" s="193"/>
      <c r="G878" s="236"/>
      <c r="H878" s="291" t="s">
        <v>1047</v>
      </c>
      <c r="I878" s="291"/>
      <c r="J878" s="291"/>
      <c r="K878" s="291"/>
      <c r="L878" s="236"/>
      <c r="M878" s="193"/>
      <c r="N878" s="236"/>
      <c r="O878" s="353">
        <v>6.5483986034999997E-2</v>
      </c>
      <c r="P878" s="353"/>
      <c r="Q878" s="353"/>
      <c r="R878" s="353"/>
      <c r="S878" s="236"/>
      <c r="T878" s="193"/>
      <c r="U878" s="238"/>
    </row>
    <row r="879" spans="2:21" outlineLevel="2">
      <c r="B879" s="660"/>
      <c r="C879" s="666" t="s">
        <v>769</v>
      </c>
      <c r="D879" s="253" t="s">
        <v>26</v>
      </c>
      <c r="E879" s="236"/>
      <c r="F879" s="193"/>
      <c r="G879" s="236"/>
      <c r="H879" s="291" t="s">
        <v>1048</v>
      </c>
      <c r="I879" s="291"/>
      <c r="J879" s="291"/>
      <c r="K879" s="291"/>
      <c r="L879" s="236"/>
      <c r="M879" s="193"/>
      <c r="N879" s="236"/>
      <c r="O879" s="353">
        <v>6.5483986034999997E-2</v>
      </c>
      <c r="P879" s="353"/>
      <c r="Q879" s="353"/>
      <c r="R879" s="353"/>
      <c r="S879" s="236"/>
      <c r="T879" s="193"/>
      <c r="U879" s="238"/>
    </row>
    <row r="880" spans="2:21" outlineLevel="2">
      <c r="B880" s="660"/>
      <c r="C880" s="666" t="s">
        <v>769</v>
      </c>
      <c r="D880" s="253" t="s">
        <v>26</v>
      </c>
      <c r="E880" s="236"/>
      <c r="F880" s="193"/>
      <c r="G880" s="236"/>
      <c r="H880" s="291" t="s">
        <v>810</v>
      </c>
      <c r="I880" s="291"/>
      <c r="J880" s="291"/>
      <c r="K880" s="291"/>
      <c r="L880" s="236"/>
      <c r="M880" s="193"/>
      <c r="N880" s="236"/>
      <c r="O880" s="353">
        <v>6.5483986034999997E-2</v>
      </c>
      <c r="P880" s="353"/>
      <c r="Q880" s="353"/>
      <c r="R880" s="353"/>
      <c r="S880" s="236"/>
      <c r="T880" s="193"/>
      <c r="U880" s="238"/>
    </row>
    <row r="881" spans="3:21" outlineLevel="2">
      <c r="C881" s="666" t="s">
        <v>769</v>
      </c>
      <c r="D881" s="253" t="s">
        <v>26</v>
      </c>
      <c r="E881" s="236"/>
      <c r="F881" s="193"/>
      <c r="G881" s="236"/>
      <c r="H881" s="291" t="s">
        <v>1049</v>
      </c>
      <c r="I881" s="291"/>
      <c r="J881" s="291"/>
      <c r="K881" s="291"/>
      <c r="L881" s="236"/>
      <c r="M881" s="193"/>
      <c r="N881" s="236"/>
      <c r="O881" s="353">
        <v>6.5483986034999997E-2</v>
      </c>
      <c r="P881" s="353"/>
      <c r="Q881" s="353"/>
      <c r="R881" s="353"/>
      <c r="S881" s="236"/>
      <c r="T881" s="193"/>
      <c r="U881" s="238"/>
    </row>
    <row r="882" spans="3:21" outlineLevel="2">
      <c r="C882" s="666" t="s">
        <v>769</v>
      </c>
      <c r="D882" s="253" t="s">
        <v>26</v>
      </c>
      <c r="E882" s="236"/>
      <c r="F882" s="193"/>
      <c r="G882" s="236"/>
      <c r="H882" s="291" t="s">
        <v>1050</v>
      </c>
      <c r="I882" s="291"/>
      <c r="J882" s="291"/>
      <c r="K882" s="291"/>
      <c r="L882" s="236"/>
      <c r="M882" s="193"/>
      <c r="N882" s="236"/>
      <c r="O882" s="353">
        <v>6.5483986034999997E-2</v>
      </c>
      <c r="P882" s="353"/>
      <c r="Q882" s="353"/>
      <c r="R882" s="353"/>
      <c r="S882" s="236"/>
      <c r="T882" s="193"/>
      <c r="U882" s="238"/>
    </row>
    <row r="883" spans="3:21" outlineLevel="2">
      <c r="C883" s="666" t="s">
        <v>769</v>
      </c>
      <c r="D883" s="253" t="s">
        <v>26</v>
      </c>
      <c r="E883" s="236"/>
      <c r="F883" s="193"/>
      <c r="G883" s="236"/>
      <c r="H883" s="291" t="s">
        <v>1051</v>
      </c>
      <c r="I883" s="291"/>
      <c r="J883" s="291"/>
      <c r="K883" s="291"/>
      <c r="L883" s="236"/>
      <c r="M883" s="193"/>
      <c r="N883" s="236"/>
      <c r="O883" s="353">
        <v>6.5483986034999997E-2</v>
      </c>
      <c r="P883" s="353"/>
      <c r="Q883" s="353"/>
      <c r="R883" s="353"/>
      <c r="S883" s="236"/>
      <c r="T883" s="193"/>
      <c r="U883" s="238"/>
    </row>
    <row r="884" spans="3:21" outlineLevel="2">
      <c r="C884" s="666" t="s">
        <v>769</v>
      </c>
      <c r="D884" s="253" t="s">
        <v>26</v>
      </c>
      <c r="E884" s="236"/>
      <c r="F884" s="193"/>
      <c r="G884" s="236"/>
      <c r="H884" s="291" t="s">
        <v>1052</v>
      </c>
      <c r="I884" s="291"/>
      <c r="J884" s="291"/>
      <c r="K884" s="291"/>
      <c r="L884" s="236"/>
      <c r="M884" s="193"/>
      <c r="N884" s="236"/>
      <c r="O884" s="353">
        <v>0.13354827417359996</v>
      </c>
      <c r="P884" s="353"/>
      <c r="Q884" s="353"/>
      <c r="R884" s="353"/>
      <c r="S884" s="236"/>
      <c r="T884" s="193"/>
      <c r="U884" s="238"/>
    </row>
    <row r="885" spans="3:21" outlineLevel="2">
      <c r="C885" s="666" t="s">
        <v>769</v>
      </c>
      <c r="D885" s="253" t="s">
        <v>26</v>
      </c>
      <c r="E885" s="236"/>
      <c r="F885" s="193"/>
      <c r="G885" s="236"/>
      <c r="H885" s="291" t="s">
        <v>1053</v>
      </c>
      <c r="I885" s="291"/>
      <c r="J885" s="291"/>
      <c r="K885" s="291"/>
      <c r="L885" s="236"/>
      <c r="M885" s="193"/>
      <c r="N885" s="236"/>
      <c r="O885" s="353">
        <v>0.17806436556479999</v>
      </c>
      <c r="P885" s="353"/>
      <c r="Q885" s="353"/>
      <c r="R885" s="353"/>
      <c r="S885" s="236"/>
      <c r="T885" s="193"/>
      <c r="U885" s="238"/>
    </row>
    <row r="886" spans="3:21" outlineLevel="2">
      <c r="C886" s="666" t="s">
        <v>769</v>
      </c>
      <c r="D886" s="253" t="s">
        <v>26</v>
      </c>
      <c r="E886" s="236"/>
      <c r="F886" s="193"/>
      <c r="G886" s="236"/>
      <c r="H886" s="291" t="s">
        <v>1054</v>
      </c>
      <c r="I886" s="291"/>
      <c r="J886" s="291"/>
      <c r="K886" s="291"/>
      <c r="L886" s="236"/>
      <c r="M886" s="193"/>
      <c r="N886" s="236"/>
      <c r="O886" s="353">
        <v>0.13354827417359996</v>
      </c>
      <c r="P886" s="353"/>
      <c r="Q886" s="353"/>
      <c r="R886" s="353"/>
      <c r="S886" s="236"/>
      <c r="T886" s="193"/>
      <c r="U886" s="238"/>
    </row>
    <row r="887" spans="3:21" outlineLevel="2">
      <c r="C887" s="666" t="s">
        <v>769</v>
      </c>
      <c r="D887" s="253" t="s">
        <v>26</v>
      </c>
      <c r="E887" s="236"/>
      <c r="F887" s="193"/>
      <c r="G887" s="236"/>
      <c r="H887" s="291" t="s">
        <v>1055</v>
      </c>
      <c r="I887" s="291"/>
      <c r="J887" s="291"/>
      <c r="K887" s="291"/>
      <c r="L887" s="236"/>
      <c r="M887" s="193"/>
      <c r="N887" s="236"/>
      <c r="O887" s="353">
        <v>8.7311981380000001E-2</v>
      </c>
      <c r="P887" s="353"/>
      <c r="Q887" s="353"/>
      <c r="R887" s="353"/>
      <c r="S887" s="236"/>
      <c r="T887" s="193"/>
      <c r="U887" s="238"/>
    </row>
    <row r="888" spans="3:21" outlineLevel="2">
      <c r="C888" s="666" t="s">
        <v>769</v>
      </c>
      <c r="D888" s="253" t="s">
        <v>26</v>
      </c>
      <c r="E888" s="236"/>
      <c r="F888" s="193"/>
      <c r="G888" s="236"/>
      <c r="H888" s="291" t="s">
        <v>1056</v>
      </c>
      <c r="I888" s="291"/>
      <c r="J888" s="291"/>
      <c r="K888" s="291"/>
      <c r="L888" s="236"/>
      <c r="M888" s="193"/>
      <c r="N888" s="236"/>
      <c r="O888" s="353">
        <v>8.7311981380000001E-2</v>
      </c>
      <c r="P888" s="353"/>
      <c r="Q888" s="353"/>
      <c r="R888" s="353"/>
      <c r="S888" s="236"/>
      <c r="T888" s="193"/>
      <c r="U888" s="238"/>
    </row>
    <row r="889" spans="3:21" outlineLevel="2">
      <c r="C889" s="666" t="s">
        <v>769</v>
      </c>
      <c r="D889" s="253" t="s">
        <v>26</v>
      </c>
      <c r="E889" s="236"/>
      <c r="F889" s="193"/>
      <c r="G889" s="236"/>
      <c r="H889" s="291" t="s">
        <v>1057</v>
      </c>
      <c r="I889" s="291"/>
      <c r="J889" s="291"/>
      <c r="K889" s="291"/>
      <c r="L889" s="236"/>
      <c r="M889" s="193"/>
      <c r="N889" s="236"/>
      <c r="O889" s="353">
        <v>8.7311981380000001E-2</v>
      </c>
      <c r="P889" s="353"/>
      <c r="Q889" s="353"/>
      <c r="R889" s="353"/>
      <c r="S889" s="236"/>
      <c r="T889" s="193"/>
      <c r="U889" s="238"/>
    </row>
    <row r="890" spans="3:21" outlineLevel="2">
      <c r="C890" s="666" t="s">
        <v>769</v>
      </c>
      <c r="D890" s="253" t="s">
        <v>26</v>
      </c>
      <c r="E890" s="236"/>
      <c r="F890" s="193"/>
      <c r="G890" s="236"/>
      <c r="H890" s="291" t="s">
        <v>1058</v>
      </c>
      <c r="I890" s="291"/>
      <c r="J890" s="291"/>
      <c r="K890" s="291"/>
      <c r="L890" s="236"/>
      <c r="M890" s="193"/>
      <c r="N890" s="236"/>
      <c r="O890" s="353">
        <v>0.13354827417359996</v>
      </c>
      <c r="P890" s="353"/>
      <c r="Q890" s="353"/>
      <c r="R890" s="353"/>
      <c r="S890" s="236"/>
      <c r="T890" s="193"/>
      <c r="U890" s="238"/>
    </row>
    <row r="891" spans="3:21" outlineLevel="2">
      <c r="C891" s="666" t="s">
        <v>769</v>
      </c>
      <c r="D891" s="253" t="s">
        <v>26</v>
      </c>
      <c r="E891" s="236"/>
      <c r="F891" s="193"/>
      <c r="G891" s="236"/>
      <c r="H891" s="291" t="s">
        <v>1059</v>
      </c>
      <c r="I891" s="291"/>
      <c r="J891" s="291"/>
      <c r="K891" s="291"/>
      <c r="L891" s="236"/>
      <c r="M891" s="193"/>
      <c r="N891" s="236"/>
      <c r="O891" s="353">
        <v>0.13354827417359996</v>
      </c>
      <c r="P891" s="353"/>
      <c r="Q891" s="353"/>
      <c r="R891" s="353"/>
      <c r="S891" s="236"/>
      <c r="T891" s="193"/>
      <c r="U891" s="238"/>
    </row>
    <row r="892" spans="3:21" outlineLevel="2">
      <c r="C892" s="666" t="s">
        <v>769</v>
      </c>
      <c r="D892" s="253" t="s">
        <v>26</v>
      </c>
      <c r="E892" s="236"/>
      <c r="F892" s="193"/>
      <c r="G892" s="236"/>
      <c r="H892" s="291" t="s">
        <v>137</v>
      </c>
      <c r="I892" s="291"/>
      <c r="J892" s="291"/>
      <c r="K892" s="291"/>
      <c r="L892" s="236"/>
      <c r="M892" s="193"/>
      <c r="N892" s="236"/>
      <c r="O892" s="353">
        <v>3.6135182827925997E-3</v>
      </c>
      <c r="P892" s="353"/>
      <c r="Q892" s="353"/>
      <c r="R892" s="353"/>
      <c r="S892" s="236"/>
      <c r="T892" s="193"/>
      <c r="U892" s="238"/>
    </row>
    <row r="893" spans="3:21" outlineLevel="2">
      <c r="C893" s="666" t="s">
        <v>769</v>
      </c>
      <c r="D893" s="253" t="s">
        <v>26</v>
      </c>
      <c r="E893" s="236"/>
      <c r="F893" s="193"/>
      <c r="G893" s="236"/>
      <c r="H893" s="291" t="s">
        <v>146</v>
      </c>
      <c r="I893" s="291"/>
      <c r="J893" s="291"/>
      <c r="K893" s="291"/>
      <c r="L893" s="236"/>
      <c r="M893" s="193"/>
      <c r="N893" s="236"/>
      <c r="O893" s="353">
        <v>3.0112652356605002E-3</v>
      </c>
      <c r="P893" s="353"/>
      <c r="Q893" s="353"/>
      <c r="R893" s="353"/>
      <c r="S893" s="236"/>
      <c r="T893" s="193"/>
      <c r="U893" s="238"/>
    </row>
    <row r="894" spans="3:21" outlineLevel="2">
      <c r="C894" s="666" t="s">
        <v>776</v>
      </c>
      <c r="D894" s="253" t="s">
        <v>26</v>
      </c>
      <c r="E894" s="236"/>
      <c r="F894" s="193"/>
      <c r="G894" s="236"/>
      <c r="H894" s="666" t="s">
        <v>32</v>
      </c>
      <c r="I894" s="666"/>
      <c r="J894" s="666"/>
      <c r="K894" s="666"/>
      <c r="L894" s="236"/>
      <c r="M894" s="193"/>
      <c r="N894" s="236"/>
      <c r="O894" s="353">
        <v>0.41</v>
      </c>
      <c r="P894" s="353"/>
      <c r="Q894" s="353"/>
      <c r="R894" s="353"/>
      <c r="S894" s="236"/>
      <c r="T894" s="193"/>
      <c r="U894" s="659"/>
    </row>
    <row r="895" spans="3:21" outlineLevel="2">
      <c r="C895" s="666" t="s">
        <v>776</v>
      </c>
      <c r="D895" s="253" t="s">
        <v>26</v>
      </c>
      <c r="E895" s="236"/>
      <c r="F895" s="193"/>
      <c r="G895" s="236"/>
      <c r="H895" s="666" t="s">
        <v>61</v>
      </c>
      <c r="I895" s="666"/>
      <c r="J895" s="666"/>
      <c r="K895" s="666"/>
      <c r="L895" s="236"/>
      <c r="M895" s="193"/>
      <c r="N895" s="236"/>
      <c r="O895" s="353">
        <v>0.82</v>
      </c>
      <c r="P895" s="353"/>
      <c r="Q895" s="353"/>
      <c r="R895" s="353"/>
      <c r="S895" s="236"/>
      <c r="T895" s="193"/>
      <c r="U895" s="659"/>
    </row>
    <row r="896" spans="3:21" outlineLevel="2">
      <c r="C896" s="666" t="s">
        <v>776</v>
      </c>
      <c r="D896" s="253" t="s">
        <v>26</v>
      </c>
      <c r="E896" s="236"/>
      <c r="F896" s="193"/>
      <c r="G896" s="236"/>
      <c r="H896" s="666" t="s">
        <v>1060</v>
      </c>
      <c r="I896" s="666"/>
      <c r="J896" s="666"/>
      <c r="K896" s="666"/>
      <c r="L896" s="236"/>
      <c r="M896" s="193"/>
      <c r="N896" s="236"/>
      <c r="O896" s="353">
        <v>0.41</v>
      </c>
      <c r="P896" s="353"/>
      <c r="Q896" s="353"/>
      <c r="R896" s="353"/>
      <c r="S896" s="236"/>
      <c r="T896" s="193"/>
      <c r="U896" s="659"/>
    </row>
    <row r="897" spans="2:20" outlineLevel="2">
      <c r="B897" s="660"/>
      <c r="C897" s="666" t="s">
        <v>776</v>
      </c>
      <c r="D897" s="253" t="s">
        <v>26</v>
      </c>
      <c r="E897" s="236"/>
      <c r="F897" s="193"/>
      <c r="G897" s="236"/>
      <c r="H897" s="666" t="s">
        <v>1061</v>
      </c>
      <c r="I897" s="666"/>
      <c r="J897" s="666"/>
      <c r="K897" s="666"/>
      <c r="L897" s="236"/>
      <c r="M897" s="193"/>
      <c r="N897" s="236"/>
      <c r="O897" s="353">
        <v>0.02</v>
      </c>
      <c r="P897" s="353"/>
      <c r="Q897" s="353"/>
      <c r="R897" s="353"/>
      <c r="S897" s="236"/>
      <c r="T897" s="193"/>
    </row>
    <row r="898" spans="2:20" outlineLevel="2">
      <c r="B898" s="660"/>
      <c r="C898" s="666" t="s">
        <v>776</v>
      </c>
      <c r="D898" s="253" t="s">
        <v>26</v>
      </c>
      <c r="E898" s="236"/>
      <c r="F898" s="193"/>
      <c r="G898" s="236"/>
      <c r="H898" s="666" t="s">
        <v>1062</v>
      </c>
      <c r="I898" s="666"/>
      <c r="J898" s="666"/>
      <c r="K898" s="666"/>
      <c r="L898" s="236"/>
      <c r="M898" s="193"/>
      <c r="N898" s="236"/>
      <c r="O898" s="353">
        <v>0.09</v>
      </c>
      <c r="P898" s="353"/>
      <c r="Q898" s="353"/>
      <c r="R898" s="353"/>
      <c r="S898" s="236"/>
      <c r="T898" s="193"/>
    </row>
    <row r="899" spans="2:20" outlineLevel="2">
      <c r="B899" s="660"/>
      <c r="C899" s="666" t="s">
        <v>776</v>
      </c>
      <c r="D899" s="253" t="s">
        <v>26</v>
      </c>
      <c r="E899" s="236"/>
      <c r="F899" s="193"/>
      <c r="G899" s="236"/>
      <c r="H899" s="666" t="s">
        <v>779</v>
      </c>
      <c r="I899" s="666"/>
      <c r="J899" s="666"/>
      <c r="K899" s="666"/>
      <c r="L899" s="236"/>
      <c r="M899" s="193"/>
      <c r="N899" s="236"/>
      <c r="O899" s="353">
        <v>0.09</v>
      </c>
      <c r="P899" s="353"/>
      <c r="Q899" s="353"/>
      <c r="R899" s="353"/>
      <c r="S899" s="236"/>
      <c r="T899" s="193"/>
    </row>
    <row r="900" spans="2:20" ht="3" customHeight="1" outlineLevel="1">
      <c r="B900" s="660"/>
      <c r="C900" s="659"/>
      <c r="D900" s="659"/>
      <c r="E900" s="236"/>
      <c r="F900" s="193"/>
      <c r="G900" s="236"/>
      <c r="H900" s="670"/>
      <c r="I900" s="670"/>
      <c r="J900" s="670"/>
      <c r="K900" s="670"/>
      <c r="L900" s="236"/>
      <c r="M900" s="193"/>
      <c r="N900" s="236"/>
      <c r="O900" s="671"/>
      <c r="P900" s="671"/>
      <c r="Q900" s="671"/>
      <c r="R900" s="671"/>
      <c r="S900" s="236"/>
      <c r="T900" s="193"/>
    </row>
    <row r="901" spans="2:20" s="238" customFormat="1" outlineLevel="1">
      <c r="B901" s="239" t="s">
        <v>918</v>
      </c>
      <c r="C901" s="239"/>
      <c r="D901" s="239"/>
      <c r="E901" s="236"/>
      <c r="F901" s="193"/>
      <c r="G901" s="236"/>
      <c r="H901" s="240">
        <f>COUNTA(H902)</f>
        <v>1</v>
      </c>
      <c r="I901" s="240"/>
      <c r="J901" s="240"/>
      <c r="K901" s="240"/>
      <c r="L901" s="236"/>
      <c r="M901" s="193"/>
      <c r="N901" s="236"/>
      <c r="O901" s="265">
        <f>SUM(O902)</f>
        <v>0</v>
      </c>
      <c r="P901" s="265"/>
      <c r="Q901" s="265"/>
      <c r="R901" s="265"/>
      <c r="S901" s="236"/>
      <c r="T901" s="193"/>
    </row>
    <row r="902" spans="2:20" s="238" customFormat="1" outlineLevel="2">
      <c r="B902" s="298"/>
      <c r="C902" s="246" t="s">
        <v>919</v>
      </c>
      <c r="D902" s="253" t="s">
        <v>26</v>
      </c>
      <c r="E902" s="285"/>
      <c r="F902" s="193"/>
      <c r="G902" s="285"/>
      <c r="H902" s="691" t="s">
        <v>1063</v>
      </c>
      <c r="I902" s="691"/>
      <c r="J902" s="691"/>
      <c r="K902" s="691"/>
      <c r="L902" s="285"/>
      <c r="M902" s="193"/>
      <c r="N902" s="285"/>
      <c r="O902" s="351"/>
      <c r="P902" s="351"/>
      <c r="Q902" s="351"/>
      <c r="R902" s="351"/>
      <c r="S902" s="236"/>
      <c r="T902" s="193"/>
    </row>
    <row r="903" spans="2:20" ht="3" customHeight="1" outlineLevel="1">
      <c r="B903" s="246"/>
      <c r="C903" s="246"/>
      <c r="D903" s="246"/>
      <c r="E903" s="236"/>
      <c r="F903" s="193"/>
      <c r="G903" s="236"/>
      <c r="H903" s="670"/>
      <c r="I903" s="670"/>
      <c r="J903" s="670"/>
      <c r="K903" s="670"/>
      <c r="L903" s="236"/>
      <c r="M903" s="193"/>
      <c r="N903" s="236"/>
      <c r="O903" s="671"/>
      <c r="P903" s="671"/>
      <c r="Q903" s="671"/>
      <c r="R903" s="671"/>
      <c r="S903" s="236"/>
      <c r="T903" s="193"/>
    </row>
    <row r="904" spans="2:20" s="238" customFormat="1" outlineLevel="1">
      <c r="B904" s="239" t="s">
        <v>921</v>
      </c>
      <c r="C904" s="239"/>
      <c r="D904" s="239"/>
      <c r="E904" s="236"/>
      <c r="F904" s="193"/>
      <c r="G904" s="236"/>
      <c r="H904" s="240">
        <f>COUNTA(H905:H905)</f>
        <v>1</v>
      </c>
      <c r="I904" s="240"/>
      <c r="J904" s="240"/>
      <c r="K904" s="240"/>
      <c r="L904" s="236"/>
      <c r="M904" s="193"/>
      <c r="N904" s="236"/>
      <c r="O904" s="265">
        <f>SUM(O905:O905)</f>
        <v>0.01</v>
      </c>
      <c r="P904" s="265"/>
      <c r="Q904" s="265"/>
      <c r="R904" s="265"/>
      <c r="S904" s="236"/>
      <c r="T904" s="193"/>
    </row>
    <row r="905" spans="2:20" outlineLevel="2">
      <c r="B905" s="246"/>
      <c r="C905" s="246" t="s">
        <v>922</v>
      </c>
      <c r="D905" s="253" t="s">
        <v>26</v>
      </c>
      <c r="E905" s="262"/>
      <c r="F905" s="193"/>
      <c r="G905" s="262"/>
      <c r="H905" s="294" t="s">
        <v>1064</v>
      </c>
      <c r="I905" s="294"/>
      <c r="J905" s="294"/>
      <c r="K905" s="294"/>
      <c r="L905" s="262"/>
      <c r="M905" s="193"/>
      <c r="N905" s="262"/>
      <c r="O905" s="673">
        <v>0.01</v>
      </c>
      <c r="P905" s="673"/>
      <c r="Q905" s="673"/>
      <c r="R905" s="673"/>
      <c r="S905" s="262"/>
      <c r="T905" s="193"/>
    </row>
    <row r="906" spans="2:20" ht="3" customHeight="1" outlineLevel="1">
      <c r="B906" s="246"/>
      <c r="C906" s="246"/>
      <c r="D906" s="246"/>
      <c r="E906" s="236"/>
      <c r="F906" s="193"/>
      <c r="G906" s="236"/>
      <c r="H906" s="670"/>
      <c r="I906" s="670"/>
      <c r="J906" s="670"/>
      <c r="K906" s="670"/>
      <c r="L906" s="236"/>
      <c r="M906" s="193"/>
      <c r="N906" s="236"/>
      <c r="O906" s="671"/>
      <c r="P906" s="671"/>
      <c r="Q906" s="671"/>
      <c r="R906" s="671"/>
      <c r="S906" s="236"/>
      <c r="T906" s="193"/>
    </row>
    <row r="907" spans="2:20" s="238" customFormat="1" outlineLevel="1">
      <c r="B907" s="273" t="s">
        <v>1065</v>
      </c>
      <c r="C907" s="239"/>
      <c r="D907" s="239"/>
      <c r="E907" s="236"/>
      <c r="F907" s="193"/>
      <c r="G907" s="236"/>
      <c r="H907" s="240"/>
      <c r="I907" s="240"/>
      <c r="J907" s="240"/>
      <c r="K907" s="240"/>
      <c r="L907" s="236"/>
      <c r="M907" s="193"/>
      <c r="N907" s="236"/>
      <c r="O907" s="265"/>
      <c r="P907" s="265"/>
      <c r="Q907" s="265"/>
      <c r="R907" s="265"/>
      <c r="S907" s="236"/>
      <c r="T907" s="193"/>
    </row>
    <row r="908" spans="2:20" ht="3" customHeight="1" outlineLevel="1">
      <c r="B908" s="246"/>
      <c r="C908" s="246"/>
      <c r="D908" s="246"/>
      <c r="E908" s="236"/>
      <c r="F908" s="193"/>
      <c r="G908" s="236"/>
      <c r="H908" s="670"/>
      <c r="I908" s="670"/>
      <c r="J908" s="670"/>
      <c r="K908" s="670"/>
      <c r="L908" s="236"/>
      <c r="M908" s="193"/>
      <c r="N908" s="236"/>
      <c r="O908" s="671"/>
      <c r="P908" s="671"/>
      <c r="Q908" s="671"/>
      <c r="R908" s="671"/>
      <c r="S908" s="236"/>
      <c r="T908" s="193"/>
    </row>
    <row r="909" spans="2:20" s="238" customFormat="1" outlineLevel="1">
      <c r="B909" s="273" t="s">
        <v>1066</v>
      </c>
      <c r="C909" s="239"/>
      <c r="D909" s="239"/>
      <c r="E909" s="236"/>
      <c r="F909" s="193"/>
      <c r="G909" s="236"/>
      <c r="H909" s="240">
        <f>COUNTA(#REF!)</f>
        <v>1</v>
      </c>
      <c r="I909" s="240"/>
      <c r="J909" s="240"/>
      <c r="K909" s="240"/>
      <c r="L909" s="236"/>
      <c r="M909" s="193"/>
      <c r="N909" s="236"/>
      <c r="O909" s="265">
        <f>SUM(O910:O910)</f>
        <v>0</v>
      </c>
      <c r="P909" s="265"/>
      <c r="Q909" s="265"/>
      <c r="R909" s="265"/>
      <c r="S909" s="236"/>
      <c r="T909" s="193"/>
    </row>
    <row r="910" spans="2:20" outlineLevel="2">
      <c r="B910" s="246"/>
      <c r="C910" s="666" t="s">
        <v>897</v>
      </c>
      <c r="D910" s="253" t="s">
        <v>26</v>
      </c>
      <c r="E910" s="262"/>
      <c r="F910" s="193"/>
      <c r="G910" s="262"/>
      <c r="H910" s="669" t="s">
        <v>898</v>
      </c>
      <c r="I910" s="669"/>
      <c r="J910" s="669"/>
      <c r="K910" s="669"/>
      <c r="L910" s="262"/>
      <c r="M910" s="193"/>
      <c r="N910" s="262"/>
      <c r="O910" s="673"/>
      <c r="P910" s="673"/>
      <c r="Q910" s="673"/>
      <c r="R910" s="673"/>
      <c r="S910" s="262"/>
      <c r="T910" s="193"/>
    </row>
    <row r="911" spans="2:20" ht="3" customHeight="1" outlineLevel="1">
      <c r="B911" s="246"/>
      <c r="C911" s="246"/>
      <c r="D911" s="253"/>
      <c r="E911" s="236"/>
      <c r="F911" s="254"/>
      <c r="G911" s="236"/>
      <c r="H911" s="245"/>
      <c r="I911" s="245"/>
      <c r="J911" s="245"/>
      <c r="K911" s="245"/>
      <c r="L911" s="236"/>
      <c r="M911" s="254"/>
      <c r="N911" s="236"/>
      <c r="O911" s="353"/>
      <c r="P911" s="353"/>
      <c r="Q911" s="353"/>
      <c r="R911" s="353"/>
      <c r="S911" s="236"/>
      <c r="T911" s="254"/>
    </row>
    <row r="912" spans="2:20" s="283" customFormat="1" outlineLevel="1">
      <c r="D912" s="253"/>
      <c r="E912" s="236"/>
      <c r="F912" s="254"/>
      <c r="G912" s="236"/>
      <c r="H912" s="261"/>
      <c r="I912" s="261"/>
      <c r="J912" s="261"/>
      <c r="K912" s="261"/>
      <c r="L912" s="236"/>
      <c r="M912" s="254"/>
      <c r="N912" s="236"/>
      <c r="O912" s="322"/>
      <c r="P912" s="322"/>
      <c r="Q912" s="322"/>
      <c r="R912" s="322"/>
      <c r="S912" s="236"/>
      <c r="T912" s="254"/>
    </row>
    <row r="913" spans="2:20" s="238" customFormat="1" outlineLevel="1">
      <c r="B913" s="239" t="s">
        <v>212</v>
      </c>
      <c r="C913" s="239"/>
      <c r="D913" s="239"/>
      <c r="E913" s="236"/>
      <c r="F913" s="254"/>
      <c r="G913" s="236"/>
      <c r="H913" s="240">
        <f>COUNTA(H914:H951)</f>
        <v>38</v>
      </c>
      <c r="I913" s="240"/>
      <c r="J913" s="240"/>
      <c r="K913" s="240"/>
      <c r="L913" s="236"/>
      <c r="M913" s="254"/>
      <c r="N913" s="236"/>
      <c r="O913" s="373">
        <f>SUM(O914:O951)</f>
        <v>7.2881067497999945</v>
      </c>
      <c r="P913" s="373"/>
      <c r="Q913" s="373"/>
      <c r="R913" s="373"/>
      <c r="S913" s="236"/>
      <c r="T913" s="254"/>
    </row>
    <row r="914" spans="2:20" s="299" customFormat="1" outlineLevel="2">
      <c r="C914" s="299" t="s">
        <v>212</v>
      </c>
      <c r="D914" s="271" t="s">
        <v>26</v>
      </c>
      <c r="E914" s="300"/>
      <c r="F914" s="301"/>
      <c r="G914" s="300"/>
      <c r="H914" s="295" t="s">
        <v>1067</v>
      </c>
      <c r="I914" s="295"/>
      <c r="J914" s="295"/>
      <c r="K914" s="295"/>
      <c r="L914" s="300"/>
      <c r="M914" s="301"/>
      <c r="N914" s="300"/>
      <c r="O914" s="360">
        <v>2.25</v>
      </c>
      <c r="P914" s="360"/>
      <c r="Q914" s="360"/>
      <c r="R914" s="360"/>
      <c r="S914" s="300"/>
      <c r="T914" s="301"/>
    </row>
    <row r="915" spans="2:20" s="299" customFormat="1" outlineLevel="2">
      <c r="C915" s="299" t="s">
        <v>212</v>
      </c>
      <c r="D915" s="271" t="s">
        <v>26</v>
      </c>
      <c r="E915" s="300"/>
      <c r="F915" s="301"/>
      <c r="G915" s="300"/>
      <c r="H915" s="295" t="s">
        <v>1068</v>
      </c>
      <c r="I915" s="295"/>
      <c r="J915" s="295"/>
      <c r="K915" s="295"/>
      <c r="L915" s="300"/>
      <c r="M915" s="301"/>
      <c r="N915" s="300"/>
      <c r="O915" s="360">
        <v>0.26479052496000005</v>
      </c>
      <c r="P915" s="360"/>
      <c r="Q915" s="360"/>
      <c r="R915" s="360"/>
      <c r="S915" s="300"/>
      <c r="T915" s="301"/>
    </row>
    <row r="916" spans="2:20" s="299" customFormat="1" outlineLevel="2">
      <c r="C916" s="299" t="s">
        <v>212</v>
      </c>
      <c r="D916" s="271" t="s">
        <v>26</v>
      </c>
      <c r="E916" s="300"/>
      <c r="F916" s="301"/>
      <c r="G916" s="300"/>
      <c r="H916" s="295" t="s">
        <v>1069</v>
      </c>
      <c r="I916" s="295"/>
      <c r="J916" s="295"/>
      <c r="K916" s="295"/>
      <c r="L916" s="236"/>
      <c r="M916" s="254"/>
      <c r="N916" s="236"/>
      <c r="O916" s="361">
        <v>0.19859289372000002</v>
      </c>
      <c r="P916" s="361"/>
      <c r="Q916" s="361"/>
      <c r="R916" s="361"/>
      <c r="S916" s="300"/>
      <c r="T916" s="301"/>
    </row>
    <row r="917" spans="2:20" s="299" customFormat="1" outlineLevel="2">
      <c r="C917" s="299" t="s">
        <v>212</v>
      </c>
      <c r="D917" s="271" t="s">
        <v>26</v>
      </c>
      <c r="E917" s="300"/>
      <c r="F917" s="301"/>
      <c r="G917" s="300"/>
      <c r="H917" s="295" t="s">
        <v>1070</v>
      </c>
      <c r="I917" s="295"/>
      <c r="J917" s="295"/>
      <c r="K917" s="295"/>
      <c r="L917" s="236"/>
      <c r="M917" s="254"/>
      <c r="N917" s="236"/>
      <c r="O917" s="361">
        <v>0.19859289372000002</v>
      </c>
      <c r="P917" s="361"/>
      <c r="Q917" s="361"/>
      <c r="R917" s="361"/>
      <c r="S917" s="300"/>
      <c r="T917" s="301"/>
    </row>
    <row r="918" spans="2:20" s="299" customFormat="1" outlineLevel="2">
      <c r="C918" s="299" t="s">
        <v>212</v>
      </c>
      <c r="D918" s="271" t="s">
        <v>26</v>
      </c>
      <c r="E918" s="300"/>
      <c r="F918" s="301"/>
      <c r="G918" s="300"/>
      <c r="H918" s="295" t="s">
        <v>1068</v>
      </c>
      <c r="I918" s="295"/>
      <c r="J918" s="295"/>
      <c r="K918" s="295"/>
      <c r="L918" s="300"/>
      <c r="M918" s="301"/>
      <c r="N918" s="300"/>
      <c r="O918" s="360">
        <v>0.26479052496000005</v>
      </c>
      <c r="P918" s="360"/>
      <c r="Q918" s="360"/>
      <c r="R918" s="360"/>
      <c r="S918" s="300"/>
      <c r="T918" s="301"/>
    </row>
    <row r="919" spans="2:20" s="283" customFormat="1" outlineLevel="2">
      <c r="C919" s="283" t="s">
        <v>212</v>
      </c>
      <c r="D919" s="253" t="s">
        <v>26</v>
      </c>
      <c r="E919" s="236"/>
      <c r="F919" s="254"/>
      <c r="G919" s="236"/>
      <c r="H919" s="295" t="s">
        <v>1069</v>
      </c>
      <c r="I919" s="295"/>
      <c r="J919" s="295"/>
      <c r="K919" s="295"/>
      <c r="L919" s="236"/>
      <c r="M919" s="254"/>
      <c r="N919" s="236"/>
      <c r="O919" s="361">
        <v>0.19859289372000002</v>
      </c>
      <c r="P919" s="361"/>
      <c r="Q919" s="361"/>
      <c r="R919" s="361"/>
      <c r="S919" s="236"/>
      <c r="T919" s="254"/>
    </row>
    <row r="920" spans="2:20" s="283" customFormat="1" outlineLevel="2">
      <c r="C920" s="299" t="s">
        <v>212</v>
      </c>
      <c r="D920" s="271" t="s">
        <v>26</v>
      </c>
      <c r="E920" s="236"/>
      <c r="F920" s="254"/>
      <c r="G920" s="236"/>
      <c r="H920" s="295" t="s">
        <v>1070</v>
      </c>
      <c r="I920" s="295"/>
      <c r="J920" s="295"/>
      <c r="K920" s="295"/>
      <c r="L920" s="236"/>
      <c r="M920" s="254"/>
      <c r="N920" s="236"/>
      <c r="O920" s="361">
        <v>0.19859289372000002</v>
      </c>
      <c r="P920" s="361"/>
      <c r="Q920" s="361"/>
      <c r="R920" s="361"/>
      <c r="S920" s="236"/>
      <c r="T920" s="254"/>
    </row>
    <row r="921" spans="2:20" s="283" customFormat="1" outlineLevel="2">
      <c r="C921" s="299" t="s">
        <v>212</v>
      </c>
      <c r="D921" s="271" t="s">
        <v>26</v>
      </c>
      <c r="E921" s="236"/>
      <c r="F921" s="254"/>
      <c r="G921" s="236"/>
      <c r="H921" s="295" t="s">
        <v>1071</v>
      </c>
      <c r="I921" s="295"/>
      <c r="J921" s="295"/>
      <c r="K921" s="295"/>
      <c r="L921" s="236"/>
      <c r="M921" s="254"/>
      <c r="N921" s="236"/>
      <c r="O921" s="361">
        <v>2.5612785000000002E-2</v>
      </c>
      <c r="P921" s="361"/>
      <c r="Q921" s="361"/>
      <c r="R921" s="361"/>
      <c r="S921" s="236"/>
      <c r="T921" s="254"/>
    </row>
    <row r="922" spans="2:20" s="283" customFormat="1" outlineLevel="2">
      <c r="C922" s="299" t="s">
        <v>212</v>
      </c>
      <c r="D922" s="271" t="s">
        <v>26</v>
      </c>
      <c r="E922" s="236"/>
      <c r="F922" s="254"/>
      <c r="G922" s="236"/>
      <c r="H922" s="295" t="s">
        <v>1072</v>
      </c>
      <c r="I922" s="295"/>
      <c r="J922" s="295"/>
      <c r="K922" s="295"/>
      <c r="L922" s="236"/>
      <c r="M922" s="254"/>
      <c r="N922" s="236"/>
      <c r="O922" s="361">
        <v>2.5612785000000002E-2</v>
      </c>
      <c r="P922" s="361"/>
      <c r="Q922" s="361"/>
      <c r="R922" s="361"/>
      <c r="S922" s="236"/>
      <c r="T922" s="254"/>
    </row>
    <row r="923" spans="2:20" s="283" customFormat="1" outlineLevel="2">
      <c r="C923" s="299" t="s">
        <v>212</v>
      </c>
      <c r="D923" s="271" t="s">
        <v>26</v>
      </c>
      <c r="E923" s="236"/>
      <c r="F923" s="254"/>
      <c r="G923" s="236"/>
      <c r="H923" s="295" t="s">
        <v>1072</v>
      </c>
      <c r="I923" s="295"/>
      <c r="J923" s="295"/>
      <c r="K923" s="295"/>
      <c r="L923" s="236"/>
      <c r="M923" s="254"/>
      <c r="N923" s="236"/>
      <c r="O923" s="361">
        <v>7.6838354999999997E-2</v>
      </c>
      <c r="P923" s="361"/>
      <c r="Q923" s="361"/>
      <c r="R923" s="361"/>
      <c r="S923" s="236"/>
      <c r="T923" s="254"/>
    </row>
    <row r="924" spans="2:20" s="283" customFormat="1" outlineLevel="2">
      <c r="C924" s="299" t="s">
        <v>212</v>
      </c>
      <c r="D924" s="271" t="s">
        <v>26</v>
      </c>
      <c r="E924" s="236"/>
      <c r="F924" s="254"/>
      <c r="G924" s="236"/>
      <c r="H924" s="295" t="s">
        <v>1073</v>
      </c>
      <c r="I924" s="295"/>
      <c r="J924" s="295"/>
      <c r="K924" s="295"/>
      <c r="L924" s="236"/>
      <c r="M924" s="254"/>
      <c r="N924" s="236"/>
      <c r="O924" s="288">
        <v>0.10833933000000003</v>
      </c>
      <c r="P924" s="288"/>
      <c r="Q924" s="288"/>
      <c r="R924" s="288"/>
      <c r="S924" s="236"/>
      <c r="T924" s="254"/>
    </row>
    <row r="925" spans="2:20" s="283" customFormat="1" outlineLevel="2">
      <c r="C925" s="299" t="s">
        <v>212</v>
      </c>
      <c r="D925" s="271" t="s">
        <v>26</v>
      </c>
      <c r="E925" s="236"/>
      <c r="F925" s="254"/>
      <c r="G925" s="236"/>
      <c r="H925" s="295" t="s">
        <v>1074</v>
      </c>
      <c r="I925" s="295"/>
      <c r="J925" s="295"/>
      <c r="K925" s="295"/>
      <c r="L925" s="236"/>
      <c r="M925" s="254"/>
      <c r="N925" s="236"/>
      <c r="O925" s="288">
        <v>5.4169665000000013E-2</v>
      </c>
      <c r="P925" s="288"/>
      <c r="Q925" s="288"/>
      <c r="R925" s="288"/>
      <c r="S925" s="236"/>
      <c r="T925" s="254"/>
    </row>
    <row r="926" spans="2:20" s="283" customFormat="1" outlineLevel="2">
      <c r="C926" s="299" t="s">
        <v>212</v>
      </c>
      <c r="D926" s="271" t="s">
        <v>26</v>
      </c>
      <c r="E926" s="236"/>
      <c r="F926" s="254"/>
      <c r="G926" s="236"/>
      <c r="H926" s="261" t="s">
        <v>1075</v>
      </c>
      <c r="I926" s="261"/>
      <c r="J926" s="261"/>
      <c r="K926" s="261"/>
      <c r="L926" s="236"/>
      <c r="M926" s="254"/>
      <c r="N926" s="236"/>
      <c r="O926" s="288">
        <v>5.4169665000000013E-2</v>
      </c>
      <c r="P926" s="288"/>
      <c r="Q926" s="288"/>
      <c r="R926" s="288"/>
      <c r="S926" s="236"/>
      <c r="T926" s="254"/>
    </row>
    <row r="927" spans="2:20" s="283" customFormat="1" outlineLevel="2">
      <c r="C927" s="299" t="s">
        <v>212</v>
      </c>
      <c r="D927" s="271" t="s">
        <v>26</v>
      </c>
      <c r="E927" s="236"/>
      <c r="F927" s="254"/>
      <c r="G927" s="236"/>
      <c r="H927" s="261" t="s">
        <v>1076</v>
      </c>
      <c r="I927" s="261"/>
      <c r="J927" s="261"/>
      <c r="K927" s="261"/>
      <c r="L927" s="236"/>
      <c r="M927" s="254"/>
      <c r="N927" s="236"/>
      <c r="O927" s="288">
        <v>0.16250899500000002</v>
      </c>
      <c r="P927" s="288"/>
      <c r="Q927" s="288"/>
      <c r="R927" s="288"/>
      <c r="S927" s="236"/>
      <c r="T927" s="254"/>
    </row>
    <row r="928" spans="2:20" s="283" customFormat="1" outlineLevel="2">
      <c r="C928" s="299" t="s">
        <v>212</v>
      </c>
      <c r="D928" s="271" t="s">
        <v>26</v>
      </c>
      <c r="E928" s="236"/>
      <c r="F928" s="254"/>
      <c r="G928" s="236"/>
      <c r="H928" s="261" t="s">
        <v>1077</v>
      </c>
      <c r="I928" s="261"/>
      <c r="J928" s="261"/>
      <c r="K928" s="261"/>
      <c r="L928" s="236"/>
      <c r="M928" s="254"/>
      <c r="N928" s="236"/>
      <c r="O928" s="288">
        <v>0.10833933000000003</v>
      </c>
      <c r="P928" s="288"/>
      <c r="Q928" s="288"/>
      <c r="R928" s="288"/>
      <c r="S928" s="236"/>
      <c r="T928" s="254"/>
    </row>
    <row r="929" spans="3:20" s="283" customFormat="1" outlineLevel="2">
      <c r="C929" s="299" t="s">
        <v>212</v>
      </c>
      <c r="D929" s="271" t="s">
        <v>26</v>
      </c>
      <c r="E929" s="236"/>
      <c r="F929" s="254"/>
      <c r="G929" s="236"/>
      <c r="H929" s="261" t="s">
        <v>1078</v>
      </c>
      <c r="I929" s="261"/>
      <c r="J929" s="261"/>
      <c r="K929" s="261"/>
      <c r="L929" s="236"/>
      <c r="M929" s="254"/>
      <c r="N929" s="236"/>
      <c r="O929" s="288">
        <v>5.4169665000000013E-2</v>
      </c>
      <c r="P929" s="288"/>
      <c r="Q929" s="288"/>
      <c r="R929" s="288"/>
      <c r="S929" s="236"/>
      <c r="T929" s="254"/>
    </row>
    <row r="930" spans="3:20" s="283" customFormat="1" outlineLevel="2">
      <c r="C930" s="299" t="s">
        <v>212</v>
      </c>
      <c r="D930" s="271" t="s">
        <v>26</v>
      </c>
      <c r="E930" s="236"/>
      <c r="F930" s="254"/>
      <c r="G930" s="236"/>
      <c r="H930" s="261" t="s">
        <v>1079</v>
      </c>
      <c r="I930" s="261"/>
      <c r="J930" s="261"/>
      <c r="K930" s="261"/>
      <c r="L930" s="236"/>
      <c r="M930" s="254"/>
      <c r="N930" s="236"/>
      <c r="O930" s="288">
        <v>5.4169665000000013E-2</v>
      </c>
      <c r="P930" s="288"/>
      <c r="Q930" s="288"/>
      <c r="R930" s="288"/>
      <c r="S930" s="236"/>
      <c r="T930" s="254"/>
    </row>
    <row r="931" spans="3:20" s="283" customFormat="1" outlineLevel="2">
      <c r="C931" s="299" t="s">
        <v>212</v>
      </c>
      <c r="D931" s="271" t="s">
        <v>26</v>
      </c>
      <c r="E931" s="236"/>
      <c r="F931" s="254"/>
      <c r="G931" s="236"/>
      <c r="H931" s="261" t="s">
        <v>1080</v>
      </c>
      <c r="I931" s="261"/>
      <c r="J931" s="261"/>
      <c r="K931" s="261"/>
      <c r="L931" s="236"/>
      <c r="M931" s="254"/>
      <c r="N931" s="236"/>
      <c r="O931" s="288">
        <v>0.16250899500000002</v>
      </c>
      <c r="P931" s="288"/>
      <c r="Q931" s="288"/>
      <c r="R931" s="288"/>
      <c r="S931" s="236"/>
      <c r="T931" s="254"/>
    </row>
    <row r="932" spans="3:20" s="283" customFormat="1" outlineLevel="2">
      <c r="C932" s="299" t="s">
        <v>212</v>
      </c>
      <c r="D932" s="271" t="s">
        <v>26</v>
      </c>
      <c r="E932" s="236"/>
      <c r="F932" s="254"/>
      <c r="G932" s="236"/>
      <c r="H932" s="261" t="s">
        <v>1081</v>
      </c>
      <c r="I932" s="261"/>
      <c r="J932" s="261"/>
      <c r="K932" s="261"/>
      <c r="L932" s="236"/>
      <c r="M932" s="254"/>
      <c r="N932" s="236"/>
      <c r="O932" s="288">
        <v>0.10833933000000003</v>
      </c>
      <c r="P932" s="288"/>
      <c r="Q932" s="288"/>
      <c r="R932" s="288"/>
      <c r="S932" s="236"/>
      <c r="T932" s="254"/>
    </row>
    <row r="933" spans="3:20" s="283" customFormat="1" outlineLevel="2">
      <c r="C933" s="299" t="s">
        <v>212</v>
      </c>
      <c r="D933" s="271" t="s">
        <v>26</v>
      </c>
      <c r="E933" s="236"/>
      <c r="F933" s="254"/>
      <c r="G933" s="236"/>
      <c r="H933" s="261" t="s">
        <v>1082</v>
      </c>
      <c r="I933" s="261"/>
      <c r="J933" s="261"/>
      <c r="K933" s="261"/>
      <c r="L933" s="236"/>
      <c r="M933" s="254"/>
      <c r="N933" s="236"/>
      <c r="O933" s="288">
        <v>5.4169665000000013E-2</v>
      </c>
      <c r="P933" s="288"/>
      <c r="Q933" s="288"/>
      <c r="R933" s="288"/>
      <c r="S933" s="236"/>
      <c r="T933" s="254"/>
    </row>
    <row r="934" spans="3:20" s="283" customFormat="1" outlineLevel="2">
      <c r="C934" s="299" t="s">
        <v>212</v>
      </c>
      <c r="D934" s="271" t="s">
        <v>26</v>
      </c>
      <c r="E934" s="236"/>
      <c r="F934" s="254"/>
      <c r="G934" s="236"/>
      <c r="H934" s="261" t="s">
        <v>1083</v>
      </c>
      <c r="I934" s="261"/>
      <c r="J934" s="261"/>
      <c r="K934" s="261"/>
      <c r="L934" s="236"/>
      <c r="M934" s="254"/>
      <c r="N934" s="236"/>
      <c r="O934" s="288">
        <v>5.4169665000000013E-2</v>
      </c>
      <c r="P934" s="288"/>
      <c r="Q934" s="288"/>
      <c r="R934" s="288"/>
      <c r="S934" s="236"/>
      <c r="T934" s="254"/>
    </row>
    <row r="935" spans="3:20" s="283" customFormat="1" outlineLevel="2">
      <c r="C935" s="299" t="s">
        <v>212</v>
      </c>
      <c r="D935" s="271" t="s">
        <v>26</v>
      </c>
      <c r="E935" s="236"/>
      <c r="F935" s="254"/>
      <c r="G935" s="236"/>
      <c r="H935" s="261" t="s">
        <v>1084</v>
      </c>
      <c r="I935" s="261"/>
      <c r="J935" s="261"/>
      <c r="K935" s="261"/>
      <c r="L935" s="236"/>
      <c r="M935" s="254"/>
      <c r="N935" s="236"/>
      <c r="O935" s="288">
        <v>0.16250899500000002</v>
      </c>
      <c r="P935" s="288"/>
      <c r="Q935" s="288"/>
      <c r="R935" s="288"/>
      <c r="S935" s="236"/>
      <c r="T935" s="254"/>
    </row>
    <row r="936" spans="3:20" s="283" customFormat="1" outlineLevel="2">
      <c r="C936" s="299" t="s">
        <v>212</v>
      </c>
      <c r="D936" s="271" t="s">
        <v>26</v>
      </c>
      <c r="E936" s="300"/>
      <c r="F936" s="301"/>
      <c r="G936" s="300"/>
      <c r="H936" s="261" t="s">
        <v>1085</v>
      </c>
      <c r="I936" s="261"/>
      <c r="J936" s="261"/>
      <c r="K936" s="261"/>
      <c r="L936" s="236"/>
      <c r="M936" s="254"/>
      <c r="N936" s="236"/>
      <c r="O936" s="288">
        <v>0.10833933000000003</v>
      </c>
      <c r="P936" s="288"/>
      <c r="Q936" s="288"/>
      <c r="R936" s="288"/>
      <c r="S936" s="236"/>
      <c r="T936" s="254"/>
    </row>
    <row r="937" spans="3:20" s="299" customFormat="1" outlineLevel="2">
      <c r="C937" s="283" t="s">
        <v>212</v>
      </c>
      <c r="D937" s="253" t="s">
        <v>26</v>
      </c>
      <c r="E937" s="236"/>
      <c r="F937" s="254"/>
      <c r="G937" s="236"/>
      <c r="H937" s="261" t="s">
        <v>1086</v>
      </c>
      <c r="I937" s="261"/>
      <c r="J937" s="261"/>
      <c r="K937" s="261"/>
      <c r="L937" s="236"/>
      <c r="M937" s="254"/>
      <c r="N937" s="236"/>
      <c r="O937" s="288">
        <v>5.4169665000000013E-2</v>
      </c>
      <c r="P937" s="288"/>
      <c r="Q937" s="288"/>
      <c r="R937" s="288"/>
      <c r="S937" s="300"/>
      <c r="T937" s="301"/>
    </row>
    <row r="938" spans="3:20" s="283" customFormat="1" outlineLevel="2">
      <c r="C938" s="283" t="s">
        <v>212</v>
      </c>
      <c r="D938" s="253" t="s">
        <v>26</v>
      </c>
      <c r="E938" s="236"/>
      <c r="F938" s="254"/>
      <c r="G938" s="236"/>
      <c r="H938" s="261" t="s">
        <v>1087</v>
      </c>
      <c r="I938" s="261"/>
      <c r="J938" s="261"/>
      <c r="K938" s="261"/>
      <c r="L938" s="236"/>
      <c r="M938" s="254"/>
      <c r="N938" s="236"/>
      <c r="O938" s="288">
        <v>5.4169665000000013E-2</v>
      </c>
      <c r="P938" s="288"/>
      <c r="Q938" s="288"/>
      <c r="R938" s="288"/>
      <c r="S938" s="236"/>
      <c r="T938" s="254"/>
    </row>
    <row r="939" spans="3:20" s="283" customFormat="1" outlineLevel="2">
      <c r="C939" s="283" t="s">
        <v>212</v>
      </c>
      <c r="D939" s="253" t="s">
        <v>26</v>
      </c>
      <c r="E939" s="236"/>
      <c r="F939" s="254"/>
      <c r="G939" s="236"/>
      <c r="H939" s="261" t="s">
        <v>1088</v>
      </c>
      <c r="I939" s="261"/>
      <c r="J939" s="261"/>
      <c r="K939" s="261"/>
      <c r="L939" s="236"/>
      <c r="M939" s="254"/>
      <c r="N939" s="236"/>
      <c r="O939" s="288">
        <v>0.16250899500000002</v>
      </c>
      <c r="P939" s="288"/>
      <c r="Q939" s="288"/>
      <c r="R939" s="288"/>
      <c r="S939" s="236"/>
      <c r="T939" s="254"/>
    </row>
    <row r="940" spans="3:20" s="283" customFormat="1" outlineLevel="2">
      <c r="C940" s="283" t="s">
        <v>212</v>
      </c>
      <c r="D940" s="253" t="s">
        <v>26</v>
      </c>
      <c r="E940" s="236"/>
      <c r="F940" s="254"/>
      <c r="G940" s="236"/>
      <c r="H940" s="261" t="s">
        <v>1089</v>
      </c>
      <c r="I940" s="261"/>
      <c r="J940" s="261"/>
      <c r="K940" s="261"/>
      <c r="L940" s="236"/>
      <c r="M940" s="254"/>
      <c r="N940" s="236"/>
      <c r="O940" s="288">
        <v>5.1225570000000005E-2</v>
      </c>
      <c r="P940" s="288"/>
      <c r="Q940" s="288"/>
      <c r="R940" s="288"/>
      <c r="S940" s="236"/>
      <c r="T940" s="254"/>
    </row>
    <row r="941" spans="3:20" s="283" customFormat="1" outlineLevel="2">
      <c r="C941" s="283" t="s">
        <v>212</v>
      </c>
      <c r="D941" s="253" t="s">
        <v>26</v>
      </c>
      <c r="E941" s="236"/>
      <c r="F941" s="254"/>
      <c r="G941" s="236"/>
      <c r="H941" s="261" t="s">
        <v>1090</v>
      </c>
      <c r="I941" s="261"/>
      <c r="J941" s="261"/>
      <c r="K941" s="261"/>
      <c r="L941" s="236"/>
      <c r="M941" s="254"/>
      <c r="N941" s="236"/>
      <c r="O941" s="288">
        <v>5.1225570000000005E-2</v>
      </c>
      <c r="P941" s="288"/>
      <c r="Q941" s="288"/>
      <c r="R941" s="288"/>
      <c r="S941" s="236"/>
      <c r="T941" s="254"/>
    </row>
    <row r="942" spans="3:20" s="283" customFormat="1" outlineLevel="2">
      <c r="C942" s="283" t="s">
        <v>212</v>
      </c>
      <c r="D942" s="253" t="s">
        <v>26</v>
      </c>
      <c r="E942" s="236"/>
      <c r="F942" s="254"/>
      <c r="G942" s="236"/>
      <c r="H942" s="261" t="s">
        <v>1091</v>
      </c>
      <c r="I942" s="261"/>
      <c r="J942" s="261"/>
      <c r="K942" s="261"/>
      <c r="L942" s="236"/>
      <c r="M942" s="254"/>
      <c r="N942" s="236"/>
      <c r="O942" s="288">
        <v>5.1225570000000005E-2</v>
      </c>
      <c r="P942" s="288"/>
      <c r="Q942" s="288"/>
      <c r="R942" s="288"/>
      <c r="S942" s="236"/>
      <c r="T942" s="254"/>
    </row>
    <row r="943" spans="3:20" s="283" customFormat="1" outlineLevel="2">
      <c r="C943" s="283" t="s">
        <v>212</v>
      </c>
      <c r="D943" s="253" t="s">
        <v>26</v>
      </c>
      <c r="E943" s="236"/>
      <c r="F943" s="254"/>
      <c r="G943" s="236"/>
      <c r="H943" s="261" t="s">
        <v>1092</v>
      </c>
      <c r="I943" s="261"/>
      <c r="J943" s="261"/>
      <c r="K943" s="261"/>
      <c r="L943" s="236"/>
      <c r="M943" s="254"/>
      <c r="N943" s="236"/>
      <c r="O943" s="288">
        <v>2.5612785000000002E-2</v>
      </c>
      <c r="P943" s="288"/>
      <c r="Q943" s="288"/>
      <c r="R943" s="288"/>
      <c r="S943" s="236"/>
      <c r="T943" s="254"/>
    </row>
    <row r="944" spans="3:20" s="283" customFormat="1" outlineLevel="2">
      <c r="C944" s="283" t="s">
        <v>212</v>
      </c>
      <c r="D944" s="253" t="s">
        <v>26</v>
      </c>
      <c r="E944" s="236"/>
      <c r="F944" s="254"/>
      <c r="G944" s="236"/>
      <c r="H944" s="261" t="s">
        <v>1093</v>
      </c>
      <c r="I944" s="261"/>
      <c r="J944" s="261"/>
      <c r="K944" s="261"/>
      <c r="L944" s="236"/>
      <c r="M944" s="254"/>
      <c r="N944" s="236"/>
      <c r="O944" s="288">
        <v>2.5612785000000002E-2</v>
      </c>
      <c r="P944" s="288"/>
      <c r="Q944" s="288"/>
      <c r="R944" s="288"/>
      <c r="S944" s="236"/>
      <c r="T944" s="254"/>
    </row>
    <row r="945" spans="2:20" s="283" customFormat="1" outlineLevel="2">
      <c r="C945" s="283" t="s">
        <v>212</v>
      </c>
      <c r="D945" s="253" t="s">
        <v>26</v>
      </c>
      <c r="E945" s="236"/>
      <c r="F945" s="254"/>
      <c r="G945" s="236"/>
      <c r="H945" s="261" t="s">
        <v>1094</v>
      </c>
      <c r="I945" s="261"/>
      <c r="J945" s="261"/>
      <c r="K945" s="261"/>
      <c r="L945" s="236"/>
      <c r="M945" s="254"/>
      <c r="N945" s="236"/>
      <c r="O945" s="288">
        <v>7.6838354999999997E-2</v>
      </c>
      <c r="P945" s="288"/>
      <c r="Q945" s="288"/>
      <c r="R945" s="288"/>
      <c r="S945" s="236"/>
      <c r="T945" s="254"/>
    </row>
    <row r="946" spans="2:20" s="299" customFormat="1" outlineLevel="2">
      <c r="C946" s="299" t="s">
        <v>212</v>
      </c>
      <c r="D946" s="271" t="s">
        <v>26</v>
      </c>
      <c r="E946" s="300"/>
      <c r="F946" s="301"/>
      <c r="G946" s="300"/>
      <c r="H946" s="261" t="s">
        <v>96</v>
      </c>
      <c r="I946" s="261"/>
      <c r="J946" s="261"/>
      <c r="K946" s="261"/>
      <c r="L946" s="236"/>
      <c r="M946" s="254"/>
      <c r="N946" s="236"/>
      <c r="O946" s="288">
        <v>0.65003598000000007</v>
      </c>
      <c r="P946" s="288"/>
      <c r="Q946" s="288"/>
      <c r="R946" s="288"/>
      <c r="S946" s="300"/>
      <c r="T946" s="301"/>
    </row>
    <row r="947" spans="2:20" s="299" customFormat="1" outlineLevel="2">
      <c r="C947" s="299" t="s">
        <v>212</v>
      </c>
      <c r="D947" s="271" t="s">
        <v>26</v>
      </c>
      <c r="E947" s="300"/>
      <c r="F947" s="301"/>
      <c r="G947" s="300"/>
      <c r="H947" s="261" t="s">
        <v>97</v>
      </c>
      <c r="I947" s="261"/>
      <c r="J947" s="261"/>
      <c r="K947" s="261"/>
      <c r="L947" s="236"/>
      <c r="M947" s="254"/>
      <c r="N947" s="236"/>
      <c r="O947" s="288">
        <v>0.54169665000000011</v>
      </c>
      <c r="P947" s="288"/>
      <c r="Q947" s="288"/>
      <c r="R947" s="288"/>
      <c r="S947" s="300"/>
      <c r="T947" s="301"/>
    </row>
    <row r="948" spans="2:20" s="283" customFormat="1" outlineLevel="2">
      <c r="C948" s="283" t="s">
        <v>212</v>
      </c>
      <c r="D948" s="253" t="s">
        <v>26</v>
      </c>
      <c r="E948" s="236"/>
      <c r="F948" s="254"/>
      <c r="G948" s="236"/>
      <c r="H948" s="261" t="s">
        <v>205</v>
      </c>
      <c r="I948" s="261"/>
      <c r="J948" s="261"/>
      <c r="K948" s="261"/>
      <c r="L948" s="236"/>
      <c r="M948" s="254"/>
      <c r="N948" s="236"/>
      <c r="O948" s="288">
        <v>0.37918765499999996</v>
      </c>
      <c r="P948" s="288"/>
      <c r="Q948" s="288"/>
      <c r="R948" s="288"/>
      <c r="S948" s="236"/>
      <c r="T948" s="254"/>
    </row>
    <row r="949" spans="2:20" s="299" customFormat="1" outlineLevel="2">
      <c r="C949" s="299" t="s">
        <v>212</v>
      </c>
      <c r="D949" s="271" t="s">
        <v>26</v>
      </c>
      <c r="E949" s="300"/>
      <c r="F949" s="301"/>
      <c r="G949" s="300"/>
      <c r="H949" s="261" t="s">
        <v>117</v>
      </c>
      <c r="I949" s="261"/>
      <c r="J949" s="261"/>
      <c r="K949" s="261"/>
      <c r="L949" s="236"/>
      <c r="M949" s="254"/>
      <c r="N949" s="236"/>
      <c r="O949" s="288">
        <v>5.4169665000000006E-2</v>
      </c>
      <c r="P949" s="288"/>
      <c r="Q949" s="288"/>
      <c r="R949" s="288"/>
      <c r="S949" s="300"/>
      <c r="T949" s="301"/>
    </row>
    <row r="950" spans="2:20" s="299" customFormat="1" outlineLevel="2">
      <c r="C950" s="299" t="s">
        <v>212</v>
      </c>
      <c r="D950" s="271" t="s">
        <v>26</v>
      </c>
      <c r="E950" s="300"/>
      <c r="F950" s="301"/>
      <c r="G950" s="300"/>
      <c r="H950" s="261" t="s">
        <v>805</v>
      </c>
      <c r="I950" s="261"/>
      <c r="J950" s="261"/>
      <c r="K950" s="261"/>
      <c r="L950" s="236"/>
      <c r="M950" s="254"/>
      <c r="N950" s="236"/>
      <c r="O950" s="288">
        <v>5.4169665000000006E-2</v>
      </c>
      <c r="P950" s="288"/>
      <c r="Q950" s="288"/>
      <c r="R950" s="288"/>
      <c r="S950" s="300"/>
      <c r="T950" s="301"/>
    </row>
    <row r="951" spans="2:20" s="299" customFormat="1" outlineLevel="2">
      <c r="C951" s="299" t="s">
        <v>212</v>
      </c>
      <c r="D951" s="271" t="s">
        <v>26</v>
      </c>
      <c r="E951" s="300"/>
      <c r="F951" s="301"/>
      <c r="G951" s="300"/>
      <c r="H951" s="261" t="s">
        <v>98</v>
      </c>
      <c r="I951" s="261"/>
      <c r="J951" s="261"/>
      <c r="K951" s="261"/>
      <c r="L951" s="236"/>
      <c r="M951" s="254"/>
      <c r="N951" s="236"/>
      <c r="O951" s="288">
        <v>0.10833933000000001</v>
      </c>
      <c r="P951" s="288"/>
      <c r="Q951" s="288"/>
      <c r="R951" s="288"/>
      <c r="S951" s="300"/>
      <c r="T951" s="301"/>
    </row>
    <row r="952" spans="2:20" s="283" customFormat="1" ht="3" customHeight="1" outlineLevel="1">
      <c r="E952" s="236"/>
      <c r="F952" s="254"/>
      <c r="G952" s="236"/>
      <c r="H952" s="263"/>
      <c r="I952" s="263"/>
      <c r="J952" s="263"/>
      <c r="K952" s="263"/>
      <c r="L952" s="236"/>
      <c r="M952" s="254"/>
      <c r="N952" s="236"/>
      <c r="O952" s="361"/>
      <c r="P952" s="361"/>
      <c r="Q952" s="361"/>
      <c r="R952" s="361"/>
      <c r="S952" s="236"/>
      <c r="T952" s="254"/>
    </row>
    <row r="953" spans="2:20" s="238" customFormat="1" outlineLevel="1">
      <c r="B953" s="239" t="s">
        <v>830</v>
      </c>
      <c r="C953" s="239"/>
      <c r="D953" s="239"/>
      <c r="E953" s="236"/>
      <c r="F953" s="254"/>
      <c r="G953" s="236"/>
      <c r="H953" s="240">
        <f>COUNTA(H954:H959)</f>
        <v>6</v>
      </c>
      <c r="I953" s="240"/>
      <c r="J953" s="240"/>
      <c r="K953" s="240"/>
      <c r="L953" s="236"/>
      <c r="M953" s="254"/>
      <c r="N953" s="236"/>
      <c r="O953" s="265">
        <f>SUM(O954:O959)</f>
        <v>1.08</v>
      </c>
      <c r="P953" s="265"/>
      <c r="Q953" s="265"/>
      <c r="R953" s="265"/>
      <c r="S953" s="241"/>
      <c r="T953" s="254"/>
    </row>
    <row r="954" spans="2:20" outlineLevel="3">
      <c r="B954" s="246"/>
      <c r="C954" s="246" t="s">
        <v>830</v>
      </c>
      <c r="D954" s="253" t="s">
        <v>26</v>
      </c>
      <c r="E954" s="236"/>
      <c r="F954" s="254"/>
      <c r="G954" s="236"/>
      <c r="H954" s="690" t="s">
        <v>97</v>
      </c>
      <c r="I954" s="690"/>
      <c r="J954" s="690"/>
      <c r="K954" s="690"/>
      <c r="L954" s="236"/>
      <c r="M954" s="254"/>
      <c r="N954" s="236"/>
      <c r="O954" s="663">
        <v>0.34</v>
      </c>
      <c r="P954" s="663"/>
      <c r="Q954" s="663"/>
      <c r="R954" s="663"/>
      <c r="S954" s="236"/>
      <c r="T954" s="254"/>
    </row>
    <row r="955" spans="2:20" outlineLevel="3">
      <c r="B955" s="246"/>
      <c r="C955" s="246" t="s">
        <v>830</v>
      </c>
      <c r="D955" s="253" t="s">
        <v>26</v>
      </c>
      <c r="E955" s="236"/>
      <c r="F955" s="254"/>
      <c r="G955" s="236"/>
      <c r="H955" s="295" t="s">
        <v>96</v>
      </c>
      <c r="I955" s="295"/>
      <c r="J955" s="295"/>
      <c r="K955" s="295"/>
      <c r="L955" s="236"/>
      <c r="M955" s="254"/>
      <c r="N955" s="236"/>
      <c r="O955" s="663">
        <v>0.4</v>
      </c>
      <c r="P955" s="663"/>
      <c r="Q955" s="663"/>
      <c r="R955" s="663"/>
      <c r="S955" s="236"/>
      <c r="T955" s="254"/>
    </row>
    <row r="956" spans="2:20" outlineLevel="3">
      <c r="B956" s="246"/>
      <c r="C956" s="246" t="s">
        <v>830</v>
      </c>
      <c r="D956" s="253" t="s">
        <v>26</v>
      </c>
      <c r="E956" s="236"/>
      <c r="F956" s="254"/>
      <c r="G956" s="236"/>
      <c r="H956" s="295" t="s">
        <v>205</v>
      </c>
      <c r="I956" s="295"/>
      <c r="J956" s="295"/>
      <c r="K956" s="295"/>
      <c r="L956" s="236"/>
      <c r="M956" s="254"/>
      <c r="N956" s="236"/>
      <c r="O956" s="663">
        <v>0.22</v>
      </c>
      <c r="P956" s="663"/>
      <c r="Q956" s="663"/>
      <c r="R956" s="663"/>
      <c r="S956" s="236"/>
      <c r="T956" s="254"/>
    </row>
    <row r="957" spans="2:20" outlineLevel="2">
      <c r="B957" s="246"/>
      <c r="C957" s="246" t="s">
        <v>830</v>
      </c>
      <c r="D957" s="253" t="s">
        <v>26</v>
      </c>
      <c r="E957" s="236"/>
      <c r="F957" s="254"/>
      <c r="G957" s="236"/>
      <c r="H957" s="295" t="s">
        <v>117</v>
      </c>
      <c r="I957" s="295"/>
      <c r="J957" s="295"/>
      <c r="K957" s="295"/>
      <c r="L957" s="236"/>
      <c r="M957" s="254"/>
      <c r="N957" s="236"/>
      <c r="O957" s="663">
        <v>0.03</v>
      </c>
      <c r="P957" s="663"/>
      <c r="Q957" s="663"/>
      <c r="R957" s="663"/>
      <c r="S957" s="236"/>
      <c r="T957" s="254"/>
    </row>
    <row r="958" spans="2:20" outlineLevel="2">
      <c r="B958" s="246"/>
      <c r="C958" s="246" t="s">
        <v>830</v>
      </c>
      <c r="D958" s="253" t="s">
        <v>26</v>
      </c>
      <c r="E958" s="236"/>
      <c r="F958" s="254"/>
      <c r="G958" s="236"/>
      <c r="H958" s="295" t="s">
        <v>118</v>
      </c>
      <c r="I958" s="295"/>
      <c r="J958" s="295"/>
      <c r="K958" s="295"/>
      <c r="L958" s="236"/>
      <c r="M958" s="254"/>
      <c r="N958" s="236"/>
      <c r="O958" s="663">
        <v>0.03</v>
      </c>
      <c r="P958" s="663"/>
      <c r="Q958" s="663"/>
      <c r="R958" s="663"/>
      <c r="S958" s="236"/>
      <c r="T958" s="254"/>
    </row>
    <row r="959" spans="2:20" outlineLevel="2">
      <c r="B959" s="246"/>
      <c r="C959" s="246" t="s">
        <v>830</v>
      </c>
      <c r="D959" s="253" t="s">
        <v>26</v>
      </c>
      <c r="E959" s="236"/>
      <c r="F959" s="254"/>
      <c r="G959" s="236"/>
      <c r="H959" s="295" t="s">
        <v>98</v>
      </c>
      <c r="I959" s="295"/>
      <c r="J959" s="295"/>
      <c r="K959" s="295"/>
      <c r="L959" s="236"/>
      <c r="M959" s="254"/>
      <c r="N959" s="236"/>
      <c r="O959" s="663">
        <v>0.06</v>
      </c>
      <c r="P959" s="663"/>
      <c r="Q959" s="663"/>
      <c r="R959" s="663"/>
      <c r="S959" s="236"/>
      <c r="T959" s="254"/>
    </row>
    <row r="960" spans="2:20" ht="3" customHeight="1" outlineLevel="1">
      <c r="B960" s="246"/>
      <c r="C960" s="246"/>
      <c r="D960" s="253"/>
      <c r="E960" s="236"/>
      <c r="F960" s="254"/>
      <c r="G960" s="236"/>
      <c r="H960" s="670"/>
      <c r="I960" s="670"/>
      <c r="J960" s="670"/>
      <c r="K960" s="670"/>
      <c r="L960" s="236"/>
      <c r="M960" s="254"/>
      <c r="N960" s="236"/>
      <c r="O960" s="671"/>
      <c r="P960" s="671"/>
      <c r="Q960" s="671"/>
      <c r="R960" s="671"/>
      <c r="S960" s="236"/>
      <c r="T960" s="254"/>
    </row>
    <row r="961" spans="2:21" s="238" customFormat="1" outlineLevel="1">
      <c r="B961" s="239" t="s">
        <v>780</v>
      </c>
      <c r="C961" s="239"/>
      <c r="D961" s="239"/>
      <c r="E961" s="236"/>
      <c r="F961" s="254"/>
      <c r="G961" s="236"/>
      <c r="H961" s="240">
        <f>COUNTA(H962:H967)</f>
        <v>6</v>
      </c>
      <c r="I961" s="240"/>
      <c r="J961" s="240"/>
      <c r="K961" s="240"/>
      <c r="L961" s="236"/>
      <c r="M961" s="254"/>
      <c r="N961" s="236"/>
      <c r="O961" s="265">
        <f>SUM(O962:O967)</f>
        <v>8.9665408479999993</v>
      </c>
      <c r="P961" s="265"/>
      <c r="Q961" s="265"/>
      <c r="R961" s="265"/>
      <c r="S961" s="236"/>
      <c r="T961" s="254"/>
    </row>
    <row r="962" spans="2:21" outlineLevel="2">
      <c r="B962" s="246"/>
      <c r="C962" s="246" t="s">
        <v>1095</v>
      </c>
      <c r="D962" s="253" t="s">
        <v>26</v>
      </c>
      <c r="E962" s="236"/>
      <c r="F962" s="254"/>
      <c r="G962" s="236"/>
      <c r="H962" s="669" t="s">
        <v>32</v>
      </c>
      <c r="I962" s="669"/>
      <c r="J962" s="669"/>
      <c r="K962" s="669"/>
      <c r="L962" s="236"/>
      <c r="M962" s="254"/>
      <c r="N962" s="236"/>
      <c r="O962" s="673">
        <v>2.5269604999999999</v>
      </c>
      <c r="P962" s="673"/>
      <c r="Q962" s="673"/>
      <c r="R962" s="673"/>
      <c r="S962" s="236"/>
      <c r="T962" s="254"/>
      <c r="U962" s="659"/>
    </row>
    <row r="963" spans="2:21" outlineLevel="2">
      <c r="B963" s="246"/>
      <c r="C963" s="246" t="s">
        <v>1095</v>
      </c>
      <c r="D963" s="253" t="s">
        <v>26</v>
      </c>
      <c r="E963" s="236"/>
      <c r="F963" s="254"/>
      <c r="G963" s="236"/>
      <c r="H963" s="669" t="s">
        <v>66</v>
      </c>
      <c r="I963" s="669"/>
      <c r="J963" s="669"/>
      <c r="K963" s="669"/>
      <c r="L963" s="236"/>
      <c r="M963" s="254"/>
      <c r="N963" s="236"/>
      <c r="O963" s="673">
        <v>3.3982964</v>
      </c>
      <c r="P963" s="673"/>
      <c r="Q963" s="673"/>
      <c r="R963" s="673"/>
      <c r="S963" s="236"/>
      <c r="T963" s="254"/>
      <c r="U963" s="659"/>
    </row>
    <row r="964" spans="2:21" outlineLevel="2">
      <c r="B964" s="246"/>
      <c r="C964" s="246" t="s">
        <v>1095</v>
      </c>
      <c r="D964" s="253" t="s">
        <v>26</v>
      </c>
      <c r="E964" s="236"/>
      <c r="F964" s="254"/>
      <c r="G964" s="236"/>
      <c r="H964" s="669" t="s">
        <v>197</v>
      </c>
      <c r="I964" s="669"/>
      <c r="J964" s="669"/>
      <c r="K964" s="669"/>
      <c r="L964" s="236"/>
      <c r="M964" s="254"/>
      <c r="N964" s="236"/>
      <c r="O964" s="673">
        <v>0.87133590000000005</v>
      </c>
      <c r="P964" s="673"/>
      <c r="Q964" s="673"/>
      <c r="R964" s="673"/>
      <c r="S964" s="236"/>
      <c r="T964" s="254"/>
      <c r="U964" s="711"/>
    </row>
    <row r="965" spans="2:21" outlineLevel="2">
      <c r="B965" s="246"/>
      <c r="C965" s="246" t="s">
        <v>1095</v>
      </c>
      <c r="D965" s="253" t="s">
        <v>26</v>
      </c>
      <c r="E965" s="236"/>
      <c r="F965" s="254"/>
      <c r="G965" s="236"/>
      <c r="H965" s="669" t="s">
        <v>1096</v>
      </c>
      <c r="I965" s="669"/>
      <c r="J965" s="669"/>
      <c r="K965" s="669"/>
      <c r="L965" s="236"/>
      <c r="M965" s="254"/>
      <c r="N965" s="236"/>
      <c r="O965" s="663">
        <v>8.7047200000000005E-2</v>
      </c>
      <c r="P965" s="663"/>
      <c r="Q965" s="663"/>
      <c r="R965" s="663"/>
      <c r="S965" s="236"/>
      <c r="T965" s="254"/>
      <c r="U965" s="711"/>
    </row>
    <row r="966" spans="2:21" outlineLevel="2">
      <c r="B966" s="246"/>
      <c r="C966" s="246" t="s">
        <v>1097</v>
      </c>
      <c r="D966" s="253" t="s">
        <v>26</v>
      </c>
      <c r="E966" s="236"/>
      <c r="F966" s="254"/>
      <c r="G966" s="236"/>
      <c r="H966" s="669" t="s">
        <v>32</v>
      </c>
      <c r="I966" s="669"/>
      <c r="J966" s="669"/>
      <c r="K966" s="669"/>
      <c r="L966" s="236"/>
      <c r="M966" s="254"/>
      <c r="N966" s="236"/>
      <c r="O966" s="663">
        <v>0.49044647078351994</v>
      </c>
      <c r="P966" s="663"/>
      <c r="Q966" s="663"/>
      <c r="R966" s="663"/>
      <c r="S966" s="236"/>
      <c r="T966" s="254"/>
      <c r="U966" s="711"/>
    </row>
    <row r="967" spans="2:21" outlineLevel="2">
      <c r="B967" s="246"/>
      <c r="C967" s="246" t="s">
        <v>1098</v>
      </c>
      <c r="D967" s="253" t="s">
        <v>26</v>
      </c>
      <c r="E967" s="236"/>
      <c r="F967" s="254"/>
      <c r="G967" s="236"/>
      <c r="H967" s="669" t="s">
        <v>32</v>
      </c>
      <c r="I967" s="669"/>
      <c r="J967" s="669"/>
      <c r="K967" s="669"/>
      <c r="L967" s="236"/>
      <c r="M967" s="254"/>
      <c r="N967" s="236"/>
      <c r="O967" s="663">
        <v>1.5924543772164801</v>
      </c>
      <c r="P967" s="663"/>
      <c r="Q967" s="663"/>
      <c r="R967" s="663"/>
      <c r="S967" s="236"/>
      <c r="T967" s="254"/>
      <c r="U967" s="659"/>
    </row>
    <row r="968" spans="2:21" ht="3" customHeight="1" outlineLevel="1">
      <c r="B968" s="246"/>
      <c r="C968" s="246"/>
      <c r="D968" s="253"/>
      <c r="E968" s="236"/>
      <c r="F968" s="254"/>
      <c r="G968" s="236"/>
      <c r="H968" s="683"/>
      <c r="I968" s="683"/>
      <c r="J968" s="683"/>
      <c r="K968" s="683"/>
      <c r="L968" s="236"/>
      <c r="M968" s="254"/>
      <c r="N968" s="236"/>
      <c r="O968" s="682"/>
      <c r="P968" s="682"/>
      <c r="Q968" s="682"/>
      <c r="R968" s="682"/>
      <c r="S968" s="236"/>
      <c r="T968" s="254"/>
      <c r="U968" s="659"/>
    </row>
    <row r="969" spans="2:21" s="238" customFormat="1" outlineLevel="1" collapsed="1">
      <c r="B969" s="273" t="s">
        <v>1007</v>
      </c>
      <c r="C969" s="239"/>
      <c r="D969" s="239"/>
      <c r="E969" s="236"/>
      <c r="F969" s="254"/>
      <c r="G969" s="236"/>
      <c r="H969" s="240"/>
      <c r="I969" s="240"/>
      <c r="J969" s="240"/>
      <c r="K969" s="240"/>
      <c r="L969" s="236"/>
      <c r="M969" s="254"/>
      <c r="N969" s="236"/>
      <c r="O969" s="265"/>
      <c r="P969" s="265"/>
      <c r="Q969" s="265"/>
      <c r="R969" s="265"/>
      <c r="S969" s="236"/>
      <c r="T969" s="254"/>
    </row>
    <row r="970" spans="2:21" ht="3" customHeight="1" outlineLevel="1">
      <c r="B970" s="246"/>
      <c r="C970" s="246"/>
      <c r="D970" s="253"/>
      <c r="E970" s="236"/>
      <c r="F970" s="254"/>
      <c r="G970" s="236"/>
      <c r="H970" s="670"/>
      <c r="I970" s="670"/>
      <c r="J970" s="670"/>
      <c r="K970" s="670"/>
      <c r="L970" s="236"/>
      <c r="M970" s="254"/>
      <c r="N970" s="236"/>
      <c r="O970" s="671"/>
      <c r="P970" s="671"/>
      <c r="Q970" s="671"/>
      <c r="R970" s="671"/>
      <c r="S970" s="236"/>
      <c r="T970" s="254"/>
      <c r="U970" s="659"/>
    </row>
    <row r="971" spans="2:21" s="238" customFormat="1" outlineLevel="1">
      <c r="B971" s="273" t="s">
        <v>839</v>
      </c>
      <c r="C971" s="239"/>
      <c r="D971" s="239"/>
      <c r="E971" s="236"/>
      <c r="F971" s="254"/>
      <c r="G971" s="236"/>
      <c r="H971" s="240"/>
      <c r="I971" s="240"/>
      <c r="J971" s="240"/>
      <c r="K971" s="240"/>
      <c r="L971" s="236"/>
      <c r="M971" s="254"/>
      <c r="N971" s="236"/>
      <c r="O971" s="265"/>
      <c r="P971" s="265"/>
      <c r="Q971" s="265"/>
      <c r="R971" s="265"/>
      <c r="S971" s="236"/>
      <c r="T971" s="254"/>
    </row>
    <row r="972" spans="2:21" ht="3" customHeight="1" outlineLevel="1">
      <c r="B972" s="246"/>
      <c r="C972" s="246"/>
      <c r="D972" s="253"/>
      <c r="E972" s="236"/>
      <c r="F972" s="254"/>
      <c r="G972" s="236"/>
      <c r="H972" s="670"/>
      <c r="I972" s="670"/>
      <c r="J972" s="670"/>
      <c r="K972" s="670"/>
      <c r="L972" s="236"/>
      <c r="M972" s="254"/>
      <c r="N972" s="236"/>
      <c r="O972" s="671"/>
      <c r="P972" s="671"/>
      <c r="Q972" s="671"/>
      <c r="R972" s="671"/>
      <c r="S972" s="236"/>
      <c r="T972" s="254"/>
      <c r="U972" s="659"/>
    </row>
    <row r="973" spans="2:21" s="238" customFormat="1" outlineLevel="1">
      <c r="B973" s="273" t="s">
        <v>321</v>
      </c>
      <c r="C973" s="239"/>
      <c r="D973" s="239"/>
      <c r="E973" s="236"/>
      <c r="F973" s="254"/>
      <c r="G973" s="236"/>
      <c r="H973" s="240"/>
      <c r="I973" s="240"/>
      <c r="J973" s="240"/>
      <c r="K973" s="240"/>
      <c r="L973" s="236"/>
      <c r="M973" s="254"/>
      <c r="N973" s="236"/>
      <c r="O973" s="265"/>
      <c r="P973" s="265"/>
      <c r="Q973" s="265"/>
      <c r="R973" s="265"/>
      <c r="S973" s="236"/>
      <c r="T973" s="254"/>
    </row>
    <row r="974" spans="2:21" ht="3" customHeight="1" outlineLevel="1">
      <c r="B974" s="246"/>
      <c r="C974" s="246"/>
      <c r="D974" s="253"/>
      <c r="E974" s="236"/>
      <c r="F974" s="254"/>
      <c r="G974" s="236"/>
      <c r="H974" s="683"/>
      <c r="I974" s="683"/>
      <c r="J974" s="683"/>
      <c r="K974" s="683"/>
      <c r="L974" s="236"/>
      <c r="M974" s="254"/>
      <c r="N974" s="236"/>
      <c r="O974" s="682"/>
      <c r="P974" s="682"/>
      <c r="Q974" s="682"/>
      <c r="R974" s="682"/>
      <c r="S974" s="236"/>
      <c r="T974" s="254"/>
      <c r="U974" s="659"/>
    </row>
    <row r="975" spans="2:21" s="238" customFormat="1" outlineLevel="1">
      <c r="B975" s="239" t="s">
        <v>498</v>
      </c>
      <c r="C975" s="239"/>
      <c r="D975" s="239"/>
      <c r="E975" s="236"/>
      <c r="F975" s="254"/>
      <c r="G975" s="236"/>
      <c r="H975" s="240">
        <f>COUNTA(H976:H976)</f>
        <v>1</v>
      </c>
      <c r="I975" s="240"/>
      <c r="J975" s="240"/>
      <c r="K975" s="240"/>
      <c r="L975" s="236"/>
      <c r="M975" s="254"/>
      <c r="N975" s="236"/>
      <c r="O975" s="265">
        <f>SUM(O976:O976)</f>
        <v>0.43354000000000004</v>
      </c>
      <c r="P975" s="265"/>
      <c r="Q975" s="265"/>
      <c r="R975" s="265"/>
      <c r="S975" s="236"/>
      <c r="T975" s="254"/>
    </row>
    <row r="976" spans="2:21" outlineLevel="2">
      <c r="B976" s="246"/>
      <c r="C976" s="246" t="s">
        <v>498</v>
      </c>
      <c r="D976" s="253" t="s">
        <v>26</v>
      </c>
      <c r="E976" s="236"/>
      <c r="F976" s="254"/>
      <c r="G976" s="236"/>
      <c r="H976" s="256" t="s">
        <v>32</v>
      </c>
      <c r="I976" s="256"/>
      <c r="J976" s="256"/>
      <c r="K976" s="256"/>
      <c r="L976" s="236"/>
      <c r="M976" s="254"/>
      <c r="N976" s="236"/>
      <c r="O976" s="338">
        <v>0.43354000000000004</v>
      </c>
      <c r="P976" s="338"/>
      <c r="Q976" s="338"/>
      <c r="R976" s="338"/>
      <c r="S976" s="236"/>
      <c r="T976" s="254"/>
      <c r="U976" s="659"/>
    </row>
    <row r="977" spans="2:23" ht="3" customHeight="1" outlineLevel="1">
      <c r="B977" s="246"/>
      <c r="C977" s="246"/>
      <c r="D977" s="253"/>
      <c r="E977" s="236"/>
      <c r="F977" s="254"/>
      <c r="G977" s="236"/>
      <c r="H977" s="683"/>
      <c r="I977" s="683"/>
      <c r="J977" s="683"/>
      <c r="K977" s="683"/>
      <c r="L977" s="236"/>
      <c r="M977" s="254"/>
      <c r="N977" s="236"/>
      <c r="O977" s="682"/>
      <c r="P977" s="682"/>
      <c r="Q977" s="682"/>
      <c r="R977" s="682"/>
      <c r="S977" s="236"/>
      <c r="T977" s="254"/>
      <c r="U977" s="659"/>
      <c r="V977" s="659"/>
      <c r="W977" s="659"/>
    </row>
    <row r="978" spans="2:23" s="238" customFormat="1" outlineLevel="1" collapsed="1">
      <c r="B978" s="273" t="s">
        <v>832</v>
      </c>
      <c r="C978" s="239"/>
      <c r="D978" s="239"/>
      <c r="E978" s="236"/>
      <c r="F978" s="254"/>
      <c r="G978" s="236"/>
      <c r="H978" s="240"/>
      <c r="I978" s="240"/>
      <c r="J978" s="240"/>
      <c r="K978" s="240"/>
      <c r="L978" s="236"/>
      <c r="M978" s="254"/>
      <c r="N978" s="236"/>
      <c r="O978" s="265"/>
      <c r="P978" s="265"/>
      <c r="Q978" s="265"/>
      <c r="R978" s="265"/>
      <c r="S978" s="236"/>
      <c r="T978" s="254"/>
    </row>
    <row r="979" spans="2:23" ht="3" customHeight="1" outlineLevel="1">
      <c r="B979" s="246"/>
      <c r="C979" s="246"/>
      <c r="D979" s="253"/>
      <c r="E979" s="236"/>
      <c r="F979" s="254"/>
      <c r="G979" s="236"/>
      <c r="H979" s="683"/>
      <c r="I979" s="683"/>
      <c r="J979" s="683"/>
      <c r="K979" s="683"/>
      <c r="L979" s="236"/>
      <c r="M979" s="254"/>
      <c r="N979" s="236"/>
      <c r="O979" s="682"/>
      <c r="P979" s="682"/>
      <c r="Q979" s="682"/>
      <c r="R979" s="682"/>
      <c r="S979" s="236"/>
      <c r="T979" s="254"/>
      <c r="U979" s="659"/>
      <c r="V979" s="659"/>
      <c r="W979" s="659"/>
    </row>
    <row r="980" spans="2:23" s="238" customFormat="1" outlineLevel="1">
      <c r="B980" s="239" t="s">
        <v>313</v>
      </c>
      <c r="C980" s="239"/>
      <c r="D980" s="239"/>
      <c r="E980" s="236"/>
      <c r="F980" s="254"/>
      <c r="G980" s="236"/>
      <c r="H980" s="240">
        <f>COUNTA(H981:H982)</f>
        <v>2</v>
      </c>
      <c r="I980" s="240"/>
      <c r="J980" s="240"/>
      <c r="K980" s="240"/>
      <c r="L980" s="236"/>
      <c r="M980" s="254"/>
      <c r="N980" s="236"/>
      <c r="O980" s="265">
        <f>SUM(O981:O982)</f>
        <v>0.2077388</v>
      </c>
      <c r="P980" s="265"/>
      <c r="Q980" s="265"/>
      <c r="R980" s="265"/>
      <c r="S980" s="236"/>
      <c r="T980" s="254"/>
      <c r="W980" s="659"/>
    </row>
    <row r="981" spans="2:23" outlineLevel="2">
      <c r="B981" s="246"/>
      <c r="C981" s="246" t="s">
        <v>313</v>
      </c>
      <c r="D981" s="253" t="s">
        <v>26</v>
      </c>
      <c r="E981" s="236"/>
      <c r="F981" s="254"/>
      <c r="G981" s="236"/>
      <c r="H981" s="256" t="s">
        <v>32</v>
      </c>
      <c r="I981" s="256"/>
      <c r="J981" s="256"/>
      <c r="K981" s="256"/>
      <c r="L981" s="236"/>
      <c r="M981" s="254"/>
      <c r="N981" s="236"/>
      <c r="O981" s="338">
        <v>0.1038694</v>
      </c>
      <c r="P981" s="338"/>
      <c r="Q981" s="338"/>
      <c r="R981" s="338"/>
      <c r="S981" s="236"/>
      <c r="T981" s="254"/>
      <c r="U981" s="659"/>
      <c r="V981" s="659"/>
      <c r="W981" s="659"/>
    </row>
    <row r="982" spans="2:23" outlineLevel="2">
      <c r="B982" s="246"/>
      <c r="C982" s="246" t="s">
        <v>313</v>
      </c>
      <c r="D982" s="253" t="s">
        <v>26</v>
      </c>
      <c r="E982" s="236"/>
      <c r="F982" s="254"/>
      <c r="G982" s="236"/>
      <c r="H982" s="669" t="s">
        <v>197</v>
      </c>
      <c r="I982" s="669"/>
      <c r="J982" s="669"/>
      <c r="K982" s="669"/>
      <c r="L982" s="236"/>
      <c r="M982" s="254"/>
      <c r="N982" s="236"/>
      <c r="O982" s="673">
        <v>0.1038694</v>
      </c>
      <c r="P982" s="673"/>
      <c r="Q982" s="673"/>
      <c r="R982" s="673"/>
      <c r="S982" s="236"/>
      <c r="T982" s="254"/>
      <c r="U982" s="659"/>
      <c r="V982" s="659"/>
      <c r="W982" s="659"/>
    </row>
    <row r="983" spans="2:23" ht="3" customHeight="1" outlineLevel="1">
      <c r="B983" s="246"/>
      <c r="C983" s="246"/>
      <c r="D983" s="253"/>
      <c r="E983" s="236"/>
      <c r="F983" s="254"/>
      <c r="G983" s="236"/>
      <c r="H983" s="670"/>
      <c r="I983" s="670"/>
      <c r="J983" s="670"/>
      <c r="K983" s="670"/>
      <c r="L983" s="236"/>
      <c r="M983" s="254"/>
      <c r="N983" s="236"/>
      <c r="O983" s="671"/>
      <c r="P983" s="671"/>
      <c r="Q983" s="671"/>
      <c r="R983" s="671"/>
      <c r="S983" s="236"/>
      <c r="T983" s="254"/>
      <c r="U983" s="659"/>
      <c r="V983" s="659"/>
      <c r="W983" s="659"/>
    </row>
    <row r="984" spans="2:23" s="238" customFormat="1" outlineLevel="1">
      <c r="B984" s="273" t="s">
        <v>1099</v>
      </c>
      <c r="C984" s="239"/>
      <c r="D984" s="239"/>
      <c r="E984" s="236"/>
      <c r="F984" s="254"/>
      <c r="G984" s="236"/>
      <c r="H984" s="240">
        <f>COUNTA(H985:H985)</f>
        <v>1</v>
      </c>
      <c r="I984" s="240"/>
      <c r="J984" s="240"/>
      <c r="K984" s="240"/>
      <c r="L984" s="236"/>
      <c r="M984" s="254"/>
      <c r="N984" s="236"/>
      <c r="O984" s="265">
        <f>SUM(O985:O985)</f>
        <v>0.64365320000000015</v>
      </c>
      <c r="P984" s="265"/>
      <c r="Q984" s="265"/>
      <c r="R984" s="265"/>
      <c r="S984" s="236"/>
      <c r="T984" s="254"/>
    </row>
    <row r="985" spans="2:23" outlineLevel="3">
      <c r="B985" s="246"/>
      <c r="C985" s="246" t="s">
        <v>785</v>
      </c>
      <c r="D985" s="253" t="s">
        <v>26</v>
      </c>
      <c r="E985" s="236"/>
      <c r="F985" s="254"/>
      <c r="G985" s="236"/>
      <c r="H985" s="256" t="s">
        <v>32</v>
      </c>
      <c r="I985" s="256"/>
      <c r="J985" s="256"/>
      <c r="K985" s="256"/>
      <c r="L985" s="236"/>
      <c r="M985" s="254"/>
      <c r="N985" s="236"/>
      <c r="O985" s="338">
        <v>0.64365320000000015</v>
      </c>
      <c r="P985" s="338"/>
      <c r="Q985" s="338"/>
      <c r="R985" s="338"/>
      <c r="S985" s="236"/>
      <c r="T985" s="254"/>
      <c r="U985" s="659"/>
      <c r="V985" s="659"/>
      <c r="W985" s="659"/>
    </row>
    <row r="986" spans="2:23" ht="3" customHeight="1" outlineLevel="1">
      <c r="B986" s="246"/>
      <c r="C986" s="246"/>
      <c r="D986" s="253"/>
      <c r="E986" s="236"/>
      <c r="F986" s="254"/>
      <c r="G986" s="236"/>
      <c r="H986" s="669"/>
      <c r="I986" s="669"/>
      <c r="J986" s="669"/>
      <c r="K986" s="669"/>
      <c r="L986" s="236"/>
      <c r="M986" s="254"/>
      <c r="N986" s="236"/>
      <c r="O986" s="673"/>
      <c r="P986" s="673"/>
      <c r="Q986" s="673"/>
      <c r="R986" s="673"/>
      <c r="S986" s="236"/>
      <c r="T986" s="254"/>
      <c r="U986" s="659"/>
      <c r="V986" s="659"/>
      <c r="W986" s="659"/>
    </row>
    <row r="987" spans="2:23" s="238" customFormat="1" outlineLevel="1">
      <c r="B987" s="239" t="s">
        <v>1017</v>
      </c>
      <c r="C987" s="239"/>
      <c r="D987" s="239"/>
      <c r="E987" s="236"/>
      <c r="F987" s="254"/>
      <c r="G987" s="236"/>
      <c r="H987" s="240">
        <f>COUNTA(H988:H993)</f>
        <v>6</v>
      </c>
      <c r="I987" s="240"/>
      <c r="J987" s="240"/>
      <c r="K987" s="240"/>
      <c r="L987" s="236"/>
      <c r="M987" s="254"/>
      <c r="N987" s="236"/>
      <c r="O987" s="265">
        <f>SUM(O988:O993)</f>
        <v>0.31</v>
      </c>
      <c r="P987" s="265"/>
      <c r="Q987" s="265"/>
      <c r="R987" s="265"/>
      <c r="S987" s="241"/>
      <c r="T987" s="254"/>
    </row>
    <row r="988" spans="2:23" outlineLevel="2">
      <c r="B988" s="242"/>
      <c r="C988" s="666" t="s">
        <v>787</v>
      </c>
      <c r="D988" s="253" t="s">
        <v>26</v>
      </c>
      <c r="E988" s="236"/>
      <c r="F988" s="254"/>
      <c r="G988" s="236"/>
      <c r="H988" s="667" t="s">
        <v>197</v>
      </c>
      <c r="I988" s="667"/>
      <c r="J988" s="667"/>
      <c r="K988" s="667"/>
      <c r="L988" s="236"/>
      <c r="M988" s="254"/>
      <c r="N988" s="236"/>
      <c r="O988" s="353">
        <v>0.08</v>
      </c>
      <c r="P988" s="353"/>
      <c r="Q988" s="353"/>
      <c r="R988" s="353"/>
      <c r="S988" s="236"/>
      <c r="T988" s="254"/>
      <c r="U988" s="659"/>
      <c r="V988" s="659"/>
      <c r="W988" s="659"/>
    </row>
    <row r="989" spans="2:23" outlineLevel="2">
      <c r="B989" s="242"/>
      <c r="C989" s="666" t="s">
        <v>787</v>
      </c>
      <c r="D989" s="253" t="s">
        <v>26</v>
      </c>
      <c r="E989" s="236"/>
      <c r="F989" s="254"/>
      <c r="G989" s="236"/>
      <c r="H989" s="667" t="s">
        <v>198</v>
      </c>
      <c r="I989" s="667"/>
      <c r="J989" s="667"/>
      <c r="K989" s="667"/>
      <c r="L989" s="236"/>
      <c r="M989" s="254"/>
      <c r="N989" s="236"/>
      <c r="O989" s="353">
        <v>0.11</v>
      </c>
      <c r="P989" s="353"/>
      <c r="Q989" s="353"/>
      <c r="R989" s="353"/>
      <c r="S989" s="236"/>
      <c r="T989" s="254"/>
      <c r="U989" s="659"/>
      <c r="V989" s="659"/>
      <c r="W989" s="659"/>
    </row>
    <row r="990" spans="2:23" outlineLevel="2">
      <c r="B990" s="242"/>
      <c r="C990" s="666" t="s">
        <v>787</v>
      </c>
      <c r="D990" s="253" t="s">
        <v>26</v>
      </c>
      <c r="E990" s="236"/>
      <c r="F990" s="254"/>
      <c r="G990" s="236"/>
      <c r="H990" s="667" t="s">
        <v>789</v>
      </c>
      <c r="I990" s="667"/>
      <c r="J990" s="667"/>
      <c r="K990" s="667"/>
      <c r="L990" s="236"/>
      <c r="M990" s="254"/>
      <c r="N990" s="236"/>
      <c r="O990" s="353">
        <v>0.03</v>
      </c>
      <c r="P990" s="353"/>
      <c r="Q990" s="353"/>
      <c r="R990" s="353"/>
      <c r="S990" s="236"/>
      <c r="T990" s="254"/>
      <c r="U990" s="659"/>
      <c r="V990" s="659"/>
      <c r="W990" s="659"/>
    </row>
    <row r="991" spans="2:23" outlineLevel="2">
      <c r="B991" s="242"/>
      <c r="C991" s="666" t="s">
        <v>787</v>
      </c>
      <c r="D991" s="253" t="s">
        <v>26</v>
      </c>
      <c r="E991" s="236"/>
      <c r="F991" s="254"/>
      <c r="G991" s="236"/>
      <c r="H991" s="667" t="s">
        <v>97</v>
      </c>
      <c r="I991" s="667"/>
      <c r="J991" s="667"/>
      <c r="K991" s="667"/>
      <c r="L991" s="236"/>
      <c r="M991" s="254"/>
      <c r="N991" s="236"/>
      <c r="O991" s="353">
        <v>0.03</v>
      </c>
      <c r="P991" s="353"/>
      <c r="Q991" s="353"/>
      <c r="R991" s="353"/>
      <c r="S991" s="236"/>
      <c r="T991" s="254"/>
      <c r="U991" s="659"/>
      <c r="V991" s="659"/>
      <c r="W991" s="659"/>
    </row>
    <row r="992" spans="2:23" outlineLevel="2">
      <c r="B992" s="242"/>
      <c r="C992" s="666" t="s">
        <v>787</v>
      </c>
      <c r="D992" s="253" t="s">
        <v>26</v>
      </c>
      <c r="E992" s="236"/>
      <c r="F992" s="254"/>
      <c r="G992" s="236"/>
      <c r="H992" s="667" t="s">
        <v>118</v>
      </c>
      <c r="I992" s="667"/>
      <c r="J992" s="667"/>
      <c r="K992" s="667"/>
      <c r="L992" s="236"/>
      <c r="M992" s="254"/>
      <c r="N992" s="236"/>
      <c r="O992" s="353">
        <v>0.02</v>
      </c>
      <c r="P992" s="353"/>
      <c r="Q992" s="353"/>
      <c r="R992" s="353"/>
      <c r="S992" s="236"/>
      <c r="T992" s="254"/>
      <c r="U992" s="659"/>
      <c r="V992" s="659"/>
      <c r="W992" s="659"/>
    </row>
    <row r="993" spans="1:20" outlineLevel="2">
      <c r="A993" s="659"/>
      <c r="B993" s="242"/>
      <c r="C993" s="666" t="s">
        <v>791</v>
      </c>
      <c r="D993" s="253" t="s">
        <v>26</v>
      </c>
      <c r="E993" s="236"/>
      <c r="F993" s="254"/>
      <c r="G993" s="236"/>
      <c r="H993" s="667" t="s">
        <v>32</v>
      </c>
      <c r="I993" s="667"/>
      <c r="J993" s="667"/>
      <c r="K993" s="667"/>
      <c r="L993" s="236"/>
      <c r="M993" s="254"/>
      <c r="N993" s="236"/>
      <c r="O993" s="353">
        <v>0.04</v>
      </c>
      <c r="P993" s="353"/>
      <c r="Q993" s="353"/>
      <c r="R993" s="353"/>
      <c r="S993" s="236"/>
      <c r="T993" s="254"/>
    </row>
    <row r="994" spans="1:20" ht="3" customHeight="1" outlineLevel="1">
      <c r="A994" s="659"/>
      <c r="B994" s="246"/>
      <c r="C994" s="246"/>
      <c r="D994" s="253"/>
      <c r="E994" s="236"/>
      <c r="F994" s="254"/>
      <c r="G994" s="236"/>
      <c r="H994" s="670" t="s">
        <v>1100</v>
      </c>
      <c r="I994" s="670"/>
      <c r="J994" s="670"/>
      <c r="K994" s="670"/>
      <c r="L994" s="236"/>
      <c r="M994" s="254"/>
      <c r="N994" s="236"/>
      <c r="O994" s="671"/>
      <c r="P994" s="671"/>
      <c r="Q994" s="671"/>
      <c r="R994" s="671"/>
      <c r="S994" s="236"/>
      <c r="T994" s="254"/>
    </row>
    <row r="995" spans="1:20" s="238" customFormat="1" outlineLevel="1">
      <c r="B995" s="239" t="s">
        <v>536</v>
      </c>
      <c r="C995" s="239"/>
      <c r="D995" s="239"/>
      <c r="E995" s="236"/>
      <c r="F995" s="254"/>
      <c r="G995" s="236"/>
      <c r="H995" s="240">
        <f>COUNTA(H996:H996)</f>
        <v>1</v>
      </c>
      <c r="I995" s="240"/>
      <c r="J995" s="240"/>
      <c r="K995" s="240"/>
      <c r="L995" s="236"/>
      <c r="M995" s="254"/>
      <c r="N995" s="236"/>
      <c r="O995" s="373">
        <f>SUM(O996:O996)</f>
        <v>0.26984501099999997</v>
      </c>
      <c r="P995" s="373"/>
      <c r="Q995" s="373"/>
      <c r="R995" s="373"/>
      <c r="S995" s="236"/>
      <c r="T995" s="254"/>
    </row>
    <row r="996" spans="1:20" outlineLevel="2">
      <c r="A996" s="665"/>
      <c r="B996" s="233"/>
      <c r="C996" s="234" t="s">
        <v>536</v>
      </c>
      <c r="D996" s="253" t="s">
        <v>26</v>
      </c>
      <c r="E996" s="236"/>
      <c r="F996" s="254"/>
      <c r="G996" s="236"/>
      <c r="H996" s="287" t="s">
        <v>32</v>
      </c>
      <c r="I996" s="287"/>
      <c r="J996" s="287"/>
      <c r="K996" s="287"/>
      <c r="L996" s="236"/>
      <c r="M996" s="254"/>
      <c r="N996" s="236"/>
      <c r="O996" s="288">
        <v>0.26984501099999997</v>
      </c>
      <c r="P996" s="288"/>
      <c r="Q996" s="288"/>
      <c r="R996" s="288"/>
      <c r="S996" s="236"/>
      <c r="T996" s="254"/>
    </row>
    <row r="997" spans="1:20" ht="3" customHeight="1" outlineLevel="1">
      <c r="A997" s="659"/>
      <c r="B997" s="246"/>
      <c r="C997" s="246"/>
      <c r="D997" s="253"/>
      <c r="E997" s="236"/>
      <c r="F997" s="254"/>
      <c r="G997" s="236"/>
      <c r="H997" s="670"/>
      <c r="I997" s="670"/>
      <c r="J997" s="670"/>
      <c r="K997" s="670"/>
      <c r="L997" s="236"/>
      <c r="M997" s="254"/>
      <c r="N997" s="236"/>
      <c r="O997" s="671"/>
      <c r="P997" s="671"/>
      <c r="Q997" s="671"/>
      <c r="R997" s="671"/>
      <c r="S997" s="236"/>
      <c r="T997" s="254"/>
    </row>
    <row r="998" spans="1:20" s="238" customFormat="1" outlineLevel="1">
      <c r="B998" s="239" t="s">
        <v>837</v>
      </c>
      <c r="C998" s="239"/>
      <c r="D998" s="239"/>
      <c r="E998" s="236"/>
      <c r="F998" s="254"/>
      <c r="G998" s="236"/>
      <c r="H998" s="240">
        <f>COUNTA(H999:H1000)</f>
        <v>2</v>
      </c>
      <c r="I998" s="240"/>
      <c r="J998" s="240"/>
      <c r="K998" s="240"/>
      <c r="L998" s="236"/>
      <c r="M998" s="254"/>
      <c r="N998" s="236"/>
      <c r="O998" s="373">
        <f>SUM(O999:O1000)</f>
        <v>2.9577740161851116</v>
      </c>
      <c r="P998" s="373"/>
      <c r="Q998" s="373"/>
      <c r="R998" s="373"/>
      <c r="S998" s="236"/>
      <c r="T998" s="254"/>
    </row>
    <row r="999" spans="1:20" outlineLevel="2">
      <c r="A999" s="665"/>
      <c r="B999" s="233"/>
      <c r="C999" s="234" t="s">
        <v>837</v>
      </c>
      <c r="D999" s="253" t="s">
        <v>26</v>
      </c>
      <c r="E999" s="236"/>
      <c r="F999" s="254"/>
      <c r="G999" s="236"/>
      <c r="H999" s="287" t="s">
        <v>32</v>
      </c>
      <c r="I999" s="287"/>
      <c r="J999" s="287"/>
      <c r="K999" s="287"/>
      <c r="L999" s="236"/>
      <c r="M999" s="254"/>
      <c r="N999" s="236"/>
      <c r="O999" s="288">
        <v>2.0524548242266238</v>
      </c>
      <c r="P999" s="288"/>
      <c r="Q999" s="288"/>
      <c r="R999" s="288"/>
      <c r="S999" s="236"/>
      <c r="T999" s="254"/>
    </row>
    <row r="1000" spans="1:20" outlineLevel="2">
      <c r="A1000" s="665"/>
      <c r="B1000" s="233"/>
      <c r="C1000" s="234" t="s">
        <v>837</v>
      </c>
      <c r="D1000" s="253" t="s">
        <v>26</v>
      </c>
      <c r="E1000" s="236"/>
      <c r="F1000" s="254"/>
      <c r="G1000" s="236"/>
      <c r="H1000" s="287" t="s">
        <v>34</v>
      </c>
      <c r="I1000" s="287"/>
      <c r="J1000" s="287"/>
      <c r="K1000" s="287"/>
      <c r="L1000" s="236"/>
      <c r="M1000" s="254"/>
      <c r="N1000" s="236"/>
      <c r="O1000" s="288">
        <v>0.90531919195848798</v>
      </c>
      <c r="P1000" s="288"/>
      <c r="Q1000" s="288"/>
      <c r="R1000" s="288"/>
      <c r="S1000" s="236"/>
      <c r="T1000" s="254"/>
    </row>
    <row r="1001" spans="1:20" ht="3" customHeight="1" outlineLevel="1">
      <c r="A1001" s="659"/>
      <c r="B1001" s="246"/>
      <c r="C1001" s="246"/>
      <c r="D1001" s="253"/>
      <c r="E1001" s="236"/>
      <c r="F1001" s="254"/>
      <c r="G1001" s="236"/>
      <c r="H1001" s="670"/>
      <c r="I1001" s="670"/>
      <c r="J1001" s="670"/>
      <c r="K1001" s="670"/>
      <c r="L1001" s="236"/>
      <c r="M1001" s="254"/>
      <c r="N1001" s="236"/>
      <c r="O1001" s="671"/>
      <c r="P1001" s="671"/>
      <c r="Q1001" s="671"/>
      <c r="R1001" s="671"/>
      <c r="S1001" s="236"/>
      <c r="T1001" s="254"/>
    </row>
    <row r="1002" spans="1:20" s="238" customFormat="1" outlineLevel="1">
      <c r="B1002" s="239" t="s">
        <v>911</v>
      </c>
      <c r="C1002" s="239"/>
      <c r="D1002" s="239"/>
      <c r="E1002" s="236"/>
      <c r="F1002" s="254"/>
      <c r="G1002" s="236"/>
      <c r="H1002" s="240"/>
      <c r="I1002" s="240"/>
      <c r="J1002" s="240"/>
      <c r="K1002" s="240"/>
      <c r="L1002" s="236"/>
      <c r="M1002" s="254"/>
      <c r="N1002" s="236"/>
      <c r="O1002" s="265"/>
      <c r="P1002" s="265"/>
      <c r="Q1002" s="265"/>
      <c r="R1002" s="265"/>
      <c r="S1002" s="236"/>
      <c r="T1002" s="254"/>
    </row>
    <row r="1003" spans="1:20" ht="3" customHeight="1" outlineLevel="1">
      <c r="A1003" s="659"/>
      <c r="B1003" s="246"/>
      <c r="C1003" s="246"/>
      <c r="D1003" s="253"/>
      <c r="E1003" s="243"/>
      <c r="F1003" s="193"/>
      <c r="G1003" s="243"/>
      <c r="H1003" s="670"/>
      <c r="I1003" s="670"/>
      <c r="J1003" s="670"/>
      <c r="K1003" s="670"/>
      <c r="L1003" s="243"/>
      <c r="M1003" s="193"/>
      <c r="N1003" s="243"/>
      <c r="O1003" s="671"/>
      <c r="P1003" s="671"/>
      <c r="Q1003" s="671"/>
      <c r="R1003" s="671"/>
      <c r="S1003" s="243"/>
      <c r="T1003" s="193"/>
    </row>
    <row r="1004" spans="1:20" s="238" customFormat="1" outlineLevel="1">
      <c r="B1004" s="239" t="s">
        <v>792</v>
      </c>
      <c r="C1004" s="239"/>
      <c r="D1004" s="239"/>
      <c r="E1004" s="236"/>
      <c r="F1004" s="254"/>
      <c r="G1004" s="236"/>
      <c r="H1004" s="240">
        <f>COUNTA(H1005:H1006)</f>
        <v>2</v>
      </c>
      <c r="I1004" s="240"/>
      <c r="J1004" s="240"/>
      <c r="K1004" s="240"/>
      <c r="L1004" s="236"/>
      <c r="M1004" s="254"/>
      <c r="N1004" s="236"/>
      <c r="O1004" s="265">
        <f>SUM(O1005:O1006)</f>
        <v>5.7599999999999998E-2</v>
      </c>
      <c r="P1004" s="265"/>
      <c r="Q1004" s="265"/>
      <c r="R1004" s="265"/>
      <c r="S1004" s="236"/>
      <c r="T1004" s="254"/>
    </row>
    <row r="1005" spans="1:20" outlineLevel="3">
      <c r="A1005" s="659"/>
      <c r="B1005" s="242"/>
      <c r="C1005" s="666" t="s">
        <v>290</v>
      </c>
      <c r="D1005" s="253" t="s">
        <v>26</v>
      </c>
      <c r="E1005" s="236"/>
      <c r="F1005" s="254"/>
      <c r="G1005" s="236"/>
      <c r="H1005" s="678" t="s">
        <v>32</v>
      </c>
      <c r="I1005" s="678"/>
      <c r="J1005" s="678"/>
      <c r="K1005" s="678"/>
      <c r="L1005" s="236"/>
      <c r="M1005" s="254"/>
      <c r="N1005" s="236"/>
      <c r="O1005" s="663">
        <v>2.4E-2</v>
      </c>
      <c r="P1005" s="663"/>
      <c r="Q1005" s="663"/>
      <c r="R1005" s="663"/>
      <c r="S1005" s="236"/>
      <c r="T1005" s="254"/>
    </row>
    <row r="1006" spans="1:20" outlineLevel="3">
      <c r="A1006" s="659"/>
      <c r="B1006" s="242"/>
      <c r="C1006" s="666" t="s">
        <v>290</v>
      </c>
      <c r="D1006" s="253" t="s">
        <v>26</v>
      </c>
      <c r="E1006" s="236"/>
      <c r="F1006" s="254"/>
      <c r="G1006" s="236"/>
      <c r="H1006" s="677" t="s">
        <v>842</v>
      </c>
      <c r="I1006" s="677"/>
      <c r="J1006" s="677"/>
      <c r="K1006" s="677"/>
      <c r="L1006" s="236"/>
      <c r="M1006" s="254"/>
      <c r="N1006" s="236"/>
      <c r="O1006" s="663">
        <v>3.3599999999999998E-2</v>
      </c>
      <c r="P1006" s="663"/>
      <c r="Q1006" s="663"/>
      <c r="R1006" s="663"/>
      <c r="S1006" s="236"/>
      <c r="T1006" s="254"/>
    </row>
    <row r="1007" spans="1:20" ht="3" customHeight="1" outlineLevel="1">
      <c r="A1007" s="665"/>
      <c r="B1007" s="709"/>
      <c r="C1007" s="709"/>
      <c r="D1007" s="710"/>
      <c r="E1007" s="236"/>
      <c r="F1007" s="254"/>
      <c r="G1007" s="236"/>
      <c r="H1007" s="264"/>
      <c r="I1007" s="264"/>
      <c r="J1007" s="264"/>
      <c r="K1007" s="264"/>
      <c r="L1007" s="236"/>
      <c r="M1007" s="254"/>
      <c r="N1007" s="236"/>
      <c r="O1007" s="352"/>
      <c r="P1007" s="352"/>
      <c r="Q1007" s="352"/>
      <c r="R1007" s="352"/>
      <c r="S1007" s="236"/>
      <c r="T1007" s="254"/>
    </row>
    <row r="1008" spans="1:20" s="238" customFormat="1" outlineLevel="1">
      <c r="B1008" s="239" t="s">
        <v>317</v>
      </c>
      <c r="C1008" s="239"/>
      <c r="D1008" s="239"/>
      <c r="E1008" s="236"/>
      <c r="F1008" s="254"/>
      <c r="G1008" s="236"/>
      <c r="H1008" s="240">
        <f>COUNTA(H1009:H1010)</f>
        <v>2</v>
      </c>
      <c r="I1008" s="240"/>
      <c r="J1008" s="240"/>
      <c r="K1008" s="240"/>
      <c r="L1008" s="236"/>
      <c r="M1008" s="254"/>
      <c r="N1008" s="236"/>
      <c r="O1008" s="265">
        <f>SUM(O1009:O1010)</f>
        <v>0.39928000000000002</v>
      </c>
      <c r="P1008" s="265"/>
      <c r="Q1008" s="265"/>
      <c r="R1008" s="265"/>
      <c r="S1008" s="241"/>
      <c r="T1008" s="254"/>
    </row>
    <row r="1009" spans="2:20" outlineLevel="3">
      <c r="B1009" s="246"/>
      <c r="C1009" s="246" t="s">
        <v>317</v>
      </c>
      <c r="D1009" s="253" t="s">
        <v>26</v>
      </c>
      <c r="E1009" s="236"/>
      <c r="F1009" s="254"/>
      <c r="G1009" s="236"/>
      <c r="H1009" s="261" t="s">
        <v>32</v>
      </c>
      <c r="I1009" s="261"/>
      <c r="J1009" s="261"/>
      <c r="K1009" s="261"/>
      <c r="L1009" s="236"/>
      <c r="M1009" s="254"/>
      <c r="N1009" s="236"/>
      <c r="O1009" s="322">
        <v>0.2</v>
      </c>
      <c r="P1009" s="322"/>
      <c r="Q1009" s="322"/>
      <c r="R1009" s="322"/>
      <c r="S1009" s="236"/>
      <c r="T1009" s="254"/>
    </row>
    <row r="1010" spans="2:20" outlineLevel="2">
      <c r="B1010" s="261"/>
      <c r="C1010" s="246" t="s">
        <v>317</v>
      </c>
      <c r="D1010" s="253" t="s">
        <v>26</v>
      </c>
      <c r="E1010" s="236"/>
      <c r="F1010" s="254"/>
      <c r="G1010" s="236"/>
      <c r="H1010" s="659" t="s">
        <v>471</v>
      </c>
      <c r="I1010" s="659"/>
      <c r="J1010" s="659"/>
      <c r="K1010" s="659"/>
      <c r="L1010" s="236"/>
      <c r="M1010" s="254"/>
      <c r="N1010" s="236"/>
      <c r="O1010" s="663">
        <v>0.19928000000000001</v>
      </c>
      <c r="P1010" s="663"/>
      <c r="Q1010" s="663"/>
      <c r="R1010" s="663"/>
      <c r="S1010" s="236"/>
      <c r="T1010" s="254"/>
    </row>
    <row r="1011" spans="2:20" ht="3" customHeight="1" outlineLevel="1">
      <c r="B1011" s="246"/>
      <c r="C1011" s="246"/>
      <c r="D1011" s="253"/>
      <c r="E1011" s="236"/>
      <c r="F1011" s="254"/>
      <c r="G1011" s="236"/>
      <c r="H1011" s="670"/>
      <c r="I1011" s="670"/>
      <c r="J1011" s="670"/>
      <c r="K1011" s="670"/>
      <c r="L1011" s="236"/>
      <c r="M1011" s="254"/>
      <c r="N1011" s="236"/>
      <c r="O1011" s="671"/>
      <c r="P1011" s="671"/>
      <c r="Q1011" s="671"/>
      <c r="R1011" s="671"/>
      <c r="S1011" s="236"/>
      <c r="T1011" s="254"/>
    </row>
    <row r="1012" spans="2:20" s="238" customFormat="1" outlineLevel="1">
      <c r="B1012" s="239" t="s">
        <v>490</v>
      </c>
      <c r="C1012" s="239"/>
      <c r="D1012" s="239"/>
      <c r="E1012" s="236"/>
      <c r="F1012" s="254"/>
      <c r="G1012" s="236"/>
      <c r="H1012" s="240">
        <f>COUNTA(H1013:H1016)</f>
        <v>3</v>
      </c>
      <c r="I1012" s="240"/>
      <c r="J1012" s="240"/>
      <c r="K1012" s="240"/>
      <c r="L1012" s="236"/>
      <c r="M1012" s="254"/>
      <c r="N1012" s="236"/>
      <c r="O1012" s="373">
        <f>SUM(O1013:P1015)</f>
        <v>0.13427152144591636</v>
      </c>
      <c r="P1012" s="373"/>
      <c r="Q1012" s="373"/>
      <c r="R1012" s="373"/>
      <c r="S1012" s="236"/>
      <c r="T1012" s="254"/>
    </row>
    <row r="1013" spans="2:20" outlineLevel="2">
      <c r="B1013" s="246"/>
      <c r="C1013" s="246" t="s">
        <v>1101</v>
      </c>
      <c r="D1013" s="253" t="s">
        <v>26</v>
      </c>
      <c r="E1013" s="236"/>
      <c r="F1013" s="254"/>
      <c r="G1013" s="236"/>
      <c r="H1013" s="261" t="s">
        <v>32</v>
      </c>
      <c r="I1013" s="261"/>
      <c r="J1013" s="261"/>
      <c r="K1013" s="261"/>
      <c r="L1013" s="236"/>
      <c r="M1013" s="254"/>
      <c r="N1013" s="236"/>
      <c r="O1013" s="686">
        <v>5.6932255546948363E-2</v>
      </c>
      <c r="P1013" s="686"/>
      <c r="Q1013" s="686"/>
      <c r="R1013" s="686"/>
      <c r="S1013" s="236"/>
      <c r="T1013" s="254"/>
    </row>
    <row r="1014" spans="2:20" outlineLevel="2">
      <c r="B1014" s="246"/>
      <c r="C1014" s="246" t="s">
        <v>1101</v>
      </c>
      <c r="D1014" s="253" t="s">
        <v>26</v>
      </c>
      <c r="E1014" s="236"/>
      <c r="F1014" s="254"/>
      <c r="G1014" s="236"/>
      <c r="H1014" s="261" t="s">
        <v>457</v>
      </c>
      <c r="I1014" s="261"/>
      <c r="J1014" s="261"/>
      <c r="K1014" s="261"/>
      <c r="L1014" s="236"/>
      <c r="M1014" s="254"/>
      <c r="N1014" s="236"/>
      <c r="O1014" s="686">
        <v>2.5779755299655999E-2</v>
      </c>
      <c r="P1014" s="686"/>
      <c r="Q1014" s="686"/>
      <c r="R1014" s="686"/>
      <c r="S1014" s="236"/>
      <c r="T1014" s="254"/>
    </row>
    <row r="1015" spans="2:20" outlineLevel="2">
      <c r="B1015" s="246"/>
      <c r="C1015" s="246" t="s">
        <v>1101</v>
      </c>
      <c r="D1015" s="253" t="s">
        <v>26</v>
      </c>
      <c r="E1015" s="236"/>
      <c r="F1015" s="254"/>
      <c r="G1015" s="236"/>
      <c r="H1015" s="659" t="s">
        <v>458</v>
      </c>
      <c r="I1015" s="659"/>
      <c r="J1015" s="659"/>
      <c r="K1015" s="659"/>
      <c r="L1015" s="236"/>
      <c r="M1015" s="254"/>
      <c r="N1015" s="236"/>
      <c r="O1015" s="686">
        <v>5.1559510599311999E-2</v>
      </c>
      <c r="P1015" s="686"/>
      <c r="Q1015" s="686"/>
      <c r="R1015" s="686"/>
      <c r="S1015" s="236"/>
      <c r="T1015" s="254"/>
    </row>
    <row r="1016" spans="2:20" ht="3" customHeight="1" outlineLevel="1">
      <c r="B1016" s="246"/>
      <c r="C1016" s="246"/>
      <c r="D1016" s="253"/>
      <c r="E1016" s="236"/>
      <c r="F1016" s="254"/>
      <c r="G1016" s="236"/>
      <c r="H1016" s="670"/>
      <c r="I1016" s="670"/>
      <c r="J1016" s="670"/>
      <c r="K1016" s="670"/>
      <c r="L1016" s="236"/>
      <c r="M1016" s="254"/>
      <c r="N1016" s="236"/>
      <c r="O1016" s="671"/>
      <c r="P1016" s="671"/>
      <c r="Q1016" s="671"/>
      <c r="R1016" s="671"/>
      <c r="S1016" s="236"/>
      <c r="T1016" s="254"/>
    </row>
    <row r="1017" spans="2:20" s="238" customFormat="1" outlineLevel="1">
      <c r="B1017" s="273" t="s">
        <v>581</v>
      </c>
      <c r="C1017" s="239"/>
      <c r="D1017" s="239"/>
      <c r="E1017" s="236"/>
      <c r="F1017" s="254"/>
      <c r="G1017" s="236"/>
      <c r="H1017" s="240">
        <f>COUNTA(H1018:H1020)</f>
        <v>0</v>
      </c>
      <c r="I1017" s="240"/>
      <c r="J1017" s="240"/>
      <c r="K1017" s="240"/>
      <c r="L1017" s="236"/>
      <c r="M1017" s="254"/>
      <c r="N1017" s="236"/>
      <c r="O1017" s="265">
        <f>SUM(O1018:O1020)</f>
        <v>0</v>
      </c>
      <c r="P1017" s="265"/>
      <c r="Q1017" s="265"/>
      <c r="R1017" s="265"/>
      <c r="S1017" s="236"/>
      <c r="T1017" s="254"/>
    </row>
    <row r="1018" spans="2:20" outlineLevel="2">
      <c r="B1018" s="246"/>
      <c r="C1018" s="246" t="s">
        <v>581</v>
      </c>
      <c r="D1018" s="253" t="s">
        <v>26</v>
      </c>
      <c r="E1018" s="236"/>
      <c r="F1018" s="254"/>
      <c r="G1018" s="236"/>
      <c r="H1018" s="261"/>
      <c r="I1018" s="261"/>
      <c r="J1018" s="261"/>
      <c r="K1018" s="261"/>
      <c r="L1018" s="236"/>
      <c r="M1018" s="254"/>
      <c r="N1018" s="236"/>
      <c r="O1018" s="288"/>
      <c r="P1018" s="288"/>
      <c r="Q1018" s="288"/>
      <c r="R1018" s="288"/>
      <c r="S1018" s="236"/>
      <c r="T1018" s="254"/>
    </row>
    <row r="1019" spans="2:20" outlineLevel="2">
      <c r="B1019" s="261"/>
      <c r="C1019" s="246" t="s">
        <v>581</v>
      </c>
      <c r="D1019" s="253" t="s">
        <v>26</v>
      </c>
      <c r="E1019" s="236"/>
      <c r="F1019" s="254"/>
      <c r="G1019" s="236"/>
      <c r="H1019" s="261"/>
      <c r="I1019" s="261"/>
      <c r="J1019" s="261"/>
      <c r="K1019" s="261"/>
      <c r="L1019" s="236"/>
      <c r="M1019" s="254"/>
      <c r="N1019" s="236"/>
      <c r="O1019" s="686"/>
      <c r="P1019" s="686"/>
      <c r="Q1019" s="686"/>
      <c r="R1019" s="686"/>
      <c r="S1019" s="236"/>
      <c r="T1019" s="254"/>
    </row>
    <row r="1020" spans="2:20" outlineLevel="2">
      <c r="B1020" s="261"/>
      <c r="C1020" s="246" t="s">
        <v>581</v>
      </c>
      <c r="D1020" s="253" t="s">
        <v>26</v>
      </c>
      <c r="E1020" s="236"/>
      <c r="F1020" s="254"/>
      <c r="G1020" s="236"/>
      <c r="H1020" s="659"/>
      <c r="I1020" s="659"/>
      <c r="J1020" s="659"/>
      <c r="K1020" s="659"/>
      <c r="L1020" s="236"/>
      <c r="M1020" s="254"/>
      <c r="N1020" s="236"/>
      <c r="O1020" s="288"/>
      <c r="P1020" s="288"/>
      <c r="Q1020" s="288"/>
      <c r="R1020" s="288"/>
      <c r="S1020" s="236"/>
      <c r="T1020" s="254"/>
    </row>
    <row r="1021" spans="2:20" outlineLevel="1">
      <c r="B1021" s="246"/>
      <c r="C1021" s="246"/>
      <c r="D1021" s="253"/>
      <c r="E1021" s="236"/>
      <c r="F1021" s="254"/>
      <c r="G1021" s="236"/>
      <c r="H1021" s="670"/>
      <c r="I1021" s="670"/>
      <c r="J1021" s="670"/>
      <c r="K1021" s="670"/>
      <c r="L1021" s="236"/>
      <c r="M1021" s="254"/>
      <c r="N1021" s="236"/>
      <c r="O1021" s="671"/>
      <c r="P1021" s="671"/>
      <c r="Q1021" s="671"/>
      <c r="R1021" s="671"/>
      <c r="S1021" s="236"/>
      <c r="T1021" s="254"/>
    </row>
    <row r="1022" spans="2:20" s="238" customFormat="1" outlineLevel="1">
      <c r="B1022" s="239" t="s">
        <v>1102</v>
      </c>
      <c r="C1022" s="239"/>
      <c r="D1022" s="239"/>
      <c r="E1022" s="236"/>
      <c r="F1022" s="254"/>
      <c r="G1022" s="236"/>
      <c r="H1022" s="240">
        <f>COUNTA(H1023:H1023)</f>
        <v>1</v>
      </c>
      <c r="I1022" s="240"/>
      <c r="J1022" s="240"/>
      <c r="K1022" s="240"/>
      <c r="L1022" s="236"/>
      <c r="M1022" s="254"/>
      <c r="N1022" s="236"/>
      <c r="O1022" s="265">
        <f>SUM(O1023:O1023)</f>
        <v>0</v>
      </c>
      <c r="P1022" s="265"/>
      <c r="Q1022" s="265"/>
      <c r="R1022" s="265"/>
      <c r="S1022" s="236"/>
      <c r="T1022" s="254"/>
    </row>
    <row r="1023" spans="2:20" outlineLevel="2">
      <c r="B1023" s="246"/>
      <c r="C1023" s="246" t="s">
        <v>1102</v>
      </c>
      <c r="D1023" s="253" t="s">
        <v>26</v>
      </c>
      <c r="E1023" s="236"/>
      <c r="F1023" s="254"/>
      <c r="G1023" s="236"/>
      <c r="H1023" s="261" t="s">
        <v>32</v>
      </c>
      <c r="I1023" s="261"/>
      <c r="J1023" s="261"/>
      <c r="K1023" s="261"/>
      <c r="L1023" s="236"/>
      <c r="M1023" s="254"/>
      <c r="N1023" s="236"/>
      <c r="O1023" s="673"/>
      <c r="P1023" s="673"/>
      <c r="Q1023" s="673"/>
      <c r="R1023" s="673"/>
      <c r="S1023" s="236"/>
      <c r="T1023" s="254"/>
    </row>
    <row r="1024" spans="2:20" s="238" customFormat="1" outlineLevel="1">
      <c r="B1024" s="239" t="s">
        <v>941</v>
      </c>
      <c r="C1024" s="239"/>
      <c r="D1024" s="239"/>
      <c r="E1024" s="236"/>
      <c r="F1024" s="254"/>
      <c r="G1024" s="236"/>
      <c r="H1024" s="240">
        <f>COUNTA(H1025:H1025)</f>
        <v>1</v>
      </c>
      <c r="I1024" s="240"/>
      <c r="J1024" s="240"/>
      <c r="K1024" s="240"/>
      <c r="L1024" s="236"/>
      <c r="M1024" s="254"/>
      <c r="N1024" s="236"/>
      <c r="O1024" s="265">
        <f>SUM(O1025:O1025)</f>
        <v>0</v>
      </c>
      <c r="P1024" s="265"/>
      <c r="Q1024" s="265"/>
      <c r="R1024" s="265"/>
      <c r="S1024" s="236"/>
      <c r="T1024" s="254"/>
    </row>
    <row r="1025" spans="1:27" outlineLevel="2">
      <c r="A1025" s="659"/>
      <c r="B1025" s="246"/>
      <c r="C1025" s="246" t="s">
        <v>941</v>
      </c>
      <c r="D1025" s="253" t="s">
        <v>26</v>
      </c>
      <c r="E1025" s="236"/>
      <c r="F1025" s="254"/>
      <c r="G1025" s="236"/>
      <c r="H1025" s="261" t="s">
        <v>32</v>
      </c>
      <c r="I1025" s="261"/>
      <c r="J1025" s="261"/>
      <c r="K1025" s="261"/>
      <c r="L1025" s="236"/>
      <c r="M1025" s="254"/>
      <c r="N1025" s="236"/>
      <c r="O1025" s="673"/>
      <c r="P1025" s="673"/>
      <c r="Q1025" s="673"/>
      <c r="R1025" s="673"/>
      <c r="S1025" s="236"/>
      <c r="T1025" s="254"/>
      <c r="U1025" s="659"/>
      <c r="V1025" s="659"/>
      <c r="W1025" s="659"/>
      <c r="X1025" s="659"/>
      <c r="Y1025" s="659"/>
      <c r="Z1025" s="659"/>
      <c r="AA1025" s="659"/>
    </row>
    <row r="1026" spans="1:27" s="328" customFormat="1" outlineLevel="1">
      <c r="A1026" s="659"/>
      <c r="B1026" s="246"/>
      <c r="C1026" s="246"/>
      <c r="D1026" s="253"/>
      <c r="E1026" s="236"/>
      <c r="F1026" s="254"/>
      <c r="G1026" s="236"/>
      <c r="H1026" s="670"/>
      <c r="I1026" s="670"/>
      <c r="J1026" s="670"/>
      <c r="K1026" s="670"/>
      <c r="L1026" s="236"/>
      <c r="M1026" s="254"/>
      <c r="N1026" s="236"/>
      <c r="O1026" s="671"/>
      <c r="P1026" s="671"/>
      <c r="Q1026" s="671"/>
      <c r="R1026" s="671"/>
      <c r="S1026" s="236"/>
      <c r="T1026" s="254"/>
      <c r="U1026" s="659"/>
      <c r="V1026" s="659"/>
      <c r="W1026" s="659"/>
      <c r="X1026" s="659"/>
      <c r="Y1026" s="659"/>
      <c r="Z1026" s="659"/>
      <c r="AA1026" s="659"/>
    </row>
    <row r="1027" spans="1:27" s="238" customFormat="1" outlineLevel="1">
      <c r="B1027" s="239" t="s">
        <v>288</v>
      </c>
      <c r="C1027" s="239"/>
      <c r="D1027" s="239"/>
      <c r="E1027" s="236"/>
      <c r="F1027" s="254"/>
      <c r="G1027" s="236"/>
      <c r="H1027" s="240">
        <f>COUNTA(H1028:H1029)</f>
        <v>2</v>
      </c>
      <c r="I1027" s="240"/>
      <c r="J1027" s="240"/>
      <c r="K1027" s="240"/>
      <c r="L1027" s="236"/>
      <c r="M1027" s="254"/>
      <c r="N1027" s="236"/>
      <c r="O1027" s="265">
        <f>SUM(O1028:O1029)</f>
        <v>0</v>
      </c>
      <c r="P1027" s="265"/>
      <c r="Q1027" s="265"/>
      <c r="R1027" s="265"/>
      <c r="S1027" s="236"/>
      <c r="T1027" s="254"/>
    </row>
    <row r="1028" spans="1:27" outlineLevel="2">
      <c r="A1028" s="659"/>
      <c r="B1028" s="246"/>
      <c r="C1028" s="246" t="s">
        <v>288</v>
      </c>
      <c r="D1028" s="253" t="s">
        <v>26</v>
      </c>
      <c r="E1028" s="236"/>
      <c r="F1028" s="254"/>
      <c r="G1028" s="236"/>
      <c r="H1028" s="261" t="s">
        <v>32</v>
      </c>
      <c r="I1028" s="261"/>
      <c r="J1028" s="261"/>
      <c r="K1028" s="261"/>
      <c r="L1028" s="236"/>
      <c r="M1028" s="254"/>
      <c r="N1028" s="236"/>
      <c r="O1028" s="673"/>
      <c r="P1028" s="673"/>
      <c r="Q1028" s="673"/>
      <c r="R1028" s="673"/>
      <c r="S1028" s="236"/>
      <c r="T1028" s="254"/>
      <c r="U1028" s="659"/>
      <c r="V1028" s="659"/>
      <c r="W1028" s="659"/>
      <c r="X1028" s="659"/>
      <c r="Y1028" s="659"/>
      <c r="Z1028" s="659"/>
      <c r="AA1028" s="659"/>
    </row>
    <row r="1029" spans="1:27" outlineLevel="2">
      <c r="A1029" s="659"/>
      <c r="B1029" s="246"/>
      <c r="C1029" s="246" t="s">
        <v>288</v>
      </c>
      <c r="D1029" s="253" t="s">
        <v>26</v>
      </c>
      <c r="E1029" s="236"/>
      <c r="F1029" s="254"/>
      <c r="G1029" s="236"/>
      <c r="H1029" s="261" t="s">
        <v>353</v>
      </c>
      <c r="I1029" s="261"/>
      <c r="J1029" s="261"/>
      <c r="K1029" s="261"/>
      <c r="L1029" s="236"/>
      <c r="M1029" s="254"/>
      <c r="N1029" s="236"/>
      <c r="O1029" s="673"/>
      <c r="P1029" s="673"/>
      <c r="Q1029" s="673"/>
      <c r="R1029" s="673"/>
      <c r="S1029" s="236"/>
      <c r="T1029" s="254"/>
      <c r="U1029" s="659"/>
      <c r="V1029" s="659"/>
      <c r="W1029" s="659"/>
      <c r="X1029" s="659"/>
      <c r="Y1029" s="659"/>
      <c r="Z1029" s="659"/>
      <c r="AA1029" s="659"/>
    </row>
    <row r="1030" spans="1:27" s="328" customFormat="1" outlineLevel="1">
      <c r="A1030" s="659"/>
      <c r="B1030" s="246"/>
      <c r="C1030" s="246"/>
      <c r="D1030" s="253"/>
      <c r="E1030" s="236"/>
      <c r="F1030" s="254"/>
      <c r="G1030" s="236"/>
      <c r="H1030" s="670"/>
      <c r="I1030" s="670"/>
      <c r="J1030" s="670"/>
      <c r="K1030" s="670"/>
      <c r="L1030" s="236"/>
      <c r="M1030" s="254"/>
      <c r="N1030" s="236"/>
      <c r="O1030" s="671"/>
      <c r="P1030" s="671"/>
      <c r="Q1030" s="671"/>
      <c r="R1030" s="671"/>
      <c r="S1030" s="236"/>
      <c r="T1030" s="254"/>
      <c r="U1030" s="659"/>
      <c r="V1030" s="659"/>
      <c r="W1030" s="659"/>
      <c r="X1030" s="659"/>
      <c r="Y1030" s="659"/>
      <c r="Z1030" s="659"/>
      <c r="AA1030" s="659"/>
    </row>
    <row r="1031" spans="1:27" s="238" customFormat="1" outlineLevel="1">
      <c r="B1031" s="239" t="s">
        <v>276</v>
      </c>
      <c r="C1031" s="239"/>
      <c r="D1031" s="239"/>
      <c r="E1031" s="236"/>
      <c r="F1031" s="254"/>
      <c r="G1031" s="236"/>
      <c r="H1031" s="240">
        <f>COUNTA(H1032:H1033)</f>
        <v>2</v>
      </c>
      <c r="I1031" s="240"/>
      <c r="J1031" s="240"/>
      <c r="K1031" s="240"/>
      <c r="L1031" s="236"/>
      <c r="M1031" s="254"/>
      <c r="N1031" s="236"/>
      <c r="O1031" s="265">
        <f>SUM(O1032:O1033)</f>
        <v>0</v>
      </c>
      <c r="P1031" s="265"/>
      <c r="Q1031" s="265"/>
      <c r="R1031" s="265"/>
      <c r="S1031" s="236"/>
      <c r="T1031" s="254"/>
    </row>
    <row r="1032" spans="1:27" outlineLevel="2">
      <c r="A1032" s="659"/>
      <c r="B1032" s="246"/>
      <c r="C1032" s="246" t="s">
        <v>276</v>
      </c>
      <c r="D1032" s="253" t="s">
        <v>26</v>
      </c>
      <c r="E1032" s="236"/>
      <c r="F1032" s="254"/>
      <c r="G1032" s="236"/>
      <c r="H1032" s="261" t="s">
        <v>32</v>
      </c>
      <c r="I1032" s="261"/>
      <c r="J1032" s="261"/>
      <c r="K1032" s="261"/>
      <c r="L1032" s="236"/>
      <c r="M1032" s="254"/>
      <c r="N1032" s="236"/>
      <c r="O1032" s="673"/>
      <c r="P1032" s="673"/>
      <c r="Q1032" s="673"/>
      <c r="R1032" s="673"/>
      <c r="S1032" s="236"/>
      <c r="T1032" s="254"/>
      <c r="U1032" s="659"/>
      <c r="V1032" s="659"/>
      <c r="W1032" s="659"/>
      <c r="X1032" s="659"/>
      <c r="Y1032" s="659"/>
      <c r="Z1032" s="659"/>
      <c r="AA1032" s="659"/>
    </row>
    <row r="1033" spans="1:27" outlineLevel="2">
      <c r="A1033" s="659"/>
      <c r="B1033" s="246"/>
      <c r="C1033" s="246" t="s">
        <v>276</v>
      </c>
      <c r="D1033" s="253" t="s">
        <v>26</v>
      </c>
      <c r="E1033" s="236"/>
      <c r="F1033" s="254"/>
      <c r="G1033" s="236"/>
      <c r="H1033" s="261" t="s">
        <v>842</v>
      </c>
      <c r="I1033" s="261"/>
      <c r="J1033" s="261"/>
      <c r="K1033" s="261"/>
      <c r="L1033" s="236"/>
      <c r="M1033" s="254"/>
      <c r="N1033" s="236"/>
      <c r="O1033" s="673"/>
      <c r="P1033" s="673"/>
      <c r="Q1033" s="673"/>
      <c r="R1033" s="673"/>
      <c r="S1033" s="236"/>
      <c r="T1033" s="254"/>
      <c r="U1033" s="659"/>
      <c r="V1033" s="659"/>
      <c r="W1033" s="659"/>
      <c r="X1033" s="659"/>
      <c r="Y1033" s="659"/>
      <c r="Z1033" s="659"/>
      <c r="AA1033" s="659"/>
    </row>
    <row r="1034" spans="1:27" ht="3" customHeight="1" outlineLevel="1">
      <c r="A1034" s="659"/>
      <c r="B1034" s="246"/>
      <c r="C1034" s="246"/>
      <c r="D1034" s="253"/>
      <c r="E1034" s="236"/>
      <c r="F1034" s="254"/>
      <c r="G1034" s="236"/>
      <c r="H1034" s="670"/>
      <c r="I1034" s="670"/>
      <c r="J1034" s="670"/>
      <c r="K1034" s="670"/>
      <c r="L1034" s="236"/>
      <c r="M1034" s="254"/>
      <c r="N1034" s="236"/>
      <c r="O1034" s="671"/>
      <c r="P1034" s="671"/>
      <c r="Q1034" s="671"/>
      <c r="R1034" s="671"/>
      <c r="S1034" s="236"/>
      <c r="T1034" s="254"/>
      <c r="U1034" s="659"/>
      <c r="V1034" s="659"/>
      <c r="W1034" s="659"/>
      <c r="X1034" s="659"/>
      <c r="Y1034" s="659"/>
      <c r="Z1034" s="659"/>
      <c r="AA1034" s="659"/>
    </row>
    <row r="1035" spans="1:27" s="238" customFormat="1" outlineLevel="1">
      <c r="B1035" s="239" t="s">
        <v>1103</v>
      </c>
      <c r="C1035" s="239"/>
      <c r="D1035" s="239"/>
      <c r="E1035" s="236"/>
      <c r="F1035" s="254"/>
      <c r="G1035" s="236"/>
      <c r="H1035" s="240">
        <f>COUNTA(H1036:H1038)</f>
        <v>3</v>
      </c>
      <c r="I1035" s="240"/>
      <c r="J1035" s="240"/>
      <c r="K1035" s="240"/>
      <c r="L1035" s="236"/>
      <c r="M1035" s="254"/>
      <c r="N1035" s="236"/>
      <c r="O1035" s="265">
        <v>0.28226400000000001</v>
      </c>
      <c r="P1035" s="265"/>
      <c r="Q1035" s="265"/>
      <c r="R1035" s="265"/>
      <c r="S1035" s="236"/>
      <c r="T1035" s="254"/>
    </row>
    <row r="1036" spans="1:27" outlineLevel="2">
      <c r="A1036" s="659"/>
      <c r="B1036" s="246"/>
      <c r="C1036" s="246" t="s">
        <v>1103</v>
      </c>
      <c r="D1036" s="253" t="s">
        <v>26</v>
      </c>
      <c r="E1036" s="236"/>
      <c r="F1036" s="254"/>
      <c r="G1036" s="236"/>
      <c r="H1036" s="261" t="s">
        <v>32</v>
      </c>
      <c r="I1036" s="261"/>
      <c r="J1036" s="261"/>
      <c r="K1036" s="261"/>
      <c r="L1036" s="236"/>
      <c r="M1036" s="254"/>
      <c r="N1036" s="236"/>
      <c r="O1036" s="673"/>
      <c r="P1036" s="673"/>
      <c r="Q1036" s="673"/>
      <c r="R1036" s="673"/>
      <c r="S1036" s="236"/>
      <c r="T1036" s="254"/>
      <c r="U1036" s="659"/>
      <c r="V1036" s="659"/>
      <c r="W1036" s="659"/>
      <c r="X1036" s="659"/>
      <c r="Y1036" s="659"/>
      <c r="Z1036" s="659"/>
      <c r="AA1036" s="659"/>
    </row>
    <row r="1037" spans="1:27" outlineLevel="2">
      <c r="A1037" s="659"/>
      <c r="B1037" s="246"/>
      <c r="C1037" s="246" t="s">
        <v>1103</v>
      </c>
      <c r="D1037" s="253" t="s">
        <v>26</v>
      </c>
      <c r="E1037" s="236"/>
      <c r="F1037" s="254"/>
      <c r="G1037" s="236"/>
      <c r="H1037" s="261" t="s">
        <v>842</v>
      </c>
      <c r="I1037" s="261"/>
      <c r="J1037" s="261"/>
      <c r="K1037" s="261"/>
      <c r="L1037" s="236"/>
      <c r="M1037" s="254"/>
      <c r="N1037" s="236"/>
      <c r="O1037" s="673"/>
      <c r="P1037" s="673"/>
      <c r="Q1037" s="673"/>
      <c r="R1037" s="673"/>
      <c r="S1037" s="236"/>
      <c r="T1037" s="254"/>
      <c r="U1037" s="659"/>
      <c r="V1037" s="659"/>
      <c r="W1037" s="659"/>
      <c r="X1037" s="659"/>
      <c r="Y1037" s="659"/>
      <c r="Z1037" s="659"/>
      <c r="AA1037" s="659"/>
    </row>
    <row r="1038" spans="1:27" outlineLevel="2">
      <c r="A1038" s="659"/>
      <c r="B1038" s="246"/>
      <c r="C1038" s="246" t="s">
        <v>1103</v>
      </c>
      <c r="D1038" s="253" t="s">
        <v>26</v>
      </c>
      <c r="E1038" s="236"/>
      <c r="F1038" s="254"/>
      <c r="G1038" s="236"/>
      <c r="H1038" s="261" t="s">
        <v>1104</v>
      </c>
      <c r="I1038" s="261"/>
      <c r="J1038" s="261"/>
      <c r="K1038" s="261"/>
      <c r="L1038" s="236"/>
      <c r="M1038" s="254"/>
      <c r="N1038" s="236"/>
      <c r="O1038" s="673"/>
      <c r="P1038" s="673"/>
      <c r="Q1038" s="673"/>
      <c r="R1038" s="673"/>
      <c r="S1038" s="236"/>
      <c r="T1038" s="254"/>
      <c r="U1038" s="659"/>
      <c r="V1038" s="659"/>
      <c r="W1038" s="659"/>
      <c r="X1038" s="659"/>
      <c r="Y1038" s="659"/>
      <c r="Z1038" s="659"/>
      <c r="AA1038" s="659"/>
    </row>
    <row r="1039" spans="1:27" ht="3" customHeight="1" outlineLevel="1">
      <c r="A1039" s="659"/>
      <c r="B1039" s="246"/>
      <c r="C1039" s="246"/>
      <c r="D1039" s="253"/>
      <c r="E1039" s="236"/>
      <c r="F1039" s="254"/>
      <c r="G1039" s="236"/>
      <c r="H1039" s="670"/>
      <c r="I1039" s="670"/>
      <c r="J1039" s="670"/>
      <c r="K1039" s="670"/>
      <c r="L1039" s="236"/>
      <c r="M1039" s="254"/>
      <c r="N1039" s="236"/>
      <c r="O1039" s="671"/>
      <c r="P1039" s="671"/>
      <c r="Q1039" s="671"/>
      <c r="R1039" s="671"/>
      <c r="S1039" s="236"/>
      <c r="T1039" s="254"/>
      <c r="U1039" s="659"/>
      <c r="V1039" s="659"/>
      <c r="W1039" s="659"/>
      <c r="X1039" s="659"/>
      <c r="Y1039" s="659"/>
      <c r="Z1039" s="659"/>
      <c r="AA1039" s="659"/>
    </row>
    <row r="1040" spans="1:27" s="238" customFormat="1" outlineLevel="1">
      <c r="B1040" s="239" t="s">
        <v>1105</v>
      </c>
      <c r="C1040" s="239"/>
      <c r="D1040" s="239"/>
      <c r="E1040" s="236"/>
      <c r="F1040" s="254"/>
      <c r="G1040" s="236"/>
      <c r="H1040" s="240">
        <f>COUNTA(H1041:H1042)</f>
        <v>1</v>
      </c>
      <c r="I1040" s="240"/>
      <c r="J1040" s="240"/>
      <c r="K1040" s="240"/>
      <c r="L1040" s="236"/>
      <c r="M1040" s="254"/>
      <c r="N1040" s="236"/>
      <c r="O1040" s="265">
        <f>SUM(O1041:O1042)</f>
        <v>0</v>
      </c>
      <c r="P1040" s="265"/>
      <c r="Q1040" s="265"/>
      <c r="R1040" s="265"/>
      <c r="S1040" s="236"/>
      <c r="T1040" s="254"/>
    </row>
    <row r="1041" spans="1:20" outlineLevel="2">
      <c r="A1041" s="659"/>
      <c r="B1041" s="246"/>
      <c r="C1041" s="246" t="s">
        <v>1105</v>
      </c>
      <c r="D1041" s="253" t="s">
        <v>26</v>
      </c>
      <c r="E1041" s="236"/>
      <c r="F1041" s="254"/>
      <c r="G1041" s="236"/>
      <c r="H1041" s="261" t="s">
        <v>841</v>
      </c>
      <c r="I1041" s="261"/>
      <c r="J1041" s="261"/>
      <c r="K1041" s="261"/>
      <c r="L1041" s="236"/>
      <c r="M1041" s="254"/>
      <c r="N1041" s="236"/>
      <c r="O1041" s="673"/>
      <c r="P1041" s="673"/>
      <c r="Q1041" s="673"/>
      <c r="R1041" s="673"/>
      <c r="S1041" s="236"/>
      <c r="T1041" s="254"/>
    </row>
    <row r="1042" spans="1:20" outlineLevel="2">
      <c r="A1042" s="659"/>
      <c r="B1042" s="246"/>
      <c r="C1042" s="246" t="s">
        <v>1105</v>
      </c>
      <c r="D1042" s="253" t="s">
        <v>26</v>
      </c>
      <c r="E1042" s="236"/>
      <c r="F1042" s="254"/>
      <c r="G1042" s="236"/>
      <c r="H1042" s="261"/>
      <c r="I1042" s="261"/>
      <c r="J1042" s="261"/>
      <c r="K1042" s="261"/>
      <c r="L1042" s="236"/>
      <c r="M1042" s="254"/>
      <c r="N1042" s="236"/>
      <c r="O1042" s="673"/>
      <c r="P1042" s="673"/>
      <c r="Q1042" s="673"/>
      <c r="R1042" s="673"/>
      <c r="S1042" s="236"/>
      <c r="T1042" s="254"/>
    </row>
    <row r="1043" spans="1:20" ht="3" customHeight="1" outlineLevel="1">
      <c r="A1043" s="659"/>
      <c r="B1043" s="246"/>
      <c r="C1043" s="246"/>
      <c r="D1043" s="253"/>
      <c r="E1043" s="236"/>
      <c r="F1043" s="254"/>
      <c r="G1043" s="236"/>
      <c r="H1043" s="670"/>
      <c r="I1043" s="670"/>
      <c r="J1043" s="670"/>
      <c r="K1043" s="670"/>
      <c r="L1043" s="236"/>
      <c r="M1043" s="254"/>
      <c r="N1043" s="236"/>
      <c r="O1043" s="671"/>
      <c r="P1043" s="671"/>
      <c r="Q1043" s="671"/>
      <c r="R1043" s="671"/>
      <c r="S1043" s="236"/>
      <c r="T1043" s="254"/>
    </row>
    <row r="1044" spans="1:20" s="238" customFormat="1" outlineLevel="1">
      <c r="B1044" s="239" t="s">
        <v>526</v>
      </c>
      <c r="C1044" s="239"/>
      <c r="D1044" s="239"/>
      <c r="E1044" s="236"/>
      <c r="F1044" s="254"/>
      <c r="G1044" s="236"/>
      <c r="H1044" s="240"/>
      <c r="I1044" s="240"/>
      <c r="J1044" s="240"/>
      <c r="K1044" s="240"/>
      <c r="L1044" s="236"/>
      <c r="M1044" s="254"/>
      <c r="N1044" s="236"/>
      <c r="O1044" s="265"/>
      <c r="P1044" s="265"/>
      <c r="Q1044" s="265"/>
      <c r="R1044" s="265"/>
      <c r="S1044" s="236"/>
      <c r="T1044" s="254"/>
    </row>
    <row r="1045" spans="1:20" ht="3" customHeight="1" outlineLevel="1">
      <c r="A1045" s="659"/>
      <c r="B1045" s="246"/>
      <c r="C1045" s="246"/>
      <c r="D1045" s="253"/>
      <c r="E1045" s="236"/>
      <c r="F1045" s="254"/>
      <c r="G1045" s="236"/>
      <c r="H1045" s="670"/>
      <c r="I1045" s="670"/>
      <c r="J1045" s="670"/>
      <c r="K1045" s="670"/>
      <c r="L1045" s="236"/>
      <c r="M1045" s="254"/>
      <c r="N1045" s="236"/>
      <c r="O1045" s="671"/>
      <c r="P1045" s="671"/>
      <c r="Q1045" s="671"/>
      <c r="R1045" s="671"/>
      <c r="S1045" s="236"/>
      <c r="T1045" s="254"/>
    </row>
    <row r="1046" spans="1:20" s="238" customFormat="1" outlineLevel="1">
      <c r="B1046" s="239" t="s">
        <v>309</v>
      </c>
      <c r="C1046" s="239"/>
      <c r="D1046" s="239"/>
      <c r="E1046" s="236"/>
      <c r="F1046" s="254"/>
      <c r="G1046" s="236"/>
      <c r="H1046" s="240">
        <f>COUNTA(H1047:H1047)</f>
        <v>1</v>
      </c>
      <c r="I1046" s="240"/>
      <c r="J1046" s="240"/>
      <c r="K1046" s="240"/>
      <c r="L1046" s="236"/>
      <c r="M1046" s="254"/>
      <c r="N1046" s="236"/>
      <c r="O1046" s="265">
        <f>SUM(O1047:O1047)</f>
        <v>0</v>
      </c>
      <c r="P1046" s="265"/>
      <c r="Q1046" s="265"/>
      <c r="R1046" s="265"/>
      <c r="S1046" s="236"/>
      <c r="T1046" s="254"/>
    </row>
    <row r="1047" spans="1:20" outlineLevel="2">
      <c r="A1047" s="659"/>
      <c r="B1047" s="246"/>
      <c r="C1047" s="246" t="s">
        <v>309</v>
      </c>
      <c r="D1047" s="253" t="s">
        <v>26</v>
      </c>
      <c r="E1047" s="236"/>
      <c r="F1047" s="254"/>
      <c r="G1047" s="236"/>
      <c r="H1047" s="261" t="s">
        <v>1106</v>
      </c>
      <c r="I1047" s="261"/>
      <c r="J1047" s="261"/>
      <c r="K1047" s="261"/>
      <c r="L1047" s="236"/>
      <c r="M1047" s="254"/>
      <c r="N1047" s="236"/>
      <c r="O1047" s="673"/>
      <c r="P1047" s="673"/>
      <c r="Q1047" s="673"/>
      <c r="R1047" s="673"/>
      <c r="S1047" s="236"/>
      <c r="T1047" s="254"/>
    </row>
    <row r="1048" spans="1:20" ht="3" customHeight="1">
      <c r="A1048" s="659"/>
      <c r="B1048" s="666"/>
      <c r="C1048" s="666"/>
      <c r="D1048" s="667"/>
      <c r="E1048" s="252"/>
      <c r="F1048" s="193"/>
      <c r="G1048" s="252"/>
      <c r="H1048" s="264"/>
      <c r="I1048" s="264"/>
      <c r="J1048" s="264"/>
      <c r="K1048" s="264"/>
      <c r="L1048" s="252"/>
      <c r="M1048" s="193"/>
      <c r="N1048" s="252"/>
      <c r="O1048" s="352"/>
      <c r="P1048" s="352"/>
      <c r="Q1048" s="352"/>
      <c r="R1048" s="352"/>
      <c r="S1048" s="252"/>
      <c r="T1048" s="193"/>
    </row>
    <row r="1049" spans="1:20" ht="3" customHeight="1">
      <c r="A1049" s="659"/>
      <c r="B1049" s="246"/>
      <c r="C1049" s="246"/>
      <c r="D1049" s="246"/>
      <c r="E1049" s="236"/>
      <c r="F1049" s="193"/>
      <c r="G1049" s="236"/>
      <c r="H1049" s="670"/>
      <c r="I1049" s="670"/>
      <c r="J1049" s="670"/>
      <c r="K1049" s="670"/>
      <c r="L1049" s="296"/>
      <c r="M1049" s="297"/>
      <c r="N1049" s="296"/>
      <c r="O1049" s="671"/>
      <c r="P1049" s="671"/>
      <c r="Q1049" s="671"/>
      <c r="R1049" s="671"/>
      <c r="S1049" s="296"/>
      <c r="T1049" s="193"/>
    </row>
    <row r="1050" spans="1:20" s="308" customFormat="1" ht="17.45">
      <c r="A1050" s="302"/>
      <c r="B1050" s="303" t="s">
        <v>1107</v>
      </c>
      <c r="C1050" s="304"/>
      <c r="D1050" s="304"/>
      <c r="E1050" s="305"/>
      <c r="F1050" s="198"/>
      <c r="G1050" s="305"/>
      <c r="H1050" s="307" t="s">
        <v>2</v>
      </c>
      <c r="I1050" s="307"/>
      <c r="J1050" s="307"/>
      <c r="K1050" s="307"/>
      <c r="L1050" s="306"/>
      <c r="M1050" s="198"/>
      <c r="N1050" s="306"/>
      <c r="O1050" s="362" t="s">
        <v>5</v>
      </c>
      <c r="P1050" s="362"/>
      <c r="Q1050" s="362"/>
      <c r="R1050" s="362"/>
      <c r="S1050" s="305"/>
      <c r="T1050" s="198"/>
    </row>
    <row r="1051" spans="1:20" s="215" customFormat="1" ht="3" customHeight="1">
      <c r="A1051" s="664"/>
      <c r="B1051" s="211"/>
      <c r="C1051" s="212"/>
      <c r="D1051" s="212"/>
      <c r="E1051" s="213"/>
      <c r="F1051" s="193"/>
      <c r="G1051" s="213"/>
      <c r="H1051" s="310"/>
      <c r="I1051" s="310"/>
      <c r="J1051" s="310"/>
      <c r="K1051" s="310"/>
      <c r="L1051" s="309"/>
      <c r="M1051" s="193"/>
      <c r="N1051" s="309"/>
      <c r="O1051" s="363"/>
      <c r="P1051" s="363"/>
      <c r="Q1051" s="363"/>
      <c r="R1051" s="363"/>
      <c r="S1051" s="213"/>
      <c r="T1051" s="193"/>
    </row>
    <row r="1052" spans="1:20" s="195" customFormat="1" ht="17.45">
      <c r="B1052" s="311"/>
      <c r="E1052" s="197"/>
      <c r="F1052" s="198"/>
      <c r="G1052" s="197"/>
      <c r="H1052" s="313">
        <f>SUM(H1054+H1083)</f>
        <v>13</v>
      </c>
      <c r="I1052" s="313"/>
      <c r="J1052" s="313"/>
      <c r="K1052" s="313"/>
      <c r="L1052" s="312"/>
      <c r="M1052" s="198"/>
      <c r="N1052" s="312"/>
      <c r="O1052" s="364">
        <f>SUM(O1054+O1083)</f>
        <v>1.0380099999999999</v>
      </c>
      <c r="P1052" s="364"/>
      <c r="Q1052" s="364"/>
      <c r="R1052" s="364"/>
      <c r="S1052" s="197"/>
      <c r="T1052" s="198"/>
    </row>
    <row r="1053" spans="1:20" s="195" customFormat="1" ht="3" customHeight="1">
      <c r="A1053" s="199"/>
      <c r="B1053" s="200"/>
      <c r="C1053" s="201"/>
      <c r="D1053" s="201"/>
      <c r="E1053" s="202"/>
      <c r="F1053" s="198"/>
      <c r="G1053" s="202"/>
      <c r="H1053" s="203"/>
      <c r="I1053" s="203"/>
      <c r="J1053" s="203"/>
      <c r="K1053" s="203"/>
      <c r="L1053" s="224"/>
      <c r="M1053" s="198"/>
      <c r="N1053" s="224"/>
      <c r="O1053" s="347"/>
      <c r="P1053" s="347"/>
      <c r="Q1053" s="347"/>
      <c r="R1053" s="347"/>
      <c r="S1053" s="202"/>
      <c r="T1053" s="198"/>
    </row>
    <row r="1054" spans="1:20" s="232" customFormat="1" ht="31.15">
      <c r="A1054" s="225"/>
      <c r="B1054" s="226" t="s">
        <v>1108</v>
      </c>
      <c r="C1054" s="227" t="s">
        <v>1109</v>
      </c>
      <c r="D1054" s="228" t="s">
        <v>1015</v>
      </c>
      <c r="E1054" s="229"/>
      <c r="F1054" s="230"/>
      <c r="G1054" s="229"/>
      <c r="H1054" s="231">
        <f>SUM(H1056,H1067,H1078)</f>
        <v>3</v>
      </c>
      <c r="I1054" s="231"/>
      <c r="J1054" s="231"/>
      <c r="K1054" s="231"/>
      <c r="L1054" s="229"/>
      <c r="M1054" s="230"/>
      <c r="N1054" s="229"/>
      <c r="O1054" s="350">
        <v>0.94</v>
      </c>
      <c r="P1054" s="350"/>
      <c r="Q1054" s="350"/>
      <c r="R1054" s="350"/>
      <c r="S1054" s="229"/>
      <c r="T1054" s="230"/>
    </row>
    <row r="1055" spans="1:20" outlineLevel="1">
      <c r="A1055" s="665"/>
      <c r="B1055" s="233"/>
      <c r="C1055" s="234"/>
      <c r="D1055" s="235"/>
      <c r="E1055" s="236"/>
      <c r="F1055" s="193"/>
      <c r="G1055" s="236"/>
      <c r="H1055" s="237"/>
      <c r="I1055" s="237"/>
      <c r="J1055" s="237"/>
      <c r="K1055" s="237"/>
      <c r="L1055" s="236"/>
      <c r="M1055" s="193"/>
      <c r="N1055" s="236"/>
      <c r="O1055" s="351"/>
      <c r="P1055" s="351"/>
      <c r="Q1055" s="351"/>
      <c r="R1055" s="351"/>
      <c r="S1055" s="236"/>
      <c r="T1055" s="193"/>
    </row>
    <row r="1056" spans="1:20" s="238" customFormat="1" outlineLevel="1">
      <c r="B1056" s="239" t="s">
        <v>1110</v>
      </c>
      <c r="C1056" s="239"/>
      <c r="D1056" s="239"/>
      <c r="E1056" s="236"/>
      <c r="F1056" s="193"/>
      <c r="G1056" s="236"/>
      <c r="H1056" s="314">
        <f>SUM(H1058:H1065)</f>
        <v>0</v>
      </c>
      <c r="I1056" s="314"/>
      <c r="J1056" s="314"/>
      <c r="K1056" s="314"/>
      <c r="L1056" s="236"/>
      <c r="M1056" s="193"/>
      <c r="N1056" s="236"/>
      <c r="O1056" s="365">
        <f>SUM(O1058:O1065)</f>
        <v>0</v>
      </c>
      <c r="P1056" s="365"/>
      <c r="Q1056" s="365"/>
      <c r="R1056" s="365"/>
      <c r="S1056" s="241"/>
      <c r="T1056" s="193"/>
    </row>
    <row r="1057" spans="1:20" outlineLevel="2">
      <c r="A1057" s="659"/>
      <c r="B1057" s="666"/>
      <c r="C1057" s="666"/>
      <c r="D1057" s="667"/>
      <c r="E1057" s="252"/>
      <c r="F1057" s="193"/>
      <c r="G1057" s="252"/>
      <c r="H1057" s="316"/>
      <c r="I1057" s="316"/>
      <c r="J1057" s="316"/>
      <c r="K1057" s="316"/>
      <c r="L1057" s="252"/>
      <c r="M1057" s="193"/>
      <c r="N1057" s="252"/>
      <c r="O1057" s="366"/>
      <c r="P1057" s="366"/>
      <c r="Q1057" s="366"/>
      <c r="R1057" s="366"/>
      <c r="S1057" s="252"/>
      <c r="T1057" s="193"/>
    </row>
    <row r="1058" spans="1:20" ht="15.6" outlineLevel="2">
      <c r="A1058" s="238"/>
      <c r="B1058" s="246" t="s">
        <v>847</v>
      </c>
      <c r="C1058" s="246"/>
      <c r="D1058" s="253" t="s">
        <v>1015</v>
      </c>
      <c r="E1058" s="262"/>
      <c r="F1058" s="193"/>
      <c r="G1058" s="262"/>
      <c r="H1058" s="317"/>
      <c r="I1058" s="317"/>
      <c r="J1058" s="317"/>
      <c r="K1058" s="317"/>
      <c r="L1058" s="296"/>
      <c r="M1058" s="297"/>
      <c r="N1058" s="296"/>
      <c r="O1058" s="673"/>
      <c r="P1058" s="673"/>
      <c r="Q1058" s="673"/>
      <c r="R1058" s="673"/>
      <c r="S1058" s="296"/>
      <c r="T1058" s="193"/>
    </row>
    <row r="1059" spans="1:20" ht="15.6" outlineLevel="2">
      <c r="A1059" s="238"/>
      <c r="B1059" s="246" t="s">
        <v>1111</v>
      </c>
      <c r="C1059" s="246"/>
      <c r="D1059" s="253" t="s">
        <v>1015</v>
      </c>
      <c r="E1059" s="262"/>
      <c r="F1059" s="193"/>
      <c r="G1059" s="262"/>
      <c r="H1059" s="317"/>
      <c r="I1059" s="317"/>
      <c r="J1059" s="317"/>
      <c r="K1059" s="317"/>
      <c r="L1059" s="296"/>
      <c r="M1059" s="297"/>
      <c r="N1059" s="296"/>
      <c r="O1059" s="673"/>
      <c r="P1059" s="673"/>
      <c r="Q1059" s="673"/>
      <c r="R1059" s="673"/>
      <c r="S1059" s="296"/>
      <c r="T1059" s="193"/>
    </row>
    <row r="1060" spans="1:20" ht="15.6" outlineLevel="2">
      <c r="A1060" s="238"/>
      <c r="B1060" s="246" t="s">
        <v>765</v>
      </c>
      <c r="C1060" s="246"/>
      <c r="D1060" s="253" t="s">
        <v>1015</v>
      </c>
      <c r="E1060" s="262"/>
      <c r="F1060" s="193"/>
      <c r="G1060" s="262"/>
      <c r="H1060" s="317"/>
      <c r="I1060" s="317"/>
      <c r="J1060" s="317"/>
      <c r="K1060" s="317"/>
      <c r="L1060" s="296"/>
      <c r="M1060" s="297"/>
      <c r="N1060" s="296"/>
      <c r="O1060" s="673"/>
      <c r="P1060" s="673"/>
      <c r="Q1060" s="673"/>
      <c r="R1060" s="673"/>
      <c r="S1060" s="296"/>
      <c r="T1060" s="193"/>
    </row>
    <row r="1061" spans="1:20" ht="15.6" outlineLevel="2">
      <c r="A1061" s="238"/>
      <c r="B1061" s="246" t="s">
        <v>873</v>
      </c>
      <c r="C1061" s="246"/>
      <c r="D1061" s="253" t="s">
        <v>1015</v>
      </c>
      <c r="E1061" s="262"/>
      <c r="F1061" s="193"/>
      <c r="G1061" s="262"/>
      <c r="H1061" s="317"/>
      <c r="I1061" s="317"/>
      <c r="J1061" s="317"/>
      <c r="K1061" s="317"/>
      <c r="L1061" s="296"/>
      <c r="M1061" s="297"/>
      <c r="N1061" s="296"/>
      <c r="O1061" s="673"/>
      <c r="P1061" s="673"/>
      <c r="Q1061" s="673"/>
      <c r="R1061" s="673"/>
      <c r="S1061" s="296"/>
      <c r="T1061" s="193"/>
    </row>
    <row r="1062" spans="1:20" ht="15.6" outlineLevel="2">
      <c r="A1062" s="238"/>
      <c r="B1062" s="246" t="s">
        <v>1112</v>
      </c>
      <c r="C1062" s="246"/>
      <c r="D1062" s="253" t="s">
        <v>1015</v>
      </c>
      <c r="E1062" s="262"/>
      <c r="F1062" s="193"/>
      <c r="G1062" s="262"/>
      <c r="H1062" s="317"/>
      <c r="I1062" s="317"/>
      <c r="J1062" s="317"/>
      <c r="K1062" s="317"/>
      <c r="L1062" s="296"/>
      <c r="M1062" s="297"/>
      <c r="N1062" s="296"/>
      <c r="O1062" s="673"/>
      <c r="P1062" s="673"/>
      <c r="Q1062" s="673"/>
      <c r="R1062" s="673"/>
      <c r="S1062" s="296"/>
      <c r="T1062" s="193"/>
    </row>
    <row r="1063" spans="1:20" ht="15.6" outlineLevel="2">
      <c r="A1063" s="238"/>
      <c r="B1063" s="246" t="s">
        <v>1045</v>
      </c>
      <c r="C1063" s="246"/>
      <c r="D1063" s="253" t="s">
        <v>1015</v>
      </c>
      <c r="E1063" s="262"/>
      <c r="F1063" s="193"/>
      <c r="G1063" s="262"/>
      <c r="H1063" s="317"/>
      <c r="I1063" s="317"/>
      <c r="J1063" s="317"/>
      <c r="K1063" s="317"/>
      <c r="L1063" s="296"/>
      <c r="M1063" s="297"/>
      <c r="N1063" s="296"/>
      <c r="O1063" s="673"/>
      <c r="P1063" s="673"/>
      <c r="Q1063" s="673"/>
      <c r="R1063" s="673"/>
      <c r="S1063" s="296"/>
      <c r="T1063" s="193"/>
    </row>
    <row r="1064" spans="1:20" ht="15.6" outlineLevel="2">
      <c r="A1064" s="238"/>
      <c r="B1064" s="246" t="s">
        <v>804</v>
      </c>
      <c r="C1064" s="246"/>
      <c r="D1064" s="253" t="s">
        <v>1015</v>
      </c>
      <c r="E1064" s="262"/>
      <c r="F1064" s="193"/>
      <c r="G1064" s="262"/>
      <c r="H1064" s="317"/>
      <c r="I1064" s="317"/>
      <c r="J1064" s="317"/>
      <c r="K1064" s="317"/>
      <c r="L1064" s="296"/>
      <c r="M1064" s="297"/>
      <c r="N1064" s="296"/>
      <c r="O1064" s="673"/>
      <c r="P1064" s="673"/>
      <c r="Q1064" s="673"/>
      <c r="R1064" s="673"/>
      <c r="S1064" s="296"/>
      <c r="T1064" s="193"/>
    </row>
    <row r="1065" spans="1:20" ht="15.6" outlineLevel="2">
      <c r="A1065" s="238"/>
      <c r="B1065" s="246" t="s">
        <v>1113</v>
      </c>
      <c r="C1065" s="246"/>
      <c r="D1065" s="253" t="s">
        <v>1015</v>
      </c>
      <c r="E1065" s="262"/>
      <c r="F1065" s="193"/>
      <c r="G1065" s="262"/>
      <c r="H1065" s="318"/>
      <c r="I1065" s="318"/>
      <c r="J1065" s="318"/>
      <c r="K1065" s="318"/>
      <c r="L1065" s="296"/>
      <c r="M1065" s="297"/>
      <c r="N1065" s="296"/>
      <c r="O1065" s="673"/>
      <c r="P1065" s="673"/>
      <c r="Q1065" s="673"/>
      <c r="R1065" s="673"/>
      <c r="S1065" s="296"/>
      <c r="T1065" s="193"/>
    </row>
    <row r="1066" spans="1:20" outlineLevel="1">
      <c r="A1066" s="659"/>
      <c r="B1066" s="666"/>
      <c r="C1066" s="666"/>
      <c r="D1066" s="667"/>
      <c r="E1066" s="252"/>
      <c r="F1066" s="193"/>
      <c r="G1066" s="252"/>
      <c r="H1066" s="264"/>
      <c r="I1066" s="264"/>
      <c r="J1066" s="264"/>
      <c r="K1066" s="264"/>
      <c r="L1066" s="252"/>
      <c r="M1066" s="193"/>
      <c r="N1066" s="252"/>
      <c r="O1066" s="352"/>
      <c r="P1066" s="352"/>
      <c r="Q1066" s="352"/>
      <c r="R1066" s="352"/>
      <c r="S1066" s="252"/>
      <c r="T1066" s="193"/>
    </row>
    <row r="1067" spans="1:20" s="238" customFormat="1" outlineLevel="1">
      <c r="B1067" s="239" t="s">
        <v>1114</v>
      </c>
      <c r="C1067" s="239"/>
      <c r="D1067" s="239"/>
      <c r="E1067" s="236"/>
      <c r="F1067" s="193"/>
      <c r="G1067" s="236"/>
      <c r="H1067" s="314">
        <f>SUM(H1069:H1076)</f>
        <v>0</v>
      </c>
      <c r="I1067" s="314"/>
      <c r="J1067" s="314"/>
      <c r="K1067" s="314"/>
      <c r="L1067" s="236"/>
      <c r="M1067" s="193"/>
      <c r="N1067" s="236"/>
      <c r="O1067" s="365">
        <f>SUM(O1069:O1076)</f>
        <v>0</v>
      </c>
      <c r="P1067" s="365"/>
      <c r="Q1067" s="365"/>
      <c r="R1067" s="365"/>
      <c r="S1067" s="241"/>
      <c r="T1067" s="193"/>
    </row>
    <row r="1068" spans="1:20" outlineLevel="2">
      <c r="A1068" s="659"/>
      <c r="B1068" s="666"/>
      <c r="C1068" s="666"/>
      <c r="D1068" s="667"/>
      <c r="E1068" s="252"/>
      <c r="F1068" s="193"/>
      <c r="G1068" s="252"/>
      <c r="H1068" s="316"/>
      <c r="I1068" s="316"/>
      <c r="J1068" s="316"/>
      <c r="K1068" s="316"/>
      <c r="L1068" s="252"/>
      <c r="M1068" s="193"/>
      <c r="N1068" s="252"/>
      <c r="O1068" s="366"/>
      <c r="P1068" s="366"/>
      <c r="Q1068" s="366"/>
      <c r="R1068" s="366"/>
      <c r="S1068" s="252"/>
      <c r="T1068" s="193"/>
    </row>
    <row r="1069" spans="1:20" ht="15.6" outlineLevel="2">
      <c r="A1069" s="238"/>
      <c r="B1069" s="246" t="s">
        <v>847</v>
      </c>
      <c r="C1069" s="246"/>
      <c r="D1069" s="253" t="s">
        <v>1015</v>
      </c>
      <c r="E1069" s="262"/>
      <c r="F1069" s="193"/>
      <c r="G1069" s="262"/>
      <c r="H1069" s="317"/>
      <c r="I1069" s="317"/>
      <c r="J1069" s="317"/>
      <c r="K1069" s="317"/>
      <c r="L1069" s="296"/>
      <c r="M1069" s="297"/>
      <c r="N1069" s="296"/>
      <c r="O1069" s="673"/>
      <c r="P1069" s="673"/>
      <c r="Q1069" s="673"/>
      <c r="R1069" s="673"/>
      <c r="S1069" s="296"/>
      <c r="T1069" s="193"/>
    </row>
    <row r="1070" spans="1:20" ht="15.6" outlineLevel="2">
      <c r="A1070" s="238"/>
      <c r="B1070" s="246" t="s">
        <v>1111</v>
      </c>
      <c r="C1070" s="246"/>
      <c r="D1070" s="253" t="s">
        <v>1015</v>
      </c>
      <c r="E1070" s="262"/>
      <c r="F1070" s="193"/>
      <c r="G1070" s="262"/>
      <c r="H1070" s="317"/>
      <c r="I1070" s="317"/>
      <c r="J1070" s="317"/>
      <c r="K1070" s="317"/>
      <c r="L1070" s="296"/>
      <c r="M1070" s="297"/>
      <c r="N1070" s="296"/>
      <c r="O1070" s="673"/>
      <c r="P1070" s="673"/>
      <c r="Q1070" s="673"/>
      <c r="R1070" s="673"/>
      <c r="S1070" s="296"/>
      <c r="T1070" s="193"/>
    </row>
    <row r="1071" spans="1:20" ht="15.6" outlineLevel="2">
      <c r="A1071" s="238"/>
      <c r="B1071" s="246" t="s">
        <v>765</v>
      </c>
      <c r="C1071" s="246"/>
      <c r="D1071" s="253" t="s">
        <v>1015</v>
      </c>
      <c r="E1071" s="262"/>
      <c r="F1071" s="193"/>
      <c r="G1071" s="262"/>
      <c r="H1071" s="317"/>
      <c r="I1071" s="317"/>
      <c r="J1071" s="317"/>
      <c r="K1071" s="317"/>
      <c r="L1071" s="296"/>
      <c r="M1071" s="297"/>
      <c r="N1071" s="296"/>
      <c r="O1071" s="673"/>
      <c r="P1071" s="673"/>
      <c r="Q1071" s="673"/>
      <c r="R1071" s="673"/>
      <c r="S1071" s="296"/>
      <c r="T1071" s="193"/>
    </row>
    <row r="1072" spans="1:20" ht="15.6" outlineLevel="2">
      <c r="A1072" s="238"/>
      <c r="B1072" s="246" t="s">
        <v>873</v>
      </c>
      <c r="C1072" s="246"/>
      <c r="D1072" s="253" t="s">
        <v>1015</v>
      </c>
      <c r="E1072" s="262"/>
      <c r="F1072" s="193"/>
      <c r="G1072" s="262"/>
      <c r="H1072" s="317"/>
      <c r="I1072" s="317"/>
      <c r="J1072" s="317"/>
      <c r="K1072" s="317"/>
      <c r="L1072" s="296"/>
      <c r="M1072" s="297"/>
      <c r="N1072" s="296"/>
      <c r="O1072" s="673"/>
      <c r="P1072" s="673"/>
      <c r="Q1072" s="673"/>
      <c r="R1072" s="673"/>
      <c r="S1072" s="296"/>
      <c r="T1072" s="193"/>
    </row>
    <row r="1073" spans="1:20" ht="15.6" outlineLevel="2">
      <c r="A1073" s="238"/>
      <c r="B1073" s="246" t="s">
        <v>1112</v>
      </c>
      <c r="C1073" s="246"/>
      <c r="D1073" s="253" t="s">
        <v>1015</v>
      </c>
      <c r="E1073" s="262"/>
      <c r="F1073" s="193"/>
      <c r="G1073" s="262"/>
      <c r="H1073" s="317"/>
      <c r="I1073" s="317"/>
      <c r="J1073" s="317"/>
      <c r="K1073" s="317"/>
      <c r="L1073" s="296"/>
      <c r="M1073" s="297"/>
      <c r="N1073" s="296"/>
      <c r="O1073" s="673"/>
      <c r="P1073" s="673"/>
      <c r="Q1073" s="673"/>
      <c r="R1073" s="673"/>
      <c r="S1073" s="296"/>
      <c r="T1073" s="193"/>
    </row>
    <row r="1074" spans="1:20" ht="15.6" outlineLevel="2">
      <c r="A1074" s="238"/>
      <c r="B1074" s="246" t="s">
        <v>1045</v>
      </c>
      <c r="C1074" s="246"/>
      <c r="D1074" s="253" t="s">
        <v>1015</v>
      </c>
      <c r="E1074" s="262"/>
      <c r="F1074" s="193"/>
      <c r="G1074" s="262"/>
      <c r="H1074" s="317"/>
      <c r="I1074" s="317"/>
      <c r="J1074" s="317"/>
      <c r="K1074" s="317"/>
      <c r="L1074" s="296"/>
      <c r="M1074" s="297"/>
      <c r="N1074" s="296"/>
      <c r="O1074" s="673"/>
      <c r="P1074" s="673"/>
      <c r="Q1074" s="673"/>
      <c r="R1074" s="673"/>
      <c r="S1074" s="296"/>
      <c r="T1074" s="193"/>
    </row>
    <row r="1075" spans="1:20" ht="15.6" outlineLevel="2">
      <c r="A1075" s="238"/>
      <c r="B1075" s="246" t="s">
        <v>804</v>
      </c>
      <c r="C1075" s="246"/>
      <c r="D1075" s="253" t="s">
        <v>1015</v>
      </c>
      <c r="E1075" s="262"/>
      <c r="F1075" s="193"/>
      <c r="G1075" s="262"/>
      <c r="H1075" s="317"/>
      <c r="I1075" s="317"/>
      <c r="J1075" s="317"/>
      <c r="K1075" s="317"/>
      <c r="L1075" s="296"/>
      <c r="M1075" s="297"/>
      <c r="N1075" s="296"/>
      <c r="O1075" s="673"/>
      <c r="P1075" s="673"/>
      <c r="Q1075" s="673"/>
      <c r="R1075" s="673"/>
      <c r="S1075" s="296"/>
      <c r="T1075" s="193"/>
    </row>
    <row r="1076" spans="1:20" ht="15.6" outlineLevel="2">
      <c r="A1076" s="238"/>
      <c r="B1076" s="246" t="s">
        <v>1113</v>
      </c>
      <c r="C1076" s="246"/>
      <c r="D1076" s="253" t="s">
        <v>1015</v>
      </c>
      <c r="E1076" s="262"/>
      <c r="F1076" s="193"/>
      <c r="G1076" s="262"/>
      <c r="H1076" s="317"/>
      <c r="I1076" s="317"/>
      <c r="J1076" s="317"/>
      <c r="K1076" s="317"/>
      <c r="L1076" s="296"/>
      <c r="M1076" s="297"/>
      <c r="N1076" s="296"/>
      <c r="O1076" s="673"/>
      <c r="P1076" s="673"/>
      <c r="Q1076" s="673"/>
      <c r="R1076" s="673"/>
      <c r="S1076" s="296"/>
      <c r="T1076" s="193"/>
    </row>
    <row r="1077" spans="1:20" outlineLevel="1">
      <c r="A1077" s="659"/>
      <c r="B1077" s="666"/>
      <c r="C1077" s="666"/>
      <c r="D1077" s="667"/>
      <c r="E1077" s="252"/>
      <c r="F1077" s="193"/>
      <c r="G1077" s="252"/>
      <c r="H1077" s="264"/>
      <c r="I1077" s="264"/>
      <c r="J1077" s="264"/>
      <c r="K1077" s="264"/>
      <c r="L1077" s="252"/>
      <c r="M1077" s="193"/>
      <c r="N1077" s="252"/>
      <c r="O1077" s="352"/>
      <c r="P1077" s="352"/>
      <c r="Q1077" s="352"/>
      <c r="R1077" s="352"/>
      <c r="S1077" s="252"/>
      <c r="T1077" s="193"/>
    </row>
    <row r="1078" spans="1:20" s="238" customFormat="1" outlineLevel="1">
      <c r="B1078" s="239" t="s">
        <v>1013</v>
      </c>
      <c r="C1078" s="239"/>
      <c r="D1078" s="239"/>
      <c r="E1078" s="236"/>
      <c r="F1078" s="193"/>
      <c r="G1078" s="236"/>
      <c r="H1078" s="240">
        <f>COUNTA(H1079:H1081)</f>
        <v>3</v>
      </c>
      <c r="I1078" s="240"/>
      <c r="J1078" s="240"/>
      <c r="K1078" s="240"/>
      <c r="L1078" s="236"/>
      <c r="M1078" s="193"/>
      <c r="N1078" s="236"/>
      <c r="O1078" s="365">
        <f>SUM(O1079:O1081)</f>
        <v>0.48</v>
      </c>
      <c r="P1078" s="365"/>
      <c r="Q1078" s="365"/>
      <c r="R1078" s="365"/>
      <c r="S1078" s="241"/>
      <c r="T1078" s="193"/>
    </row>
    <row r="1079" spans="1:20" ht="15.6" outlineLevel="2">
      <c r="A1079" s="238"/>
      <c r="B1079" s="246" t="s">
        <v>765</v>
      </c>
      <c r="C1079" s="246" t="s">
        <v>1014</v>
      </c>
      <c r="D1079" s="253" t="s">
        <v>1015</v>
      </c>
      <c r="E1079" s="262"/>
      <c r="F1079" s="193"/>
      <c r="G1079" s="262"/>
      <c r="H1079" s="253" t="s">
        <v>1014</v>
      </c>
      <c r="I1079" s="253"/>
      <c r="J1079" s="253"/>
      <c r="K1079" s="253"/>
      <c r="L1079" s="296"/>
      <c r="M1079" s="297"/>
      <c r="N1079" s="296"/>
      <c r="O1079" s="367">
        <v>0.16</v>
      </c>
      <c r="P1079" s="367"/>
      <c r="Q1079" s="367"/>
      <c r="R1079" s="367"/>
      <c r="S1079" s="296"/>
      <c r="T1079" s="193"/>
    </row>
    <row r="1080" spans="1:20" ht="15.6" outlineLevel="2">
      <c r="A1080" s="238"/>
      <c r="B1080" s="246" t="s">
        <v>1017</v>
      </c>
      <c r="C1080" s="246" t="s">
        <v>1018</v>
      </c>
      <c r="D1080" s="253" t="s">
        <v>1015</v>
      </c>
      <c r="E1080" s="262"/>
      <c r="F1080" s="193"/>
      <c r="G1080" s="262"/>
      <c r="H1080" s="669" t="s">
        <v>1018</v>
      </c>
      <c r="I1080" s="669"/>
      <c r="J1080" s="669"/>
      <c r="K1080" s="669"/>
      <c r="L1080" s="296"/>
      <c r="M1080" s="297"/>
      <c r="N1080" s="296"/>
      <c r="O1080" s="367">
        <v>0.16</v>
      </c>
      <c r="P1080" s="367"/>
      <c r="Q1080" s="367"/>
      <c r="R1080" s="367"/>
      <c r="S1080" s="296"/>
      <c r="T1080" s="193"/>
    </row>
    <row r="1081" spans="1:20" ht="15.6" outlineLevel="2">
      <c r="A1081" s="238"/>
      <c r="B1081" s="246" t="s">
        <v>873</v>
      </c>
      <c r="C1081" s="246" t="s">
        <v>1016</v>
      </c>
      <c r="D1081" s="253" t="s">
        <v>1015</v>
      </c>
      <c r="E1081" s="262"/>
      <c r="F1081" s="193"/>
      <c r="G1081" s="262"/>
      <c r="H1081" s="253" t="s">
        <v>1016</v>
      </c>
      <c r="I1081" s="253"/>
      <c r="J1081" s="253"/>
      <c r="K1081" s="253"/>
      <c r="L1081" s="296"/>
      <c r="M1081" s="297"/>
      <c r="N1081" s="296"/>
      <c r="O1081" s="367">
        <v>0.16</v>
      </c>
      <c r="P1081" s="367"/>
      <c r="Q1081" s="367"/>
      <c r="R1081" s="367"/>
      <c r="S1081" s="296"/>
      <c r="T1081" s="193"/>
    </row>
    <row r="1082" spans="1:20" ht="3" customHeight="1">
      <c r="A1082" s="659"/>
      <c r="B1082" s="666"/>
      <c r="C1082" s="666"/>
      <c r="D1082" s="667"/>
      <c r="E1082" s="252"/>
      <c r="F1082" s="193"/>
      <c r="G1082" s="252"/>
      <c r="H1082" s="264"/>
      <c r="I1082" s="264"/>
      <c r="J1082" s="264"/>
      <c r="K1082" s="264"/>
      <c r="L1082" s="252"/>
      <c r="M1082" s="193"/>
      <c r="N1082" s="252"/>
      <c r="O1082" s="352"/>
      <c r="P1082" s="352"/>
      <c r="Q1082" s="352"/>
      <c r="R1082" s="352"/>
      <c r="S1082" s="252"/>
      <c r="T1082" s="193"/>
    </row>
    <row r="1083" spans="1:20" s="232" customFormat="1" ht="31.15">
      <c r="A1083" s="225"/>
      <c r="B1083" s="226" t="s">
        <v>1115</v>
      </c>
      <c r="C1083" s="227" t="s">
        <v>1116</v>
      </c>
      <c r="D1083" s="228" t="s">
        <v>1015</v>
      </c>
      <c r="E1083" s="229"/>
      <c r="F1083" s="230"/>
      <c r="G1083" s="229"/>
      <c r="H1083" s="231">
        <f>SUM(H1085)</f>
        <v>10</v>
      </c>
      <c r="I1083" s="231"/>
      <c r="J1083" s="231"/>
      <c r="K1083" s="231"/>
      <c r="L1083" s="229"/>
      <c r="M1083" s="230"/>
      <c r="N1083" s="229"/>
      <c r="O1083" s="350">
        <f>SUM(O1085)</f>
        <v>9.8010000000000014E-2</v>
      </c>
      <c r="P1083" s="350"/>
      <c r="Q1083" s="350"/>
      <c r="R1083" s="350"/>
      <c r="S1083" s="229"/>
      <c r="T1083" s="230"/>
    </row>
    <row r="1084" spans="1:20" outlineLevel="1">
      <c r="A1084" s="665"/>
      <c r="B1084" s="233"/>
      <c r="C1084" s="234"/>
      <c r="D1084" s="235"/>
      <c r="E1084" s="236"/>
      <c r="F1084" s="193"/>
      <c r="G1084" s="236"/>
      <c r="H1084" s="237"/>
      <c r="I1084" s="237"/>
      <c r="J1084" s="237"/>
      <c r="K1084" s="237"/>
      <c r="L1084" s="236"/>
      <c r="M1084" s="193"/>
      <c r="N1084" s="236"/>
      <c r="O1084" s="351"/>
      <c r="P1084" s="351"/>
      <c r="Q1084" s="351"/>
      <c r="R1084" s="351"/>
      <c r="S1084" s="236"/>
      <c r="T1084" s="193"/>
    </row>
    <row r="1085" spans="1:20" s="238" customFormat="1" outlineLevel="1">
      <c r="B1085" s="239" t="s">
        <v>1117</v>
      </c>
      <c r="C1085" s="239"/>
      <c r="D1085" s="239"/>
      <c r="E1085" s="236"/>
      <c r="F1085" s="193"/>
      <c r="G1085" s="236"/>
      <c r="H1085" s="240">
        <f>COUNTA(H1087:H1097)</f>
        <v>10</v>
      </c>
      <c r="I1085" s="240"/>
      <c r="J1085" s="240"/>
      <c r="K1085" s="240"/>
      <c r="L1085" s="236"/>
      <c r="M1085" s="193"/>
      <c r="N1085" s="236"/>
      <c r="O1085" s="365">
        <f>SUM(O1087:O1096)</f>
        <v>9.8010000000000014E-2</v>
      </c>
      <c r="P1085" s="365"/>
      <c r="Q1085" s="365"/>
      <c r="R1085" s="365"/>
      <c r="S1085" s="241"/>
      <c r="T1085" s="193"/>
    </row>
    <row r="1086" spans="1:20" outlineLevel="2">
      <c r="A1086" s="659"/>
      <c r="B1086" s="666"/>
      <c r="C1086" s="666"/>
      <c r="D1086" s="667"/>
      <c r="E1086" s="252"/>
      <c r="F1086" s="193"/>
      <c r="G1086" s="252"/>
      <c r="H1086" s="315"/>
      <c r="I1086" s="315"/>
      <c r="J1086" s="315"/>
      <c r="K1086" s="315"/>
      <c r="L1086" s="252"/>
      <c r="M1086" s="193"/>
      <c r="N1086" s="252"/>
      <c r="O1086" s="366"/>
      <c r="P1086" s="366"/>
      <c r="Q1086" s="366"/>
      <c r="R1086" s="366"/>
      <c r="S1086" s="252"/>
      <c r="T1086" s="193"/>
    </row>
    <row r="1087" spans="1:20" outlineLevel="2">
      <c r="A1087" s="659"/>
      <c r="B1087" s="246" t="s">
        <v>1118</v>
      </c>
      <c r="C1087" s="162"/>
      <c r="D1087" s="253"/>
      <c r="F1087" s="193"/>
      <c r="H1087" s="691" t="s">
        <v>1119</v>
      </c>
      <c r="I1087" s="691"/>
      <c r="J1087" s="691"/>
      <c r="K1087" s="691"/>
      <c r="M1087" s="193"/>
      <c r="O1087" s="663">
        <v>7.4700000000000001E-3</v>
      </c>
      <c r="P1087" s="663"/>
      <c r="Q1087" s="663"/>
      <c r="R1087" s="663"/>
      <c r="T1087" s="193"/>
    </row>
    <row r="1088" spans="1:20" outlineLevel="2">
      <c r="A1088" s="659"/>
      <c r="B1088" s="246" t="s">
        <v>1118</v>
      </c>
      <c r="C1088" s="161"/>
      <c r="D1088" s="253"/>
      <c r="F1088" s="193"/>
      <c r="H1088" s="691" t="s">
        <v>1120</v>
      </c>
      <c r="I1088" s="691"/>
      <c r="J1088" s="691"/>
      <c r="K1088" s="691"/>
      <c r="M1088" s="193"/>
      <c r="O1088" s="663">
        <v>9.7199999999999995E-3</v>
      </c>
      <c r="P1088" s="663"/>
      <c r="Q1088" s="663"/>
      <c r="R1088" s="663"/>
      <c r="T1088" s="193"/>
    </row>
    <row r="1089" spans="2:20" outlineLevel="2">
      <c r="B1089" s="246" t="s">
        <v>1121</v>
      </c>
      <c r="C1089" s="161"/>
      <c r="D1089" s="253"/>
      <c r="F1089" s="193"/>
      <c r="H1089" s="691" t="s">
        <v>1122</v>
      </c>
      <c r="I1089" s="691"/>
      <c r="J1089" s="691"/>
      <c r="K1089" s="691"/>
      <c r="M1089" s="193"/>
      <c r="O1089" s="663">
        <v>8.9999999999999993E-3</v>
      </c>
      <c r="P1089" s="663"/>
      <c r="Q1089" s="663"/>
      <c r="R1089" s="663"/>
      <c r="T1089" s="193"/>
    </row>
    <row r="1090" spans="2:20" outlineLevel="2">
      <c r="B1090" s="246" t="s">
        <v>1123</v>
      </c>
      <c r="C1090" s="161"/>
      <c r="D1090" s="253"/>
      <c r="E1090" s="319"/>
      <c r="F1090" s="193"/>
      <c r="G1090" s="319"/>
      <c r="H1090" s="691" t="s">
        <v>1124</v>
      </c>
      <c r="I1090" s="691"/>
      <c r="J1090" s="691"/>
      <c r="K1090" s="691"/>
      <c r="M1090" s="193"/>
      <c r="O1090" s="663">
        <v>1.026E-2</v>
      </c>
      <c r="P1090" s="663"/>
      <c r="Q1090" s="663"/>
      <c r="R1090" s="663"/>
      <c r="T1090" s="193"/>
    </row>
    <row r="1091" spans="2:20" outlineLevel="2">
      <c r="B1091" s="246" t="s">
        <v>1125</v>
      </c>
      <c r="C1091" s="161"/>
      <c r="D1091" s="253"/>
      <c r="E1091" s="319"/>
      <c r="F1091" s="193"/>
      <c r="G1091" s="319"/>
      <c r="H1091" s="691" t="s">
        <v>1126</v>
      </c>
      <c r="I1091" s="691"/>
      <c r="J1091" s="691"/>
      <c r="K1091" s="691"/>
      <c r="M1091" s="193"/>
      <c r="O1091" s="663">
        <v>1.026E-2</v>
      </c>
      <c r="P1091" s="663"/>
      <c r="Q1091" s="663"/>
      <c r="R1091" s="663"/>
      <c r="T1091" s="193"/>
    </row>
    <row r="1092" spans="2:20" outlineLevel="2">
      <c r="B1092" s="246" t="s">
        <v>1125</v>
      </c>
      <c r="C1092" s="161"/>
      <c r="D1092" s="253"/>
      <c r="E1092" s="319"/>
      <c r="F1092" s="193"/>
      <c r="G1092" s="319"/>
      <c r="H1092" s="691" t="s">
        <v>1126</v>
      </c>
      <c r="I1092" s="691"/>
      <c r="J1092" s="691"/>
      <c r="K1092" s="691"/>
      <c r="M1092" s="193"/>
      <c r="O1092" s="663">
        <v>1.026E-2</v>
      </c>
      <c r="P1092" s="663"/>
      <c r="Q1092" s="663"/>
      <c r="R1092" s="663"/>
      <c r="T1092" s="193"/>
    </row>
    <row r="1093" spans="2:20" outlineLevel="2">
      <c r="B1093" s="246" t="s">
        <v>1127</v>
      </c>
      <c r="C1093" s="161"/>
      <c r="D1093" s="253"/>
      <c r="E1093" s="320"/>
      <c r="F1093" s="193"/>
      <c r="G1093" s="319"/>
      <c r="H1093" s="712" t="s">
        <v>1128</v>
      </c>
      <c r="I1093" s="712"/>
      <c r="J1093" s="712"/>
      <c r="K1093" s="712"/>
      <c r="M1093" s="193"/>
      <c r="O1093" s="663">
        <v>1.026E-2</v>
      </c>
      <c r="P1093" s="663"/>
      <c r="Q1093" s="663"/>
      <c r="R1093" s="663"/>
      <c r="T1093" s="193"/>
    </row>
    <row r="1094" spans="2:20" outlineLevel="2">
      <c r="B1094" s="246" t="s">
        <v>1127</v>
      </c>
      <c r="C1094" s="161"/>
      <c r="D1094" s="253"/>
      <c r="E1094" s="320"/>
      <c r="F1094" s="193"/>
      <c r="G1094" s="319"/>
      <c r="H1094" s="712" t="s">
        <v>1129</v>
      </c>
      <c r="I1094" s="712"/>
      <c r="J1094" s="712"/>
      <c r="K1094" s="712"/>
      <c r="M1094" s="193"/>
      <c r="O1094" s="663">
        <v>1.026E-2</v>
      </c>
      <c r="P1094" s="663"/>
      <c r="Q1094" s="663"/>
      <c r="R1094" s="663"/>
      <c r="T1094" s="193"/>
    </row>
    <row r="1095" spans="2:20" outlineLevel="2">
      <c r="B1095" s="246" t="s">
        <v>1127</v>
      </c>
      <c r="C1095" s="161"/>
      <c r="D1095" s="253"/>
      <c r="E1095" s="320"/>
      <c r="F1095" s="193"/>
      <c r="G1095" s="319"/>
      <c r="H1095" s="712" t="s">
        <v>1130</v>
      </c>
      <c r="I1095" s="712"/>
      <c r="J1095" s="712"/>
      <c r="K1095" s="712"/>
      <c r="M1095" s="193"/>
      <c r="O1095" s="663">
        <v>1.026E-2</v>
      </c>
      <c r="P1095" s="663"/>
      <c r="Q1095" s="663"/>
      <c r="R1095" s="663"/>
      <c r="T1095" s="193"/>
    </row>
    <row r="1096" spans="2:20" outlineLevel="2">
      <c r="B1096" s="246" t="s">
        <v>1127</v>
      </c>
      <c r="C1096" s="161"/>
      <c r="D1096" s="253"/>
      <c r="E1096" s="320"/>
      <c r="F1096" s="193"/>
      <c r="G1096" s="319"/>
      <c r="H1096" s="712" t="s">
        <v>1131</v>
      </c>
      <c r="I1096" s="712"/>
      <c r="J1096" s="712"/>
      <c r="K1096" s="712"/>
      <c r="M1096" s="193"/>
      <c r="O1096" s="663">
        <v>1.026E-2</v>
      </c>
      <c r="P1096" s="663"/>
      <c r="Q1096" s="663"/>
      <c r="R1096" s="663"/>
      <c r="T1096" s="193"/>
    </row>
    <row r="1097" spans="2:20" ht="3" customHeight="1">
      <c r="B1097" s="246"/>
      <c r="C1097" s="161"/>
      <c r="D1097" s="253"/>
      <c r="E1097" s="320"/>
      <c r="F1097" s="243"/>
      <c r="G1097" s="243"/>
      <c r="H1097" s="713"/>
      <c r="I1097" s="713"/>
      <c r="J1097" s="713"/>
      <c r="K1097" s="713"/>
      <c r="M1097" s="243"/>
      <c r="O1097" s="663"/>
      <c r="P1097" s="663"/>
      <c r="Q1097" s="663"/>
      <c r="R1097" s="663"/>
      <c r="T1097" s="243"/>
    </row>
    <row r="1098" spans="2:20">
      <c r="B1098" s="660"/>
      <c r="C1098" s="659"/>
      <c r="D1098" s="659"/>
      <c r="F1098" s="243"/>
      <c r="G1098" s="243"/>
      <c r="H1098" s="662"/>
      <c r="I1098" s="662"/>
      <c r="J1098" s="662"/>
      <c r="K1098" s="662"/>
      <c r="O1098" s="663"/>
      <c r="P1098" s="663"/>
      <c r="Q1098" s="663"/>
      <c r="R1098" s="663"/>
    </row>
    <row r="1101" spans="2:20">
      <c r="B1101" s="660"/>
      <c r="C1101" s="659"/>
      <c r="D1101" s="659"/>
      <c r="H1101" s="243"/>
      <c r="I1101" s="243"/>
      <c r="J1101" s="243"/>
      <c r="K1101" s="243"/>
      <c r="O1101" s="663"/>
      <c r="P1101" s="663"/>
      <c r="Q1101" s="663"/>
      <c r="R1101" s="663"/>
    </row>
  </sheetData>
  <autoFilter ref="A4:T1103" xr:uid="{D1CE0B79-F901-4D2C-AE9C-849EAF7662BB}"/>
  <dataConsolidate/>
  <phoneticPr fontId="6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79"/>
    <col min="5" max="5" width="10.42578125" style="379" bestFit="1" customWidth="1"/>
    <col min="6" max="6" width="8.5703125" style="379"/>
    <col min="7" max="7" width="12.42578125" style="379" bestFit="1" customWidth="1"/>
    <col min="8" max="16384" width="8.5703125" style="379"/>
  </cols>
  <sheetData>
    <row r="2" spans="2:10">
      <c r="B2" s="380" t="s">
        <v>8</v>
      </c>
      <c r="C2" s="380" t="s">
        <v>9</v>
      </c>
      <c r="D2" s="380" t="s">
        <v>1132</v>
      </c>
      <c r="E2" s="380" t="s">
        <v>10</v>
      </c>
      <c r="F2" s="380" t="s">
        <v>1133</v>
      </c>
      <c r="G2" s="380" t="s">
        <v>1134</v>
      </c>
      <c r="H2" s="380" t="s">
        <v>1135</v>
      </c>
      <c r="I2" s="380" t="s">
        <v>1136</v>
      </c>
      <c r="J2" s="380" t="s">
        <v>1137</v>
      </c>
    </row>
    <row r="3" spans="2:10">
      <c r="B3" s="379" t="s">
        <v>847</v>
      </c>
      <c r="C3" s="379">
        <v>1</v>
      </c>
      <c r="D3" s="379" t="s">
        <v>617</v>
      </c>
      <c r="E3" s="379" t="s">
        <v>18</v>
      </c>
      <c r="F3" s="379" t="s">
        <v>97</v>
      </c>
      <c r="G3" s="379">
        <v>1</v>
      </c>
      <c r="H3" s="381">
        <v>45717</v>
      </c>
      <c r="I3" s="381">
        <v>45809</v>
      </c>
      <c r="J3" s="379" t="s">
        <v>1136</v>
      </c>
    </row>
    <row r="4" spans="2:10">
      <c r="B4" s="379" t="s">
        <v>293</v>
      </c>
      <c r="C4" s="379">
        <v>1</v>
      </c>
      <c r="D4" s="379" t="s">
        <v>621</v>
      </c>
      <c r="E4" s="379" t="s">
        <v>18</v>
      </c>
      <c r="F4" s="379" t="s">
        <v>1138</v>
      </c>
      <c r="G4" s="379">
        <v>1</v>
      </c>
      <c r="H4" s="381">
        <v>45809</v>
      </c>
      <c r="I4" s="381">
        <v>45809</v>
      </c>
      <c r="J4" s="379" t="s">
        <v>1135</v>
      </c>
    </row>
    <row r="5" spans="2:10">
      <c r="B5" s="379" t="s">
        <v>293</v>
      </c>
      <c r="C5" s="379">
        <v>1</v>
      </c>
      <c r="D5" s="379" t="s">
        <v>621</v>
      </c>
      <c r="E5" s="379" t="s">
        <v>18</v>
      </c>
      <c r="F5" s="379" t="s">
        <v>203</v>
      </c>
      <c r="G5" s="379">
        <v>2</v>
      </c>
      <c r="H5" s="381">
        <v>45901</v>
      </c>
      <c r="I5" s="381">
        <v>45992</v>
      </c>
      <c r="J5" s="379" t="s">
        <v>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1139</v>
      </c>
    </row>
    <row r="3" spans="1:12">
      <c r="B3" s="165" t="s">
        <v>1140</v>
      </c>
      <c r="C3" s="165" t="s">
        <v>1141</v>
      </c>
      <c r="F3" t="s">
        <v>1142</v>
      </c>
      <c r="G3" s="166" t="s">
        <v>516</v>
      </c>
      <c r="H3" s="167">
        <v>5.6</v>
      </c>
      <c r="I3" s="167">
        <v>0.2</v>
      </c>
      <c r="J3" s="168" t="s">
        <v>1143</v>
      </c>
      <c r="K3" s="169"/>
      <c r="L3" s="170"/>
    </row>
    <row r="4" spans="1:12">
      <c r="A4">
        <v>1</v>
      </c>
      <c r="B4" s="189" t="s">
        <v>1144</v>
      </c>
      <c r="C4" s="163" t="s">
        <v>621</v>
      </c>
      <c r="D4" s="170" t="s">
        <v>1145</v>
      </c>
      <c r="G4" s="171" t="s">
        <v>1146</v>
      </c>
      <c r="H4" s="172">
        <v>11</v>
      </c>
      <c r="I4" s="167">
        <v>1.22</v>
      </c>
      <c r="J4" s="168" t="s">
        <v>1147</v>
      </c>
      <c r="K4" s="169">
        <v>841</v>
      </c>
      <c r="L4" s="170" t="s">
        <v>1148</v>
      </c>
    </row>
    <row r="5" spans="1:12">
      <c r="B5" s="189" t="s">
        <v>1149</v>
      </c>
      <c r="C5" s="164" t="s">
        <v>72</v>
      </c>
      <c r="D5" s="170" t="s">
        <v>1150</v>
      </c>
      <c r="G5" s="171" t="s">
        <v>1151</v>
      </c>
      <c r="H5" s="167">
        <v>20</v>
      </c>
      <c r="I5" s="172">
        <v>0.49</v>
      </c>
      <c r="J5" s="168" t="s">
        <v>1147</v>
      </c>
      <c r="K5" s="169">
        <v>326</v>
      </c>
      <c r="L5" s="170" t="s">
        <v>1152</v>
      </c>
    </row>
    <row r="6" spans="1:12">
      <c r="B6" s="189" t="s">
        <v>1153</v>
      </c>
      <c r="C6" s="164" t="s">
        <v>617</v>
      </c>
      <c r="D6" s="170" t="s">
        <v>1152</v>
      </c>
      <c r="G6" s="171" t="s">
        <v>1154</v>
      </c>
      <c r="H6" s="167">
        <v>5.14</v>
      </c>
      <c r="I6" s="172">
        <v>0.81</v>
      </c>
      <c r="J6" s="168" t="s">
        <v>1147</v>
      </c>
      <c r="K6" s="169">
        <v>618</v>
      </c>
      <c r="L6" s="170" t="s">
        <v>1148</v>
      </c>
    </row>
    <row r="7" spans="1:12">
      <c r="B7" s="189" t="s">
        <v>1155</v>
      </c>
      <c r="C7" s="163" t="s">
        <v>29</v>
      </c>
      <c r="D7" s="183" t="s">
        <v>1156</v>
      </c>
      <c r="G7" s="171" t="s">
        <v>1157</v>
      </c>
      <c r="H7" s="167">
        <v>37</v>
      </c>
      <c r="I7" s="172">
        <v>4.88</v>
      </c>
      <c r="J7" s="168" t="s">
        <v>1143</v>
      </c>
      <c r="K7" s="173">
        <v>5083</v>
      </c>
      <c r="L7" s="170" t="s">
        <v>1158</v>
      </c>
    </row>
    <row r="8" spans="1:12">
      <c r="B8" s="189" t="s">
        <v>1159</v>
      </c>
      <c r="C8" s="163" t="s">
        <v>621</v>
      </c>
      <c r="D8" s="170" t="s">
        <v>1145</v>
      </c>
      <c r="E8" s="163" t="s">
        <v>1160</v>
      </c>
      <c r="G8" s="166" t="s">
        <v>1161</v>
      </c>
      <c r="H8" s="172">
        <v>20</v>
      </c>
      <c r="I8" s="172">
        <v>0.25</v>
      </c>
      <c r="J8" s="168" t="s">
        <v>1143</v>
      </c>
      <c r="K8" s="169">
        <v>300</v>
      </c>
      <c r="L8" s="170"/>
    </row>
    <row r="9" spans="1:12">
      <c r="B9" s="189" t="s">
        <v>1162</v>
      </c>
      <c r="C9" s="163" t="s">
        <v>29</v>
      </c>
      <c r="D9" s="183" t="s">
        <v>1156</v>
      </c>
      <c r="G9" s="171" t="s">
        <v>1163</v>
      </c>
      <c r="H9" s="167">
        <v>75.5</v>
      </c>
      <c r="I9" s="174">
        <v>7.29</v>
      </c>
      <c r="J9" s="168" t="s">
        <v>1143</v>
      </c>
      <c r="K9" s="173">
        <v>7939</v>
      </c>
      <c r="L9" s="170" t="s">
        <v>1158</v>
      </c>
    </row>
    <row r="10" spans="1:12">
      <c r="A10">
        <v>1</v>
      </c>
      <c r="B10" s="163" t="s">
        <v>1164</v>
      </c>
      <c r="C10" s="188" t="s">
        <v>617</v>
      </c>
      <c r="D10" s="186"/>
      <c r="G10" s="171" t="s">
        <v>1165</v>
      </c>
      <c r="H10" s="167">
        <v>3.77</v>
      </c>
      <c r="I10" s="167">
        <v>0.73</v>
      </c>
      <c r="J10" s="168" t="s">
        <v>1143</v>
      </c>
      <c r="K10" s="169">
        <v>870</v>
      </c>
      <c r="L10" s="170" t="s">
        <v>1148</v>
      </c>
    </row>
    <row r="11" spans="1:12">
      <c r="B11" s="189" t="s">
        <v>1166</v>
      </c>
      <c r="C11" s="164" t="s">
        <v>29</v>
      </c>
      <c r="D11" s="183" t="s">
        <v>1156</v>
      </c>
      <c r="G11" s="171" t="s">
        <v>1167</v>
      </c>
      <c r="H11" s="172">
        <v>49.4</v>
      </c>
      <c r="I11" s="172">
        <v>1.1200000000000001</v>
      </c>
      <c r="J11" s="168" t="s">
        <v>1143</v>
      </c>
      <c r="K11" s="173">
        <v>1372</v>
      </c>
      <c r="L11" s="170" t="s">
        <v>1152</v>
      </c>
    </row>
    <row r="12" spans="1:12">
      <c r="B12" s="189" t="s">
        <v>1168</v>
      </c>
      <c r="C12" s="164" t="s">
        <v>29</v>
      </c>
      <c r="D12" s="183" t="s">
        <v>1156</v>
      </c>
      <c r="G12" s="166" t="s">
        <v>1169</v>
      </c>
      <c r="H12" s="175">
        <v>176</v>
      </c>
      <c r="I12" s="175">
        <v>1.5</v>
      </c>
      <c r="J12" s="176" t="s">
        <v>1143</v>
      </c>
      <c r="K12" s="177" t="s">
        <v>1170</v>
      </c>
      <c r="L12" s="170"/>
    </row>
    <row r="13" spans="1:12">
      <c r="B13" s="189" t="s">
        <v>1171</v>
      </c>
      <c r="C13" s="164" t="s">
        <v>29</v>
      </c>
      <c r="D13" s="183" t="s">
        <v>1156</v>
      </c>
      <c r="G13" s="171" t="s">
        <v>1172</v>
      </c>
      <c r="H13" s="175">
        <v>24</v>
      </c>
      <c r="I13" s="175">
        <v>0.3</v>
      </c>
      <c r="J13" s="178" t="s">
        <v>1173</v>
      </c>
      <c r="K13" s="169">
        <v>232</v>
      </c>
      <c r="L13" s="170" t="s">
        <v>1152</v>
      </c>
    </row>
    <row r="14" spans="1:12">
      <c r="A14">
        <v>1</v>
      </c>
      <c r="B14" s="189" t="s">
        <v>1174</v>
      </c>
      <c r="C14" s="163" t="s">
        <v>621</v>
      </c>
      <c r="D14" s="183" t="s">
        <v>1152</v>
      </c>
      <c r="G14" s="171" t="s">
        <v>1175</v>
      </c>
      <c r="H14" s="174">
        <v>18</v>
      </c>
      <c r="I14" s="175">
        <v>1.94</v>
      </c>
      <c r="J14" s="176" t="s">
        <v>1147</v>
      </c>
      <c r="K14" s="173">
        <v>2181</v>
      </c>
      <c r="L14" s="170" t="s">
        <v>1148</v>
      </c>
    </row>
    <row r="15" spans="1:12">
      <c r="A15">
        <v>1</v>
      </c>
      <c r="B15" s="189" t="s">
        <v>1176</v>
      </c>
      <c r="C15" s="163" t="s">
        <v>621</v>
      </c>
      <c r="D15" s="170" t="s">
        <v>1158</v>
      </c>
      <c r="G15" s="171" t="s">
        <v>1177</v>
      </c>
      <c r="H15" s="175">
        <v>72.7</v>
      </c>
      <c r="I15" s="174">
        <v>0.54</v>
      </c>
      <c r="J15" s="176" t="s">
        <v>1147</v>
      </c>
      <c r="K15" s="169">
        <v>819</v>
      </c>
      <c r="L15" s="170" t="s">
        <v>1152</v>
      </c>
    </row>
    <row r="16" spans="1:12">
      <c r="B16" s="189" t="s">
        <v>1178</v>
      </c>
      <c r="C16" s="164" t="s">
        <v>72</v>
      </c>
      <c r="D16" s="170" t="s">
        <v>1152</v>
      </c>
      <c r="G16" s="171" t="s">
        <v>1179</v>
      </c>
      <c r="H16" s="174">
        <v>24</v>
      </c>
      <c r="I16" s="174">
        <v>3.62</v>
      </c>
      <c r="J16" s="178" t="s">
        <v>1173</v>
      </c>
      <c r="K16" s="173">
        <v>1088</v>
      </c>
      <c r="L16" s="170" t="s">
        <v>1145</v>
      </c>
    </row>
    <row r="17" spans="1:12">
      <c r="B17" s="189" t="s">
        <v>1180</v>
      </c>
      <c r="C17" s="164" t="s">
        <v>72</v>
      </c>
      <c r="D17" s="170" t="s">
        <v>1152</v>
      </c>
      <c r="G17" s="171" t="s">
        <v>1181</v>
      </c>
      <c r="H17" s="175">
        <v>37</v>
      </c>
      <c r="I17" s="174">
        <v>0.89</v>
      </c>
      <c r="J17" s="176" t="s">
        <v>1147</v>
      </c>
      <c r="K17" s="169">
        <v>961</v>
      </c>
      <c r="L17" s="170" t="s">
        <v>1152</v>
      </c>
    </row>
    <row r="18" spans="1:12">
      <c r="B18" s="189" t="s">
        <v>1182</v>
      </c>
      <c r="C18" s="164" t="s">
        <v>29</v>
      </c>
      <c r="D18" s="187" t="s">
        <v>1156</v>
      </c>
      <c r="G18" s="171" t="s">
        <v>313</v>
      </c>
      <c r="H18" s="175">
        <v>40</v>
      </c>
      <c r="I18" s="174">
        <v>4.21</v>
      </c>
      <c r="J18" s="176" t="s">
        <v>1143</v>
      </c>
      <c r="K18" s="173">
        <v>6819</v>
      </c>
      <c r="L18" s="170" t="s">
        <v>1148</v>
      </c>
    </row>
    <row r="19" spans="1:12">
      <c r="B19" s="189" t="s">
        <v>1183</v>
      </c>
      <c r="C19" s="164" t="s">
        <v>29</v>
      </c>
      <c r="D19" s="187" t="s">
        <v>1156</v>
      </c>
      <c r="G19" s="171" t="s">
        <v>526</v>
      </c>
      <c r="H19" s="174">
        <v>63.5</v>
      </c>
      <c r="I19" s="174">
        <v>4.67</v>
      </c>
      <c r="J19" s="176" t="s">
        <v>1147</v>
      </c>
      <c r="K19" s="173">
        <v>6923</v>
      </c>
      <c r="L19" s="170" t="s">
        <v>1145</v>
      </c>
    </row>
    <row r="20" spans="1:12">
      <c r="A20">
        <v>1</v>
      </c>
      <c r="B20" s="189" t="s">
        <v>1184</v>
      </c>
      <c r="C20" s="164" t="s">
        <v>72</v>
      </c>
      <c r="D20" s="170"/>
      <c r="G20" s="179" t="s">
        <v>1185</v>
      </c>
      <c r="H20" s="174">
        <v>10</v>
      </c>
      <c r="I20" s="174">
        <v>0.23</v>
      </c>
      <c r="J20" s="178" t="s">
        <v>1173</v>
      </c>
      <c r="K20" s="169">
        <v>27</v>
      </c>
      <c r="L20" s="170" t="s">
        <v>1148</v>
      </c>
    </row>
    <row r="21" spans="1:12">
      <c r="A21">
        <v>1</v>
      </c>
      <c r="B21" s="189" t="s">
        <v>1186</v>
      </c>
      <c r="C21" s="163" t="s">
        <v>621</v>
      </c>
      <c r="D21" s="187" t="s">
        <v>1152</v>
      </c>
      <c r="G21" s="179" t="s">
        <v>1187</v>
      </c>
      <c r="H21" s="174">
        <v>11.64</v>
      </c>
      <c r="I21" s="174">
        <v>2.14</v>
      </c>
      <c r="J21" s="176" t="s">
        <v>1147</v>
      </c>
      <c r="K21" s="173">
        <v>2038</v>
      </c>
      <c r="L21" s="170" t="s">
        <v>1150</v>
      </c>
    </row>
    <row r="22" spans="1:12">
      <c r="A22">
        <v>1</v>
      </c>
      <c r="B22" s="189" t="s">
        <v>1188</v>
      </c>
      <c r="C22" s="163" t="s">
        <v>621</v>
      </c>
      <c r="D22" s="170" t="s">
        <v>1148</v>
      </c>
      <c r="G22" s="179" t="s">
        <v>1189</v>
      </c>
      <c r="H22" s="174">
        <v>35</v>
      </c>
      <c r="I22" s="174">
        <v>0.42</v>
      </c>
      <c r="J22" s="176" t="s">
        <v>1147</v>
      </c>
      <c r="K22" s="169">
        <v>819</v>
      </c>
      <c r="L22" s="170" t="s">
        <v>1152</v>
      </c>
    </row>
    <row r="23" spans="1:12">
      <c r="G23" s="179" t="s">
        <v>1190</v>
      </c>
      <c r="H23" s="175">
        <v>36.799999999999997</v>
      </c>
      <c r="I23" s="175">
        <v>0.69</v>
      </c>
      <c r="J23" s="176" t="s">
        <v>1147</v>
      </c>
      <c r="K23" s="181">
        <v>1313</v>
      </c>
      <c r="L23" s="182" t="s">
        <v>1191</v>
      </c>
    </row>
    <row r="24" spans="1:12">
      <c r="G24" s="179" t="s">
        <v>1192</v>
      </c>
      <c r="H24" s="175">
        <v>40</v>
      </c>
      <c r="I24" s="174">
        <v>4.7</v>
      </c>
      <c r="J24" s="176" t="s">
        <v>1147</v>
      </c>
      <c r="K24" s="173">
        <v>5544</v>
      </c>
      <c r="L24" s="182" t="s">
        <v>1191</v>
      </c>
    </row>
    <row r="25" spans="1:12">
      <c r="G25" s="179" t="s">
        <v>1193</v>
      </c>
      <c r="H25" s="175">
        <v>45</v>
      </c>
      <c r="I25" s="174">
        <v>6.13</v>
      </c>
      <c r="J25" s="176" t="s">
        <v>1147</v>
      </c>
      <c r="K25" s="173">
        <v>9170</v>
      </c>
      <c r="L25" s="182" t="s">
        <v>1191</v>
      </c>
    </row>
    <row r="26" spans="1:12">
      <c r="G26" s="179" t="s">
        <v>1194</v>
      </c>
      <c r="H26" s="175">
        <v>400</v>
      </c>
      <c r="I26" s="174">
        <v>8.98</v>
      </c>
      <c r="J26" s="176" t="s">
        <v>1147</v>
      </c>
      <c r="K26" s="173">
        <v>4332</v>
      </c>
      <c r="L26" s="170" t="s">
        <v>1150</v>
      </c>
    </row>
    <row r="27" spans="1:12">
      <c r="G27" s="179" t="s">
        <v>1195</v>
      </c>
      <c r="H27" s="175">
        <v>80</v>
      </c>
      <c r="I27" s="174">
        <v>12.15</v>
      </c>
      <c r="J27" s="178" t="s">
        <v>1173</v>
      </c>
      <c r="K27" s="173">
        <v>3007</v>
      </c>
      <c r="L27" s="170" t="s">
        <v>1196</v>
      </c>
    </row>
    <row r="28" spans="1:12">
      <c r="G28" s="179" t="s">
        <v>1197</v>
      </c>
      <c r="H28" s="174">
        <v>46</v>
      </c>
      <c r="I28" s="174">
        <v>0.32</v>
      </c>
      <c r="J28" s="176" t="s">
        <v>1147</v>
      </c>
      <c r="K28" s="169">
        <v>587</v>
      </c>
      <c r="L28" s="170" t="s">
        <v>1152</v>
      </c>
    </row>
    <row r="29" spans="1:12">
      <c r="G29" s="179" t="s">
        <v>589</v>
      </c>
      <c r="H29" s="175">
        <v>60</v>
      </c>
      <c r="I29" s="175">
        <v>1.57</v>
      </c>
      <c r="J29" s="176" t="s">
        <v>1147</v>
      </c>
      <c r="K29" s="173">
        <v>2007</v>
      </c>
      <c r="L29" s="170" t="s">
        <v>1152</v>
      </c>
    </row>
    <row r="30" spans="1:12">
      <c r="G30" s="179" t="s">
        <v>1198</v>
      </c>
      <c r="H30" s="174">
        <v>15</v>
      </c>
      <c r="I30" s="174">
        <v>4.5</v>
      </c>
      <c r="J30" s="176" t="s">
        <v>1143</v>
      </c>
      <c r="K30" s="173">
        <v>6084</v>
      </c>
      <c r="L30" s="170"/>
    </row>
    <row r="31" spans="1:12">
      <c r="G31" s="179" t="s">
        <v>1199</v>
      </c>
      <c r="H31" s="174">
        <v>12.5</v>
      </c>
      <c r="I31" s="174">
        <v>0.26</v>
      </c>
      <c r="J31" s="176" t="s">
        <v>1147</v>
      </c>
      <c r="K31" s="169">
        <v>479</v>
      </c>
      <c r="L31" s="170" t="s">
        <v>1152</v>
      </c>
    </row>
    <row r="32" spans="1:12">
      <c r="G32" s="179" t="s">
        <v>1200</v>
      </c>
      <c r="H32" s="175">
        <v>192</v>
      </c>
      <c r="I32" s="174">
        <v>7.96</v>
      </c>
      <c r="J32" s="176" t="s">
        <v>1147</v>
      </c>
      <c r="K32" s="173">
        <v>9140</v>
      </c>
      <c r="L32" s="170" t="s">
        <v>1145</v>
      </c>
    </row>
    <row r="33" spans="7:12">
      <c r="G33" s="179" t="s">
        <v>1201</v>
      </c>
      <c r="H33" s="174">
        <v>1.42</v>
      </c>
      <c r="I33" s="174">
        <v>0.33</v>
      </c>
      <c r="J33" s="176" t="s">
        <v>1173</v>
      </c>
      <c r="K33" s="169">
        <v>539</v>
      </c>
      <c r="L33" s="170" t="s">
        <v>1148</v>
      </c>
    </row>
    <row r="34" spans="7:12">
      <c r="G34" s="179" t="s">
        <v>1202</v>
      </c>
      <c r="H34" s="174">
        <v>20</v>
      </c>
      <c r="I34" s="174">
        <v>0.74</v>
      </c>
      <c r="J34" s="178" t="s">
        <v>1173</v>
      </c>
      <c r="K34" s="169">
        <v>144</v>
      </c>
      <c r="L34" s="170" t="s">
        <v>1152</v>
      </c>
    </row>
    <row r="35" spans="7:12">
      <c r="G35" s="179" t="s">
        <v>1203</v>
      </c>
      <c r="H35" s="175">
        <v>200</v>
      </c>
      <c r="I35" s="172">
        <v>2.74</v>
      </c>
      <c r="J35" s="178" t="s">
        <v>1173</v>
      </c>
      <c r="K35" s="180">
        <v>659</v>
      </c>
      <c r="L35" s="182" t="s">
        <v>1152</v>
      </c>
    </row>
    <row r="39" spans="7:12">
      <c r="G39" s="171" t="s">
        <v>321</v>
      </c>
      <c r="H39" s="172">
        <v>93</v>
      </c>
      <c r="I39" s="172">
        <v>2.2200000000000002</v>
      </c>
      <c r="J39" s="168" t="s">
        <v>1143</v>
      </c>
      <c r="K39" s="167">
        <v>665</v>
      </c>
      <c r="L39" s="183" t="s">
        <v>1156</v>
      </c>
    </row>
    <row r="40" spans="7:12">
      <c r="G40" s="171" t="s">
        <v>1204</v>
      </c>
      <c r="H40" s="174">
        <v>120</v>
      </c>
      <c r="I40" s="174">
        <v>2.64</v>
      </c>
      <c r="J40" s="176" t="s">
        <v>1173</v>
      </c>
      <c r="K40" s="169">
        <v>209</v>
      </c>
      <c r="L40" s="183" t="s">
        <v>1156</v>
      </c>
    </row>
    <row r="41" spans="7:12">
      <c r="G41" s="179" t="s">
        <v>1205</v>
      </c>
      <c r="H41" s="175">
        <v>60</v>
      </c>
      <c r="I41" s="174">
        <v>6.53</v>
      </c>
      <c r="J41" s="178" t="s">
        <v>1173</v>
      </c>
      <c r="K41" s="173">
        <v>1529</v>
      </c>
      <c r="L41" s="170"/>
    </row>
    <row r="42" spans="7:12">
      <c r="G42" s="171" t="s">
        <v>1206</v>
      </c>
      <c r="H42" s="174">
        <v>70</v>
      </c>
      <c r="I42" s="174">
        <v>1.68</v>
      </c>
      <c r="J42" s="176" t="s">
        <v>1147</v>
      </c>
      <c r="K42" s="169">
        <v>688</v>
      </c>
      <c r="L42" s="183" t="s">
        <v>1156</v>
      </c>
    </row>
    <row r="43" spans="7:12">
      <c r="G43" s="171" t="s">
        <v>1207</v>
      </c>
      <c r="H43" s="174">
        <v>30</v>
      </c>
      <c r="I43" s="174">
        <v>0.72</v>
      </c>
      <c r="J43" s="176" t="s">
        <v>1147</v>
      </c>
      <c r="K43" s="169">
        <v>295</v>
      </c>
      <c r="L43" s="183" t="s">
        <v>1156</v>
      </c>
    </row>
    <row r="44" spans="7:12">
      <c r="G44" s="179" t="s">
        <v>498</v>
      </c>
      <c r="H44" s="174">
        <v>150</v>
      </c>
      <c r="I44" s="172">
        <v>3.59</v>
      </c>
      <c r="J44" s="176" t="s">
        <v>1147</v>
      </c>
      <c r="K44" s="173">
        <v>1405</v>
      </c>
      <c r="L44" s="183" t="s">
        <v>1156</v>
      </c>
    </row>
    <row r="45" spans="7:12">
      <c r="G45" s="179" t="s">
        <v>583</v>
      </c>
      <c r="H45" s="175">
        <v>120</v>
      </c>
      <c r="I45" s="172">
        <v>2.87</v>
      </c>
      <c r="J45" s="176" t="s">
        <v>1147</v>
      </c>
      <c r="K45" s="173">
        <v>1869</v>
      </c>
      <c r="L45" s="183" t="s">
        <v>1156</v>
      </c>
    </row>
    <row r="46" spans="7:12">
      <c r="G46" s="179" t="s">
        <v>581</v>
      </c>
      <c r="H46" s="175">
        <v>100</v>
      </c>
      <c r="I46" s="172">
        <v>2.4</v>
      </c>
      <c r="J46" s="176" t="s">
        <v>1147</v>
      </c>
      <c r="K46" s="173">
        <v>1497</v>
      </c>
      <c r="L46" s="183" t="s">
        <v>1156</v>
      </c>
    </row>
    <row r="47" spans="7:12">
      <c r="G47" s="179" t="s">
        <v>1208</v>
      </c>
      <c r="H47" s="175">
        <v>300</v>
      </c>
      <c r="I47" s="172">
        <v>7.19</v>
      </c>
      <c r="J47" s="176" t="s">
        <v>1143</v>
      </c>
      <c r="K47" s="173">
        <v>5750</v>
      </c>
      <c r="L47" s="183" t="s">
        <v>1156</v>
      </c>
    </row>
    <row r="48" spans="7:12">
      <c r="G48" s="179" t="s">
        <v>589</v>
      </c>
      <c r="H48" s="175">
        <v>185</v>
      </c>
      <c r="I48" s="175">
        <v>4.43</v>
      </c>
      <c r="J48" s="176" t="s">
        <v>1147</v>
      </c>
      <c r="K48" s="184">
        <v>1551</v>
      </c>
      <c r="L48" s="183" t="s">
        <v>1156</v>
      </c>
    </row>
    <row r="49" spans="7:12">
      <c r="G49" s="171" t="s">
        <v>313</v>
      </c>
      <c r="H49" s="175">
        <v>40</v>
      </c>
      <c r="I49" s="172">
        <v>0.96</v>
      </c>
      <c r="J49" s="176" t="s">
        <v>1143</v>
      </c>
      <c r="K49" s="169">
        <v>575</v>
      </c>
      <c r="L49" s="183" t="s">
        <v>1156</v>
      </c>
    </row>
    <row r="50" spans="7:12">
      <c r="G50" s="179" t="s">
        <v>1209</v>
      </c>
      <c r="H50" s="174">
        <v>40</v>
      </c>
      <c r="I50" s="174">
        <v>0.96</v>
      </c>
      <c r="J50" s="176" t="s">
        <v>1173</v>
      </c>
      <c r="K50" s="169">
        <v>77</v>
      </c>
      <c r="L50" s="183" t="s">
        <v>1156</v>
      </c>
    </row>
    <row r="51" spans="7:12">
      <c r="G51" s="179" t="s">
        <v>1203</v>
      </c>
      <c r="H51" s="175">
        <v>200</v>
      </c>
      <c r="I51" s="172">
        <v>4.79</v>
      </c>
      <c r="J51" s="176" t="s">
        <v>1173</v>
      </c>
      <c r="K51" s="180">
        <v>383</v>
      </c>
      <c r="L51" s="185" t="s">
        <v>1156</v>
      </c>
    </row>
  </sheetData>
  <autoFilter ref="B3:D35" xr:uid="{E135CEF8-82ED-499F-9AAE-1AF4C66C199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1:AI527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4" customWidth="1"/>
    <col min="2" max="2" width="24.5703125" style="5" customWidth="1"/>
    <col min="3" max="3" width="16.42578125" style="4" bestFit="1" customWidth="1"/>
    <col min="4" max="4" width="0.42578125" style="6" customWidth="1"/>
    <col min="5" max="5" width="0.42578125" style="28" customWidth="1"/>
    <col min="6" max="6" width="0.42578125" style="6" customWidth="1"/>
    <col min="7" max="7" width="12.5703125" style="8" bestFit="1" customWidth="1"/>
    <col min="8" max="8" width="0.42578125" style="6" customWidth="1" outlineLevel="1"/>
    <col min="9" max="9" width="0.42578125" style="28" customWidth="1" outlineLevel="1"/>
    <col min="10" max="10" width="0.42578125" style="6" customWidth="1" outlineLevel="1"/>
    <col min="11" max="14" width="25.5703125" style="66" customWidth="1" outlineLevel="1"/>
    <col min="15" max="15" width="0.42578125" style="6" customWidth="1"/>
    <col min="16" max="16" width="0.42578125" style="28" customWidth="1"/>
    <col min="17" max="17" width="0.42578125" style="6" customWidth="1"/>
    <col min="18" max="18" width="12.5703125" style="8" bestFit="1" customWidth="1"/>
    <col min="19" max="19" width="0.42578125" style="135" customWidth="1" outlineLevel="1"/>
    <col min="20" max="20" width="0.42578125" style="134" customWidth="1" outlineLevel="1"/>
    <col min="21" max="21" width="0.42578125" style="135" customWidth="1" outlineLevel="1"/>
    <col min="22" max="25" width="10.5703125" style="66" bestFit="1" customWidth="1" outlineLevel="1"/>
    <col min="26" max="26" width="1.42578125" style="6" customWidth="1"/>
    <col min="27" max="27" width="0.42578125" style="28" customWidth="1"/>
    <col min="28" max="28" width="1.42578125" style="6" customWidth="1"/>
    <col min="29" max="32" width="11.5703125" style="4" hidden="1" customWidth="1"/>
    <col min="33" max="33" width="0" style="4" hidden="1" customWidth="1"/>
    <col min="34" max="16384" width="11.5703125" style="4"/>
  </cols>
  <sheetData>
    <row r="1" spans="1:29" ht="3" customHeight="1">
      <c r="E1" s="7"/>
      <c r="I1" s="7"/>
      <c r="P1" s="7"/>
      <c r="S1" s="6"/>
      <c r="T1" s="7"/>
      <c r="U1" s="6"/>
      <c r="AA1" s="7"/>
    </row>
    <row r="2" spans="1:29" s="50" customFormat="1" ht="17.45">
      <c r="B2" s="60"/>
      <c r="C2" s="60"/>
      <c r="D2" s="52"/>
      <c r="E2" s="53"/>
      <c r="F2" s="52"/>
      <c r="G2" s="80" t="s">
        <v>6</v>
      </c>
      <c r="H2" s="52"/>
      <c r="I2" s="53"/>
      <c r="J2" s="52"/>
      <c r="K2" s="838" t="s">
        <v>612</v>
      </c>
      <c r="L2" s="838"/>
      <c r="M2" s="838"/>
      <c r="N2" s="838"/>
      <c r="O2" s="52"/>
      <c r="P2" s="53"/>
      <c r="Q2" s="52"/>
      <c r="R2" s="80" t="s">
        <v>1210</v>
      </c>
      <c r="S2" s="52"/>
      <c r="T2" s="53"/>
      <c r="U2" s="52"/>
      <c r="V2" s="838" t="s">
        <v>756</v>
      </c>
      <c r="W2" s="838"/>
      <c r="X2" s="838"/>
      <c r="Y2" s="838"/>
      <c r="Z2" s="52"/>
      <c r="AA2" s="53"/>
      <c r="AB2" s="52"/>
    </row>
    <row r="3" spans="1:29" s="50" customFormat="1" ht="17.45">
      <c r="B3" s="51"/>
      <c r="D3" s="52"/>
      <c r="E3" s="53"/>
      <c r="F3" s="52"/>
      <c r="G3" s="54">
        <f>SUM(K3:N3)</f>
        <v>539</v>
      </c>
      <c r="H3" s="52"/>
      <c r="I3" s="53"/>
      <c r="J3" s="52"/>
      <c r="K3" s="152">
        <f>K10</f>
        <v>146</v>
      </c>
      <c r="L3" s="152">
        <f t="shared" ref="L3:N3" si="0">L10</f>
        <v>158</v>
      </c>
      <c r="M3" s="152">
        <f t="shared" si="0"/>
        <v>123</v>
      </c>
      <c r="N3" s="152">
        <f t="shared" si="0"/>
        <v>112</v>
      </c>
      <c r="O3" s="52"/>
      <c r="P3" s="53"/>
      <c r="Q3" s="52"/>
      <c r="R3" s="54">
        <f>SUM(V3:Y3)</f>
        <v>136.94637524398325</v>
      </c>
      <c r="S3" s="52"/>
      <c r="T3" s="53"/>
      <c r="U3" s="52"/>
      <c r="V3" s="152">
        <f t="shared" ref="V3:Y3" si="1">V10</f>
        <v>26.639195607518133</v>
      </c>
      <c r="W3" s="152">
        <f t="shared" si="1"/>
        <v>45.068300820106472</v>
      </c>
      <c r="X3" s="152">
        <f t="shared" si="1"/>
        <v>31.884182170139173</v>
      </c>
      <c r="Y3" s="152">
        <f t="shared" si="1"/>
        <v>33.35469664621948</v>
      </c>
      <c r="Z3" s="52"/>
      <c r="AA3" s="53"/>
      <c r="AB3" s="52"/>
    </row>
    <row r="4" spans="1:29" s="50" customFormat="1" ht="2.1" customHeight="1">
      <c r="A4" s="55"/>
      <c r="B4" s="56"/>
      <c r="C4" s="57"/>
      <c r="D4" s="58"/>
      <c r="E4" s="53"/>
      <c r="F4" s="58"/>
      <c r="G4" s="54"/>
      <c r="H4" s="58"/>
      <c r="I4" s="53"/>
      <c r="J4" s="58"/>
      <c r="K4" s="67"/>
      <c r="L4" s="67"/>
      <c r="M4" s="67"/>
      <c r="N4" s="67"/>
      <c r="O4" s="58"/>
      <c r="P4" s="53"/>
      <c r="Q4" s="58"/>
      <c r="R4" s="54"/>
      <c r="S4" s="58"/>
      <c r="T4" s="53"/>
      <c r="U4" s="58"/>
      <c r="V4" s="67"/>
      <c r="W4" s="67"/>
      <c r="X4" s="67"/>
      <c r="Y4" s="67"/>
      <c r="Z4" s="58"/>
      <c r="AA4" s="53"/>
      <c r="AB4" s="58"/>
    </row>
    <row r="5" spans="1:29" s="64" customFormat="1" ht="17.45">
      <c r="A5" s="59"/>
      <c r="B5" s="60" t="s">
        <v>1211</v>
      </c>
      <c r="C5" s="61"/>
      <c r="D5" s="62"/>
      <c r="E5" s="53"/>
      <c r="F5" s="62"/>
      <c r="G5" s="63">
        <v>2025</v>
      </c>
      <c r="H5" s="62"/>
      <c r="I5" s="53"/>
      <c r="J5" s="62"/>
      <c r="K5" s="65" t="s">
        <v>2</v>
      </c>
      <c r="L5" s="65" t="s">
        <v>3</v>
      </c>
      <c r="M5" s="65" t="s">
        <v>4</v>
      </c>
      <c r="N5" s="65" t="s">
        <v>5</v>
      </c>
      <c r="O5" s="62"/>
      <c r="P5" s="53"/>
      <c r="Q5" s="62"/>
      <c r="R5" s="63">
        <v>2025</v>
      </c>
      <c r="S5" s="62"/>
      <c r="T5" s="53"/>
      <c r="U5" s="62"/>
      <c r="V5" s="65" t="s">
        <v>2</v>
      </c>
      <c r="W5" s="65" t="s">
        <v>3</v>
      </c>
      <c r="X5" s="65" t="s">
        <v>4</v>
      </c>
      <c r="Y5" s="65" t="s">
        <v>5</v>
      </c>
      <c r="Z5" s="62"/>
      <c r="AA5" s="53"/>
      <c r="AB5" s="62"/>
    </row>
    <row r="6" spans="1:29" s="15" customFormat="1" ht="2.1" customHeight="1">
      <c r="A6" s="10"/>
      <c r="B6" s="16"/>
      <c r="C6" s="17"/>
      <c r="D6" s="13"/>
      <c r="E6" s="7"/>
      <c r="F6" s="13"/>
      <c r="G6" s="18"/>
      <c r="H6" s="13"/>
      <c r="I6" s="7"/>
      <c r="J6" s="13"/>
      <c r="K6" s="68"/>
      <c r="L6" s="68"/>
      <c r="M6" s="68"/>
      <c r="N6" s="68"/>
      <c r="O6" s="13"/>
      <c r="P6" s="7"/>
      <c r="Q6" s="13"/>
      <c r="R6" s="18"/>
      <c r="S6" s="13"/>
      <c r="T6" s="7"/>
      <c r="U6" s="13"/>
      <c r="V6" s="68"/>
      <c r="W6" s="68"/>
      <c r="X6" s="68"/>
      <c r="Y6" s="68"/>
      <c r="Z6" s="13"/>
      <c r="AA6" s="7"/>
      <c r="AB6" s="13"/>
    </row>
    <row r="7" spans="1:29" s="15" customFormat="1" ht="2.1" customHeight="1">
      <c r="A7" s="10"/>
      <c r="B7" s="11"/>
      <c r="C7" s="12"/>
      <c r="D7" s="13"/>
      <c r="E7" s="7"/>
      <c r="F7" s="13"/>
      <c r="G7" s="14"/>
      <c r="H7" s="13"/>
      <c r="I7" s="7"/>
      <c r="J7" s="13"/>
      <c r="K7" s="69"/>
      <c r="L7" s="69"/>
      <c r="M7" s="69"/>
      <c r="N7" s="69"/>
      <c r="O7" s="13"/>
      <c r="P7" s="7"/>
      <c r="Q7" s="13"/>
      <c r="R7" s="14"/>
      <c r="S7" s="13"/>
      <c r="T7" s="7"/>
      <c r="U7" s="13"/>
      <c r="V7" s="69"/>
      <c r="W7" s="69"/>
      <c r="X7" s="69"/>
      <c r="Y7" s="69"/>
      <c r="Z7" s="13"/>
      <c r="AA7" s="7"/>
      <c r="AB7" s="13"/>
    </row>
    <row r="8" spans="1:29" ht="2.1" customHeight="1">
      <c r="E8" s="7"/>
      <c r="I8" s="7"/>
      <c r="P8" s="7"/>
      <c r="S8" s="6"/>
      <c r="T8" s="7"/>
      <c r="U8" s="6"/>
      <c r="AA8" s="7"/>
    </row>
    <row r="9" spans="1:29" ht="3" customHeight="1">
      <c r="B9" s="3"/>
      <c r="C9" s="26"/>
      <c r="D9" s="31"/>
      <c r="E9" s="7"/>
      <c r="F9" s="31"/>
      <c r="G9" s="126"/>
      <c r="H9" s="31"/>
      <c r="I9" s="7"/>
      <c r="J9" s="31"/>
      <c r="K9" s="78"/>
      <c r="L9" s="78"/>
      <c r="M9" s="78"/>
      <c r="N9" s="78"/>
      <c r="O9" s="31"/>
      <c r="P9" s="7"/>
      <c r="Q9" s="31"/>
      <c r="R9" s="31"/>
      <c r="S9" s="31"/>
      <c r="T9" s="7"/>
      <c r="U9" s="31"/>
      <c r="V9" s="78"/>
      <c r="W9" s="78"/>
      <c r="X9" s="78"/>
      <c r="Y9" s="78"/>
      <c r="Z9" s="31"/>
      <c r="AA9" s="7"/>
      <c r="AB9" s="31"/>
    </row>
    <row r="10" spans="1:29" s="49" customFormat="1" ht="30" collapsed="1">
      <c r="A10" s="156"/>
      <c r="B10" s="44" t="s">
        <v>29</v>
      </c>
      <c r="C10" s="45" t="s">
        <v>964</v>
      </c>
      <c r="D10" s="46"/>
      <c r="E10" s="47"/>
      <c r="F10" s="46"/>
      <c r="G10" s="123">
        <f>SUM(K10:N10)</f>
        <v>539</v>
      </c>
      <c r="H10" s="46"/>
      <c r="I10" s="47"/>
      <c r="J10" s="46"/>
      <c r="K10" s="70">
        <f>SUM(K12,K80,K344)</f>
        <v>146</v>
      </c>
      <c r="L10" s="70">
        <f>SUM(L12,L80,L344)</f>
        <v>158</v>
      </c>
      <c r="M10" s="70">
        <f>SUM(M12,M80,M344)</f>
        <v>123</v>
      </c>
      <c r="N10" s="70">
        <f>SUM(N12,N80,N344)</f>
        <v>112</v>
      </c>
      <c r="O10" s="46"/>
      <c r="P10" s="47"/>
      <c r="Q10" s="46"/>
      <c r="R10" s="48">
        <f>SUM(V10:Y10)</f>
        <v>136.94637524398325</v>
      </c>
      <c r="S10" s="46"/>
      <c r="T10" s="47"/>
      <c r="U10" s="46"/>
      <c r="V10" s="70">
        <f>SUM(V12,V80,V344)</f>
        <v>26.639195607518133</v>
      </c>
      <c r="W10" s="70">
        <f>SUM(W12,W80,W344)</f>
        <v>45.068300820106472</v>
      </c>
      <c r="X10" s="70">
        <f>SUM(X12,X80,X344)</f>
        <v>31.884182170139173</v>
      </c>
      <c r="Y10" s="70">
        <f>SUM(Y12,Y80,Y344)</f>
        <v>33.35469664621948</v>
      </c>
      <c r="Z10" s="46"/>
      <c r="AA10" s="47"/>
      <c r="AB10" s="46"/>
    </row>
    <row r="11" spans="1:29" ht="3" hidden="1" customHeight="1" outlineLevel="1">
      <c r="A11" s="19"/>
      <c r="B11" s="20"/>
      <c r="C11" s="21"/>
      <c r="D11" s="9"/>
      <c r="E11" s="7"/>
      <c r="F11" s="9"/>
      <c r="G11" s="124"/>
      <c r="H11" s="9"/>
      <c r="I11" s="7"/>
      <c r="J11" s="9"/>
      <c r="K11" s="71"/>
      <c r="L11" s="71"/>
      <c r="M11" s="71"/>
      <c r="N11" s="71"/>
      <c r="O11" s="9"/>
      <c r="P11" s="7"/>
      <c r="Q11" s="9"/>
      <c r="R11" s="9"/>
      <c r="S11" s="9"/>
      <c r="T11" s="7"/>
      <c r="U11" s="9"/>
      <c r="V11" s="71"/>
      <c r="W11" s="71"/>
      <c r="X11" s="71"/>
      <c r="Y11" s="71"/>
      <c r="Z11" s="9"/>
      <c r="AA11" s="7"/>
      <c r="AB11" s="9"/>
    </row>
    <row r="12" spans="1:29" s="49" customFormat="1" ht="20.100000000000001" hidden="1" customHeight="1" outlineLevel="1" collapsed="1">
      <c r="A12" s="156"/>
      <c r="B12" s="160" t="s">
        <v>1212</v>
      </c>
      <c r="C12" s="45" t="s">
        <v>1003</v>
      </c>
      <c r="D12" s="46"/>
      <c r="E12" s="47"/>
      <c r="F12" s="46"/>
      <c r="G12" s="123">
        <f>SUM(K12:N12)</f>
        <v>81</v>
      </c>
      <c r="H12" s="46"/>
      <c r="I12" s="47"/>
      <c r="J12" s="46"/>
      <c r="K12" s="70">
        <f>SUM(K14,K19,K22,K26,K32,K37,K41,K45,K49,K53,K57,K62,K66,K69,K72,K76)</f>
        <v>20</v>
      </c>
      <c r="L12" s="70">
        <f t="shared" ref="L12:N12" si="2">SUM(L14,L19,L22,L26,L32,L37,L41,L45,L49,L53,L57,L62,L66,L69,L72,L76)</f>
        <v>23</v>
      </c>
      <c r="M12" s="70">
        <f t="shared" si="2"/>
        <v>21</v>
      </c>
      <c r="N12" s="70">
        <f t="shared" si="2"/>
        <v>17</v>
      </c>
      <c r="O12" s="46"/>
      <c r="P12" s="47"/>
      <c r="Q12" s="46"/>
      <c r="R12" s="48">
        <f>SUM(V12:Y12)</f>
        <v>86.583581054006501</v>
      </c>
      <c r="S12" s="46"/>
      <c r="T12" s="47"/>
      <c r="U12" s="46"/>
      <c r="V12" s="70">
        <f t="shared" ref="V12:Y12" si="3">SUM(V14,V19,V22,V26,V32,V37,V41,V45,V49,V53,V57,V62,V66,V69,V72,V76)</f>
        <v>17.019920468704573</v>
      </c>
      <c r="W12" s="70">
        <f t="shared" si="3"/>
        <v>26.526083381532032</v>
      </c>
      <c r="X12" s="70">
        <f t="shared" si="3"/>
        <v>21.481617629188779</v>
      </c>
      <c r="Y12" s="70">
        <f t="shared" si="3"/>
        <v>21.555959574581127</v>
      </c>
      <c r="Z12" s="46"/>
      <c r="AA12" s="47"/>
      <c r="AB12" s="46"/>
    </row>
    <row r="13" spans="1:29" ht="3" hidden="1" customHeight="1" outlineLevel="2">
      <c r="B13" s="29"/>
      <c r="C13" s="30"/>
      <c r="D13" s="9"/>
      <c r="E13" s="91"/>
      <c r="F13" s="9"/>
      <c r="G13" s="119"/>
      <c r="H13" s="9"/>
      <c r="I13" s="91"/>
      <c r="J13" s="9"/>
      <c r="K13" s="76"/>
      <c r="O13" s="9"/>
      <c r="P13" s="91"/>
      <c r="Q13" s="9"/>
      <c r="R13" s="34"/>
      <c r="S13" s="9"/>
      <c r="T13" s="91"/>
      <c r="U13" s="9"/>
      <c r="V13" s="76"/>
      <c r="Z13" s="9"/>
      <c r="AA13" s="91"/>
      <c r="AB13" s="9"/>
      <c r="AC13" s="9"/>
    </row>
    <row r="14" spans="1:29" s="22" customFormat="1" hidden="1" outlineLevel="2" collapsed="1">
      <c r="A14" s="22">
        <v>1</v>
      </c>
      <c r="B14" s="23" t="s">
        <v>830</v>
      </c>
      <c r="C14" s="23"/>
      <c r="D14" s="9"/>
      <c r="E14" s="91"/>
      <c r="F14" s="9"/>
      <c r="G14" s="125">
        <f>SUM(K14:N14)</f>
        <v>2</v>
      </c>
      <c r="H14" s="9"/>
      <c r="I14" s="91"/>
      <c r="J14" s="9"/>
      <c r="K14" s="72">
        <f>COUNTA(K15:K17)</f>
        <v>2</v>
      </c>
      <c r="L14" s="72">
        <f>COUNTA(L15:L17)</f>
        <v>0</v>
      </c>
      <c r="M14" s="72">
        <f>COUNTA(M15:M17)</f>
        <v>0</v>
      </c>
      <c r="N14" s="72">
        <f>COUNTA(N15:N17)</f>
        <v>0</v>
      </c>
      <c r="O14" s="9"/>
      <c r="P14" s="91"/>
      <c r="Q14" s="9"/>
      <c r="R14" s="24">
        <f>SUM(V14:Y14)</f>
        <v>1.21</v>
      </c>
      <c r="S14" s="9"/>
      <c r="T14" s="91"/>
      <c r="U14" s="9"/>
      <c r="V14" s="72">
        <f>SUM(V15:V17)</f>
        <v>1.21</v>
      </c>
      <c r="W14" s="72">
        <f>SUM(W15:W17)</f>
        <v>0</v>
      </c>
      <c r="X14" s="72">
        <f>SUM(X15:X17)</f>
        <v>0</v>
      </c>
      <c r="Y14" s="72">
        <f>SUM(Y15:Y17)</f>
        <v>0</v>
      </c>
      <c r="Z14" s="9"/>
      <c r="AA14" s="91"/>
      <c r="AB14" s="9"/>
      <c r="AC14" s="9"/>
    </row>
    <row r="15" spans="1:29" hidden="1" outlineLevel="3">
      <c r="B15" s="29"/>
      <c r="C15" s="30"/>
      <c r="D15" s="9"/>
      <c r="E15" s="91"/>
      <c r="F15" s="9"/>
      <c r="G15" s="119" t="s">
        <v>1003</v>
      </c>
      <c r="H15" s="9"/>
      <c r="I15" s="91"/>
      <c r="J15" s="9"/>
      <c r="K15" s="30" t="s">
        <v>97</v>
      </c>
      <c r="L15" s="30"/>
      <c r="M15" s="142"/>
      <c r="N15" s="142"/>
      <c r="O15" s="9"/>
      <c r="P15" s="91"/>
      <c r="Q15" s="9"/>
      <c r="R15" s="34" t="s">
        <v>1003</v>
      </c>
      <c r="S15" s="9"/>
      <c r="T15" s="91"/>
      <c r="U15" s="9"/>
      <c r="V15" s="36">
        <v>0.3</v>
      </c>
      <c r="W15" s="36"/>
      <c r="Z15" s="9"/>
      <c r="AA15" s="91"/>
      <c r="AB15" s="9"/>
      <c r="AC15" s="9"/>
    </row>
    <row r="16" spans="1:29" hidden="1" outlineLevel="3">
      <c r="B16" s="29"/>
      <c r="C16" s="30"/>
      <c r="D16" s="9"/>
      <c r="E16" s="91"/>
      <c r="F16" s="9"/>
      <c r="G16" s="119"/>
      <c r="H16" s="9"/>
      <c r="I16" s="91"/>
      <c r="J16" s="9"/>
      <c r="K16" s="30" t="s">
        <v>96</v>
      </c>
      <c r="L16" s="30"/>
      <c r="M16" s="142"/>
      <c r="N16" s="142"/>
      <c r="O16" s="9"/>
      <c r="P16" s="91"/>
      <c r="Q16" s="9"/>
      <c r="R16" s="34" t="s">
        <v>1003</v>
      </c>
      <c r="S16" s="9"/>
      <c r="T16" s="91"/>
      <c r="U16" s="9"/>
      <c r="V16" s="36">
        <v>0.91</v>
      </c>
      <c r="W16" s="36"/>
      <c r="Z16" s="9"/>
      <c r="AA16" s="91"/>
      <c r="AB16" s="9"/>
      <c r="AC16" s="9"/>
    </row>
    <row r="17" spans="1:29" hidden="1" outlineLevel="3">
      <c r="B17" s="29"/>
      <c r="C17" s="30"/>
      <c r="D17" s="9"/>
      <c r="E17" s="91"/>
      <c r="F17" s="9"/>
      <c r="G17" s="119"/>
      <c r="H17" s="9"/>
      <c r="I17" s="91"/>
      <c r="J17" s="9"/>
      <c r="K17" s="42"/>
      <c r="L17" s="93"/>
      <c r="M17" s="142"/>
      <c r="N17" s="142"/>
      <c r="O17" s="9"/>
      <c r="P17" s="91"/>
      <c r="Q17" s="9"/>
      <c r="R17" s="34"/>
      <c r="S17" s="9"/>
      <c r="T17" s="91"/>
      <c r="U17" s="9"/>
      <c r="V17" s="42"/>
      <c r="W17" s="75"/>
      <c r="Z17" s="9"/>
      <c r="AA17" s="91"/>
      <c r="AB17" s="9"/>
      <c r="AC17" s="9"/>
    </row>
    <row r="18" spans="1:29" ht="3" hidden="1" customHeight="1" outlineLevel="2">
      <c r="B18" s="29"/>
      <c r="C18" s="30"/>
      <c r="D18" s="9"/>
      <c r="E18" s="91"/>
      <c r="F18" s="9"/>
      <c r="G18" s="119"/>
      <c r="H18" s="9"/>
      <c r="I18" s="91"/>
      <c r="J18" s="9"/>
      <c r="K18" s="76"/>
      <c r="O18" s="9"/>
      <c r="P18" s="91"/>
      <c r="Q18" s="9"/>
      <c r="R18" s="34"/>
      <c r="S18" s="9"/>
      <c r="T18" s="91"/>
      <c r="U18" s="9"/>
      <c r="V18" s="76"/>
      <c r="Z18" s="9"/>
      <c r="AA18" s="91"/>
      <c r="AB18" s="9"/>
      <c r="AC18" s="9"/>
    </row>
    <row r="19" spans="1:29" s="22" customFormat="1" hidden="1" outlineLevel="2" collapsed="1">
      <c r="A19" s="22">
        <v>1</v>
      </c>
      <c r="B19" s="23" t="s">
        <v>781</v>
      </c>
      <c r="C19" s="23"/>
      <c r="D19" s="9"/>
      <c r="E19" s="91"/>
      <c r="F19" s="9"/>
      <c r="G19" s="125">
        <f>SUM(K19:N19)</f>
        <v>2</v>
      </c>
      <c r="H19" s="9"/>
      <c r="I19" s="91"/>
      <c r="J19" s="9"/>
      <c r="K19" s="72">
        <f>COUNTA(K20:K20)</f>
        <v>0</v>
      </c>
      <c r="L19" s="72">
        <f>COUNTA(L20:L20)</f>
        <v>1</v>
      </c>
      <c r="M19" s="72">
        <f>COUNTA(M20:M20)</f>
        <v>1</v>
      </c>
      <c r="N19" s="72">
        <f>COUNTA(N20:N20)</f>
        <v>0</v>
      </c>
      <c r="O19" s="9"/>
      <c r="P19" s="91"/>
      <c r="Q19" s="9"/>
      <c r="R19" s="83">
        <f>SUM(V19:Y19)</f>
        <v>1.5999778108907998</v>
      </c>
      <c r="S19" s="9"/>
      <c r="T19" s="91"/>
      <c r="U19" s="9"/>
      <c r="V19" s="82">
        <f>SUM(V20:V20)</f>
        <v>0</v>
      </c>
      <c r="W19" s="82">
        <f>SUM(W20:W20)</f>
        <v>0.79998890544539991</v>
      </c>
      <c r="X19" s="82">
        <f>SUM(X20:X20)</f>
        <v>0.79998890544539991</v>
      </c>
      <c r="Y19" s="82">
        <f>SUM(Y20:Y20)</f>
        <v>0</v>
      </c>
      <c r="Z19" s="9"/>
      <c r="AA19" s="91"/>
      <c r="AB19" s="9"/>
      <c r="AC19" s="9"/>
    </row>
    <row r="20" spans="1:29" s="144" customFormat="1" hidden="1" outlineLevel="3">
      <c r="B20" s="29"/>
      <c r="C20" s="30"/>
      <c r="D20" s="148"/>
      <c r="E20" s="149"/>
      <c r="F20" s="148"/>
      <c r="G20" s="119" t="s">
        <v>1003</v>
      </c>
      <c r="H20" s="148"/>
      <c r="I20" s="149"/>
      <c r="J20" s="148"/>
      <c r="K20" s="142"/>
      <c r="L20" s="100" t="s">
        <v>32</v>
      </c>
      <c r="M20" s="140" t="s">
        <v>842</v>
      </c>
      <c r="N20" s="141"/>
      <c r="O20" s="148"/>
      <c r="P20" s="149"/>
      <c r="Q20" s="148"/>
      <c r="R20" s="119" t="s">
        <v>1003</v>
      </c>
      <c r="S20" s="148"/>
      <c r="T20" s="149"/>
      <c r="U20" s="148"/>
      <c r="V20" s="158"/>
      <c r="W20" s="101">
        <v>0.79998890544539991</v>
      </c>
      <c r="X20" s="101">
        <v>0.79998890544539991</v>
      </c>
      <c r="Y20" s="159"/>
      <c r="Z20" s="148"/>
      <c r="AA20" s="149"/>
      <c r="AB20" s="148"/>
      <c r="AC20" s="148"/>
    </row>
    <row r="21" spans="1:29" ht="3" hidden="1" customHeight="1" outlineLevel="2">
      <c r="B21" s="29"/>
      <c r="C21" s="30"/>
      <c r="D21" s="9"/>
      <c r="E21" s="91"/>
      <c r="F21" s="9"/>
      <c r="G21" s="119"/>
      <c r="H21" s="9"/>
      <c r="I21" s="91"/>
      <c r="J21" s="9"/>
      <c r="K21" s="76"/>
      <c r="L21" s="43"/>
      <c r="M21" s="43"/>
      <c r="N21" s="43"/>
      <c r="O21" s="9"/>
      <c r="P21" s="91"/>
      <c r="Q21" s="9"/>
      <c r="R21" s="34"/>
      <c r="S21" s="9"/>
      <c r="T21" s="91"/>
      <c r="U21" s="9"/>
      <c r="V21" s="76"/>
      <c r="W21" s="43"/>
      <c r="X21" s="43"/>
      <c r="Y21" s="43"/>
      <c r="Z21" s="9"/>
      <c r="AA21" s="91"/>
      <c r="AB21" s="9"/>
      <c r="AC21" s="9"/>
    </row>
    <row r="22" spans="1:29" s="22" customFormat="1" hidden="1" outlineLevel="2" collapsed="1">
      <c r="A22" s="22">
        <v>1</v>
      </c>
      <c r="B22" s="23" t="s">
        <v>1005</v>
      </c>
      <c r="C22" s="23"/>
      <c r="D22" s="9"/>
      <c r="E22" s="91"/>
      <c r="F22" s="9"/>
      <c r="G22" s="125">
        <f>SUM(K22:N22)</f>
        <v>6</v>
      </c>
      <c r="H22" s="9"/>
      <c r="I22" s="91"/>
      <c r="J22" s="9"/>
      <c r="K22" s="72">
        <f>COUNTA(K23:K24)</f>
        <v>1</v>
      </c>
      <c r="L22" s="72">
        <f>COUNTA(L23:L24)</f>
        <v>2</v>
      </c>
      <c r="M22" s="72">
        <f>COUNTA(M23:M24)</f>
        <v>2</v>
      </c>
      <c r="N22" s="72">
        <f>COUNTA(N23:N24)</f>
        <v>1</v>
      </c>
      <c r="O22" s="9"/>
      <c r="P22" s="91"/>
      <c r="Q22" s="9"/>
      <c r="R22" s="83">
        <f>SUM(V22:Y22)</f>
        <v>6.0675000000000008</v>
      </c>
      <c r="S22" s="9"/>
      <c r="T22" s="91"/>
      <c r="U22" s="9"/>
      <c r="V22" s="82">
        <f>SUM(V23:V24)</f>
        <v>1.3650000000000002</v>
      </c>
      <c r="W22" s="82">
        <f>SUM(W23:W24)</f>
        <v>2.0175000000000001</v>
      </c>
      <c r="X22" s="82">
        <f>SUM(X23:X24)</f>
        <v>2.0175000000000001</v>
      </c>
      <c r="Y22" s="82">
        <f>SUM(Y23:Y24)</f>
        <v>0.66750000000000009</v>
      </c>
      <c r="Z22" s="9"/>
      <c r="AA22" s="91"/>
      <c r="AB22" s="9"/>
      <c r="AC22" s="9"/>
    </row>
    <row r="23" spans="1:29" ht="27.6" hidden="1" outlineLevel="3">
      <c r="B23" s="29"/>
      <c r="C23" s="30"/>
      <c r="D23" s="9"/>
      <c r="E23" s="91"/>
      <c r="F23" s="9"/>
      <c r="G23" s="119" t="s">
        <v>1003</v>
      </c>
      <c r="H23" s="9"/>
      <c r="I23" s="91"/>
      <c r="J23" s="9"/>
      <c r="K23" s="26" t="s">
        <v>334</v>
      </c>
      <c r="L23" s="143" t="s">
        <v>32</v>
      </c>
      <c r="M23" s="140" t="s">
        <v>842</v>
      </c>
      <c r="N23" s="140" t="s">
        <v>197</v>
      </c>
      <c r="O23" s="9"/>
      <c r="P23" s="91"/>
      <c r="Q23" s="9"/>
      <c r="R23" s="34" t="s">
        <v>1003</v>
      </c>
      <c r="S23" s="9"/>
      <c r="T23" s="91"/>
      <c r="U23" s="9"/>
      <c r="V23" s="99">
        <v>1.3650000000000002</v>
      </c>
      <c r="W23" s="101">
        <v>1.3350000000000002</v>
      </c>
      <c r="X23" s="97">
        <v>1.3350000000000002</v>
      </c>
      <c r="Y23" s="97">
        <v>0.66750000000000009</v>
      </c>
      <c r="Z23" s="9"/>
      <c r="AA23" s="91"/>
      <c r="AB23" s="9"/>
      <c r="AC23" s="9"/>
    </row>
    <row r="24" spans="1:29" hidden="1" outlineLevel="3">
      <c r="B24" s="29"/>
      <c r="C24" s="30"/>
      <c r="D24" s="9"/>
      <c r="E24" s="91"/>
      <c r="F24" s="9"/>
      <c r="G24" s="119" t="s">
        <v>1003</v>
      </c>
      <c r="H24" s="9"/>
      <c r="I24" s="91"/>
      <c r="J24" s="9"/>
      <c r="K24" s="26"/>
      <c r="L24" s="140" t="s">
        <v>33</v>
      </c>
      <c r="M24" s="140" t="s">
        <v>335</v>
      </c>
      <c r="N24" s="30"/>
      <c r="O24" s="9"/>
      <c r="P24" s="91"/>
      <c r="Q24" s="9"/>
      <c r="R24" s="34" t="s">
        <v>1003</v>
      </c>
      <c r="S24" s="9"/>
      <c r="T24" s="91"/>
      <c r="U24" s="9"/>
      <c r="V24" s="99"/>
      <c r="W24" s="97">
        <v>0.68250000000000011</v>
      </c>
      <c r="X24" s="97">
        <v>0.68250000000000011</v>
      </c>
      <c r="Y24" s="108"/>
      <c r="Z24" s="9"/>
      <c r="AA24" s="91"/>
      <c r="AB24" s="9"/>
      <c r="AC24" s="9"/>
    </row>
    <row r="25" spans="1:29" ht="3" hidden="1" customHeight="1" outlineLevel="2">
      <c r="B25" s="29"/>
      <c r="C25" s="30"/>
      <c r="D25" s="9"/>
      <c r="E25" s="91"/>
      <c r="F25" s="9"/>
      <c r="G25" s="119"/>
      <c r="H25" s="9"/>
      <c r="I25" s="91"/>
      <c r="J25" s="9"/>
      <c r="K25" s="76"/>
      <c r="L25" s="43"/>
      <c r="M25" s="43"/>
      <c r="O25" s="9"/>
      <c r="P25" s="91"/>
      <c r="Q25" s="9"/>
      <c r="R25" s="34"/>
      <c r="S25" s="9"/>
      <c r="T25" s="91"/>
      <c r="U25" s="9"/>
      <c r="V25" s="76"/>
      <c r="W25" s="43"/>
      <c r="X25" s="43"/>
      <c r="Z25" s="9"/>
      <c r="AA25" s="91"/>
      <c r="AB25" s="9"/>
      <c r="AC25" s="9"/>
    </row>
    <row r="26" spans="1:29" s="22" customFormat="1" hidden="1" outlineLevel="2" collapsed="1">
      <c r="A26" s="22">
        <v>1</v>
      </c>
      <c r="B26" s="23" t="s">
        <v>321</v>
      </c>
      <c r="C26" s="23"/>
      <c r="D26" s="9"/>
      <c r="E26" s="91"/>
      <c r="F26" s="9"/>
      <c r="G26" s="125">
        <f>SUM(K26:N26)</f>
        <v>8</v>
      </c>
      <c r="H26" s="9"/>
      <c r="I26" s="91"/>
      <c r="J26" s="9"/>
      <c r="K26" s="72">
        <f>COUNTA(K27:K30)</f>
        <v>4</v>
      </c>
      <c r="L26" s="72">
        <f>COUNTA(L27:L30)</f>
        <v>2</v>
      </c>
      <c r="M26" s="72">
        <f>COUNTA(M27:M30)</f>
        <v>1</v>
      </c>
      <c r="N26" s="72">
        <f>COUNTA(N27:N30)</f>
        <v>1</v>
      </c>
      <c r="O26" s="9"/>
      <c r="P26" s="91"/>
      <c r="Q26" s="9"/>
      <c r="R26" s="83">
        <f>SUM(V26:Y26)</f>
        <v>4.5575782431157039</v>
      </c>
      <c r="S26" s="9"/>
      <c r="T26" s="91"/>
      <c r="U26" s="9"/>
      <c r="V26" s="82">
        <f>SUM(V27:V30)</f>
        <v>1.6699454687045707</v>
      </c>
      <c r="W26" s="82">
        <f>SUM(W27:W30)</f>
        <v>1.6686944760866296</v>
      </c>
      <c r="X26" s="82">
        <f>SUM(X27:X30)</f>
        <v>0.91420372374337788</v>
      </c>
      <c r="Y26" s="82">
        <f>SUM(Y27:Y30)</f>
        <v>0.30473457458112602</v>
      </c>
      <c r="Z26" s="9"/>
      <c r="AA26" s="91"/>
      <c r="AB26" s="9"/>
      <c r="AC26" s="9"/>
    </row>
    <row r="27" spans="1:29" hidden="1" outlineLevel="3">
      <c r="B27" s="29"/>
      <c r="C27" s="30"/>
      <c r="D27" s="9"/>
      <c r="E27" s="91"/>
      <c r="F27" s="9"/>
      <c r="G27" s="119" t="s">
        <v>1003</v>
      </c>
      <c r="H27" s="9"/>
      <c r="I27" s="91"/>
      <c r="J27" s="9"/>
      <c r="K27" s="100" t="s">
        <v>32</v>
      </c>
      <c r="L27" s="140" t="s">
        <v>842</v>
      </c>
      <c r="M27" s="41" t="s">
        <v>96</v>
      </c>
      <c r="N27" s="41" t="s">
        <v>97</v>
      </c>
      <c r="O27" s="9"/>
      <c r="P27" s="91"/>
      <c r="Q27" s="9"/>
      <c r="R27" s="34" t="s">
        <v>1003</v>
      </c>
      <c r="S27" s="9"/>
      <c r="T27" s="91"/>
      <c r="U27" s="9"/>
      <c r="V27" s="110">
        <v>0.45100717038006649</v>
      </c>
      <c r="W27" s="111">
        <v>0.44975617776212545</v>
      </c>
      <c r="X27" s="112">
        <v>0.91420372374337788</v>
      </c>
      <c r="Y27" s="112">
        <v>0.30473457458112602</v>
      </c>
      <c r="Z27" s="9"/>
      <c r="AA27" s="91"/>
      <c r="AB27" s="9"/>
      <c r="AC27" s="9"/>
    </row>
    <row r="28" spans="1:29" hidden="1" outlineLevel="3">
      <c r="B28" s="29"/>
      <c r="C28" s="30"/>
      <c r="D28" s="9"/>
      <c r="E28" s="91"/>
      <c r="F28" s="9"/>
      <c r="G28" s="119" t="s">
        <v>1003</v>
      </c>
      <c r="H28" s="9"/>
      <c r="I28" s="91"/>
      <c r="J28" s="9"/>
      <c r="K28" s="140" t="s">
        <v>33</v>
      </c>
      <c r="L28" s="41" t="s">
        <v>788</v>
      </c>
      <c r="M28" s="141"/>
      <c r="N28" s="41"/>
      <c r="O28" s="9"/>
      <c r="P28" s="91"/>
      <c r="Q28" s="9"/>
      <c r="R28" s="34" t="s">
        <v>1003</v>
      </c>
      <c r="S28" s="9"/>
      <c r="T28" s="91"/>
      <c r="U28" s="9"/>
      <c r="V28" s="97">
        <v>0.60946914916225203</v>
      </c>
      <c r="W28" s="112">
        <v>1.2189382983245041</v>
      </c>
      <c r="X28" s="108"/>
      <c r="Y28" s="112"/>
      <c r="Z28" s="9"/>
      <c r="AA28" s="91"/>
      <c r="AB28" s="9"/>
      <c r="AC28" s="9"/>
    </row>
    <row r="29" spans="1:29" ht="27.6" hidden="1" outlineLevel="3">
      <c r="B29" s="29"/>
      <c r="C29" s="30"/>
      <c r="D29" s="9"/>
      <c r="E29" s="91"/>
      <c r="F29" s="9"/>
      <c r="G29" s="119" t="s">
        <v>1003</v>
      </c>
      <c r="H29" s="9"/>
      <c r="I29" s="91"/>
      <c r="J29" s="9"/>
      <c r="K29" s="140" t="s">
        <v>1213</v>
      </c>
      <c r="L29" s="93"/>
      <c r="M29" s="141"/>
      <c r="N29" s="41"/>
      <c r="O29" s="9"/>
      <c r="P29" s="91"/>
      <c r="Q29" s="9"/>
      <c r="R29" s="34" t="s">
        <v>1003</v>
      </c>
      <c r="S29" s="9"/>
      <c r="T29" s="91"/>
      <c r="U29" s="9"/>
      <c r="V29" s="97">
        <v>0.30473457458112602</v>
      </c>
      <c r="W29" s="109"/>
      <c r="X29" s="108"/>
      <c r="Y29" s="112"/>
      <c r="Z29" s="9"/>
      <c r="AA29" s="91"/>
      <c r="AB29" s="9"/>
      <c r="AC29" s="9"/>
    </row>
    <row r="30" spans="1:29" hidden="1" outlineLevel="3">
      <c r="B30" s="29"/>
      <c r="C30" s="30"/>
      <c r="D30" s="9"/>
      <c r="E30" s="91"/>
      <c r="F30" s="9"/>
      <c r="G30" s="119" t="s">
        <v>1003</v>
      </c>
      <c r="H30" s="9"/>
      <c r="I30" s="91"/>
      <c r="J30" s="9"/>
      <c r="K30" s="140" t="s">
        <v>335</v>
      </c>
      <c r="L30" s="93"/>
      <c r="M30" s="141"/>
      <c r="N30" s="41"/>
      <c r="O30" s="9"/>
      <c r="P30" s="91"/>
      <c r="Q30" s="9"/>
      <c r="R30" s="34" t="s">
        <v>1003</v>
      </c>
      <c r="S30" s="9"/>
      <c r="T30" s="91"/>
      <c r="U30" s="9"/>
      <c r="V30" s="97">
        <v>0.30473457458112602</v>
      </c>
      <c r="W30" s="109"/>
      <c r="X30" s="108"/>
      <c r="Y30" s="112"/>
      <c r="Z30" s="9"/>
      <c r="AA30" s="91"/>
      <c r="AB30" s="9"/>
      <c r="AC30" s="9"/>
    </row>
    <row r="31" spans="1:29" ht="3" hidden="1" customHeight="1" outlineLevel="2">
      <c r="B31" s="29"/>
      <c r="C31" s="30"/>
      <c r="D31" s="9"/>
      <c r="E31" s="91"/>
      <c r="F31" s="9"/>
      <c r="G31" s="119"/>
      <c r="H31" s="9"/>
      <c r="I31" s="91"/>
      <c r="J31" s="9"/>
      <c r="K31" s="76"/>
      <c r="L31" s="43"/>
      <c r="M31" s="43"/>
      <c r="N31" s="43"/>
      <c r="O31" s="9"/>
      <c r="P31" s="91"/>
      <c r="Q31" s="9"/>
      <c r="R31" s="34"/>
      <c r="S31" s="9"/>
      <c r="T31" s="91"/>
      <c r="U31" s="9"/>
      <c r="V31" s="76"/>
      <c r="W31" s="43"/>
      <c r="X31" s="43"/>
      <c r="Y31" s="43"/>
      <c r="Z31" s="9"/>
      <c r="AA31" s="91"/>
      <c r="AB31" s="9"/>
      <c r="AC31" s="9"/>
    </row>
    <row r="32" spans="1:29" s="22" customFormat="1" hidden="1" outlineLevel="2" collapsed="1">
      <c r="A32" s="22">
        <v>1</v>
      </c>
      <c r="B32" s="23" t="s">
        <v>1214</v>
      </c>
      <c r="C32" s="23"/>
      <c r="D32" s="9"/>
      <c r="E32" s="91"/>
      <c r="F32" s="9"/>
      <c r="G32" s="125">
        <f>SUM(K32:N32)</f>
        <v>6</v>
      </c>
      <c r="H32" s="9"/>
      <c r="I32" s="91"/>
      <c r="J32" s="9"/>
      <c r="K32" s="72">
        <f>COUNTA(K33:K35)</f>
        <v>1</v>
      </c>
      <c r="L32" s="72">
        <f>COUNTA(L33:L35)</f>
        <v>2</v>
      </c>
      <c r="M32" s="72">
        <f>COUNTA(M33:M35)</f>
        <v>2</v>
      </c>
      <c r="N32" s="72">
        <f>COUNTA(N33:N35)</f>
        <v>1</v>
      </c>
      <c r="O32" s="9"/>
      <c r="P32" s="91"/>
      <c r="Q32" s="9"/>
      <c r="R32" s="83">
        <f>SUM(V32:Y32)</f>
        <v>6.4562500000000016</v>
      </c>
      <c r="S32" s="9"/>
      <c r="T32" s="91"/>
      <c r="U32" s="9"/>
      <c r="V32" s="82">
        <f>SUM(V33:V35)</f>
        <v>1.0225000000000002</v>
      </c>
      <c r="W32" s="82">
        <f>SUM(W33:W35)</f>
        <v>2.0450000000000004</v>
      </c>
      <c r="X32" s="82">
        <f>SUM(X33:X35)</f>
        <v>1.5337500000000004</v>
      </c>
      <c r="Y32" s="82">
        <f>SUM(Y33:Y35)</f>
        <v>1.8550000000000002</v>
      </c>
      <c r="Z32" s="9"/>
      <c r="AA32" s="91"/>
      <c r="AB32" s="9"/>
      <c r="AC32" s="9"/>
    </row>
    <row r="33" spans="1:29" ht="27.6" hidden="1" outlineLevel="3">
      <c r="B33" s="29"/>
      <c r="C33" s="30"/>
      <c r="D33" s="9"/>
      <c r="E33" s="91"/>
      <c r="F33" s="9"/>
      <c r="G33" s="119" t="s">
        <v>1003</v>
      </c>
      <c r="H33" s="9"/>
      <c r="I33" s="91"/>
      <c r="J33" s="9"/>
      <c r="K33" s="36" t="s">
        <v>334</v>
      </c>
      <c r="L33" s="100" t="s">
        <v>32</v>
      </c>
      <c r="M33" s="43" t="s">
        <v>197</v>
      </c>
      <c r="N33" s="43" t="s">
        <v>842</v>
      </c>
      <c r="O33" s="9"/>
      <c r="P33" s="91"/>
      <c r="Q33" s="9"/>
      <c r="R33" s="34" t="s">
        <v>1003</v>
      </c>
      <c r="S33" s="9"/>
      <c r="T33" s="91"/>
      <c r="U33" s="9"/>
      <c r="V33" s="103">
        <v>1.0225000000000002</v>
      </c>
      <c r="W33" s="101">
        <v>1.0225000000000002</v>
      </c>
      <c r="X33" s="97">
        <v>0.51125000000000009</v>
      </c>
      <c r="Y33" s="97">
        <v>1.8550000000000002</v>
      </c>
      <c r="Z33" s="9"/>
      <c r="AA33" s="91"/>
      <c r="AB33" s="9"/>
      <c r="AC33" s="9"/>
    </row>
    <row r="34" spans="1:29" hidden="1" outlineLevel="3">
      <c r="B34" s="29"/>
      <c r="C34" s="30"/>
      <c r="D34" s="9"/>
      <c r="E34" s="91"/>
      <c r="F34" s="9"/>
      <c r="G34" s="119" t="s">
        <v>1003</v>
      </c>
      <c r="H34" s="9"/>
      <c r="I34" s="91"/>
      <c r="J34" s="9"/>
      <c r="K34" s="36"/>
      <c r="L34" s="43" t="s">
        <v>33</v>
      </c>
      <c r="M34" s="43" t="s">
        <v>335</v>
      </c>
      <c r="N34" s="4"/>
      <c r="O34" s="9"/>
      <c r="P34" s="91"/>
      <c r="Q34" s="9"/>
      <c r="R34" s="34" t="s">
        <v>1003</v>
      </c>
      <c r="S34" s="9"/>
      <c r="T34" s="91"/>
      <c r="U34" s="9"/>
      <c r="V34" s="103"/>
      <c r="W34" s="97">
        <v>1.0225000000000002</v>
      </c>
      <c r="X34" s="97">
        <v>1.0225000000000002</v>
      </c>
      <c r="Y34" s="98"/>
      <c r="Z34" s="9"/>
      <c r="AA34" s="91"/>
      <c r="AB34" s="9"/>
      <c r="AC34" s="9"/>
    </row>
    <row r="35" spans="1:29" hidden="1" outlineLevel="3">
      <c r="B35" s="29"/>
      <c r="C35" s="30"/>
      <c r="D35" s="9"/>
      <c r="E35" s="91"/>
      <c r="F35" s="9"/>
      <c r="G35" s="119" t="s">
        <v>1003</v>
      </c>
      <c r="H35" s="9"/>
      <c r="I35" s="91"/>
      <c r="J35" s="9"/>
      <c r="K35" s="36"/>
      <c r="L35" s="43"/>
      <c r="M35" s="75"/>
      <c r="N35" s="75"/>
      <c r="O35" s="9"/>
      <c r="P35" s="91"/>
      <c r="Q35" s="9"/>
      <c r="R35" s="34" t="s">
        <v>1003</v>
      </c>
      <c r="S35" s="9"/>
      <c r="T35" s="91"/>
      <c r="U35" s="9"/>
      <c r="V35" s="103"/>
      <c r="W35" s="97"/>
      <c r="X35" s="109"/>
      <c r="Y35" s="109"/>
      <c r="Z35" s="9"/>
      <c r="AA35" s="91"/>
      <c r="AB35" s="9"/>
      <c r="AC35" s="9"/>
    </row>
    <row r="36" spans="1:29" ht="3" hidden="1" customHeight="1" outlineLevel="2">
      <c r="B36" s="29"/>
      <c r="C36" s="30"/>
      <c r="D36" s="9"/>
      <c r="E36" s="91"/>
      <c r="F36" s="9"/>
      <c r="G36" s="119"/>
      <c r="H36" s="9"/>
      <c r="I36" s="91"/>
      <c r="J36" s="9"/>
      <c r="K36" s="76"/>
      <c r="L36" s="43"/>
      <c r="M36" s="43"/>
      <c r="N36" s="43"/>
      <c r="O36" s="9"/>
      <c r="P36" s="91"/>
      <c r="Q36" s="9"/>
      <c r="R36" s="34"/>
      <c r="S36" s="9"/>
      <c r="T36" s="91"/>
      <c r="U36" s="9"/>
      <c r="V36" s="76"/>
      <c r="W36" s="43"/>
      <c r="X36" s="43"/>
      <c r="Y36" s="43"/>
      <c r="Z36" s="9"/>
      <c r="AA36" s="91"/>
      <c r="AB36" s="9"/>
      <c r="AC36" s="9"/>
    </row>
    <row r="37" spans="1:29" s="22" customFormat="1" hidden="1" outlineLevel="2" collapsed="1">
      <c r="A37" s="22">
        <v>1</v>
      </c>
      <c r="B37" s="23" t="s">
        <v>832</v>
      </c>
      <c r="C37" s="23"/>
      <c r="D37" s="9"/>
      <c r="E37" s="91"/>
      <c r="F37" s="9"/>
      <c r="G37" s="125">
        <f>SUM(K37:N37)</f>
        <v>6</v>
      </c>
      <c r="H37" s="9"/>
      <c r="I37" s="91"/>
      <c r="J37" s="9"/>
      <c r="K37" s="72">
        <f>COUNTA(K38:K39)</f>
        <v>1</v>
      </c>
      <c r="L37" s="72">
        <f>COUNTA(L38:L39)</f>
        <v>2</v>
      </c>
      <c r="M37" s="72">
        <f>COUNTA(M38:M39)</f>
        <v>2</v>
      </c>
      <c r="N37" s="72">
        <f>COUNTA(N38:N39)</f>
        <v>1</v>
      </c>
      <c r="O37" s="9"/>
      <c r="P37" s="91"/>
      <c r="Q37" s="9"/>
      <c r="R37" s="83">
        <f>SUM(V37:Y37)</f>
        <v>6.3087500000000007</v>
      </c>
      <c r="S37" s="9"/>
      <c r="T37" s="91"/>
      <c r="U37" s="9"/>
      <c r="V37" s="82">
        <f>SUM(V38:V40)</f>
        <v>0.77750000000000008</v>
      </c>
      <c r="W37" s="82">
        <f>SUM(W38:W40)</f>
        <v>2.9600000000000004</v>
      </c>
      <c r="X37" s="82">
        <f>SUM(X38:X40)</f>
        <v>2.1825000000000001</v>
      </c>
      <c r="Y37" s="82">
        <f>SUM(Y38:Y40)</f>
        <v>0.38875000000000004</v>
      </c>
      <c r="Z37" s="9"/>
      <c r="AA37" s="91"/>
      <c r="AB37" s="9"/>
      <c r="AC37" s="9"/>
    </row>
    <row r="38" spans="1:29" ht="27.6" hidden="1" outlineLevel="3">
      <c r="B38" s="29"/>
      <c r="C38" s="30"/>
      <c r="D38" s="9"/>
      <c r="E38" s="91"/>
      <c r="F38" s="9"/>
      <c r="G38" s="119" t="s">
        <v>1003</v>
      </c>
      <c r="H38" s="9"/>
      <c r="I38" s="91"/>
      <c r="J38" s="9"/>
      <c r="K38" s="36" t="s">
        <v>334</v>
      </c>
      <c r="L38" s="100" t="s">
        <v>32</v>
      </c>
      <c r="M38" s="43" t="s">
        <v>842</v>
      </c>
      <c r="N38" s="43" t="s">
        <v>197</v>
      </c>
      <c r="O38" s="9"/>
      <c r="P38" s="91"/>
      <c r="Q38" s="9"/>
      <c r="R38" s="34" t="s">
        <v>1003</v>
      </c>
      <c r="S38" s="9"/>
      <c r="T38" s="91"/>
      <c r="U38" s="9"/>
      <c r="V38" s="103">
        <v>0.77750000000000008</v>
      </c>
      <c r="W38" s="101">
        <v>1.4050000000000002</v>
      </c>
      <c r="X38" s="97">
        <v>1.4050000000000002</v>
      </c>
      <c r="Y38" s="97">
        <v>0.38875000000000004</v>
      </c>
      <c r="Z38" s="9"/>
      <c r="AA38" s="91"/>
      <c r="AB38" s="9"/>
      <c r="AC38" s="9"/>
    </row>
    <row r="39" spans="1:29" hidden="1" outlineLevel="3">
      <c r="B39" s="29"/>
      <c r="C39" s="30"/>
      <c r="D39" s="9"/>
      <c r="E39" s="91"/>
      <c r="F39" s="9"/>
      <c r="G39" s="119" t="s">
        <v>1003</v>
      </c>
      <c r="H39" s="9"/>
      <c r="I39" s="91"/>
      <c r="J39" s="9"/>
      <c r="K39" s="36"/>
      <c r="L39" s="43" t="s">
        <v>33</v>
      </c>
      <c r="M39" s="43" t="s">
        <v>335</v>
      </c>
      <c r="N39" s="4"/>
      <c r="O39" s="9"/>
      <c r="P39" s="91"/>
      <c r="Q39" s="9"/>
      <c r="R39" s="34" t="s">
        <v>1003</v>
      </c>
      <c r="S39" s="9"/>
      <c r="T39" s="91"/>
      <c r="U39" s="9"/>
      <c r="V39" s="103"/>
      <c r="W39" s="97">
        <v>1.5550000000000002</v>
      </c>
      <c r="X39" s="97">
        <v>0.77750000000000008</v>
      </c>
      <c r="Y39" s="98"/>
      <c r="Z39" s="9"/>
      <c r="AA39" s="91"/>
      <c r="AB39" s="9"/>
      <c r="AC39" s="9"/>
    </row>
    <row r="40" spans="1:29" ht="3" hidden="1" customHeight="1" outlineLevel="2">
      <c r="B40" s="29"/>
      <c r="C40" s="30"/>
      <c r="D40" s="9"/>
      <c r="E40" s="91"/>
      <c r="F40" s="9"/>
      <c r="G40" s="119"/>
      <c r="H40" s="9"/>
      <c r="I40" s="91"/>
      <c r="J40" s="9"/>
      <c r="K40" s="76"/>
      <c r="L40" s="43"/>
      <c r="M40" s="43"/>
      <c r="N40" s="43"/>
      <c r="O40" s="9"/>
      <c r="P40" s="91"/>
      <c r="Q40" s="9"/>
      <c r="R40" s="34"/>
      <c r="S40" s="9"/>
      <c r="T40" s="91"/>
      <c r="U40" s="9"/>
      <c r="V40" s="76"/>
      <c r="W40" s="43"/>
      <c r="X40" s="43"/>
      <c r="Y40" s="43"/>
      <c r="Z40" s="9"/>
      <c r="AA40" s="91"/>
      <c r="AB40" s="9"/>
      <c r="AC40" s="9"/>
    </row>
    <row r="41" spans="1:29" s="22" customFormat="1" hidden="1" outlineLevel="2" collapsed="1">
      <c r="A41" s="22">
        <v>1</v>
      </c>
      <c r="B41" s="23" t="s">
        <v>313</v>
      </c>
      <c r="C41" s="23"/>
      <c r="D41" s="9"/>
      <c r="E41" s="91"/>
      <c r="F41" s="9"/>
      <c r="G41" s="125">
        <f>SUM(K41:N41)</f>
        <v>6</v>
      </c>
      <c r="H41" s="9"/>
      <c r="I41" s="91"/>
      <c r="J41" s="9"/>
      <c r="K41" s="72">
        <f>COUNTA(K42:K43)</f>
        <v>1</v>
      </c>
      <c r="L41" s="72">
        <f>COUNTA(L42:L43)</f>
        <v>2</v>
      </c>
      <c r="M41" s="72">
        <f>COUNTA(M42:M43)</f>
        <v>2</v>
      </c>
      <c r="N41" s="72">
        <f>COUNTA(N42:N43)</f>
        <v>1</v>
      </c>
      <c r="O41" s="9"/>
      <c r="P41" s="91"/>
      <c r="Q41" s="9"/>
      <c r="R41" s="83">
        <f>SUM(V41:Y41)</f>
        <v>2.2047750000000002</v>
      </c>
      <c r="S41" s="153"/>
      <c r="T41" s="155"/>
      <c r="U41" s="153"/>
      <c r="V41" s="82">
        <f>SUM(V42:V44)</f>
        <v>0.244975</v>
      </c>
      <c r="W41" s="82">
        <f>SUM(W42:W44)</f>
        <v>0.97989999999999999</v>
      </c>
      <c r="X41" s="82">
        <f>SUM(X42:X44)</f>
        <v>0.73492500000000005</v>
      </c>
      <c r="Y41" s="82">
        <f>SUM(Y42:Y44)</f>
        <v>0.244975</v>
      </c>
      <c r="Z41" s="9"/>
      <c r="AA41" s="91"/>
      <c r="AB41" s="9"/>
      <c r="AC41" s="9"/>
    </row>
    <row r="42" spans="1:29" ht="27.6" hidden="1" outlineLevel="3">
      <c r="B42" s="29"/>
      <c r="C42" s="30"/>
      <c r="D42" s="9"/>
      <c r="E42" s="91"/>
      <c r="F42" s="9"/>
      <c r="G42" s="119" t="s">
        <v>1003</v>
      </c>
      <c r="H42" s="9"/>
      <c r="I42" s="91"/>
      <c r="J42" s="9"/>
      <c r="K42" s="36" t="s">
        <v>334</v>
      </c>
      <c r="L42" s="100" t="s">
        <v>32</v>
      </c>
      <c r="M42" s="43" t="s">
        <v>842</v>
      </c>
      <c r="N42" s="43" t="s">
        <v>197</v>
      </c>
      <c r="O42" s="9"/>
      <c r="P42" s="91"/>
      <c r="Q42" s="9"/>
      <c r="R42" s="34" t="s">
        <v>1003</v>
      </c>
      <c r="S42" s="9"/>
      <c r="T42" s="91"/>
      <c r="U42" s="9"/>
      <c r="V42" s="103">
        <v>0.244975</v>
      </c>
      <c r="W42" s="101">
        <v>0.48995</v>
      </c>
      <c r="X42" s="97">
        <v>0.48995</v>
      </c>
      <c r="Y42" s="97">
        <v>0.244975</v>
      </c>
      <c r="Z42" s="9"/>
      <c r="AA42" s="91"/>
      <c r="AB42" s="9"/>
      <c r="AC42" s="9"/>
    </row>
    <row r="43" spans="1:29" hidden="1" outlineLevel="3">
      <c r="B43" s="29"/>
      <c r="C43" s="30"/>
      <c r="D43" s="9"/>
      <c r="E43" s="91"/>
      <c r="F43" s="9"/>
      <c r="G43" s="119"/>
      <c r="H43" s="9"/>
      <c r="I43" s="91"/>
      <c r="J43" s="9"/>
      <c r="K43" s="36"/>
      <c r="L43" s="43" t="s">
        <v>33</v>
      </c>
      <c r="M43" s="43" t="s">
        <v>335</v>
      </c>
      <c r="N43" s="4"/>
      <c r="O43" s="9"/>
      <c r="P43" s="91"/>
      <c r="Q43" s="9"/>
      <c r="R43" s="34"/>
      <c r="S43" s="9"/>
      <c r="T43" s="91"/>
      <c r="U43" s="9"/>
      <c r="V43" s="103"/>
      <c r="W43" s="97">
        <v>0.48995</v>
      </c>
      <c r="X43" s="97">
        <v>0.244975</v>
      </c>
      <c r="Y43" s="98"/>
      <c r="Z43" s="9"/>
      <c r="AA43" s="91"/>
      <c r="AB43" s="9"/>
      <c r="AC43" s="9"/>
    </row>
    <row r="44" spans="1:29" ht="3" hidden="1" customHeight="1" outlineLevel="2">
      <c r="B44" s="29"/>
      <c r="C44" s="30"/>
      <c r="D44" s="9"/>
      <c r="E44" s="91"/>
      <c r="F44" s="9"/>
      <c r="G44" s="119"/>
      <c r="H44" s="9"/>
      <c r="I44" s="91"/>
      <c r="J44" s="9"/>
      <c r="K44" s="76"/>
      <c r="O44" s="9"/>
      <c r="P44" s="91"/>
      <c r="Q44" s="9"/>
      <c r="R44" s="34"/>
      <c r="S44" s="9"/>
      <c r="T44" s="91"/>
      <c r="U44" s="9"/>
      <c r="V44" s="76"/>
      <c r="Z44" s="9"/>
      <c r="AA44" s="91"/>
      <c r="AB44" s="9"/>
      <c r="AC44" s="9"/>
    </row>
    <row r="45" spans="1:29" s="22" customFormat="1" hidden="1" outlineLevel="2" collapsed="1">
      <c r="A45" s="22">
        <v>1</v>
      </c>
      <c r="B45" s="23" t="s">
        <v>1007</v>
      </c>
      <c r="C45" s="23"/>
      <c r="D45" s="9"/>
      <c r="E45" s="91"/>
      <c r="F45" s="9"/>
      <c r="G45" s="125">
        <f>SUM(K45:N45)</f>
        <v>2</v>
      </c>
      <c r="H45" s="9"/>
      <c r="I45" s="91"/>
      <c r="J45" s="9"/>
      <c r="K45" s="72">
        <f>COUNTA(K46:K47)</f>
        <v>0</v>
      </c>
      <c r="L45" s="72">
        <f>COUNTA(L46:L47)</f>
        <v>0</v>
      </c>
      <c r="M45" s="72">
        <f>COUNTA(M46:M47)</f>
        <v>1</v>
      </c>
      <c r="N45" s="72">
        <f>COUNTA(N46:N47)</f>
        <v>1</v>
      </c>
      <c r="O45" s="9"/>
      <c r="P45" s="91"/>
      <c r="Q45" s="9"/>
      <c r="R45" s="83">
        <f>SUM(V45:Y45)</f>
        <v>0.8</v>
      </c>
      <c r="S45" s="9"/>
      <c r="T45" s="91"/>
      <c r="U45" s="9"/>
      <c r="V45" s="82">
        <f>SUM(V46:V47)</f>
        <v>0</v>
      </c>
      <c r="W45" s="82">
        <f>SUM(W46:W47)</f>
        <v>0</v>
      </c>
      <c r="X45" s="82">
        <f>SUM(X46:X47)</f>
        <v>0.4</v>
      </c>
      <c r="Y45" s="82">
        <f>SUM(Y46:Y47)</f>
        <v>0.4</v>
      </c>
      <c r="Z45" s="9"/>
      <c r="AA45" s="91"/>
      <c r="AB45" s="9"/>
      <c r="AC45" s="9"/>
    </row>
    <row r="46" spans="1:29" hidden="1" outlineLevel="3">
      <c r="B46" s="29"/>
      <c r="C46" s="30"/>
      <c r="D46" s="9"/>
      <c r="E46" s="91"/>
      <c r="F46" s="9"/>
      <c r="G46" s="119" t="s">
        <v>1003</v>
      </c>
      <c r="H46" s="9"/>
      <c r="I46" s="91"/>
      <c r="J46" s="9"/>
      <c r="K46" s="4"/>
      <c r="L46" s="37"/>
      <c r="M46" s="37" t="s">
        <v>32</v>
      </c>
      <c r="N46" s="37" t="s">
        <v>34</v>
      </c>
      <c r="O46" s="9"/>
      <c r="P46" s="91"/>
      <c r="Q46" s="9"/>
      <c r="R46" s="34" t="s">
        <v>1003</v>
      </c>
      <c r="S46" s="9"/>
      <c r="T46" s="91"/>
      <c r="U46" s="9"/>
      <c r="V46" s="103"/>
      <c r="W46" s="37"/>
      <c r="X46" s="37">
        <v>0.4</v>
      </c>
      <c r="Y46" s="37">
        <v>0.4</v>
      </c>
      <c r="Z46" s="9"/>
      <c r="AA46" s="91"/>
      <c r="AB46" s="9"/>
      <c r="AC46" s="9"/>
    </row>
    <row r="47" spans="1:29" hidden="1" outlineLevel="3">
      <c r="B47" s="29"/>
      <c r="C47" s="30"/>
      <c r="D47" s="9"/>
      <c r="E47" s="91"/>
      <c r="F47" s="9"/>
      <c r="G47" s="119" t="s">
        <v>1003</v>
      </c>
      <c r="H47" s="9"/>
      <c r="I47" s="91"/>
      <c r="J47" s="9"/>
      <c r="K47" s="4"/>
      <c r="M47" s="74"/>
      <c r="N47" s="37"/>
      <c r="O47" s="9"/>
      <c r="P47" s="91"/>
      <c r="Q47" s="9"/>
      <c r="R47" s="34"/>
      <c r="S47" s="9"/>
      <c r="T47" s="91"/>
      <c r="U47" s="9"/>
      <c r="V47" s="98"/>
      <c r="X47" s="74"/>
      <c r="Y47" s="37"/>
      <c r="Z47" s="9"/>
      <c r="AA47" s="91"/>
      <c r="AB47" s="9"/>
      <c r="AC47" s="9"/>
    </row>
    <row r="48" spans="1:29" ht="3" hidden="1" customHeight="1" outlineLevel="2">
      <c r="B48" s="3"/>
      <c r="C48" s="3"/>
      <c r="D48" s="9"/>
      <c r="E48" s="91"/>
      <c r="F48" s="9"/>
      <c r="G48" s="122"/>
      <c r="H48" s="9"/>
      <c r="I48" s="91"/>
      <c r="J48" s="9"/>
      <c r="O48" s="9"/>
      <c r="P48" s="91"/>
      <c r="Q48" s="9"/>
      <c r="R48" s="115"/>
      <c r="S48" s="9"/>
      <c r="T48" s="91"/>
      <c r="U48" s="9"/>
      <c r="Z48" s="9"/>
      <c r="AA48" s="91"/>
      <c r="AB48" s="9"/>
      <c r="AC48" s="9"/>
    </row>
    <row r="49" spans="1:29" s="22" customFormat="1" hidden="1" outlineLevel="2" collapsed="1">
      <c r="A49" s="22">
        <v>1</v>
      </c>
      <c r="B49" s="23" t="s">
        <v>1206</v>
      </c>
      <c r="C49" s="23"/>
      <c r="D49" s="9"/>
      <c r="E49" s="91"/>
      <c r="F49" s="9"/>
      <c r="G49" s="125">
        <f>SUM(K49:N49)</f>
        <v>6</v>
      </c>
      <c r="H49" s="9"/>
      <c r="I49" s="91"/>
      <c r="J49" s="9"/>
      <c r="K49" s="72">
        <f>COUNTA(K50:K51)</f>
        <v>2</v>
      </c>
      <c r="L49" s="72">
        <f>COUNTA(L50:L51)</f>
        <v>2</v>
      </c>
      <c r="M49" s="72">
        <f>COUNTA(M50:M51)</f>
        <v>1</v>
      </c>
      <c r="N49" s="72">
        <f>COUNTA(N50:N51)</f>
        <v>1</v>
      </c>
      <c r="O49" s="9"/>
      <c r="P49" s="91"/>
      <c r="Q49" s="9"/>
      <c r="R49" s="83">
        <f>SUM(V49:Y49)</f>
        <v>3.8150000000000004</v>
      </c>
      <c r="S49" s="9"/>
      <c r="T49" s="91"/>
      <c r="U49" s="9"/>
      <c r="V49" s="82">
        <f>SUM(V50:V51)</f>
        <v>1.32</v>
      </c>
      <c r="W49" s="82">
        <f>SUM(W50:W51)</f>
        <v>1.4100000000000001</v>
      </c>
      <c r="X49" s="82">
        <f>SUM(X50:X51)</f>
        <v>0.85000000000000009</v>
      </c>
      <c r="Y49" s="82">
        <f>SUM(Y50:Y51)</f>
        <v>0.23500000000000001</v>
      </c>
      <c r="Z49" s="9"/>
      <c r="AA49" s="91"/>
      <c r="AB49" s="9"/>
      <c r="AC49" s="9"/>
    </row>
    <row r="50" spans="1:29" hidden="1" outlineLevel="3">
      <c r="B50" s="29"/>
      <c r="C50" s="30"/>
      <c r="D50" s="9"/>
      <c r="E50" s="91"/>
      <c r="F50" s="9"/>
      <c r="G50" s="119" t="s">
        <v>1003</v>
      </c>
      <c r="H50" s="9"/>
      <c r="I50" s="91"/>
      <c r="J50" s="9"/>
      <c r="K50" s="37" t="s">
        <v>334</v>
      </c>
      <c r="L50" s="37" t="s">
        <v>335</v>
      </c>
      <c r="M50" s="37" t="s">
        <v>34</v>
      </c>
      <c r="N50" s="37" t="s">
        <v>471</v>
      </c>
      <c r="O50" s="9"/>
      <c r="P50" s="91"/>
      <c r="Q50" s="9"/>
      <c r="R50" s="34" t="s">
        <v>1003</v>
      </c>
      <c r="S50" s="9"/>
      <c r="T50" s="91"/>
      <c r="U50" s="9"/>
      <c r="V50" s="104">
        <v>0.47000000000000003</v>
      </c>
      <c r="W50" s="104">
        <v>0.47000000000000003</v>
      </c>
      <c r="X50" s="104">
        <v>0.85000000000000009</v>
      </c>
      <c r="Y50" s="104">
        <v>0.23500000000000001</v>
      </c>
      <c r="Z50" s="9"/>
      <c r="AA50" s="91"/>
      <c r="AB50" s="9"/>
      <c r="AC50" s="9"/>
    </row>
    <row r="51" spans="1:29" hidden="1" outlineLevel="3">
      <c r="B51" s="29"/>
      <c r="C51" s="30"/>
      <c r="D51" s="9"/>
      <c r="E51" s="91"/>
      <c r="F51" s="9"/>
      <c r="G51" s="119" t="s">
        <v>1003</v>
      </c>
      <c r="H51" s="9"/>
      <c r="I51" s="91"/>
      <c r="J51" s="9"/>
      <c r="K51" s="37" t="s">
        <v>32</v>
      </c>
      <c r="L51" s="37" t="s">
        <v>33</v>
      </c>
      <c r="M51" s="4"/>
      <c r="N51" s="4"/>
      <c r="O51" s="9"/>
      <c r="P51" s="91"/>
      <c r="Q51" s="9"/>
      <c r="R51" s="34" t="s">
        <v>1003</v>
      </c>
      <c r="S51" s="9"/>
      <c r="T51" s="91"/>
      <c r="U51" s="9"/>
      <c r="V51" s="104">
        <v>0.85000000000000009</v>
      </c>
      <c r="W51" s="104">
        <v>0.94000000000000006</v>
      </c>
      <c r="X51" s="98"/>
      <c r="Y51" s="98"/>
      <c r="Z51" s="9"/>
      <c r="AA51" s="91"/>
      <c r="AB51" s="9"/>
      <c r="AC51" s="9"/>
    </row>
    <row r="52" spans="1:29" ht="3" hidden="1" customHeight="1" outlineLevel="2">
      <c r="B52" s="29"/>
      <c r="C52" s="30"/>
      <c r="D52" s="9"/>
      <c r="E52" s="91"/>
      <c r="F52" s="9"/>
      <c r="G52" s="119"/>
      <c r="H52" s="9"/>
      <c r="I52" s="91"/>
      <c r="J52" s="9"/>
      <c r="K52" s="76"/>
      <c r="O52" s="9"/>
      <c r="P52" s="91"/>
      <c r="Q52" s="9"/>
      <c r="R52" s="34"/>
      <c r="S52" s="9"/>
      <c r="T52" s="91"/>
      <c r="U52" s="9"/>
      <c r="V52" s="76"/>
      <c r="Z52" s="9"/>
      <c r="AA52" s="91"/>
      <c r="AB52" s="9"/>
      <c r="AC52" s="9"/>
    </row>
    <row r="53" spans="1:29" s="22" customFormat="1" hidden="1" outlineLevel="2" collapsed="1">
      <c r="A53" s="22">
        <v>1</v>
      </c>
      <c r="B53" s="23" t="s">
        <v>1101</v>
      </c>
      <c r="C53" s="23"/>
      <c r="D53" s="9"/>
      <c r="E53" s="91"/>
      <c r="F53" s="9"/>
      <c r="G53" s="125">
        <f>SUM(K53:N53)</f>
        <v>6</v>
      </c>
      <c r="H53" s="9"/>
      <c r="I53" s="91"/>
      <c r="J53" s="9"/>
      <c r="K53" s="72">
        <f>COUNTA(K54:K55)</f>
        <v>2</v>
      </c>
      <c r="L53" s="72">
        <f>COUNTA(L54:L55)</f>
        <v>2</v>
      </c>
      <c r="M53" s="72">
        <f>COUNTA(M54:M55)</f>
        <v>1</v>
      </c>
      <c r="N53" s="72">
        <f>COUNTA(N54:N55)</f>
        <v>1</v>
      </c>
      <c r="O53" s="9"/>
      <c r="P53" s="91"/>
      <c r="Q53" s="9"/>
      <c r="R53" s="83">
        <f>SUM(V53:Y53)</f>
        <v>1.6300000000000001</v>
      </c>
      <c r="S53" s="9"/>
      <c r="T53" s="91"/>
      <c r="U53" s="9"/>
      <c r="V53" s="82">
        <f>SUM(V54:V55)</f>
        <v>0.56500000000000006</v>
      </c>
      <c r="W53" s="82">
        <f>SUM(W54:W55)</f>
        <v>0.60000000000000009</v>
      </c>
      <c r="X53" s="82">
        <f>SUM(X54:X55)</f>
        <v>0.36500000000000005</v>
      </c>
      <c r="Y53" s="82">
        <f>SUM(Y54:Y55)</f>
        <v>0.1</v>
      </c>
      <c r="Z53" s="9"/>
      <c r="AA53" s="91"/>
      <c r="AB53" s="9"/>
      <c r="AC53" s="9"/>
    </row>
    <row r="54" spans="1:29" hidden="1" outlineLevel="3">
      <c r="B54" s="29"/>
      <c r="C54" s="30"/>
      <c r="D54" s="9"/>
      <c r="E54" s="91"/>
      <c r="F54" s="9"/>
      <c r="G54" s="119" t="s">
        <v>1003</v>
      </c>
      <c r="H54" s="9"/>
      <c r="I54" s="91"/>
      <c r="J54" s="9"/>
      <c r="K54" s="37" t="s">
        <v>334</v>
      </c>
      <c r="L54" s="37" t="s">
        <v>335</v>
      </c>
      <c r="M54" s="37" t="s">
        <v>34</v>
      </c>
      <c r="N54" s="37" t="s">
        <v>471</v>
      </c>
      <c r="O54" s="9"/>
      <c r="P54" s="91"/>
      <c r="Q54" s="9"/>
      <c r="R54" s="34" t="s">
        <v>1003</v>
      </c>
      <c r="S54" s="9"/>
      <c r="T54" s="91"/>
      <c r="U54" s="9"/>
      <c r="V54" s="104">
        <v>0.2</v>
      </c>
      <c r="W54" s="104">
        <v>0.2</v>
      </c>
      <c r="X54" s="104">
        <v>0.36500000000000005</v>
      </c>
      <c r="Y54" s="104">
        <v>0.1</v>
      </c>
      <c r="Z54" s="9"/>
      <c r="AA54" s="91"/>
      <c r="AB54" s="9"/>
      <c r="AC54" s="9"/>
    </row>
    <row r="55" spans="1:29" hidden="1" outlineLevel="3">
      <c r="B55" s="29"/>
      <c r="C55" s="30"/>
      <c r="D55" s="9"/>
      <c r="E55" s="91"/>
      <c r="F55" s="9"/>
      <c r="G55" s="119" t="s">
        <v>1003</v>
      </c>
      <c r="H55" s="9"/>
      <c r="I55" s="91"/>
      <c r="J55" s="9"/>
      <c r="K55" s="37" t="s">
        <v>32</v>
      </c>
      <c r="L55" s="37" t="s">
        <v>33</v>
      </c>
      <c r="M55" s="4"/>
      <c r="N55" s="4"/>
      <c r="O55" s="9"/>
      <c r="P55" s="91"/>
      <c r="Q55" s="9"/>
      <c r="R55" s="34" t="s">
        <v>1003</v>
      </c>
      <c r="S55" s="9"/>
      <c r="T55" s="91"/>
      <c r="U55" s="9"/>
      <c r="V55" s="104">
        <v>0.36500000000000005</v>
      </c>
      <c r="W55" s="104">
        <v>0.4</v>
      </c>
      <c r="X55" s="98"/>
      <c r="Y55" s="98"/>
      <c r="Z55" s="9"/>
      <c r="AA55" s="91"/>
      <c r="AB55" s="9"/>
      <c r="AC55" s="9"/>
    </row>
    <row r="56" spans="1:29" ht="3" hidden="1" customHeight="1" outlineLevel="2">
      <c r="B56" s="29"/>
      <c r="C56" s="30"/>
      <c r="D56" s="9"/>
      <c r="E56" s="91"/>
      <c r="F56" s="9"/>
      <c r="G56" s="119"/>
      <c r="H56" s="9"/>
      <c r="I56" s="91"/>
      <c r="J56" s="9"/>
      <c r="K56" s="76"/>
      <c r="O56" s="9"/>
      <c r="P56" s="91"/>
      <c r="Q56" s="9"/>
      <c r="R56" s="34"/>
      <c r="S56" s="9"/>
      <c r="T56" s="91"/>
      <c r="U56" s="9"/>
      <c r="V56" s="76"/>
      <c r="Z56" s="9"/>
      <c r="AA56" s="91"/>
      <c r="AB56" s="9"/>
      <c r="AC56" s="9"/>
    </row>
    <row r="57" spans="1:29" s="22" customFormat="1" hidden="1" outlineLevel="2" collapsed="1">
      <c r="A57" s="22">
        <v>1</v>
      </c>
      <c r="B57" s="23" t="s">
        <v>1215</v>
      </c>
      <c r="C57" s="23"/>
      <c r="D57" s="9"/>
      <c r="E57" s="91"/>
      <c r="F57" s="9"/>
      <c r="G57" s="125">
        <f>SUM(K57:N57)</f>
        <v>5</v>
      </c>
      <c r="H57" s="9"/>
      <c r="I57" s="91"/>
      <c r="J57" s="9"/>
      <c r="K57" s="72">
        <f>COUNTA(K58:K60)</f>
        <v>0</v>
      </c>
      <c r="L57" s="72">
        <f>COUNTA(L58:L60)</f>
        <v>1</v>
      </c>
      <c r="M57" s="72">
        <f>COUNTA(M58:M59)</f>
        <v>2</v>
      </c>
      <c r="N57" s="72">
        <f>COUNTA(N58:N59)</f>
        <v>2</v>
      </c>
      <c r="O57" s="9"/>
      <c r="P57" s="91"/>
      <c r="Q57" s="9"/>
      <c r="R57" s="24">
        <f>SUM(V57:Y57)</f>
        <v>15.840000000000002</v>
      </c>
      <c r="S57" s="9"/>
      <c r="T57" s="91"/>
      <c r="U57" s="9"/>
      <c r="V57" s="72">
        <f>SUM(V58:V60)</f>
        <v>0</v>
      </c>
      <c r="W57" s="72">
        <f>SUM(W58:W60)</f>
        <v>3.5200000000000005</v>
      </c>
      <c r="X57" s="72">
        <f>SUM(X58:X60)</f>
        <v>5.2800000000000011</v>
      </c>
      <c r="Y57" s="72">
        <f>SUM(Y58:Y60)</f>
        <v>7.0400000000000009</v>
      </c>
      <c r="Z57" s="9"/>
      <c r="AA57" s="91"/>
      <c r="AB57" s="9"/>
      <c r="AC57" s="9"/>
    </row>
    <row r="58" spans="1:29" hidden="1" outlineLevel="3">
      <c r="B58" s="29"/>
      <c r="C58" s="30"/>
      <c r="D58" s="9"/>
      <c r="E58" s="91"/>
      <c r="F58" s="9"/>
      <c r="G58" s="119" t="s">
        <v>1003</v>
      </c>
      <c r="H58" s="9"/>
      <c r="I58" s="91"/>
      <c r="J58" s="9"/>
      <c r="K58" s="4"/>
      <c r="L58" s="37" t="s">
        <v>334</v>
      </c>
      <c r="M58" s="37" t="s">
        <v>32</v>
      </c>
      <c r="N58" s="37" t="s">
        <v>34</v>
      </c>
      <c r="O58" s="9"/>
      <c r="P58" s="91"/>
      <c r="Q58" s="9"/>
      <c r="R58" s="34"/>
      <c r="S58" s="9"/>
      <c r="T58" s="91"/>
      <c r="U58" s="9"/>
      <c r="V58" s="36"/>
      <c r="W58" s="36">
        <v>3.5200000000000005</v>
      </c>
      <c r="X58" s="66">
        <v>3.5200000000000005</v>
      </c>
      <c r="Y58" s="66">
        <v>3.5200000000000005</v>
      </c>
      <c r="Z58" s="9"/>
      <c r="AA58" s="91"/>
      <c r="AB58" s="9"/>
      <c r="AC58" s="9"/>
    </row>
    <row r="59" spans="1:29" hidden="1" outlineLevel="3">
      <c r="B59" s="29"/>
      <c r="C59" s="30"/>
      <c r="D59" s="9"/>
      <c r="E59" s="91"/>
      <c r="F59" s="9"/>
      <c r="G59" s="119"/>
      <c r="H59" s="9"/>
      <c r="I59" s="91"/>
      <c r="J59" s="9"/>
      <c r="K59" s="4"/>
      <c r="L59" s="37"/>
      <c r="M59" s="37" t="s">
        <v>33</v>
      </c>
      <c r="N59" s="37" t="s">
        <v>335</v>
      </c>
      <c r="O59" s="9"/>
      <c r="P59" s="91"/>
      <c r="Q59" s="9"/>
      <c r="R59" s="34"/>
      <c r="S59" s="9"/>
      <c r="T59" s="91"/>
      <c r="U59" s="9"/>
      <c r="V59" s="36"/>
      <c r="W59" s="36"/>
      <c r="X59" s="74">
        <v>1.7600000000000002</v>
      </c>
      <c r="Y59" s="74">
        <v>1.7600000000000002</v>
      </c>
      <c r="Z59" s="9"/>
      <c r="AA59" s="91"/>
      <c r="AB59" s="9"/>
      <c r="AC59" s="9"/>
    </row>
    <row r="60" spans="1:29" hidden="1" outlineLevel="3">
      <c r="B60" s="29"/>
      <c r="C60" s="30"/>
      <c r="D60" s="9"/>
      <c r="E60" s="91"/>
      <c r="F60" s="9"/>
      <c r="G60" s="119" t="s">
        <v>1003</v>
      </c>
      <c r="H60" s="9"/>
      <c r="I60" s="91"/>
      <c r="J60" s="9"/>
      <c r="K60" s="4"/>
      <c r="M60" s="4"/>
      <c r="N60" s="4" t="s">
        <v>471</v>
      </c>
      <c r="O60" s="9"/>
      <c r="P60" s="91"/>
      <c r="Q60" s="9"/>
      <c r="R60" s="34"/>
      <c r="S60" s="9"/>
      <c r="T60" s="91"/>
      <c r="U60" s="9"/>
      <c r="V60" s="4"/>
      <c r="W60" s="36"/>
      <c r="Y60" s="74">
        <v>1.7600000000000002</v>
      </c>
      <c r="Z60" s="9"/>
      <c r="AA60" s="91"/>
      <c r="AB60" s="9"/>
      <c r="AC60" s="9"/>
    </row>
    <row r="61" spans="1:29" ht="3" hidden="1" customHeight="1" outlineLevel="2">
      <c r="B61" s="29"/>
      <c r="C61" s="30"/>
      <c r="D61" s="9"/>
      <c r="E61" s="91"/>
      <c r="F61" s="9"/>
      <c r="G61" s="119"/>
      <c r="H61" s="9"/>
      <c r="I61" s="91"/>
      <c r="J61" s="9"/>
      <c r="K61" s="76"/>
      <c r="O61" s="9"/>
      <c r="P61" s="91"/>
      <c r="Q61" s="9"/>
      <c r="R61" s="34"/>
      <c r="S61" s="9"/>
      <c r="T61" s="91"/>
      <c r="U61" s="9"/>
      <c r="V61" s="76"/>
      <c r="Z61" s="9"/>
      <c r="AA61" s="91"/>
      <c r="AB61" s="9"/>
      <c r="AC61" s="9"/>
    </row>
    <row r="62" spans="1:29" s="22" customFormat="1" hidden="1" outlineLevel="2" collapsed="1">
      <c r="A62" s="22">
        <v>1</v>
      </c>
      <c r="B62" s="23" t="s">
        <v>581</v>
      </c>
      <c r="C62" s="23"/>
      <c r="D62" s="9"/>
      <c r="E62" s="91"/>
      <c r="F62" s="9"/>
      <c r="G62" s="125">
        <f>SUM(K62:N62)</f>
        <v>7</v>
      </c>
      <c r="H62" s="9"/>
      <c r="I62" s="91"/>
      <c r="J62" s="9"/>
      <c r="K62" s="72">
        <f>COUNTA(K63:K64)</f>
        <v>2</v>
      </c>
      <c r="L62" s="72">
        <f>COUNTA(L63:L64)</f>
        <v>2</v>
      </c>
      <c r="M62" s="72">
        <f>COUNTA(M63:M64)</f>
        <v>2</v>
      </c>
      <c r="N62" s="72">
        <f>COUNTA(N63:N64)</f>
        <v>1</v>
      </c>
      <c r="O62" s="9"/>
      <c r="P62" s="91"/>
      <c r="Q62" s="9"/>
      <c r="R62" s="83">
        <f>SUM(V62:Y62)</f>
        <v>6.4012500000000001</v>
      </c>
      <c r="S62" s="9"/>
      <c r="T62" s="91"/>
      <c r="U62" s="9"/>
      <c r="V62" s="82">
        <f>SUM(V63:V64)</f>
        <v>1.42</v>
      </c>
      <c r="W62" s="82">
        <f>SUM(W63:W64)</f>
        <v>1.57</v>
      </c>
      <c r="X62" s="82">
        <f>SUM(X63:X64)</f>
        <v>1.1612500000000001</v>
      </c>
      <c r="Y62" s="82">
        <f>SUM(Y63:Y64)</f>
        <v>2.25</v>
      </c>
      <c r="Z62" s="9"/>
      <c r="AA62" s="91"/>
      <c r="AB62" s="9"/>
      <c r="AC62" s="9"/>
    </row>
    <row r="63" spans="1:29" hidden="1" outlineLevel="3">
      <c r="B63" s="29"/>
      <c r="C63" s="30"/>
      <c r="D63" s="9"/>
      <c r="E63" s="91"/>
      <c r="F63" s="9"/>
      <c r="G63" s="119" t="s">
        <v>1003</v>
      </c>
      <c r="H63" s="9"/>
      <c r="I63" s="91"/>
      <c r="J63" s="9"/>
      <c r="K63" s="37" t="s">
        <v>334</v>
      </c>
      <c r="L63" s="37" t="s">
        <v>335</v>
      </c>
      <c r="M63" s="37" t="s">
        <v>34</v>
      </c>
      <c r="N63" s="37" t="s">
        <v>69</v>
      </c>
      <c r="O63" s="9"/>
      <c r="P63" s="91"/>
      <c r="Q63" s="9"/>
      <c r="R63" s="34" t="s">
        <v>1003</v>
      </c>
      <c r="S63" s="9"/>
      <c r="T63" s="91"/>
      <c r="U63" s="9"/>
      <c r="V63" s="104">
        <v>0.52</v>
      </c>
      <c r="W63" s="104">
        <v>0.52</v>
      </c>
      <c r="X63" s="104">
        <v>0.9</v>
      </c>
      <c r="Y63" s="104">
        <v>2.25</v>
      </c>
      <c r="Z63" s="9"/>
      <c r="AA63" s="91"/>
      <c r="AB63" s="9"/>
      <c r="AC63" s="9"/>
    </row>
    <row r="64" spans="1:29" hidden="1" outlineLevel="3">
      <c r="B64" s="29"/>
      <c r="C64" s="30"/>
      <c r="D64" s="9"/>
      <c r="E64" s="91"/>
      <c r="F64" s="9"/>
      <c r="G64" s="119" t="s">
        <v>1003</v>
      </c>
      <c r="H64" s="9"/>
      <c r="I64" s="91"/>
      <c r="J64" s="9"/>
      <c r="K64" s="37" t="s">
        <v>32</v>
      </c>
      <c r="L64" s="37" t="s">
        <v>33</v>
      </c>
      <c r="M64" s="37" t="s">
        <v>471</v>
      </c>
      <c r="N64" s="37"/>
      <c r="O64" s="9"/>
      <c r="P64" s="91"/>
      <c r="Q64" s="9"/>
      <c r="R64" s="34" t="s">
        <v>1003</v>
      </c>
      <c r="S64" s="9"/>
      <c r="T64" s="91"/>
      <c r="U64" s="9"/>
      <c r="V64" s="104">
        <v>0.9</v>
      </c>
      <c r="W64" s="104">
        <v>1.05</v>
      </c>
      <c r="X64" s="104">
        <v>0.26125000000000004</v>
      </c>
      <c r="Y64" s="104"/>
      <c r="Z64" s="9"/>
      <c r="AA64" s="91"/>
      <c r="AB64" s="9"/>
      <c r="AC64" s="9"/>
    </row>
    <row r="65" spans="1:30" ht="3" hidden="1" customHeight="1" outlineLevel="2">
      <c r="B65" s="29"/>
      <c r="C65" s="30"/>
      <c r="D65" s="9"/>
      <c r="E65" s="91"/>
      <c r="F65" s="9"/>
      <c r="G65" s="119"/>
      <c r="H65" s="9"/>
      <c r="I65" s="91"/>
      <c r="J65" s="9"/>
      <c r="K65" s="76"/>
      <c r="O65" s="9"/>
      <c r="P65" s="91"/>
      <c r="Q65" s="9"/>
      <c r="R65" s="34"/>
      <c r="S65" s="9"/>
      <c r="T65" s="91"/>
      <c r="U65" s="9"/>
      <c r="V65" s="76"/>
      <c r="Z65" s="9"/>
      <c r="AA65" s="91"/>
      <c r="AB65" s="9"/>
      <c r="AC65" s="9"/>
    </row>
    <row r="66" spans="1:30" s="22" customFormat="1" hidden="1" outlineLevel="2" collapsed="1">
      <c r="A66" s="22">
        <v>1</v>
      </c>
      <c r="B66" s="23" t="s">
        <v>1216</v>
      </c>
      <c r="C66" s="23"/>
      <c r="D66" s="9"/>
      <c r="E66" s="91"/>
      <c r="F66" s="9"/>
      <c r="G66" s="125">
        <f>SUM(K66:N66)</f>
        <v>4</v>
      </c>
      <c r="H66" s="9"/>
      <c r="I66" s="91"/>
      <c r="J66" s="9"/>
      <c r="K66" s="72">
        <f>COUNTA(K67:K67)</f>
        <v>1</v>
      </c>
      <c r="L66" s="72">
        <f>COUNTA(L67:L67)</f>
        <v>1</v>
      </c>
      <c r="M66" s="72">
        <f>COUNTA(M67:M67)</f>
        <v>1</v>
      </c>
      <c r="N66" s="72">
        <f>COUNTA(N67:N67)</f>
        <v>1</v>
      </c>
      <c r="O66" s="9"/>
      <c r="P66" s="91"/>
      <c r="Q66" s="9"/>
      <c r="R66" s="83">
        <f>SUM(V66:Y66)</f>
        <v>3.7800000000000002</v>
      </c>
      <c r="S66" s="9"/>
      <c r="T66" s="91"/>
      <c r="U66" s="9"/>
      <c r="V66" s="82">
        <f>SUM(V67:V67)</f>
        <v>1.08</v>
      </c>
      <c r="W66" s="82">
        <f>SUM(W67:W67)</f>
        <v>1.08</v>
      </c>
      <c r="X66" s="82">
        <f>SUM(X67:X67)</f>
        <v>0.54</v>
      </c>
      <c r="Y66" s="82">
        <f>SUM(Y67:Y67)</f>
        <v>1.08</v>
      </c>
      <c r="Z66" s="9"/>
      <c r="AA66" s="91"/>
      <c r="AB66" s="9"/>
      <c r="AC66" s="9"/>
    </row>
    <row r="67" spans="1:30" hidden="1" outlineLevel="3">
      <c r="B67" s="29"/>
      <c r="C67" s="30"/>
      <c r="D67" s="9"/>
      <c r="E67" s="91"/>
      <c r="F67" s="9"/>
      <c r="G67" s="119" t="s">
        <v>1003</v>
      </c>
      <c r="H67" s="9"/>
      <c r="I67" s="91"/>
      <c r="J67" s="9"/>
      <c r="K67" s="37" t="s">
        <v>334</v>
      </c>
      <c r="L67" s="37" t="s">
        <v>32</v>
      </c>
      <c r="M67" s="37" t="s">
        <v>33</v>
      </c>
      <c r="N67" s="37" t="s">
        <v>34</v>
      </c>
      <c r="O67" s="9"/>
      <c r="P67" s="91"/>
      <c r="Q67" s="9"/>
      <c r="R67" s="34" t="s">
        <v>1003</v>
      </c>
      <c r="S67" s="9"/>
      <c r="T67" s="91"/>
      <c r="U67" s="9"/>
      <c r="V67" s="104">
        <v>1.08</v>
      </c>
      <c r="W67" s="104">
        <v>1.08</v>
      </c>
      <c r="X67" s="104">
        <v>0.54</v>
      </c>
      <c r="Y67" s="104">
        <v>1.08</v>
      </c>
      <c r="Z67" s="9"/>
      <c r="AA67" s="91"/>
      <c r="AB67" s="9"/>
      <c r="AC67" s="9"/>
    </row>
    <row r="68" spans="1:30" ht="3" hidden="1" customHeight="1" outlineLevel="2">
      <c r="B68" s="29"/>
      <c r="C68" s="30"/>
      <c r="D68" s="9"/>
      <c r="E68" s="91"/>
      <c r="F68" s="9"/>
      <c r="G68" s="119"/>
      <c r="H68" s="9"/>
      <c r="I68" s="91"/>
      <c r="J68" s="9"/>
      <c r="K68" s="76"/>
      <c r="O68" s="9"/>
      <c r="P68" s="91"/>
      <c r="Q68" s="9"/>
      <c r="R68" s="34"/>
      <c r="S68" s="9"/>
      <c r="T68" s="91"/>
      <c r="U68" s="9"/>
      <c r="V68" s="76"/>
      <c r="Z68" s="9"/>
      <c r="AA68" s="91"/>
      <c r="AB68" s="9"/>
      <c r="AC68" s="9"/>
    </row>
    <row r="69" spans="1:30" s="22" customFormat="1" hidden="1" outlineLevel="2" collapsed="1">
      <c r="A69" s="22">
        <v>1</v>
      </c>
      <c r="B69" s="23" t="s">
        <v>1217</v>
      </c>
      <c r="C69" s="23"/>
      <c r="D69" s="9"/>
      <c r="E69" s="91"/>
      <c r="F69" s="9"/>
      <c r="G69" s="125">
        <f>SUM(K69:N69)</f>
        <v>4</v>
      </c>
      <c r="H69" s="9"/>
      <c r="I69" s="91"/>
      <c r="J69" s="9"/>
      <c r="K69" s="72">
        <f>COUNTA(K70:K70)</f>
        <v>1</v>
      </c>
      <c r="L69" s="72">
        <f>COUNTA(L70:L70)</f>
        <v>1</v>
      </c>
      <c r="M69" s="72">
        <f>COUNTA(M70:M70)</f>
        <v>1</v>
      </c>
      <c r="N69" s="72">
        <f>COUNTA(N70:N70)</f>
        <v>1</v>
      </c>
      <c r="O69" s="9"/>
      <c r="P69" s="91"/>
      <c r="Q69" s="9"/>
      <c r="R69" s="83">
        <f>SUM(V69:Y69)</f>
        <v>6.9825000000000008</v>
      </c>
      <c r="S69" s="9"/>
      <c r="T69" s="91"/>
      <c r="U69" s="9"/>
      <c r="V69" s="82">
        <f>SUM(V70:V70)</f>
        <v>1.9950000000000003</v>
      </c>
      <c r="W69" s="82">
        <f>SUM(W70:W70)</f>
        <v>1.9950000000000003</v>
      </c>
      <c r="X69" s="82">
        <f>SUM(X70:X70)</f>
        <v>0.99750000000000016</v>
      </c>
      <c r="Y69" s="82">
        <f>SUM(Y70:Y70)</f>
        <v>1.9950000000000003</v>
      </c>
      <c r="Z69" s="9"/>
      <c r="AA69" s="91"/>
      <c r="AB69" s="9"/>
      <c r="AC69" s="9"/>
    </row>
    <row r="70" spans="1:30" hidden="1" outlineLevel="3">
      <c r="B70" s="29"/>
      <c r="C70" s="30"/>
      <c r="D70" s="9"/>
      <c r="E70" s="91"/>
      <c r="F70" s="9"/>
      <c r="G70" s="119" t="s">
        <v>1003</v>
      </c>
      <c r="H70" s="9"/>
      <c r="I70" s="91"/>
      <c r="J70" s="9"/>
      <c r="K70" s="37" t="s">
        <v>334</v>
      </c>
      <c r="L70" s="37" t="s">
        <v>32</v>
      </c>
      <c r="M70" s="37" t="s">
        <v>33</v>
      </c>
      <c r="N70" s="37" t="s">
        <v>34</v>
      </c>
      <c r="O70" s="9"/>
      <c r="P70" s="91"/>
      <c r="Q70" s="9"/>
      <c r="R70" s="34" t="s">
        <v>1003</v>
      </c>
      <c r="S70" s="9"/>
      <c r="T70" s="91"/>
      <c r="U70" s="9"/>
      <c r="V70" s="104">
        <v>1.9950000000000003</v>
      </c>
      <c r="W70" s="104">
        <v>1.9950000000000003</v>
      </c>
      <c r="X70" s="104">
        <v>0.99750000000000016</v>
      </c>
      <c r="Y70" s="104">
        <v>1.9950000000000003</v>
      </c>
      <c r="Z70" s="9"/>
      <c r="AA70" s="91"/>
      <c r="AB70" s="9"/>
      <c r="AC70" s="9"/>
    </row>
    <row r="71" spans="1:30" ht="3" hidden="1" customHeight="1" outlineLevel="2">
      <c r="B71" s="29"/>
      <c r="C71" s="30"/>
      <c r="D71" s="9"/>
      <c r="E71" s="91"/>
      <c r="F71" s="9"/>
      <c r="G71" s="119"/>
      <c r="H71" s="9"/>
      <c r="I71" s="91"/>
      <c r="J71" s="9"/>
      <c r="K71" s="76"/>
      <c r="O71" s="9"/>
      <c r="P71" s="91"/>
      <c r="Q71" s="9"/>
      <c r="R71" s="34"/>
      <c r="S71" s="9"/>
      <c r="T71" s="91"/>
      <c r="U71" s="9"/>
      <c r="V71" s="76"/>
      <c r="Z71" s="9"/>
      <c r="AA71" s="91"/>
      <c r="AB71" s="9"/>
      <c r="AC71" s="9"/>
    </row>
    <row r="72" spans="1:30" s="22" customFormat="1" hidden="1" outlineLevel="2" collapsed="1">
      <c r="A72" s="22">
        <v>1</v>
      </c>
      <c r="B72" s="23" t="s">
        <v>1218</v>
      </c>
      <c r="C72" s="23"/>
      <c r="D72" s="9"/>
      <c r="E72" s="91"/>
      <c r="F72" s="9"/>
      <c r="G72" s="125">
        <f>SUM(K72:N72)</f>
        <v>6</v>
      </c>
      <c r="H72" s="9"/>
      <c r="I72" s="91"/>
      <c r="J72" s="9"/>
      <c r="K72" s="72">
        <f>COUNTA(K73:K74)</f>
        <v>1</v>
      </c>
      <c r="L72" s="72">
        <f>COUNTA(L73:L74)</f>
        <v>2</v>
      </c>
      <c r="M72" s="72">
        <f>COUNTA(M73:M74)</f>
        <v>1</v>
      </c>
      <c r="N72" s="72">
        <f>COUNTA(N73:N74)</f>
        <v>2</v>
      </c>
      <c r="O72" s="9"/>
      <c r="P72" s="91"/>
      <c r="Q72" s="9"/>
      <c r="R72" s="83">
        <f>SUM(V72:Y72)</f>
        <v>13.770000000000001</v>
      </c>
      <c r="S72" s="9"/>
      <c r="T72" s="91"/>
      <c r="U72" s="9"/>
      <c r="V72" s="82">
        <f>SUM(V73:V74)</f>
        <v>3.0600000000000005</v>
      </c>
      <c r="W72" s="82">
        <f>SUM(W73:W74)</f>
        <v>4.5900000000000007</v>
      </c>
      <c r="X72" s="82">
        <f>SUM(X73:X74)</f>
        <v>3.0600000000000005</v>
      </c>
      <c r="Y72" s="82">
        <f>SUM(Y73:Y74)</f>
        <v>3.0600000000000005</v>
      </c>
      <c r="Z72" s="9"/>
      <c r="AA72" s="91"/>
      <c r="AB72" s="9"/>
      <c r="AC72" s="9"/>
    </row>
    <row r="73" spans="1:30" hidden="1" outlineLevel="3">
      <c r="B73" s="29"/>
      <c r="C73" s="30"/>
      <c r="D73" s="9"/>
      <c r="E73" s="91"/>
      <c r="F73" s="9"/>
      <c r="G73" s="119" t="s">
        <v>1003</v>
      </c>
      <c r="H73" s="9"/>
      <c r="I73" s="91"/>
      <c r="J73" s="9"/>
      <c r="K73" s="37" t="s">
        <v>334</v>
      </c>
      <c r="L73" s="37" t="s">
        <v>32</v>
      </c>
      <c r="M73" s="37" t="s">
        <v>34</v>
      </c>
      <c r="N73" s="37" t="s">
        <v>335</v>
      </c>
      <c r="O73" s="9"/>
      <c r="P73" s="91"/>
      <c r="Q73" s="9"/>
      <c r="R73" s="34" t="s">
        <v>1003</v>
      </c>
      <c r="S73" s="9"/>
      <c r="T73" s="91"/>
      <c r="U73" s="9"/>
      <c r="V73" s="104">
        <v>3.0600000000000005</v>
      </c>
      <c r="W73" s="104">
        <v>3.0600000000000005</v>
      </c>
      <c r="X73" s="104">
        <v>3.0600000000000005</v>
      </c>
      <c r="Y73" s="104">
        <v>1.5300000000000002</v>
      </c>
      <c r="Z73" s="9"/>
      <c r="AA73" s="91"/>
      <c r="AB73" s="9"/>
      <c r="AC73" s="9"/>
    </row>
    <row r="74" spans="1:30" ht="27.6" hidden="1" outlineLevel="3">
      <c r="B74" s="29"/>
      <c r="C74" s="30"/>
      <c r="D74" s="9"/>
      <c r="E74" s="91"/>
      <c r="F74" s="9"/>
      <c r="G74" s="119" t="s">
        <v>1003</v>
      </c>
      <c r="H74" s="9"/>
      <c r="I74" s="91"/>
      <c r="J74" s="9"/>
      <c r="K74" s="37"/>
      <c r="L74" s="37" t="s">
        <v>33</v>
      </c>
      <c r="M74" s="4"/>
      <c r="N74" s="37" t="s">
        <v>197</v>
      </c>
      <c r="O74" s="9"/>
      <c r="P74" s="91"/>
      <c r="Q74" s="9"/>
      <c r="R74" s="34"/>
      <c r="S74" s="9"/>
      <c r="T74" s="91"/>
      <c r="U74" s="9"/>
      <c r="V74" s="104"/>
      <c r="W74" s="104">
        <v>1.5300000000000002</v>
      </c>
      <c r="X74" s="98"/>
      <c r="Y74" s="104">
        <v>1.5300000000000002</v>
      </c>
      <c r="Z74" s="9"/>
      <c r="AA74" s="91"/>
      <c r="AB74" s="9"/>
      <c r="AC74" s="9"/>
      <c r="AD74" s="37"/>
    </row>
    <row r="75" spans="1:30" ht="3" hidden="1" customHeight="1" outlineLevel="2">
      <c r="B75" s="29"/>
      <c r="C75" s="30"/>
      <c r="D75" s="9"/>
      <c r="E75" s="91"/>
      <c r="F75" s="9"/>
      <c r="G75" s="119"/>
      <c r="H75" s="9"/>
      <c r="I75" s="91"/>
      <c r="J75" s="9"/>
      <c r="K75" s="76"/>
      <c r="O75" s="9"/>
      <c r="P75" s="91"/>
      <c r="Q75" s="9"/>
      <c r="R75" s="34"/>
      <c r="S75" s="9"/>
      <c r="T75" s="91"/>
      <c r="U75" s="9"/>
      <c r="V75" s="76"/>
      <c r="Z75" s="9"/>
      <c r="AA75" s="91"/>
      <c r="AB75" s="9"/>
      <c r="AC75" s="9"/>
    </row>
    <row r="76" spans="1:30" s="22" customFormat="1" hidden="1" outlineLevel="2" collapsed="1">
      <c r="A76" s="22">
        <v>1</v>
      </c>
      <c r="B76" s="23" t="s">
        <v>526</v>
      </c>
      <c r="C76" s="23"/>
      <c r="D76" s="9"/>
      <c r="E76" s="91"/>
      <c r="F76" s="9"/>
      <c r="G76" s="125">
        <f>SUM(K76:N76)</f>
        <v>5</v>
      </c>
      <c r="H76" s="9"/>
      <c r="I76" s="91"/>
      <c r="J76" s="9"/>
      <c r="K76" s="72">
        <f>COUNTA(K77:K78)</f>
        <v>1</v>
      </c>
      <c r="L76" s="72">
        <f>COUNTA(L77:L78)</f>
        <v>1</v>
      </c>
      <c r="M76" s="72">
        <f>COUNTA(M77:M78)</f>
        <v>1</v>
      </c>
      <c r="N76" s="72">
        <f>COUNTA(N77:N78)</f>
        <v>2</v>
      </c>
      <c r="O76" s="9"/>
      <c r="P76" s="91"/>
      <c r="Q76" s="9"/>
      <c r="R76" s="24">
        <f>SUM(V76:Y76)</f>
        <v>5.16</v>
      </c>
      <c r="S76" s="9"/>
      <c r="T76" s="91"/>
      <c r="U76" s="9"/>
      <c r="V76" s="72">
        <f>SUM(V77:V78)</f>
        <v>1.29</v>
      </c>
      <c r="W76" s="72">
        <f>SUM(W77:W78)</f>
        <v>1.29</v>
      </c>
      <c r="X76" s="72">
        <f>SUM(X77:X78)</f>
        <v>0.64500000000000002</v>
      </c>
      <c r="Y76" s="72">
        <f>SUM(Y77:Y78)</f>
        <v>1.9350000000000001</v>
      </c>
      <c r="Z76" s="9"/>
      <c r="AA76" s="91"/>
      <c r="AB76" s="9"/>
      <c r="AC76" s="9"/>
    </row>
    <row r="77" spans="1:30" hidden="1" outlineLevel="3">
      <c r="B77" s="29"/>
      <c r="C77" s="30"/>
      <c r="D77" s="9"/>
      <c r="E77" s="91"/>
      <c r="F77" s="9"/>
      <c r="G77" s="119" t="s">
        <v>1003</v>
      </c>
      <c r="H77" s="9"/>
      <c r="I77" s="91"/>
      <c r="J77" s="9"/>
      <c r="K77" s="37" t="s">
        <v>1219</v>
      </c>
      <c r="L77" s="37" t="s">
        <v>32</v>
      </c>
      <c r="M77" s="4" t="s">
        <v>471</v>
      </c>
      <c r="N77" s="37" t="s">
        <v>34</v>
      </c>
      <c r="O77" s="9"/>
      <c r="P77" s="91"/>
      <c r="Q77" s="9"/>
      <c r="R77" s="34" t="s">
        <v>1003</v>
      </c>
      <c r="S77" s="9"/>
      <c r="T77" s="91"/>
      <c r="U77" s="9"/>
      <c r="V77" s="36">
        <v>1.29</v>
      </c>
      <c r="W77" s="36">
        <v>1.29</v>
      </c>
      <c r="X77" s="66">
        <v>0.64500000000000002</v>
      </c>
      <c r="Y77" s="36">
        <v>1.29</v>
      </c>
      <c r="Z77" s="9"/>
      <c r="AA77" s="91"/>
      <c r="AB77" s="9"/>
      <c r="AC77" s="9"/>
    </row>
    <row r="78" spans="1:30" hidden="1" outlineLevel="3">
      <c r="B78" s="29"/>
      <c r="C78" s="30"/>
      <c r="D78" s="9"/>
      <c r="E78" s="91"/>
      <c r="F78" s="9"/>
      <c r="G78" s="119"/>
      <c r="H78" s="9"/>
      <c r="I78" s="91"/>
      <c r="J78" s="9"/>
      <c r="K78" s="37"/>
      <c r="L78" s="37"/>
      <c r="M78" s="4"/>
      <c r="N78" s="37" t="s">
        <v>335</v>
      </c>
      <c r="O78" s="9"/>
      <c r="P78" s="91"/>
      <c r="Q78" s="9"/>
      <c r="R78" s="34"/>
      <c r="S78" s="9"/>
      <c r="T78" s="91"/>
      <c r="U78" s="9"/>
      <c r="V78" s="36"/>
      <c r="W78" s="36"/>
      <c r="Y78" s="66">
        <v>0.64500000000000002</v>
      </c>
      <c r="Z78" s="9"/>
      <c r="AA78" s="91"/>
      <c r="AB78" s="9"/>
      <c r="AC78" s="9"/>
    </row>
    <row r="79" spans="1:30" ht="3" hidden="1" customHeight="1" outlineLevel="1">
      <c r="B79" s="29"/>
      <c r="C79" s="30"/>
      <c r="D79" s="9"/>
      <c r="E79" s="91"/>
      <c r="F79" s="9"/>
      <c r="G79" s="119"/>
      <c r="H79" s="9"/>
      <c r="I79" s="91"/>
      <c r="J79" s="9"/>
      <c r="K79" s="76"/>
      <c r="O79" s="9"/>
      <c r="P79" s="91"/>
      <c r="Q79" s="9"/>
      <c r="R79" s="34"/>
      <c r="S79" s="9"/>
      <c r="T79" s="91"/>
      <c r="U79" s="9"/>
      <c r="V79" s="76"/>
      <c r="Z79" s="9"/>
      <c r="AA79" s="91"/>
      <c r="AB79" s="9"/>
      <c r="AC79" s="9"/>
    </row>
    <row r="80" spans="1:30" s="49" customFormat="1" ht="20.100000000000001" hidden="1" customHeight="1" outlineLevel="1" collapsed="1">
      <c r="A80" s="156"/>
      <c r="B80" s="44" t="s">
        <v>1220</v>
      </c>
      <c r="C80" s="45" t="s">
        <v>28</v>
      </c>
      <c r="D80" s="46"/>
      <c r="E80" s="47"/>
      <c r="F80" s="46"/>
      <c r="G80" s="123">
        <f>SUM(K80:N80)</f>
        <v>287</v>
      </c>
      <c r="H80" s="46"/>
      <c r="I80" s="47"/>
      <c r="J80" s="46"/>
      <c r="K80" s="70">
        <f>SUM(K82,K88,K98,K101,K109,K139,K143,K198,K201,K204,K207,K210,K213,K227,K242,K248,K252,K256,K261,K265,K269,K273,K277,K281,K286,K294,K299,K302,K306,K310,K314,K318,K322,K326,K330,K333,K336,K340)</f>
        <v>87</v>
      </c>
      <c r="L80" s="70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70">
        <f t="shared" si="4"/>
        <v>62</v>
      </c>
      <c r="N80" s="70">
        <f t="shared" si="4"/>
        <v>59</v>
      </c>
      <c r="O80" s="46"/>
      <c r="P80" s="47"/>
      <c r="Q80" s="46"/>
      <c r="R80" s="123">
        <f>SUM(V80:Y80)</f>
        <v>32.018305147166565</v>
      </c>
      <c r="S80" s="46"/>
      <c r="T80" s="47"/>
      <c r="U80" s="46"/>
      <c r="V80" s="70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70">
        <f t="shared" si="5"/>
        <v>10.935117836718332</v>
      </c>
      <c r="X80" s="70">
        <f t="shared" si="5"/>
        <v>6.8101077834027617</v>
      </c>
      <c r="Y80" s="70">
        <f t="shared" si="5"/>
        <v>7.1469653990418962</v>
      </c>
      <c r="Z80" s="46"/>
      <c r="AA80" s="47"/>
      <c r="AB80" s="46"/>
    </row>
    <row r="81" spans="1:29" ht="3" hidden="1" customHeight="1" outlineLevel="2">
      <c r="B81" s="29"/>
      <c r="C81" s="30"/>
      <c r="D81" s="9"/>
      <c r="E81" s="91"/>
      <c r="F81" s="9"/>
      <c r="G81" s="119"/>
      <c r="H81" s="9"/>
      <c r="I81" s="91"/>
      <c r="J81" s="9"/>
      <c r="K81" s="76"/>
      <c r="O81" s="9"/>
      <c r="P81" s="91"/>
      <c r="Q81" s="9"/>
      <c r="R81" s="34"/>
      <c r="S81" s="9"/>
      <c r="T81" s="91"/>
      <c r="U81" s="9"/>
      <c r="V81" s="76"/>
      <c r="Z81" s="9"/>
      <c r="AA81" s="91"/>
      <c r="AB81" s="9"/>
      <c r="AC81" s="9"/>
    </row>
    <row r="82" spans="1:29" s="22" customFormat="1" hidden="1" outlineLevel="2" collapsed="1">
      <c r="A82" s="22">
        <v>1</v>
      </c>
      <c r="B82" s="23" t="s">
        <v>966</v>
      </c>
      <c r="C82" s="23"/>
      <c r="D82" s="9"/>
      <c r="E82" s="7"/>
      <c r="F82" s="9"/>
      <c r="G82" s="125">
        <f>SUM(K82:N82)</f>
        <v>4</v>
      </c>
      <c r="H82" s="9"/>
      <c r="I82" s="7"/>
      <c r="J82" s="9"/>
      <c r="K82" s="72">
        <f>COUNTA(K83:K86)</f>
        <v>3</v>
      </c>
      <c r="L82" s="72">
        <f>COUNTA(L83:L86)</f>
        <v>1</v>
      </c>
      <c r="M82" s="72">
        <f>COUNTA(M83:M86)</f>
        <v>0</v>
      </c>
      <c r="N82" s="72">
        <f>COUNTA(N83:N86)</f>
        <v>0</v>
      </c>
      <c r="O82" s="9"/>
      <c r="P82" s="7"/>
      <c r="Q82" s="9"/>
      <c r="R82" s="24">
        <f>SUM(V82:Y82)</f>
        <v>7.8070120255049447E-2</v>
      </c>
      <c r="S82" s="9"/>
      <c r="T82" s="7"/>
      <c r="U82" s="9"/>
      <c r="V82" s="72">
        <f>SUM(V83:V86)</f>
        <v>7.2082273685481091E-2</v>
      </c>
      <c r="W82" s="72">
        <f>SUM(W83:W86)</f>
        <v>5.9878465695683532E-3</v>
      </c>
      <c r="X82" s="72">
        <f>SUM(X83:X86)</f>
        <v>0</v>
      </c>
      <c r="Y82" s="72">
        <f>SUM(Y83:Y86)</f>
        <v>0</v>
      </c>
      <c r="Z82" s="9"/>
      <c r="AA82" s="7"/>
      <c r="AB82" s="9"/>
    </row>
    <row r="83" spans="1:29" ht="13.35" hidden="1" customHeight="1" outlineLevel="3">
      <c r="B83" s="25" t="s">
        <v>29</v>
      </c>
      <c r="C83" s="30" t="s">
        <v>849</v>
      </c>
      <c r="D83" s="34"/>
      <c r="E83" s="7"/>
      <c r="F83" s="34"/>
      <c r="G83" s="120" t="s">
        <v>28</v>
      </c>
      <c r="H83" s="34"/>
      <c r="I83" s="7"/>
      <c r="J83" s="34"/>
      <c r="K83" s="36" t="s">
        <v>1221</v>
      </c>
      <c r="L83" s="76"/>
      <c r="M83" s="76"/>
      <c r="N83" s="76"/>
      <c r="O83" s="34"/>
      <c r="P83" s="7"/>
      <c r="Q83" s="34"/>
      <c r="R83" s="35" t="s">
        <v>28</v>
      </c>
      <c r="S83" s="34"/>
      <c r="T83" s="7"/>
      <c r="U83" s="34"/>
      <c r="V83" s="136">
        <v>5.5695753826952743E-2</v>
      </c>
      <c r="W83" s="76"/>
      <c r="X83" s="76"/>
      <c r="Y83" s="76"/>
      <c r="Z83" s="34"/>
      <c r="AA83" s="7"/>
      <c r="AB83" s="34"/>
    </row>
    <row r="84" spans="1:29" ht="13.35" hidden="1" customHeight="1" outlineLevel="3">
      <c r="B84" s="25"/>
      <c r="C84" s="30"/>
      <c r="D84" s="34"/>
      <c r="E84" s="7"/>
      <c r="G84" s="120"/>
      <c r="I84" s="7"/>
      <c r="P84" s="7"/>
      <c r="R84" s="35"/>
      <c r="S84" s="6"/>
      <c r="T84" s="7"/>
      <c r="U84" s="6"/>
      <c r="AA84" s="7"/>
    </row>
    <row r="85" spans="1:29" ht="13.35" hidden="1" customHeight="1" outlineLevel="3">
      <c r="B85" s="25" t="s">
        <v>29</v>
      </c>
      <c r="C85" s="30" t="s">
        <v>853</v>
      </c>
      <c r="D85" s="34"/>
      <c r="E85" s="7"/>
      <c r="G85" s="120" t="s">
        <v>28</v>
      </c>
      <c r="I85" s="7"/>
      <c r="K85" s="36" t="s">
        <v>1222</v>
      </c>
      <c r="L85" s="36" t="s">
        <v>1221</v>
      </c>
      <c r="P85" s="7"/>
      <c r="R85" s="35" t="s">
        <v>28</v>
      </c>
      <c r="S85" s="6"/>
      <c r="T85" s="7"/>
      <c r="U85" s="6"/>
      <c r="V85" s="136">
        <v>2.0496467585283565E-3</v>
      </c>
      <c r="W85" s="136">
        <v>5.9878465695683532E-3</v>
      </c>
      <c r="AA85" s="7"/>
    </row>
    <row r="86" spans="1:29" ht="13.35" hidden="1" customHeight="1" outlineLevel="3">
      <c r="B86" s="25" t="s">
        <v>29</v>
      </c>
      <c r="C86" s="30" t="s">
        <v>853</v>
      </c>
      <c r="D86" s="34"/>
      <c r="E86" s="7"/>
      <c r="G86" s="120" t="s">
        <v>28</v>
      </c>
      <c r="I86" s="7"/>
      <c r="K86" s="36" t="s">
        <v>274</v>
      </c>
      <c r="P86" s="7"/>
      <c r="R86" s="35" t="s">
        <v>28</v>
      </c>
      <c r="S86" s="6"/>
      <c r="T86" s="7"/>
      <c r="U86" s="6"/>
      <c r="V86" s="136">
        <v>1.4336873100000001E-2</v>
      </c>
      <c r="W86" s="136"/>
      <c r="AA86" s="7"/>
    </row>
    <row r="87" spans="1:29" ht="3" hidden="1" customHeight="1" outlineLevel="2">
      <c r="B87" s="29"/>
      <c r="C87" s="30"/>
      <c r="D87" s="34"/>
      <c r="E87" s="7"/>
      <c r="G87" s="120"/>
      <c r="I87" s="7"/>
      <c r="P87" s="7"/>
      <c r="R87" s="35"/>
      <c r="S87" s="6"/>
      <c r="T87" s="7"/>
      <c r="U87" s="6"/>
      <c r="AA87" s="7"/>
    </row>
    <row r="88" spans="1:29" s="22" customFormat="1" hidden="1" outlineLevel="2" collapsed="1">
      <c r="A88" s="22">
        <v>1</v>
      </c>
      <c r="B88" s="23" t="s">
        <v>900</v>
      </c>
      <c r="C88" s="23"/>
      <c r="D88" s="9"/>
      <c r="E88" s="7"/>
      <c r="F88" s="9"/>
      <c r="G88" s="125">
        <f>SUM(K88:N88)</f>
        <v>9</v>
      </c>
      <c r="H88" s="9"/>
      <c r="I88" s="7"/>
      <c r="J88" s="9"/>
      <c r="K88" s="72">
        <f>COUNTA(K89:K96)</f>
        <v>8</v>
      </c>
      <c r="L88" s="72">
        <f>COUNTA(L89:L96)</f>
        <v>1</v>
      </c>
      <c r="M88" s="72">
        <f>COUNTA(M89:M96)</f>
        <v>0</v>
      </c>
      <c r="N88" s="72">
        <f>COUNTA(N89:N96)</f>
        <v>0</v>
      </c>
      <c r="O88" s="9"/>
      <c r="P88" s="7"/>
      <c r="Q88" s="9"/>
      <c r="R88" s="24">
        <f>SUM(V88:Y88)</f>
        <v>0.5587290988155269</v>
      </c>
      <c r="S88" s="9"/>
      <c r="T88" s="7"/>
      <c r="U88" s="9"/>
      <c r="V88" s="72">
        <f>SUM(V89:V96)</f>
        <v>0.48263554790952296</v>
      </c>
      <c r="W88" s="72">
        <f>SUM(W89:W96)</f>
        <v>7.6093550906004004E-2</v>
      </c>
      <c r="X88" s="72">
        <f>SUM(X89:X96)</f>
        <v>0</v>
      </c>
      <c r="Y88" s="72">
        <f>SUM(Y89:Y96)</f>
        <v>0</v>
      </c>
      <c r="Z88" s="9"/>
      <c r="AA88" s="7"/>
      <c r="AB88" s="9"/>
    </row>
    <row r="89" spans="1:29" ht="13.35" hidden="1" customHeight="1" outlineLevel="3">
      <c r="B89" s="25" t="s">
        <v>29</v>
      </c>
      <c r="C89" s="30" t="s">
        <v>900</v>
      </c>
      <c r="D89" s="34"/>
      <c r="E89" s="7"/>
      <c r="G89" s="120" t="s">
        <v>28</v>
      </c>
      <c r="I89" s="7"/>
      <c r="K89" s="30" t="s">
        <v>1223</v>
      </c>
      <c r="L89" s="30" t="s">
        <v>1221</v>
      </c>
      <c r="M89" s="142"/>
      <c r="N89" s="142"/>
      <c r="P89" s="7"/>
      <c r="R89" s="35" t="s">
        <v>28</v>
      </c>
      <c r="S89" s="6"/>
      <c r="T89" s="7"/>
      <c r="U89" s="6"/>
      <c r="V89" s="136">
        <v>7.6093550906004004E-2</v>
      </c>
      <c r="W89" s="136">
        <v>7.6093550906004004E-2</v>
      </c>
      <c r="AA89" s="7"/>
    </row>
    <row r="90" spans="1:29" ht="26.85" hidden="1" customHeight="1" outlineLevel="3">
      <c r="B90" s="25" t="s">
        <v>29</v>
      </c>
      <c r="C90" s="30" t="s">
        <v>900</v>
      </c>
      <c r="D90" s="34"/>
      <c r="E90" s="7"/>
      <c r="G90" s="120" t="s">
        <v>28</v>
      </c>
      <c r="I90" s="7"/>
      <c r="K90" s="30" t="s">
        <v>981</v>
      </c>
      <c r="L90" s="142"/>
      <c r="M90" s="142"/>
      <c r="N90" s="142"/>
      <c r="P90" s="7"/>
      <c r="R90" s="35" t="s">
        <v>28</v>
      </c>
      <c r="S90" s="6"/>
      <c r="T90" s="7"/>
      <c r="U90" s="6"/>
      <c r="V90" s="136">
        <v>5.0323476506003995E-2</v>
      </c>
      <c r="W90" s="136"/>
      <c r="AA90" s="7"/>
    </row>
    <row r="91" spans="1:29" ht="26.85" hidden="1" customHeight="1" outlineLevel="3">
      <c r="B91" s="25" t="s">
        <v>29</v>
      </c>
      <c r="C91" s="30" t="s">
        <v>900</v>
      </c>
      <c r="D91" s="34"/>
      <c r="E91" s="7"/>
      <c r="G91" s="120" t="s">
        <v>28</v>
      </c>
      <c r="I91" s="7"/>
      <c r="K91" s="30" t="s">
        <v>1224</v>
      </c>
      <c r="L91" s="142"/>
      <c r="M91" s="142"/>
      <c r="N91" s="142"/>
      <c r="P91" s="7"/>
      <c r="R91" s="35" t="s">
        <v>28</v>
      </c>
      <c r="S91" s="6"/>
      <c r="T91" s="7"/>
      <c r="U91" s="6"/>
      <c r="V91" s="136">
        <v>5.0323476506003995E-2</v>
      </c>
      <c r="W91" s="136"/>
      <c r="AA91" s="7"/>
    </row>
    <row r="92" spans="1:29" ht="26.85" hidden="1" customHeight="1" outlineLevel="3">
      <c r="B92" s="25" t="s">
        <v>29</v>
      </c>
      <c r="C92" s="30" t="s">
        <v>900</v>
      </c>
      <c r="D92" s="34"/>
      <c r="E92" s="7"/>
      <c r="G92" s="120" t="s">
        <v>28</v>
      </c>
      <c r="I92" s="7"/>
      <c r="K92" s="30" t="s">
        <v>1225</v>
      </c>
      <c r="L92" s="142"/>
      <c r="M92" s="142"/>
      <c r="N92" s="142"/>
      <c r="P92" s="7"/>
      <c r="R92" s="35" t="s">
        <v>28</v>
      </c>
      <c r="S92" s="6"/>
      <c r="T92" s="7"/>
      <c r="U92" s="6"/>
      <c r="V92" s="136">
        <v>5.0323476506003995E-2</v>
      </c>
      <c r="W92" s="136"/>
      <c r="AA92" s="7"/>
    </row>
    <row r="93" spans="1:29" ht="26.85" hidden="1" customHeight="1" outlineLevel="3">
      <c r="B93" s="25" t="s">
        <v>29</v>
      </c>
      <c r="C93" s="30" t="s">
        <v>900</v>
      </c>
      <c r="D93" s="34"/>
      <c r="E93" s="7"/>
      <c r="G93" s="120" t="s">
        <v>28</v>
      </c>
      <c r="I93" s="7"/>
      <c r="K93" s="30" t="s">
        <v>982</v>
      </c>
      <c r="L93" s="142"/>
      <c r="M93" s="142"/>
      <c r="N93" s="142"/>
      <c r="P93" s="7"/>
      <c r="R93" s="35" t="s">
        <v>28</v>
      </c>
      <c r="S93" s="6"/>
      <c r="T93" s="7"/>
      <c r="U93" s="6"/>
      <c r="V93" s="136">
        <v>5.0323476506003995E-2</v>
      </c>
      <c r="W93" s="136"/>
      <c r="AA93" s="7"/>
    </row>
    <row r="94" spans="1:29" ht="13.35" hidden="1" customHeight="1" outlineLevel="3">
      <c r="B94" s="25" t="s">
        <v>29</v>
      </c>
      <c r="C94" s="30" t="s">
        <v>900</v>
      </c>
      <c r="D94" s="34"/>
      <c r="E94" s="7"/>
      <c r="G94" s="120" t="s">
        <v>28</v>
      </c>
      <c r="I94" s="7"/>
      <c r="K94" s="30" t="s">
        <v>983</v>
      </c>
      <c r="L94" s="142"/>
      <c r="M94" s="142"/>
      <c r="N94" s="142"/>
      <c r="P94" s="7"/>
      <c r="R94" s="35" t="s">
        <v>28</v>
      </c>
      <c r="S94" s="6"/>
      <c r="T94" s="7"/>
      <c r="U94" s="6"/>
      <c r="V94" s="136">
        <v>3.7742607379502996E-2</v>
      </c>
      <c r="W94" s="136"/>
      <c r="AA94" s="7"/>
    </row>
    <row r="95" spans="1:29" ht="13.35" hidden="1" customHeight="1" outlineLevel="3">
      <c r="B95" s="25" t="s">
        <v>29</v>
      </c>
      <c r="C95" s="30" t="s">
        <v>900</v>
      </c>
      <c r="D95" s="34"/>
      <c r="E95" s="7"/>
      <c r="G95" s="120" t="s">
        <v>28</v>
      </c>
      <c r="I95" s="7"/>
      <c r="K95" s="30" t="s">
        <v>975</v>
      </c>
      <c r="L95" s="142"/>
      <c r="M95" s="142"/>
      <c r="N95" s="142"/>
      <c r="P95" s="7"/>
      <c r="R95" s="35" t="s">
        <v>28</v>
      </c>
      <c r="S95" s="6"/>
      <c r="T95" s="7"/>
      <c r="U95" s="6"/>
      <c r="V95" s="136">
        <v>3.8655111599999993E-2</v>
      </c>
      <c r="W95" s="136"/>
      <c r="AA95" s="7"/>
    </row>
    <row r="96" spans="1:29" ht="13.35" hidden="1" customHeight="1" outlineLevel="3">
      <c r="B96" s="25"/>
      <c r="C96" s="30" t="s">
        <v>900</v>
      </c>
      <c r="D96" s="34"/>
      <c r="E96" s="7"/>
      <c r="G96" s="120" t="s">
        <v>28</v>
      </c>
      <c r="I96" s="7"/>
      <c r="K96" s="30" t="s">
        <v>274</v>
      </c>
      <c r="L96" s="142"/>
      <c r="M96" s="142"/>
      <c r="N96" s="142"/>
      <c r="P96" s="7"/>
      <c r="R96" s="35" t="s">
        <v>28</v>
      </c>
      <c r="S96" s="6"/>
      <c r="T96" s="7"/>
      <c r="U96" s="6"/>
      <c r="V96" s="136">
        <v>0.12885037199999999</v>
      </c>
      <c r="W96" s="136"/>
      <c r="AA96" s="7"/>
    </row>
    <row r="97" spans="1:28" ht="3" hidden="1" customHeight="1" outlineLevel="2">
      <c r="E97" s="7"/>
      <c r="G97" s="15"/>
      <c r="I97" s="7"/>
      <c r="P97" s="7"/>
      <c r="S97" s="6"/>
      <c r="T97" s="7"/>
      <c r="U97" s="6"/>
      <c r="AA97" s="7"/>
    </row>
    <row r="98" spans="1:28" s="22" customFormat="1" hidden="1" outlineLevel="2" collapsed="1">
      <c r="A98" s="22">
        <v>1</v>
      </c>
      <c r="B98" s="23" t="s">
        <v>1046</v>
      </c>
      <c r="C98" s="23"/>
      <c r="D98" s="9"/>
      <c r="E98" s="7"/>
      <c r="F98" s="9"/>
      <c r="G98" s="125">
        <f>SUM(K98:N98)</f>
        <v>1</v>
      </c>
      <c r="H98" s="9"/>
      <c r="I98" s="7"/>
      <c r="J98" s="9"/>
      <c r="K98" s="72">
        <f>COUNTA(K99:K99)</f>
        <v>1</v>
      </c>
      <c r="L98" s="72">
        <f>COUNTA(L99:L99)</f>
        <v>0</v>
      </c>
      <c r="M98" s="72">
        <f>COUNTA(M99:M99)</f>
        <v>0</v>
      </c>
      <c r="N98" s="72">
        <f>COUNTA(N99:N99)</f>
        <v>0</v>
      </c>
      <c r="O98" s="9"/>
      <c r="P98" s="7"/>
      <c r="Q98" s="9"/>
      <c r="R98" s="83">
        <f>SUM(V98:Y98)</f>
        <v>5.9954281229384461E-2</v>
      </c>
      <c r="S98" s="9"/>
      <c r="T98" s="7"/>
      <c r="U98" s="9"/>
      <c r="V98" s="82">
        <f>SUM(V99:V99)</f>
        <v>5.9954281229384461E-2</v>
      </c>
      <c r="W98" s="82">
        <f>SUM(W99:W99)</f>
        <v>0</v>
      </c>
      <c r="X98" s="82">
        <f>SUM(X99:X99)</f>
        <v>0</v>
      </c>
      <c r="Y98" s="82">
        <f>SUM(Y99:Y99)</f>
        <v>0</v>
      </c>
      <c r="Z98" s="9"/>
      <c r="AA98" s="7"/>
      <c r="AB98" s="9"/>
    </row>
    <row r="99" spans="1:28" ht="13.35" hidden="1" customHeight="1" outlineLevel="3">
      <c r="B99" s="25" t="s">
        <v>29</v>
      </c>
      <c r="C99" s="29" t="s">
        <v>1046</v>
      </c>
      <c r="D99" s="34"/>
      <c r="E99" s="7"/>
      <c r="G99" s="120" t="s">
        <v>28</v>
      </c>
      <c r="I99" s="7"/>
      <c r="K99" s="36" t="s">
        <v>1221</v>
      </c>
      <c r="P99" s="7"/>
      <c r="R99" s="35" t="s">
        <v>28</v>
      </c>
      <c r="S99" s="6"/>
      <c r="T99" s="7"/>
      <c r="U99" s="6"/>
      <c r="V99" s="81">
        <v>5.9954281229384461E-2</v>
      </c>
      <c r="AA99" s="7"/>
    </row>
    <row r="100" spans="1:28" ht="3" hidden="1" customHeight="1" outlineLevel="2">
      <c r="B100" s="29"/>
      <c r="C100" s="29"/>
      <c r="D100" s="34"/>
      <c r="E100" s="7"/>
      <c r="G100" s="120" t="s">
        <v>241</v>
      </c>
      <c r="I100" s="7"/>
      <c r="P100" s="7"/>
      <c r="R100" s="35" t="s">
        <v>241</v>
      </c>
      <c r="S100" s="6"/>
      <c r="T100" s="7"/>
      <c r="U100" s="6"/>
      <c r="AA100" s="7"/>
    </row>
    <row r="101" spans="1:28" s="22" customFormat="1" hidden="1" outlineLevel="2" collapsed="1">
      <c r="B101" s="23" t="s">
        <v>804</v>
      </c>
      <c r="C101" s="23"/>
      <c r="D101" s="9"/>
      <c r="E101" s="7"/>
      <c r="F101" s="9"/>
      <c r="G101" s="125">
        <f>SUM(K101:N101)</f>
        <v>6</v>
      </c>
      <c r="H101" s="9"/>
      <c r="I101" s="7"/>
      <c r="J101" s="9"/>
      <c r="K101" s="72">
        <f>COUNTA(K102:K107)</f>
        <v>3</v>
      </c>
      <c r="L101" s="72">
        <f>COUNTA(L102:L107)</f>
        <v>3</v>
      </c>
      <c r="M101" s="72">
        <f>COUNTA(M102:M107)</f>
        <v>0</v>
      </c>
      <c r="N101" s="72">
        <f>COUNTA(N102:N107)</f>
        <v>0</v>
      </c>
      <c r="O101" s="9"/>
      <c r="P101" s="7"/>
      <c r="Q101" s="9"/>
      <c r="R101" s="83">
        <f>SUM(V101:Y101)</f>
        <v>0.14474535142330677</v>
      </c>
      <c r="S101" s="9"/>
      <c r="T101" s="7"/>
      <c r="U101" s="9"/>
      <c r="V101" s="82">
        <f>SUM(V102:V107)</f>
        <v>3.6500408814511331E-2</v>
      </c>
      <c r="W101" s="82">
        <f>SUM(W102:W107)</f>
        <v>0.10824494260879544</v>
      </c>
      <c r="X101" s="82">
        <f>SUM(X102:X107)</f>
        <v>0</v>
      </c>
      <c r="Y101" s="82">
        <f>SUM(Y102:Y107)</f>
        <v>0</v>
      </c>
      <c r="Z101" s="9"/>
      <c r="AA101" s="7"/>
      <c r="AB101" s="9"/>
    </row>
    <row r="102" spans="1:28" ht="13.35" hidden="1" customHeight="1" outlineLevel="3">
      <c r="B102" s="25" t="s">
        <v>29</v>
      </c>
      <c r="C102" s="29" t="s">
        <v>804</v>
      </c>
      <c r="D102" s="34"/>
      <c r="E102" s="7"/>
      <c r="G102" s="120" t="s">
        <v>28</v>
      </c>
      <c r="I102" s="7"/>
      <c r="K102" s="36" t="s">
        <v>1226</v>
      </c>
      <c r="L102" s="36" t="s">
        <v>1227</v>
      </c>
      <c r="P102" s="7"/>
      <c r="R102" s="35" t="s">
        <v>28</v>
      </c>
      <c r="S102" s="6"/>
      <c r="T102" s="7"/>
      <c r="U102" s="6"/>
      <c r="V102" s="84">
        <v>2.0340502682360002E-3</v>
      </c>
      <c r="W102" s="84">
        <v>1.6660071E-3</v>
      </c>
      <c r="AA102" s="7"/>
    </row>
    <row r="103" spans="1:28" ht="13.35" hidden="1" customHeight="1" outlineLevel="3">
      <c r="B103" s="25" t="s">
        <v>29</v>
      </c>
      <c r="C103" s="29" t="s">
        <v>804</v>
      </c>
      <c r="D103" s="34"/>
      <c r="E103" s="7"/>
      <c r="G103" s="120" t="s">
        <v>28</v>
      </c>
      <c r="I103" s="7"/>
      <c r="K103" s="36" t="s">
        <v>274</v>
      </c>
      <c r="L103" s="36" t="s">
        <v>275</v>
      </c>
      <c r="P103" s="7"/>
      <c r="R103" s="35" t="s">
        <v>28</v>
      </c>
      <c r="S103" s="6"/>
      <c r="T103" s="7"/>
      <c r="U103" s="6"/>
      <c r="V103" s="84">
        <v>2.3730586462753335E-3</v>
      </c>
      <c r="W103" s="84">
        <v>5.5533570000000003E-4</v>
      </c>
      <c r="AA103" s="7"/>
    </row>
    <row r="104" spans="1:28" ht="13.35" hidden="1" customHeight="1" outlineLevel="3">
      <c r="B104" s="25" t="s">
        <v>29</v>
      </c>
      <c r="C104" s="29" t="s">
        <v>804</v>
      </c>
      <c r="D104" s="34"/>
      <c r="E104" s="7"/>
      <c r="G104" s="120" t="s">
        <v>28</v>
      </c>
      <c r="I104" s="7"/>
      <c r="K104" s="36"/>
      <c r="L104" s="36" t="s">
        <v>1221</v>
      </c>
      <c r="P104" s="7"/>
      <c r="R104" s="35" t="s">
        <v>28</v>
      </c>
      <c r="S104" s="6"/>
      <c r="T104" s="7"/>
      <c r="U104" s="6"/>
      <c r="V104" s="84">
        <v>6.2527565999999993E-3</v>
      </c>
      <c r="W104" s="84">
        <v>0.10602359980879544</v>
      </c>
      <c r="AA104" s="7"/>
    </row>
    <row r="105" spans="1:28" ht="13.35" hidden="1" customHeight="1" outlineLevel="3">
      <c r="B105" s="25" t="s">
        <v>29</v>
      </c>
      <c r="C105" s="29" t="s">
        <v>804</v>
      </c>
      <c r="D105" s="34"/>
      <c r="E105" s="7"/>
      <c r="G105" s="120" t="s">
        <v>28</v>
      </c>
      <c r="I105" s="7"/>
      <c r="K105" s="36" t="s">
        <v>985</v>
      </c>
      <c r="P105" s="7"/>
      <c r="R105" s="35" t="s">
        <v>28</v>
      </c>
      <c r="S105" s="6"/>
      <c r="T105" s="7"/>
      <c r="U105" s="6"/>
      <c r="V105" s="84">
        <v>2.0842521999999999E-2</v>
      </c>
      <c r="W105" s="85"/>
      <c r="AA105" s="7"/>
    </row>
    <row r="106" spans="1:28" ht="13.35" hidden="1" customHeight="1" outlineLevel="3">
      <c r="B106" s="25" t="s">
        <v>29</v>
      </c>
      <c r="C106" s="29" t="s">
        <v>804</v>
      </c>
      <c r="D106" s="34"/>
      <c r="E106" s="7"/>
      <c r="F106" s="34"/>
      <c r="G106" s="120"/>
      <c r="H106" s="34"/>
      <c r="I106" s="7"/>
      <c r="J106" s="34"/>
      <c r="L106" s="4"/>
      <c r="O106" s="34"/>
      <c r="P106" s="7"/>
      <c r="Q106" s="34"/>
      <c r="R106" s="35" t="s">
        <v>28</v>
      </c>
      <c r="S106" s="34"/>
      <c r="T106" s="7"/>
      <c r="U106" s="34"/>
      <c r="V106" s="84">
        <v>3.8873498999999999E-3</v>
      </c>
      <c r="W106" s="89"/>
      <c r="Z106" s="34"/>
      <c r="AA106" s="7"/>
      <c r="AB106" s="34"/>
    </row>
    <row r="107" spans="1:28" ht="13.35" hidden="1" customHeight="1" outlineLevel="3">
      <c r="B107" s="25"/>
      <c r="C107" s="29"/>
      <c r="D107" s="34"/>
      <c r="E107" s="7"/>
      <c r="F107" s="34"/>
      <c r="G107" s="120"/>
      <c r="H107" s="34"/>
      <c r="I107" s="7"/>
      <c r="J107" s="34"/>
      <c r="L107" s="36"/>
      <c r="O107" s="34"/>
      <c r="P107" s="7"/>
      <c r="Q107" s="34"/>
      <c r="R107" s="35" t="s">
        <v>28</v>
      </c>
      <c r="S107" s="34"/>
      <c r="T107" s="7"/>
      <c r="U107" s="34"/>
      <c r="V107" s="84">
        <v>1.1106714000000001E-3</v>
      </c>
      <c r="W107" s="84"/>
      <c r="Z107" s="34"/>
      <c r="AA107" s="7"/>
      <c r="AB107" s="34"/>
    </row>
    <row r="108" spans="1:28" ht="3" hidden="1" customHeight="1" outlineLevel="2">
      <c r="B108" s="29"/>
      <c r="C108" s="29"/>
      <c r="D108" s="34"/>
      <c r="E108" s="7"/>
      <c r="F108" s="34"/>
      <c r="G108" s="120"/>
      <c r="H108" s="34"/>
      <c r="I108" s="7"/>
      <c r="J108" s="34"/>
      <c r="K108" s="76"/>
      <c r="O108" s="34"/>
      <c r="P108" s="7"/>
      <c r="Q108" s="34"/>
      <c r="R108" s="35"/>
      <c r="S108" s="34"/>
      <c r="T108" s="7"/>
      <c r="U108" s="34"/>
      <c r="V108" s="76"/>
      <c r="Z108" s="34"/>
      <c r="AA108" s="7"/>
      <c r="AB108" s="34"/>
    </row>
    <row r="109" spans="1:28" s="22" customFormat="1" hidden="1" outlineLevel="2" collapsed="1">
      <c r="B109" s="23" t="s">
        <v>873</v>
      </c>
      <c r="C109" s="23"/>
      <c r="D109" s="9"/>
      <c r="E109" s="7"/>
      <c r="F109" s="9"/>
      <c r="G109" s="125">
        <f>SUM(K109:N109)</f>
        <v>31</v>
      </c>
      <c r="H109" s="9"/>
      <c r="I109" s="7"/>
      <c r="J109" s="9"/>
      <c r="K109" s="72">
        <f>COUNTA(K110:K137)</f>
        <v>23</v>
      </c>
      <c r="L109" s="72">
        <f>COUNTA(L110:L137)</f>
        <v>7</v>
      </c>
      <c r="M109" s="72">
        <f>COUNTA(M110:M137)</f>
        <v>1</v>
      </c>
      <c r="N109" s="72">
        <f>COUNTA(N110:N137)</f>
        <v>0</v>
      </c>
      <c r="O109" s="9"/>
      <c r="P109" s="7"/>
      <c r="Q109" s="9"/>
      <c r="R109" s="24">
        <f>SUM(V109:Y109)</f>
        <v>2.3154000000000008</v>
      </c>
      <c r="S109" s="9"/>
      <c r="T109" s="7"/>
      <c r="U109" s="9"/>
      <c r="V109" s="72">
        <f>SUM(V110:V137)</f>
        <v>1.8740000000000006</v>
      </c>
      <c r="W109" s="72">
        <f>SUM(W110:W137)</f>
        <v>0.3614</v>
      </c>
      <c r="X109" s="72">
        <f>SUM(X110:X137)</f>
        <v>0.08</v>
      </c>
      <c r="Y109" s="72">
        <f>SUM(Y110:Y137)</f>
        <v>0</v>
      </c>
      <c r="Z109" s="9"/>
      <c r="AA109" s="7"/>
      <c r="AB109" s="9"/>
    </row>
    <row r="110" spans="1:28" ht="13.35" hidden="1" customHeight="1" outlineLevel="3">
      <c r="B110" s="25" t="s">
        <v>29</v>
      </c>
      <c r="C110" s="30" t="s">
        <v>875</v>
      </c>
      <c r="D110" s="34"/>
      <c r="E110" s="7"/>
      <c r="F110" s="34"/>
      <c r="G110" s="120" t="s">
        <v>28</v>
      </c>
      <c r="H110" s="34"/>
      <c r="I110" s="7"/>
      <c r="J110" s="34"/>
      <c r="K110" s="36" t="s">
        <v>1228</v>
      </c>
      <c r="O110" s="34"/>
      <c r="P110" s="7"/>
      <c r="Q110" s="34"/>
      <c r="R110" s="35" t="s">
        <v>28</v>
      </c>
      <c r="S110" s="34"/>
      <c r="T110" s="7"/>
      <c r="U110" s="34"/>
      <c r="V110" s="36">
        <v>0.06</v>
      </c>
      <c r="Z110" s="34"/>
      <c r="AA110" s="7"/>
      <c r="AB110" s="34"/>
    </row>
    <row r="111" spans="1:28" ht="13.35" hidden="1" customHeight="1" outlineLevel="3">
      <c r="B111" s="25" t="s">
        <v>29</v>
      </c>
      <c r="C111" s="30" t="s">
        <v>875</v>
      </c>
      <c r="D111" s="34"/>
      <c r="E111" s="7"/>
      <c r="F111" s="34"/>
      <c r="G111" s="120" t="s">
        <v>28</v>
      </c>
      <c r="H111" s="34"/>
      <c r="I111" s="7"/>
      <c r="J111" s="34"/>
      <c r="K111" s="36" t="s">
        <v>1229</v>
      </c>
      <c r="O111" s="34"/>
      <c r="P111" s="7"/>
      <c r="Q111" s="34"/>
      <c r="R111" s="35" t="s">
        <v>28</v>
      </c>
      <c r="S111" s="34"/>
      <c r="T111" s="7"/>
      <c r="U111" s="34"/>
      <c r="V111" s="36">
        <v>0.16</v>
      </c>
      <c r="Z111" s="34"/>
      <c r="AA111" s="7"/>
      <c r="AB111" s="34"/>
    </row>
    <row r="112" spans="1:28" ht="13.35" hidden="1" customHeight="1" outlineLevel="3">
      <c r="B112" s="25" t="s">
        <v>29</v>
      </c>
      <c r="C112" s="30" t="s">
        <v>875</v>
      </c>
      <c r="D112" s="34"/>
      <c r="E112" s="7"/>
      <c r="F112" s="34"/>
      <c r="G112" s="120" t="s">
        <v>28</v>
      </c>
      <c r="H112" s="34"/>
      <c r="I112" s="7"/>
      <c r="J112" s="34"/>
      <c r="K112" s="36" t="s">
        <v>1230</v>
      </c>
      <c r="O112" s="34"/>
      <c r="P112" s="7"/>
      <c r="Q112" s="34"/>
      <c r="R112" s="35" t="s">
        <v>28</v>
      </c>
      <c r="S112" s="34"/>
      <c r="T112" s="7"/>
      <c r="U112" s="34"/>
      <c r="V112" s="36">
        <v>0.16</v>
      </c>
      <c r="Z112" s="34"/>
      <c r="AA112" s="7"/>
      <c r="AB112" s="34"/>
    </row>
    <row r="113" spans="2:28" ht="13.35" hidden="1" customHeight="1" outlineLevel="3">
      <c r="B113" s="25" t="s">
        <v>29</v>
      </c>
      <c r="C113" s="30" t="s">
        <v>875</v>
      </c>
      <c r="D113" s="34"/>
      <c r="E113" s="7"/>
      <c r="F113" s="34"/>
      <c r="G113" s="120" t="s">
        <v>28</v>
      </c>
      <c r="H113" s="34"/>
      <c r="I113" s="7"/>
      <c r="J113" s="34"/>
      <c r="K113" s="36" t="s">
        <v>1231</v>
      </c>
      <c r="O113" s="34"/>
      <c r="P113" s="7"/>
      <c r="Q113" s="34"/>
      <c r="R113" s="35" t="s">
        <v>28</v>
      </c>
      <c r="S113" s="34"/>
      <c r="T113" s="7"/>
      <c r="U113" s="34"/>
      <c r="V113" s="36">
        <v>0.11</v>
      </c>
      <c r="Z113" s="34"/>
      <c r="AA113" s="7"/>
      <c r="AB113" s="34"/>
    </row>
    <row r="114" spans="2:28" ht="13.35" hidden="1" customHeight="1" outlineLevel="3">
      <c r="B114" s="25" t="s">
        <v>29</v>
      </c>
      <c r="C114" s="30" t="s">
        <v>875</v>
      </c>
      <c r="D114" s="34"/>
      <c r="E114" s="7"/>
      <c r="F114" s="34"/>
      <c r="G114" s="120" t="s">
        <v>28</v>
      </c>
      <c r="H114" s="34"/>
      <c r="I114" s="7"/>
      <c r="J114" s="34"/>
      <c r="K114" s="36" t="s">
        <v>986</v>
      </c>
      <c r="O114" s="34"/>
      <c r="P114" s="7"/>
      <c r="Q114" s="34"/>
      <c r="R114" s="35" t="s">
        <v>28</v>
      </c>
      <c r="S114" s="34"/>
      <c r="T114" s="7"/>
      <c r="U114" s="34"/>
      <c r="V114" s="36">
        <v>0.24</v>
      </c>
      <c r="Z114" s="34"/>
      <c r="AA114" s="7"/>
      <c r="AB114" s="34"/>
    </row>
    <row r="115" spans="2:28" ht="13.35" hidden="1" customHeight="1" outlineLevel="3">
      <c r="B115" s="25" t="s">
        <v>29</v>
      </c>
      <c r="C115" s="30" t="s">
        <v>875</v>
      </c>
      <c r="D115" s="34"/>
      <c r="E115" s="7"/>
      <c r="F115" s="34"/>
      <c r="G115" s="120" t="s">
        <v>28</v>
      </c>
      <c r="H115" s="34"/>
      <c r="I115" s="7"/>
      <c r="J115" s="34"/>
      <c r="K115" s="36"/>
      <c r="O115" s="34"/>
      <c r="P115" s="7"/>
      <c r="Q115" s="34"/>
      <c r="R115" s="35" t="s">
        <v>28</v>
      </c>
      <c r="S115" s="34"/>
      <c r="T115" s="7"/>
      <c r="U115" s="34"/>
      <c r="V115" s="36"/>
      <c r="Z115" s="34"/>
      <c r="AA115" s="7"/>
      <c r="AB115" s="34"/>
    </row>
    <row r="116" spans="2:28" ht="13.35" hidden="1" customHeight="1" outlineLevel="3">
      <c r="B116" s="25" t="s">
        <v>29</v>
      </c>
      <c r="C116" s="30" t="s">
        <v>875</v>
      </c>
      <c r="D116" s="34"/>
      <c r="E116" s="7"/>
      <c r="F116" s="34"/>
      <c r="G116" s="120" t="s">
        <v>28</v>
      </c>
      <c r="H116" s="34"/>
      <c r="I116" s="7"/>
      <c r="J116" s="34"/>
      <c r="K116" s="36" t="s">
        <v>88</v>
      </c>
      <c r="O116" s="34"/>
      <c r="P116" s="7"/>
      <c r="Q116" s="34"/>
      <c r="R116" s="35" t="s">
        <v>28</v>
      </c>
      <c r="S116" s="34"/>
      <c r="T116" s="7"/>
      <c r="U116" s="34"/>
      <c r="V116" s="150">
        <v>4.0000000000000001E-3</v>
      </c>
      <c r="Z116" s="34"/>
      <c r="AA116" s="7"/>
      <c r="AB116" s="34"/>
    </row>
    <row r="117" spans="2:28" ht="13.35" hidden="1" customHeight="1" outlineLevel="3">
      <c r="B117" s="25" t="s">
        <v>29</v>
      </c>
      <c r="C117" s="30" t="s">
        <v>875</v>
      </c>
      <c r="D117" s="34"/>
      <c r="E117" s="7"/>
      <c r="F117" s="34"/>
      <c r="G117" s="120" t="s">
        <v>28</v>
      </c>
      <c r="H117" s="34"/>
      <c r="I117" s="7"/>
      <c r="J117" s="34"/>
      <c r="K117" s="36" t="s">
        <v>89</v>
      </c>
      <c r="O117" s="34"/>
      <c r="P117" s="7"/>
      <c r="Q117" s="34"/>
      <c r="R117" s="35" t="s">
        <v>28</v>
      </c>
      <c r="S117" s="34"/>
      <c r="T117" s="7"/>
      <c r="U117" s="34"/>
      <c r="V117" s="150">
        <v>3.0000000000000001E-3</v>
      </c>
      <c r="Z117" s="34"/>
      <c r="AA117" s="7"/>
      <c r="AB117" s="34"/>
    </row>
    <row r="118" spans="2:28" ht="13.35" hidden="1" customHeight="1" outlineLevel="3">
      <c r="B118" s="25" t="s">
        <v>29</v>
      </c>
      <c r="C118" s="30" t="s">
        <v>875</v>
      </c>
      <c r="D118" s="34"/>
      <c r="E118" s="7"/>
      <c r="F118" s="34"/>
      <c r="G118" s="120" t="s">
        <v>28</v>
      </c>
      <c r="H118" s="34"/>
      <c r="I118" s="7"/>
      <c r="J118" s="34"/>
      <c r="K118" s="36" t="s">
        <v>90</v>
      </c>
      <c r="O118" s="34"/>
      <c r="P118" s="7"/>
      <c r="Q118" s="34"/>
      <c r="R118" s="35" t="s">
        <v>28</v>
      </c>
      <c r="S118" s="34"/>
      <c r="T118" s="7"/>
      <c r="U118" s="34"/>
      <c r="V118" s="36">
        <v>0.16</v>
      </c>
      <c r="Z118" s="34"/>
      <c r="AA118" s="7"/>
      <c r="AB118" s="34"/>
    </row>
    <row r="119" spans="2:28" ht="13.35" hidden="1" customHeight="1" outlineLevel="3">
      <c r="B119" s="25" t="s">
        <v>29</v>
      </c>
      <c r="C119" s="30" t="s">
        <v>875</v>
      </c>
      <c r="D119" s="34"/>
      <c r="E119" s="7"/>
      <c r="G119" s="120" t="s">
        <v>28</v>
      </c>
      <c r="I119" s="7"/>
      <c r="K119" s="36"/>
      <c r="P119" s="7"/>
      <c r="R119" s="35" t="s">
        <v>28</v>
      </c>
      <c r="S119" s="6"/>
      <c r="T119" s="7"/>
      <c r="U119" s="6"/>
      <c r="V119" s="36"/>
      <c r="AA119" s="7"/>
    </row>
    <row r="120" spans="2:28" ht="13.35" hidden="1" customHeight="1" outlineLevel="3">
      <c r="B120" s="25" t="s">
        <v>29</v>
      </c>
      <c r="C120" s="30" t="s">
        <v>875</v>
      </c>
      <c r="D120" s="34"/>
      <c r="E120" s="7"/>
      <c r="G120" s="120" t="s">
        <v>28</v>
      </c>
      <c r="I120" s="7"/>
      <c r="K120" s="36"/>
      <c r="P120" s="7"/>
      <c r="R120" s="35" t="s">
        <v>28</v>
      </c>
      <c r="S120" s="6"/>
      <c r="T120" s="7"/>
      <c r="U120" s="6"/>
      <c r="V120" s="36"/>
      <c r="AA120" s="7"/>
    </row>
    <row r="121" spans="2:28" ht="13.35" hidden="1" customHeight="1" outlineLevel="3">
      <c r="B121" s="25"/>
      <c r="C121" s="30" t="s">
        <v>875</v>
      </c>
      <c r="D121" s="34"/>
      <c r="E121" s="7"/>
      <c r="G121" s="120" t="s">
        <v>28</v>
      </c>
      <c r="I121" s="7"/>
      <c r="K121" s="36"/>
      <c r="P121" s="7"/>
      <c r="R121" s="35" t="s">
        <v>28</v>
      </c>
      <c r="S121" s="6"/>
      <c r="T121" s="7"/>
      <c r="U121" s="6"/>
      <c r="V121" s="36"/>
      <c r="AA121" s="7"/>
    </row>
    <row r="122" spans="2:28" ht="13.35" hidden="1" customHeight="1" outlineLevel="3">
      <c r="B122" s="25"/>
      <c r="C122" s="30" t="s">
        <v>875</v>
      </c>
      <c r="D122" s="34"/>
      <c r="E122" s="7"/>
      <c r="G122" s="120" t="s">
        <v>28</v>
      </c>
      <c r="I122" s="7"/>
      <c r="K122" s="36" t="s">
        <v>1232</v>
      </c>
      <c r="P122" s="7"/>
      <c r="R122" s="35" t="s">
        <v>28</v>
      </c>
      <c r="S122" s="6"/>
      <c r="T122" s="7"/>
      <c r="U122" s="6"/>
      <c r="V122" s="36">
        <v>0.36</v>
      </c>
      <c r="AA122" s="7"/>
    </row>
    <row r="123" spans="2:28" ht="13.35" hidden="1" customHeight="1" outlineLevel="3">
      <c r="B123" s="25"/>
      <c r="C123" s="30" t="s">
        <v>875</v>
      </c>
      <c r="D123" s="34"/>
      <c r="E123" s="7"/>
      <c r="G123" s="120" t="s">
        <v>28</v>
      </c>
      <c r="I123" s="7"/>
      <c r="K123" s="36" t="s">
        <v>117</v>
      </c>
      <c r="P123" s="7"/>
      <c r="R123" s="35" t="s">
        <v>28</v>
      </c>
      <c r="S123" s="6"/>
      <c r="T123" s="7"/>
      <c r="U123" s="6"/>
      <c r="V123" s="36">
        <v>2E-3</v>
      </c>
      <c r="AA123" s="7"/>
    </row>
    <row r="124" spans="2:28" ht="13.35" hidden="1" customHeight="1" outlineLevel="3">
      <c r="B124" s="25"/>
      <c r="C124" s="30" t="s">
        <v>875</v>
      </c>
      <c r="D124" s="34"/>
      <c r="E124" s="7"/>
      <c r="G124" s="120" t="s">
        <v>28</v>
      </c>
      <c r="I124" s="7"/>
      <c r="K124" s="36" t="s">
        <v>98</v>
      </c>
      <c r="P124" s="7"/>
      <c r="R124" s="35" t="s">
        <v>28</v>
      </c>
      <c r="S124" s="6"/>
      <c r="T124" s="7"/>
      <c r="U124" s="6"/>
      <c r="V124" s="36">
        <v>1E-3</v>
      </c>
      <c r="AA124" s="7"/>
    </row>
    <row r="125" spans="2:28" ht="13.35" hidden="1" customHeight="1" outlineLevel="3">
      <c r="B125" s="25"/>
      <c r="C125" s="30"/>
      <c r="D125" s="34"/>
      <c r="E125" s="7"/>
      <c r="G125" s="120"/>
      <c r="I125" s="7"/>
      <c r="P125" s="7"/>
      <c r="R125" s="35"/>
      <c r="S125" s="6"/>
      <c r="T125" s="7"/>
      <c r="U125" s="6"/>
      <c r="AA125" s="7"/>
    </row>
    <row r="126" spans="2:28" ht="13.35" hidden="1" customHeight="1" outlineLevel="3">
      <c r="B126" s="25" t="s">
        <v>29</v>
      </c>
      <c r="C126" s="30" t="s">
        <v>876</v>
      </c>
      <c r="D126" s="34"/>
      <c r="E126" s="7"/>
      <c r="G126" s="120" t="s">
        <v>28</v>
      </c>
      <c r="I126" s="7"/>
      <c r="K126" s="36" t="s">
        <v>1233</v>
      </c>
      <c r="L126" s="36" t="s">
        <v>1234</v>
      </c>
      <c r="M126" s="36" t="s">
        <v>1235</v>
      </c>
      <c r="P126" s="7"/>
      <c r="R126" s="35" t="s">
        <v>28</v>
      </c>
      <c r="S126" s="6"/>
      <c r="T126" s="7"/>
      <c r="U126" s="6"/>
      <c r="V126" s="36">
        <v>0.09</v>
      </c>
      <c r="W126" s="151">
        <v>0.06</v>
      </c>
      <c r="X126" s="36">
        <v>0.08</v>
      </c>
      <c r="AA126" s="7"/>
    </row>
    <row r="127" spans="2:28" ht="13.35" hidden="1" customHeight="1" outlineLevel="3">
      <c r="B127" s="25" t="s">
        <v>29</v>
      </c>
      <c r="C127" s="30" t="s">
        <v>876</v>
      </c>
      <c r="D127" s="34"/>
      <c r="E127" s="7"/>
      <c r="G127" s="120" t="s">
        <v>28</v>
      </c>
      <c r="I127" s="7"/>
      <c r="K127" s="36" t="s">
        <v>880</v>
      </c>
      <c r="L127" s="36" t="s">
        <v>1236</v>
      </c>
      <c r="M127" s="75"/>
      <c r="P127" s="7"/>
      <c r="R127" s="35" t="s">
        <v>28</v>
      </c>
      <c r="S127" s="6"/>
      <c r="T127" s="7"/>
      <c r="U127" s="6"/>
      <c r="V127" s="36">
        <v>0.11</v>
      </c>
      <c r="W127" s="151">
        <v>0.06</v>
      </c>
      <c r="X127" s="75"/>
      <c r="AA127" s="7"/>
    </row>
    <row r="128" spans="2:28" ht="13.35" hidden="1" customHeight="1" outlineLevel="3">
      <c r="B128" s="25" t="s">
        <v>29</v>
      </c>
      <c r="C128" s="30" t="s">
        <v>876</v>
      </c>
      <c r="D128" s="34"/>
      <c r="E128" s="7"/>
      <c r="G128" s="120" t="s">
        <v>28</v>
      </c>
      <c r="I128" s="7"/>
      <c r="K128" s="36" t="s">
        <v>884</v>
      </c>
      <c r="L128" s="36" t="s">
        <v>1237</v>
      </c>
      <c r="P128" s="7"/>
      <c r="R128" s="35" t="s">
        <v>28</v>
      </c>
      <c r="S128" s="6"/>
      <c r="T128" s="7"/>
      <c r="U128" s="6"/>
      <c r="V128" s="36">
        <v>0.09</v>
      </c>
      <c r="W128" s="151">
        <v>0.06</v>
      </c>
      <c r="AA128" s="7"/>
    </row>
    <row r="129" spans="2:28" ht="13.35" hidden="1" customHeight="1" outlineLevel="3">
      <c r="B129" s="25" t="s">
        <v>29</v>
      </c>
      <c r="C129" s="30" t="s">
        <v>876</v>
      </c>
      <c r="D129" s="34"/>
      <c r="E129" s="7"/>
      <c r="G129" s="120" t="s">
        <v>28</v>
      </c>
      <c r="I129" s="7"/>
      <c r="K129" s="36" t="s">
        <v>885</v>
      </c>
      <c r="L129" s="36" t="s">
        <v>1238</v>
      </c>
      <c r="P129" s="7"/>
      <c r="R129" s="35" t="s">
        <v>28</v>
      </c>
      <c r="S129" s="6"/>
      <c r="T129" s="7"/>
      <c r="U129" s="6"/>
      <c r="V129" s="36">
        <v>0.09</v>
      </c>
      <c r="W129" s="151">
        <v>0.06</v>
      </c>
      <c r="AA129" s="7"/>
    </row>
    <row r="130" spans="2:28" ht="13.35" hidden="1" customHeight="1" outlineLevel="3">
      <c r="B130" s="25" t="s">
        <v>29</v>
      </c>
      <c r="C130" s="30" t="s">
        <v>876</v>
      </c>
      <c r="D130" s="34"/>
      <c r="E130" s="7"/>
      <c r="G130" s="120" t="s">
        <v>28</v>
      </c>
      <c r="I130" s="7"/>
      <c r="K130" s="77" t="s">
        <v>123</v>
      </c>
      <c r="L130" s="36" t="s">
        <v>1239</v>
      </c>
      <c r="P130" s="7"/>
      <c r="R130" s="35" t="s">
        <v>28</v>
      </c>
      <c r="S130" s="6"/>
      <c r="T130" s="7"/>
      <c r="U130" s="6"/>
      <c r="V130" s="151">
        <v>0.01</v>
      </c>
      <c r="W130" s="36">
        <v>4.0000000000000002E-4</v>
      </c>
      <c r="AA130" s="7"/>
    </row>
    <row r="131" spans="2:28" ht="13.35" hidden="1" customHeight="1" outlineLevel="3">
      <c r="B131" s="25" t="s">
        <v>29</v>
      </c>
      <c r="C131" s="30" t="s">
        <v>876</v>
      </c>
      <c r="D131" s="34"/>
      <c r="E131" s="7"/>
      <c r="G131" s="120" t="s">
        <v>28</v>
      </c>
      <c r="I131" s="7"/>
      <c r="K131" s="77" t="s">
        <v>124</v>
      </c>
      <c r="L131" s="36" t="s">
        <v>890</v>
      </c>
      <c r="P131" s="7"/>
      <c r="R131" s="35" t="s">
        <v>28</v>
      </c>
      <c r="S131" s="6"/>
      <c r="T131" s="7"/>
      <c r="U131" s="6"/>
      <c r="V131" s="151">
        <v>0.01</v>
      </c>
      <c r="W131" s="36">
        <v>1E-3</v>
      </c>
      <c r="AA131" s="7"/>
    </row>
    <row r="132" spans="2:28" ht="13.35" hidden="1" customHeight="1" outlineLevel="3">
      <c r="B132" s="25" t="s">
        <v>29</v>
      </c>
      <c r="C132" s="30" t="s">
        <v>876</v>
      </c>
      <c r="D132" s="34"/>
      <c r="E132" s="7"/>
      <c r="G132" s="120" t="s">
        <v>28</v>
      </c>
      <c r="I132" s="7"/>
      <c r="K132" s="77" t="s">
        <v>125</v>
      </c>
      <c r="L132" s="36" t="s">
        <v>889</v>
      </c>
      <c r="P132" s="7"/>
      <c r="R132" s="35" t="s">
        <v>28</v>
      </c>
      <c r="S132" s="6"/>
      <c r="T132" s="7"/>
      <c r="U132" s="6"/>
      <c r="V132" s="151">
        <v>0.03</v>
      </c>
      <c r="W132" s="36">
        <v>0.12</v>
      </c>
      <c r="AA132" s="7"/>
    </row>
    <row r="133" spans="2:28" ht="13.35" hidden="1" customHeight="1" outlineLevel="3">
      <c r="B133" s="25" t="s">
        <v>29</v>
      </c>
      <c r="C133" s="30" t="s">
        <v>876</v>
      </c>
      <c r="D133" s="34"/>
      <c r="E133" s="7"/>
      <c r="G133" s="120" t="s">
        <v>28</v>
      </c>
      <c r="I133" s="7"/>
      <c r="K133" s="77" t="s">
        <v>879</v>
      </c>
      <c r="L133" s="75"/>
      <c r="P133" s="7"/>
      <c r="R133" s="35" t="s">
        <v>28</v>
      </c>
      <c r="S133" s="6"/>
      <c r="T133" s="7"/>
      <c r="U133" s="6"/>
      <c r="V133" s="151">
        <v>0.02</v>
      </c>
      <c r="W133" s="75"/>
      <c r="AA133" s="7"/>
    </row>
    <row r="134" spans="2:28" ht="13.35" hidden="1" customHeight="1" outlineLevel="3">
      <c r="B134" s="25" t="s">
        <v>29</v>
      </c>
      <c r="C134" s="30" t="s">
        <v>876</v>
      </c>
      <c r="D134" s="34"/>
      <c r="E134" s="7"/>
      <c r="G134" s="120" t="s">
        <v>28</v>
      </c>
      <c r="I134" s="7"/>
      <c r="K134" s="36" t="s">
        <v>988</v>
      </c>
      <c r="L134" s="75"/>
      <c r="P134" s="7"/>
      <c r="R134" s="35" t="s">
        <v>28</v>
      </c>
      <c r="S134" s="6"/>
      <c r="T134" s="7"/>
      <c r="U134" s="6"/>
      <c r="V134" s="151">
        <v>0.06</v>
      </c>
      <c r="W134" s="75"/>
      <c r="AA134" s="7"/>
    </row>
    <row r="135" spans="2:28" ht="13.35" hidden="1" customHeight="1" outlineLevel="3">
      <c r="B135" s="25" t="s">
        <v>29</v>
      </c>
      <c r="C135" s="30" t="s">
        <v>876</v>
      </c>
      <c r="D135" s="34"/>
      <c r="E135" s="7"/>
      <c r="G135" s="120" t="s">
        <v>28</v>
      </c>
      <c r="I135" s="7"/>
      <c r="K135" s="36" t="s">
        <v>989</v>
      </c>
      <c r="L135" s="75"/>
      <c r="P135" s="7"/>
      <c r="R135" s="35" t="s">
        <v>28</v>
      </c>
      <c r="S135" s="6"/>
      <c r="T135" s="7"/>
      <c r="U135" s="6"/>
      <c r="V135" s="151">
        <v>0.06</v>
      </c>
      <c r="W135" s="75"/>
      <c r="AA135" s="7"/>
    </row>
    <row r="136" spans="2:28" ht="13.35" hidden="1" customHeight="1" outlineLevel="3">
      <c r="B136" s="25" t="s">
        <v>29</v>
      </c>
      <c r="C136" s="30" t="s">
        <v>876</v>
      </c>
      <c r="D136" s="34"/>
      <c r="E136" s="7"/>
      <c r="G136" s="120" t="s">
        <v>28</v>
      </c>
      <c r="I136" s="7"/>
      <c r="K136" s="36" t="s">
        <v>887</v>
      </c>
      <c r="L136" s="75"/>
      <c r="P136" s="7"/>
      <c r="R136" s="35" t="s">
        <v>28</v>
      </c>
      <c r="S136" s="6"/>
      <c r="T136" s="7"/>
      <c r="U136" s="6"/>
      <c r="V136" s="36">
        <v>4.0000000000000001E-3</v>
      </c>
      <c r="W136" s="75"/>
      <c r="AA136" s="7"/>
    </row>
    <row r="137" spans="2:28" ht="13.35" hidden="1" customHeight="1" outlineLevel="3">
      <c r="B137" s="25" t="s">
        <v>29</v>
      </c>
      <c r="C137" s="30" t="s">
        <v>876</v>
      </c>
      <c r="D137" s="34"/>
      <c r="E137" s="7"/>
      <c r="G137" s="120" t="s">
        <v>28</v>
      </c>
      <c r="I137" s="7"/>
      <c r="K137" s="36" t="s">
        <v>883</v>
      </c>
      <c r="L137" s="36"/>
      <c r="P137" s="7"/>
      <c r="R137" s="35" t="s">
        <v>28</v>
      </c>
      <c r="S137" s="6"/>
      <c r="T137" s="7"/>
      <c r="U137" s="6"/>
      <c r="V137" s="36">
        <v>0.04</v>
      </c>
      <c r="W137" s="36"/>
      <c r="AA137" s="7"/>
    </row>
    <row r="138" spans="2:28" ht="3" hidden="1" customHeight="1" outlineLevel="2">
      <c r="B138" s="29"/>
      <c r="C138" s="30"/>
      <c r="D138" s="27"/>
      <c r="E138" s="7"/>
      <c r="F138" s="27"/>
      <c r="G138" s="120"/>
      <c r="H138" s="27"/>
      <c r="I138" s="7"/>
      <c r="J138" s="27"/>
      <c r="K138" s="76"/>
      <c r="O138" s="27"/>
      <c r="P138" s="7"/>
      <c r="Q138" s="27"/>
      <c r="R138" s="28"/>
      <c r="S138" s="27"/>
      <c r="T138" s="7"/>
      <c r="U138" s="27"/>
      <c r="V138" s="76"/>
      <c r="Z138" s="27"/>
      <c r="AA138" s="7"/>
      <c r="AB138" s="27"/>
    </row>
    <row r="139" spans="2:28" s="22" customFormat="1" hidden="1" outlineLevel="2" collapsed="1">
      <c r="B139" s="23" t="s">
        <v>1112</v>
      </c>
      <c r="C139" s="23"/>
      <c r="D139" s="9"/>
      <c r="E139" s="7"/>
      <c r="F139" s="9"/>
      <c r="G139" s="125">
        <f>SUM(K139:N139)</f>
        <v>2</v>
      </c>
      <c r="H139" s="9"/>
      <c r="I139" s="7"/>
      <c r="J139" s="9"/>
      <c r="K139" s="72">
        <f>COUNTA(K140:K141)</f>
        <v>2</v>
      </c>
      <c r="L139" s="72">
        <f>COUNTA(L140:L141)</f>
        <v>0</v>
      </c>
      <c r="M139" s="72">
        <f>COUNTA(M140:M141)</f>
        <v>0</v>
      </c>
      <c r="N139" s="72">
        <f>COUNTA(N140:N141)</f>
        <v>0</v>
      </c>
      <c r="O139" s="9"/>
      <c r="P139" s="7"/>
      <c r="Q139" s="9"/>
      <c r="R139" s="24">
        <f>SUM(V139:Y139)</f>
        <v>2.1893382308758917E-2</v>
      </c>
      <c r="S139" s="9"/>
      <c r="T139" s="7"/>
      <c r="U139" s="9"/>
      <c r="V139" s="82">
        <f>SUM(V140:V141)</f>
        <v>2.1893382308758917E-2</v>
      </c>
      <c r="W139" s="72">
        <f>SUM(W140:W141)</f>
        <v>0</v>
      </c>
      <c r="X139" s="72">
        <f>SUM(X140:X141)</f>
        <v>0</v>
      </c>
      <c r="Y139" s="72">
        <f>SUM(Y140:Y141)</f>
        <v>0</v>
      </c>
      <c r="Z139" s="9"/>
      <c r="AA139" s="7"/>
      <c r="AB139" s="9"/>
    </row>
    <row r="140" spans="2:28" ht="13.35" hidden="1" customHeight="1" outlineLevel="3">
      <c r="B140" s="25" t="s">
        <v>29</v>
      </c>
      <c r="C140" s="30" t="s">
        <v>1240</v>
      </c>
      <c r="D140" s="34"/>
      <c r="E140" s="7"/>
      <c r="F140" s="34"/>
      <c r="G140" s="120" t="s">
        <v>28</v>
      </c>
      <c r="H140" s="34"/>
      <c r="I140" s="7"/>
      <c r="J140" s="34"/>
      <c r="K140" s="36" t="s">
        <v>1241</v>
      </c>
      <c r="O140" s="34"/>
      <c r="P140" s="7"/>
      <c r="Q140" s="34"/>
      <c r="R140" s="35" t="s">
        <v>28</v>
      </c>
      <c r="S140" s="34"/>
      <c r="T140" s="7"/>
      <c r="U140" s="34"/>
      <c r="V140" s="99">
        <v>1.0946691154379459E-2</v>
      </c>
      <c r="W140" s="76"/>
      <c r="Z140" s="34"/>
      <c r="AA140" s="7"/>
      <c r="AB140" s="34"/>
    </row>
    <row r="141" spans="2:28" ht="13.35" hidden="1" customHeight="1" outlineLevel="3">
      <c r="B141" s="25" t="s">
        <v>29</v>
      </c>
      <c r="C141" s="30" t="s">
        <v>1242</v>
      </c>
      <c r="D141" s="34"/>
      <c r="E141" s="7"/>
      <c r="F141" s="34"/>
      <c r="G141" s="120" t="s">
        <v>28</v>
      </c>
      <c r="H141" s="34"/>
      <c r="I141" s="7"/>
      <c r="J141" s="34"/>
      <c r="K141" s="36" t="s">
        <v>1241</v>
      </c>
      <c r="O141" s="34"/>
      <c r="P141" s="7"/>
      <c r="Q141" s="34"/>
      <c r="R141" s="35" t="s">
        <v>28</v>
      </c>
      <c r="S141" s="34"/>
      <c r="T141" s="7"/>
      <c r="U141" s="34"/>
      <c r="V141" s="108">
        <v>1.0946691154379459E-2</v>
      </c>
      <c r="Z141" s="34"/>
      <c r="AA141" s="7"/>
      <c r="AB141" s="34"/>
    </row>
    <row r="142" spans="2:28" ht="3" hidden="1" customHeight="1" outlineLevel="2">
      <c r="B142" s="29"/>
      <c r="C142" s="29"/>
      <c r="D142" s="34"/>
      <c r="E142" s="7"/>
      <c r="F142" s="34"/>
      <c r="G142" s="120"/>
      <c r="H142" s="34"/>
      <c r="I142" s="7"/>
      <c r="J142" s="34"/>
      <c r="K142" s="76"/>
      <c r="O142" s="34"/>
      <c r="P142" s="7"/>
      <c r="Q142" s="34"/>
      <c r="R142" s="35"/>
      <c r="S142" s="34"/>
      <c r="T142" s="7"/>
      <c r="U142" s="34"/>
      <c r="V142" s="76"/>
      <c r="Z142" s="34"/>
      <c r="AA142" s="7"/>
      <c r="AB142" s="34"/>
    </row>
    <row r="143" spans="2:28" s="22" customFormat="1" hidden="1" outlineLevel="2" collapsed="1">
      <c r="B143" s="23" t="s">
        <v>765</v>
      </c>
      <c r="C143" s="23"/>
      <c r="D143" s="9"/>
      <c r="E143" s="7"/>
      <c r="F143" s="9"/>
      <c r="G143" s="125">
        <f>SUM(K143:N143)</f>
        <v>61</v>
      </c>
      <c r="H143" s="9"/>
      <c r="I143" s="7"/>
      <c r="J143" s="9"/>
      <c r="K143" s="72">
        <f>COUNTA(K144:K196)</f>
        <v>11</v>
      </c>
      <c r="L143" s="72">
        <f>COUNTA(L144:L196)</f>
        <v>19</v>
      </c>
      <c r="M143" s="72">
        <f>COUNTA(M144:M196)</f>
        <v>15</v>
      </c>
      <c r="N143" s="72">
        <f>COUNTA(N144:N196)</f>
        <v>16</v>
      </c>
      <c r="O143" s="9"/>
      <c r="P143" s="7"/>
      <c r="Q143" s="9"/>
      <c r="R143" s="83">
        <f>SUM(V143:Y143)</f>
        <v>3.1719820709359414</v>
      </c>
      <c r="S143" s="153"/>
      <c r="T143" s="154"/>
      <c r="U143" s="153"/>
      <c r="V143" s="82">
        <f>SUM(V144:V196)</f>
        <v>0.98732376384577991</v>
      </c>
      <c r="W143" s="82">
        <f>SUM(W144:W196)</f>
        <v>0.24209752636701615</v>
      </c>
      <c r="X143" s="82">
        <f>SUM(X144:X196)</f>
        <v>0.25945045975464959</v>
      </c>
      <c r="Y143" s="82">
        <f>SUM(Y144:Y196)</f>
        <v>1.6831103209684959</v>
      </c>
      <c r="Z143" s="9"/>
      <c r="AA143" s="7"/>
      <c r="AB143" s="9"/>
    </row>
    <row r="144" spans="2:28" ht="13.35" hidden="1" customHeight="1" outlineLevel="3">
      <c r="B144" s="29"/>
      <c r="C144" s="26" t="s">
        <v>766</v>
      </c>
      <c r="D144" s="34"/>
      <c r="E144" s="7"/>
      <c r="F144" s="34"/>
      <c r="G144" s="121" t="s">
        <v>28</v>
      </c>
      <c r="H144" s="34"/>
      <c r="I144" s="7"/>
      <c r="J144" s="34"/>
      <c r="K144" s="127"/>
      <c r="L144" s="127" t="s">
        <v>1241</v>
      </c>
      <c r="M144" s="128"/>
      <c r="N144" s="128"/>
      <c r="O144" s="34"/>
      <c r="P144" s="7"/>
      <c r="Q144" s="34"/>
      <c r="R144" s="39" t="s">
        <v>28</v>
      </c>
      <c r="S144" s="34"/>
      <c r="T144" s="7"/>
      <c r="U144" s="34"/>
      <c r="V144" s="86">
        <v>1.4558843600881927E-3</v>
      </c>
      <c r="W144" s="87">
        <v>8.3475546435715572E-2</v>
      </c>
      <c r="X144" s="87"/>
      <c r="Y144" s="87"/>
      <c r="Z144" s="34"/>
      <c r="AA144" s="7"/>
      <c r="AB144" s="34"/>
    </row>
    <row r="145" spans="2:28" ht="13.35" hidden="1" customHeight="1" outlineLevel="3">
      <c r="B145" s="29"/>
      <c r="C145" s="26"/>
      <c r="D145" s="34"/>
      <c r="E145" s="7"/>
      <c r="F145" s="34"/>
      <c r="G145" s="121"/>
      <c r="H145" s="34"/>
      <c r="I145" s="7"/>
      <c r="J145" s="34"/>
      <c r="K145" s="127"/>
      <c r="L145" s="128"/>
      <c r="M145" s="128"/>
      <c r="N145" s="128"/>
      <c r="O145" s="34"/>
      <c r="P145" s="7"/>
      <c r="Q145" s="34"/>
      <c r="R145" s="39"/>
      <c r="S145" s="34"/>
      <c r="T145" s="7"/>
      <c r="U145" s="34"/>
      <c r="V145" s="87"/>
      <c r="W145" s="87"/>
      <c r="X145" s="87"/>
      <c r="Y145" s="87"/>
      <c r="Z145" s="34"/>
      <c r="AA145" s="7"/>
      <c r="AB145" s="34"/>
    </row>
    <row r="146" spans="2:28" ht="13.35" hidden="1" customHeight="1" outlineLevel="3">
      <c r="B146" s="29"/>
      <c r="C146" s="26" t="s">
        <v>768</v>
      </c>
      <c r="D146" s="34"/>
      <c r="E146" s="7"/>
      <c r="F146" s="34"/>
      <c r="G146" s="121" t="s">
        <v>28</v>
      </c>
      <c r="H146" s="34"/>
      <c r="I146" s="7"/>
      <c r="J146" s="34"/>
      <c r="K146" s="127" t="s">
        <v>145</v>
      </c>
      <c r="L146" s="127" t="s">
        <v>1241</v>
      </c>
      <c r="M146" s="128"/>
      <c r="N146" s="128"/>
      <c r="O146" s="34"/>
      <c r="P146" s="7"/>
      <c r="Q146" s="34"/>
      <c r="R146" s="39" t="s">
        <v>28</v>
      </c>
      <c r="S146" s="34"/>
      <c r="T146" s="7"/>
      <c r="U146" s="34"/>
      <c r="V146" s="87">
        <v>1.6148977331081289E-2</v>
      </c>
      <c r="W146" s="87">
        <v>1.6148977331081289E-2</v>
      </c>
      <c r="X146" s="87"/>
      <c r="Y146" s="87"/>
      <c r="Z146" s="34"/>
      <c r="AA146" s="7"/>
      <c r="AB146" s="34"/>
    </row>
    <row r="147" spans="2:28" ht="13.35" hidden="1" customHeight="1" outlineLevel="3">
      <c r="B147" s="29"/>
      <c r="C147" s="26" t="s">
        <v>768</v>
      </c>
      <c r="D147" s="34"/>
      <c r="E147" s="7"/>
      <c r="F147" s="34"/>
      <c r="G147" s="121" t="s">
        <v>28</v>
      </c>
      <c r="H147" s="34"/>
      <c r="I147" s="7"/>
      <c r="J147" s="34"/>
      <c r="K147" s="129"/>
      <c r="L147" s="128"/>
      <c r="M147" s="128"/>
      <c r="N147" s="128"/>
      <c r="O147" s="34"/>
      <c r="P147" s="7"/>
      <c r="Q147" s="34"/>
      <c r="R147" s="39" t="s">
        <v>28</v>
      </c>
      <c r="S147" s="34"/>
      <c r="T147" s="7"/>
      <c r="U147" s="34"/>
      <c r="V147" s="87"/>
      <c r="W147" s="87"/>
      <c r="X147" s="87"/>
      <c r="Y147" s="87"/>
      <c r="Z147" s="34"/>
      <c r="AA147" s="7"/>
      <c r="AB147" s="34"/>
    </row>
    <row r="148" spans="2:28" ht="13.35" hidden="1" customHeight="1" outlineLevel="3">
      <c r="B148" s="29"/>
      <c r="C148" s="26"/>
      <c r="D148" s="34"/>
      <c r="E148" s="7"/>
      <c r="F148" s="34"/>
      <c r="G148" s="121"/>
      <c r="H148" s="34"/>
      <c r="I148" s="7"/>
      <c r="J148" s="34"/>
      <c r="K148" s="127"/>
      <c r="L148" s="128"/>
      <c r="M148" s="128"/>
      <c r="N148" s="128"/>
      <c r="O148" s="34"/>
      <c r="P148" s="7"/>
      <c r="Q148" s="34"/>
      <c r="R148" s="39"/>
      <c r="S148" s="34"/>
      <c r="T148" s="7"/>
      <c r="U148" s="34"/>
      <c r="V148" s="87"/>
      <c r="W148" s="87"/>
      <c r="X148" s="87"/>
      <c r="Y148" s="87"/>
      <c r="Z148" s="34"/>
      <c r="AA148" s="7"/>
      <c r="AB148" s="34"/>
    </row>
    <row r="149" spans="2:28" ht="13.35" hidden="1" customHeight="1" outlineLevel="3">
      <c r="B149" s="29"/>
      <c r="C149" s="26" t="s">
        <v>769</v>
      </c>
      <c r="D149" s="34"/>
      <c r="E149" s="7"/>
      <c r="F149" s="34"/>
      <c r="G149" s="121" t="s">
        <v>28</v>
      </c>
      <c r="H149" s="34"/>
      <c r="I149" s="7"/>
      <c r="J149" s="34"/>
      <c r="K149" s="127" t="s">
        <v>177</v>
      </c>
      <c r="L149" s="127" t="s">
        <v>1243</v>
      </c>
      <c r="M149" s="127" t="s">
        <v>179</v>
      </c>
      <c r="N149" s="128"/>
      <c r="O149" s="34"/>
      <c r="P149" s="7"/>
      <c r="Q149" s="34"/>
      <c r="R149" s="39" t="s">
        <v>28</v>
      </c>
      <c r="S149" s="34"/>
      <c r="T149" s="7"/>
      <c r="U149" s="34"/>
      <c r="V149" s="87">
        <v>1.1870957704319998E-2</v>
      </c>
      <c r="W149" s="87">
        <v>1.1870957704319998E-2</v>
      </c>
      <c r="X149" s="87">
        <v>1.8201425424436805E-2</v>
      </c>
      <c r="Y149" s="87"/>
      <c r="Z149" s="34"/>
      <c r="AA149" s="7"/>
      <c r="AB149" s="34"/>
    </row>
    <row r="150" spans="2:28" ht="13.35" hidden="1" customHeight="1" outlineLevel="3">
      <c r="B150" s="29"/>
      <c r="C150" s="26" t="s">
        <v>769</v>
      </c>
      <c r="D150" s="34"/>
      <c r="E150" s="7"/>
      <c r="F150" s="34"/>
      <c r="G150" s="121" t="s">
        <v>28</v>
      </c>
      <c r="H150" s="34"/>
      <c r="I150" s="7"/>
      <c r="J150" s="34"/>
      <c r="K150" s="127" t="s">
        <v>178</v>
      </c>
      <c r="L150" s="127" t="s">
        <v>1244</v>
      </c>
      <c r="M150" s="127" t="s">
        <v>1241</v>
      </c>
      <c r="N150" s="128"/>
      <c r="O150" s="34"/>
      <c r="P150" s="7"/>
      <c r="Q150" s="34"/>
      <c r="R150" s="39" t="s">
        <v>28</v>
      </c>
      <c r="S150" s="34"/>
      <c r="T150" s="7"/>
      <c r="U150" s="34"/>
      <c r="V150" s="87">
        <v>1.5827943605759998E-2</v>
      </c>
      <c r="W150" s="87">
        <v>1.1870957704319998E-2</v>
      </c>
      <c r="X150" s="87">
        <v>6.2729832920495929E-2</v>
      </c>
      <c r="Y150" s="87"/>
      <c r="Z150" s="34"/>
      <c r="AA150" s="7"/>
      <c r="AB150" s="34"/>
    </row>
    <row r="151" spans="2:28" ht="13.35" hidden="1" customHeight="1" outlineLevel="3">
      <c r="B151" s="29"/>
      <c r="C151" s="26" t="s">
        <v>769</v>
      </c>
      <c r="D151" s="34"/>
      <c r="E151" s="7"/>
      <c r="F151" s="34"/>
      <c r="G151" s="121" t="s">
        <v>28</v>
      </c>
      <c r="H151" s="34"/>
      <c r="I151" s="7"/>
      <c r="J151" s="34"/>
      <c r="K151" s="127" t="s">
        <v>770</v>
      </c>
      <c r="L151" s="127" t="s">
        <v>992</v>
      </c>
      <c r="M151" s="128"/>
      <c r="N151" s="128"/>
      <c r="O151" s="34"/>
      <c r="P151" s="7"/>
      <c r="Q151" s="34"/>
      <c r="R151" s="39" t="s">
        <v>28</v>
      </c>
      <c r="S151" s="34"/>
      <c r="T151" s="7"/>
      <c r="U151" s="34"/>
      <c r="V151" s="87">
        <v>1.1870957704319998E-2</v>
      </c>
      <c r="W151" s="87">
        <v>1.1870957704319998E-2</v>
      </c>
      <c r="X151" s="87"/>
      <c r="Y151" s="87"/>
      <c r="Z151" s="34"/>
      <c r="AA151" s="7"/>
      <c r="AB151" s="34"/>
    </row>
    <row r="152" spans="2:28" ht="13.35" hidden="1" customHeight="1" outlineLevel="3">
      <c r="B152" s="29"/>
      <c r="C152" s="26" t="s">
        <v>769</v>
      </c>
      <c r="D152" s="34"/>
      <c r="E152" s="7"/>
      <c r="F152" s="34"/>
      <c r="G152" s="121" t="s">
        <v>28</v>
      </c>
      <c r="H152" s="34"/>
      <c r="I152" s="7"/>
      <c r="J152" s="34"/>
      <c r="K152" s="127" t="s">
        <v>771</v>
      </c>
      <c r="L152" s="127" t="s">
        <v>993</v>
      </c>
      <c r="M152" s="128"/>
      <c r="N152" s="128"/>
      <c r="O152" s="34"/>
      <c r="P152" s="7"/>
      <c r="Q152" s="34"/>
      <c r="R152" s="39" t="s">
        <v>28</v>
      </c>
      <c r="S152" s="34"/>
      <c r="T152" s="7"/>
      <c r="U152" s="34"/>
      <c r="V152" s="87">
        <v>1.5827943605759998E-2</v>
      </c>
      <c r="W152" s="87">
        <v>1.1870957704319998E-2</v>
      </c>
      <c r="X152" s="87"/>
      <c r="Y152" s="87"/>
      <c r="Z152" s="34"/>
      <c r="AA152" s="7"/>
      <c r="AB152" s="34"/>
    </row>
    <row r="153" spans="2:28" ht="13.35" hidden="1" customHeight="1" outlineLevel="3">
      <c r="B153" s="29"/>
      <c r="C153" s="26" t="s">
        <v>769</v>
      </c>
      <c r="D153" s="34"/>
      <c r="E153" s="7"/>
      <c r="F153" s="34"/>
      <c r="G153" s="121" t="s">
        <v>28</v>
      </c>
      <c r="H153" s="34"/>
      <c r="I153" s="7"/>
      <c r="J153" s="34"/>
      <c r="K153" s="127" t="s">
        <v>772</v>
      </c>
      <c r="L153" s="127" t="s">
        <v>1245</v>
      </c>
      <c r="M153" s="128"/>
      <c r="N153" s="128"/>
      <c r="O153" s="34"/>
      <c r="P153" s="7"/>
      <c r="Q153" s="34"/>
      <c r="R153" s="39" t="s">
        <v>28</v>
      </c>
      <c r="S153" s="34"/>
      <c r="T153" s="7"/>
      <c r="U153" s="34"/>
      <c r="V153" s="87">
        <v>3.7611315056000003E-2</v>
      </c>
      <c r="W153" s="87">
        <v>1.4558843600881927E-3</v>
      </c>
      <c r="X153" s="87"/>
      <c r="Y153" s="87"/>
      <c r="Z153" s="34"/>
      <c r="AA153" s="7"/>
      <c r="AB153" s="34"/>
    </row>
    <row r="154" spans="2:28" ht="13.35" hidden="1" customHeight="1" outlineLevel="3">
      <c r="B154" s="29"/>
      <c r="C154" s="26" t="s">
        <v>769</v>
      </c>
      <c r="D154" s="34"/>
      <c r="E154" s="7"/>
      <c r="F154" s="34"/>
      <c r="G154" s="121" t="s">
        <v>28</v>
      </c>
      <c r="H154" s="34"/>
      <c r="I154" s="7"/>
      <c r="J154" s="34"/>
      <c r="K154" s="127" t="s">
        <v>991</v>
      </c>
      <c r="L154" s="128"/>
      <c r="M154" s="128"/>
      <c r="N154" s="128"/>
      <c r="O154" s="34"/>
      <c r="P154" s="7"/>
      <c r="Q154" s="34"/>
      <c r="R154" s="39" t="s">
        <v>28</v>
      </c>
      <c r="S154" s="34"/>
      <c r="T154" s="7"/>
      <c r="U154" s="34"/>
      <c r="V154" s="87">
        <v>3.7611315056000003E-2</v>
      </c>
      <c r="W154" s="87"/>
      <c r="X154" s="87"/>
      <c r="Y154" s="87"/>
      <c r="Z154" s="34"/>
      <c r="AA154" s="7"/>
      <c r="AB154" s="34"/>
    </row>
    <row r="155" spans="2:28" ht="13.35" hidden="1" customHeight="1" outlineLevel="3">
      <c r="C155" s="26" t="s">
        <v>769</v>
      </c>
      <c r="D155" s="34"/>
      <c r="E155" s="7"/>
      <c r="G155" s="121" t="s">
        <v>28</v>
      </c>
      <c r="I155" s="7"/>
      <c r="L155" s="128"/>
      <c r="M155" s="128"/>
      <c r="N155" s="128"/>
      <c r="P155" s="7"/>
      <c r="R155" s="39" t="s">
        <v>28</v>
      </c>
      <c r="S155" s="6"/>
      <c r="T155" s="7"/>
      <c r="U155" s="6"/>
      <c r="V155" s="87">
        <v>3.7611315056000003E-2</v>
      </c>
      <c r="W155" s="87"/>
      <c r="X155" s="87"/>
      <c r="Y155" s="87"/>
      <c r="AA155" s="7"/>
    </row>
    <row r="156" spans="2:28" ht="13.35" hidden="1" customHeight="1" outlineLevel="3">
      <c r="C156" s="26" t="s">
        <v>769</v>
      </c>
      <c r="D156" s="34"/>
      <c r="E156" s="7"/>
      <c r="G156" s="121" t="s">
        <v>28</v>
      </c>
      <c r="I156" s="7"/>
      <c r="L156" s="128"/>
      <c r="M156" s="128"/>
      <c r="N156" s="128"/>
      <c r="P156" s="7"/>
      <c r="R156" s="39" t="s">
        <v>28</v>
      </c>
      <c r="S156" s="6"/>
      <c r="T156" s="7"/>
      <c r="U156" s="6"/>
      <c r="V156" s="87">
        <v>5.4604276273310416E-3</v>
      </c>
      <c r="W156" s="87"/>
      <c r="X156" s="87"/>
      <c r="Y156" s="87"/>
      <c r="AA156" s="7"/>
    </row>
    <row r="157" spans="2:28" ht="13.35" hidden="1" customHeight="1" outlineLevel="3">
      <c r="C157" s="26" t="s">
        <v>769</v>
      </c>
      <c r="D157" s="34"/>
      <c r="E157" s="7"/>
      <c r="G157" s="121" t="s">
        <v>28</v>
      </c>
      <c r="I157" s="7"/>
      <c r="K157" s="129"/>
      <c r="L157" s="128"/>
      <c r="M157" s="128"/>
      <c r="N157" s="128"/>
      <c r="P157" s="7"/>
      <c r="R157" s="39" t="s">
        <v>28</v>
      </c>
      <c r="S157" s="6"/>
      <c r="T157" s="7"/>
      <c r="U157" s="6"/>
      <c r="V157" s="87"/>
      <c r="W157" s="87"/>
      <c r="X157" s="87"/>
      <c r="Y157" s="87"/>
      <c r="AA157" s="7"/>
    </row>
    <row r="158" spans="2:28" ht="13.35" hidden="1" customHeight="1" outlineLevel="3">
      <c r="C158" s="26" t="s">
        <v>769</v>
      </c>
      <c r="D158" s="34"/>
      <c r="E158" s="7"/>
      <c r="G158" s="121" t="s">
        <v>28</v>
      </c>
      <c r="I158" s="7"/>
      <c r="K158" s="129"/>
      <c r="L158" s="128"/>
      <c r="M158" s="128"/>
      <c r="N158" s="128"/>
      <c r="P158" s="7"/>
      <c r="R158" s="39" t="s">
        <v>28</v>
      </c>
      <c r="S158" s="6"/>
      <c r="T158" s="7"/>
      <c r="U158" s="6"/>
      <c r="V158" s="87"/>
      <c r="W158" s="87"/>
      <c r="X158" s="87"/>
      <c r="Y158" s="87"/>
      <c r="AA158" s="7"/>
    </row>
    <row r="159" spans="2:28" ht="13.35" hidden="1" customHeight="1" outlineLevel="3">
      <c r="C159" s="26" t="s">
        <v>769</v>
      </c>
      <c r="D159" s="34"/>
      <c r="E159" s="7"/>
      <c r="G159" s="121" t="s">
        <v>28</v>
      </c>
      <c r="I159" s="7"/>
      <c r="K159" s="129"/>
      <c r="L159" s="128"/>
      <c r="M159" s="128"/>
      <c r="N159" s="128"/>
      <c r="P159" s="7"/>
      <c r="R159" s="39" t="s">
        <v>28</v>
      </c>
      <c r="S159" s="6"/>
      <c r="T159" s="7"/>
      <c r="U159" s="6"/>
      <c r="V159" s="87"/>
      <c r="W159" s="87"/>
      <c r="X159" s="87"/>
      <c r="Y159" s="87"/>
      <c r="AA159" s="7"/>
    </row>
    <row r="160" spans="2:28" ht="13.35" hidden="1" customHeight="1" outlineLevel="3">
      <c r="C160" s="26" t="s">
        <v>769</v>
      </c>
      <c r="D160" s="34"/>
      <c r="E160" s="7"/>
      <c r="G160" s="121" t="s">
        <v>28</v>
      </c>
      <c r="I160" s="7"/>
      <c r="K160" s="129"/>
      <c r="L160" s="128"/>
      <c r="M160" s="128"/>
      <c r="N160" s="128"/>
      <c r="P160" s="7"/>
      <c r="R160" s="39" t="s">
        <v>28</v>
      </c>
      <c r="S160" s="6"/>
      <c r="T160" s="7"/>
      <c r="U160" s="6"/>
      <c r="V160" s="87"/>
      <c r="W160" s="87"/>
      <c r="X160" s="87"/>
      <c r="Y160" s="87"/>
      <c r="AA160" s="7"/>
    </row>
    <row r="161" spans="1:35" ht="13.35" hidden="1" customHeight="1" outlineLevel="3">
      <c r="C161" s="26" t="s">
        <v>769</v>
      </c>
      <c r="D161" s="34"/>
      <c r="E161" s="7"/>
      <c r="G161" s="121" t="s">
        <v>28</v>
      </c>
      <c r="I161" s="7"/>
      <c r="K161" s="129"/>
      <c r="L161" s="128"/>
      <c r="M161" s="128"/>
      <c r="N161" s="128"/>
      <c r="P161" s="7"/>
      <c r="R161" s="39" t="s">
        <v>28</v>
      </c>
      <c r="S161" s="6"/>
      <c r="T161" s="7"/>
      <c r="U161" s="6"/>
      <c r="V161" s="87"/>
      <c r="W161" s="87"/>
      <c r="X161" s="87"/>
      <c r="Y161" s="87"/>
      <c r="AA161" s="7"/>
    </row>
    <row r="162" spans="1:35" ht="13.35" hidden="1" customHeight="1" outlineLevel="3">
      <c r="C162" s="26" t="s">
        <v>769</v>
      </c>
      <c r="D162" s="34"/>
      <c r="E162" s="7"/>
      <c r="G162" s="121" t="s">
        <v>28</v>
      </c>
      <c r="I162" s="7"/>
      <c r="K162" s="129"/>
      <c r="L162" s="128"/>
      <c r="M162" s="128"/>
      <c r="N162" s="128"/>
      <c r="P162" s="7"/>
      <c r="R162" s="39" t="s">
        <v>28</v>
      </c>
      <c r="S162" s="6"/>
      <c r="T162" s="7"/>
      <c r="U162" s="6"/>
      <c r="V162" s="87"/>
      <c r="W162" s="87"/>
      <c r="X162" s="87"/>
      <c r="Y162" s="87"/>
      <c r="AA162" s="7"/>
    </row>
    <row r="163" spans="1:35" ht="13.35" hidden="1" customHeight="1" outlineLevel="3">
      <c r="C163" s="40"/>
      <c r="D163" s="34"/>
      <c r="E163" s="7"/>
      <c r="G163" s="121"/>
      <c r="I163" s="7"/>
      <c r="K163" s="128"/>
      <c r="L163" s="128"/>
      <c r="M163" s="128"/>
      <c r="N163" s="128"/>
      <c r="P163" s="7"/>
      <c r="R163" s="39"/>
      <c r="S163" s="6"/>
      <c r="T163" s="7"/>
      <c r="U163" s="6"/>
      <c r="V163" s="87"/>
      <c r="W163" s="87"/>
      <c r="X163" s="87"/>
      <c r="Y163" s="87"/>
      <c r="AA163" s="7"/>
    </row>
    <row r="164" spans="1:35" ht="13.35" hidden="1" customHeight="1" outlineLevel="3">
      <c r="C164" s="90" t="s">
        <v>1246</v>
      </c>
      <c r="D164" s="34"/>
      <c r="E164" s="7"/>
      <c r="G164" s="121" t="s">
        <v>28</v>
      </c>
      <c r="I164" s="7"/>
      <c r="K164" s="127" t="s">
        <v>32</v>
      </c>
      <c r="L164" s="127" t="s">
        <v>34</v>
      </c>
      <c r="M164" s="130" t="s">
        <v>1247</v>
      </c>
      <c r="N164" s="130" t="s">
        <v>1248</v>
      </c>
      <c r="P164" s="7"/>
      <c r="R164" s="39" t="s">
        <v>28</v>
      </c>
      <c r="S164" s="6"/>
      <c r="T164" s="7"/>
      <c r="U164" s="6"/>
      <c r="V164" s="87">
        <v>6.2729832920495929E-2</v>
      </c>
      <c r="W164" s="87">
        <v>1.8805657528000001E-2</v>
      </c>
      <c r="X164" s="87">
        <v>5.9354788521599989E-3</v>
      </c>
      <c r="Y164" s="87">
        <v>1.8805657528000001E-2</v>
      </c>
      <c r="AA164" s="7"/>
    </row>
    <row r="165" spans="1:35" ht="13.35" hidden="1" customHeight="1" outlineLevel="3">
      <c r="C165" s="90" t="s">
        <v>1246</v>
      </c>
      <c r="D165" s="34"/>
      <c r="E165" s="7"/>
      <c r="G165" s="121" t="s">
        <v>28</v>
      </c>
      <c r="I165" s="7"/>
      <c r="K165" s="127" t="s">
        <v>33</v>
      </c>
      <c r="L165" s="127" t="s">
        <v>1249</v>
      </c>
      <c r="M165" s="130" t="s">
        <v>1250</v>
      </c>
      <c r="N165" s="127" t="s">
        <v>1251</v>
      </c>
      <c r="P165" s="7"/>
      <c r="R165" s="39" t="s">
        <v>28</v>
      </c>
      <c r="S165" s="6"/>
      <c r="T165" s="7"/>
      <c r="U165" s="6"/>
      <c r="V165" s="87">
        <v>0.12545966584099186</v>
      </c>
      <c r="W165" s="87">
        <v>1.8805657528000001E-2</v>
      </c>
      <c r="X165" s="87">
        <v>5.9354788521599989E-3</v>
      </c>
      <c r="Y165" s="87">
        <v>1.8805657528000001E-2</v>
      </c>
      <c r="AA165" s="7"/>
    </row>
    <row r="166" spans="1:35" ht="13.35" hidden="1" customHeight="1" outlineLevel="3">
      <c r="C166" s="90" t="s">
        <v>1246</v>
      </c>
      <c r="D166" s="34"/>
      <c r="E166" s="7"/>
      <c r="G166" s="121" t="s">
        <v>28</v>
      </c>
      <c r="I166" s="7"/>
      <c r="K166" s="127" t="s">
        <v>1252</v>
      </c>
      <c r="L166" s="127" t="s">
        <v>1253</v>
      </c>
      <c r="M166" s="130" t="s">
        <v>1254</v>
      </c>
      <c r="N166" s="127" t="s">
        <v>1255</v>
      </c>
      <c r="P166" s="7"/>
      <c r="R166" s="39" t="s">
        <v>28</v>
      </c>
      <c r="S166" s="6"/>
      <c r="T166" s="7"/>
      <c r="U166" s="6"/>
      <c r="V166" s="87">
        <v>0.43982998919999999</v>
      </c>
      <c r="W166" s="87">
        <v>1.8805657528000001E-2</v>
      </c>
      <c r="X166" s="87">
        <v>5.9354788521599989E-3</v>
      </c>
      <c r="Y166" s="87">
        <v>1.8805657528000001E-2</v>
      </c>
      <c r="AA166" s="7"/>
    </row>
    <row r="167" spans="1:35" ht="13.35" hidden="1" customHeight="1" outlineLevel="3">
      <c r="C167" s="90" t="s">
        <v>1246</v>
      </c>
      <c r="D167" s="34"/>
      <c r="E167" s="7"/>
      <c r="G167" s="121" t="s">
        <v>28</v>
      </c>
      <c r="I167" s="7"/>
      <c r="K167" s="127" t="s">
        <v>1256</v>
      </c>
      <c r="L167" s="127" t="s">
        <v>1257</v>
      </c>
      <c r="M167" s="130" t="s">
        <v>1258</v>
      </c>
      <c r="N167" s="127" t="s">
        <v>1259</v>
      </c>
      <c r="P167" s="7"/>
      <c r="R167" s="39" t="s">
        <v>28</v>
      </c>
      <c r="S167" s="6"/>
      <c r="T167" s="7"/>
      <c r="U167" s="6"/>
      <c r="V167" s="87">
        <v>0.12545966584099186</v>
      </c>
      <c r="W167" s="87">
        <v>7.9139718028799991E-3</v>
      </c>
      <c r="X167" s="87">
        <v>5.9354788521599989E-3</v>
      </c>
      <c r="Y167" s="87">
        <v>1.8805657528000001E-2</v>
      </c>
      <c r="AA167" s="7"/>
    </row>
    <row r="168" spans="1:35" ht="13.35" hidden="1" customHeight="1" outlineLevel="3">
      <c r="C168" s="90" t="s">
        <v>1246</v>
      </c>
      <c r="D168" s="34"/>
      <c r="E168" s="7"/>
      <c r="G168" s="121" t="s">
        <v>28</v>
      </c>
      <c r="I168" s="7"/>
      <c r="K168" s="128"/>
      <c r="L168" s="127" t="s">
        <v>1260</v>
      </c>
      <c r="M168" s="130" t="s">
        <v>1261</v>
      </c>
      <c r="N168" s="129" t="s">
        <v>1262</v>
      </c>
      <c r="P168" s="7"/>
      <c r="R168" s="39" t="s">
        <v>28</v>
      </c>
      <c r="S168" s="6"/>
      <c r="T168" s="7"/>
      <c r="U168" s="6"/>
      <c r="V168" s="87">
        <v>1.8805657528000001E-2</v>
      </c>
      <c r="W168" s="87">
        <v>7.9139718028799991E-3</v>
      </c>
      <c r="X168" s="87">
        <v>5.9354788521599989E-3</v>
      </c>
      <c r="Y168" s="87">
        <v>0.43982998919999999</v>
      </c>
      <c r="AA168" s="7"/>
    </row>
    <row r="169" spans="1:35" s="6" customFormat="1" ht="13.35" hidden="1" customHeight="1" outlineLevel="3">
      <c r="A169" s="4"/>
      <c r="B169" s="5"/>
      <c r="C169" s="90" t="s">
        <v>1246</v>
      </c>
      <c r="D169" s="34"/>
      <c r="E169" s="7"/>
      <c r="G169" s="121" t="s">
        <v>28</v>
      </c>
      <c r="I169" s="7"/>
      <c r="K169" s="128"/>
      <c r="L169" s="127" t="s">
        <v>1263</v>
      </c>
      <c r="M169" s="130" t="s">
        <v>1264</v>
      </c>
      <c r="N169" s="129" t="s">
        <v>1265</v>
      </c>
      <c r="P169" s="7"/>
      <c r="R169" s="39" t="s">
        <v>28</v>
      </c>
      <c r="T169" s="7"/>
      <c r="V169" s="87">
        <v>5.9354788521599989E-3</v>
      </c>
      <c r="W169" s="87">
        <v>7.9139718028799991E-3</v>
      </c>
      <c r="X169" s="87">
        <v>5.9354788521599989E-3</v>
      </c>
      <c r="Y169" s="87">
        <v>0.43982998919999999</v>
      </c>
      <c r="AA169" s="7"/>
      <c r="AC169" s="4"/>
      <c r="AD169" s="4"/>
      <c r="AE169" s="4"/>
      <c r="AF169" s="4"/>
      <c r="AG169" s="4"/>
      <c r="AH169" s="4"/>
      <c r="AI169" s="4"/>
    </row>
    <row r="170" spans="1:35" s="6" customFormat="1" ht="13.35" hidden="1" customHeight="1" outlineLevel="3">
      <c r="A170" s="4"/>
      <c r="B170" s="5"/>
      <c r="C170" s="90" t="s">
        <v>1246</v>
      </c>
      <c r="D170" s="34"/>
      <c r="E170" s="7"/>
      <c r="G170" s="121" t="s">
        <v>28</v>
      </c>
      <c r="I170" s="7"/>
      <c r="K170" s="128"/>
      <c r="L170" s="127" t="s">
        <v>1266</v>
      </c>
      <c r="M170" s="130" t="s">
        <v>1267</v>
      </c>
      <c r="N170" s="129" t="s">
        <v>129</v>
      </c>
      <c r="P170" s="7"/>
      <c r="R170" s="39" t="s">
        <v>28</v>
      </c>
      <c r="T170" s="7"/>
      <c r="V170" s="87">
        <v>5.9354788521599989E-3</v>
      </c>
      <c r="W170" s="87">
        <v>7.9139718028799991E-3</v>
      </c>
      <c r="X170" s="87">
        <v>5.9354788521599989E-3</v>
      </c>
      <c r="Y170" s="87">
        <v>0.43982998919999999</v>
      </c>
      <c r="AA170" s="7"/>
      <c r="AC170" s="4"/>
      <c r="AD170" s="4"/>
      <c r="AE170" s="4"/>
      <c r="AF170" s="4"/>
      <c r="AG170" s="4"/>
      <c r="AH170" s="4"/>
      <c r="AI170" s="4"/>
    </row>
    <row r="171" spans="1:35" s="6" customFormat="1" ht="13.35" hidden="1" customHeight="1" outlineLevel="3">
      <c r="A171" s="4"/>
      <c r="B171" s="5"/>
      <c r="C171" s="90" t="s">
        <v>1246</v>
      </c>
      <c r="D171" s="34"/>
      <c r="E171" s="7"/>
      <c r="G171" s="121" t="s">
        <v>28</v>
      </c>
      <c r="I171" s="7"/>
      <c r="K171" s="128"/>
      <c r="L171" s="130" t="s">
        <v>1268</v>
      </c>
      <c r="M171" s="130" t="s">
        <v>1269</v>
      </c>
      <c r="N171" s="131" t="s">
        <v>1270</v>
      </c>
      <c r="P171" s="7"/>
      <c r="R171" s="39" t="s">
        <v>28</v>
      </c>
      <c r="T171" s="7"/>
      <c r="V171" s="87">
        <v>5.9354788521599989E-3</v>
      </c>
      <c r="W171" s="87">
        <v>5.4604276273310416E-3</v>
      </c>
      <c r="X171" s="87">
        <v>5.9354788521599989E-3</v>
      </c>
      <c r="Y171" s="87">
        <v>2.8208486291999998E-2</v>
      </c>
      <c r="AA171" s="7"/>
      <c r="AC171" s="4"/>
      <c r="AD171" s="4"/>
      <c r="AE171" s="4"/>
      <c r="AF171" s="4"/>
      <c r="AG171" s="4"/>
      <c r="AH171" s="4"/>
      <c r="AI171" s="4"/>
    </row>
    <row r="172" spans="1:35" s="6" customFormat="1" ht="13.35" hidden="1" customHeight="1" outlineLevel="3">
      <c r="A172" s="4"/>
      <c r="B172" s="5"/>
      <c r="C172" s="90" t="s">
        <v>1246</v>
      </c>
      <c r="D172" s="34"/>
      <c r="E172" s="7"/>
      <c r="G172" s="121" t="s">
        <v>28</v>
      </c>
      <c r="I172" s="7"/>
      <c r="K172" s="128"/>
      <c r="L172" s="130" t="s">
        <v>1271</v>
      </c>
      <c r="M172" s="127" t="s">
        <v>1272</v>
      </c>
      <c r="N172" s="131" t="s">
        <v>1273</v>
      </c>
      <c r="P172" s="7"/>
      <c r="R172" s="39" t="s">
        <v>28</v>
      </c>
      <c r="T172" s="7"/>
      <c r="V172" s="87">
        <v>5.9354788521599989E-3</v>
      </c>
      <c r="W172" s="87"/>
      <c r="X172" s="87">
        <v>2.8208486291999998E-2</v>
      </c>
      <c r="Y172" s="87">
        <v>2.8208486291999998E-2</v>
      </c>
      <c r="AA172" s="7"/>
      <c r="AC172" s="4"/>
      <c r="AD172" s="4"/>
      <c r="AE172" s="4"/>
      <c r="AF172" s="4"/>
      <c r="AG172" s="4"/>
      <c r="AH172" s="4"/>
      <c r="AI172" s="4"/>
    </row>
    <row r="173" spans="1:35" s="6" customFormat="1" ht="13.35" hidden="1" customHeight="1" outlineLevel="3">
      <c r="A173" s="4"/>
      <c r="B173" s="5"/>
      <c r="C173" s="90" t="s">
        <v>1246</v>
      </c>
      <c r="D173" s="34"/>
      <c r="E173" s="7"/>
      <c r="G173" s="121" t="s">
        <v>28</v>
      </c>
      <c r="I173" s="7"/>
      <c r="K173" s="127"/>
      <c r="L173" s="130" t="s">
        <v>1274</v>
      </c>
      <c r="M173" s="127" t="s">
        <v>1275</v>
      </c>
      <c r="N173" s="131" t="s">
        <v>1276</v>
      </c>
      <c r="P173" s="7"/>
      <c r="R173" s="39" t="s">
        <v>28</v>
      </c>
      <c r="T173" s="7"/>
      <c r="V173" s="87"/>
      <c r="W173" s="87"/>
      <c r="X173" s="87">
        <v>2.8208486291999998E-2</v>
      </c>
      <c r="Y173" s="87">
        <v>2.8208486291999998E-2</v>
      </c>
      <c r="AA173" s="7"/>
      <c r="AC173" s="4"/>
      <c r="AD173" s="4"/>
      <c r="AE173" s="4"/>
      <c r="AF173" s="4"/>
      <c r="AG173" s="4"/>
      <c r="AH173" s="4"/>
      <c r="AI173" s="4"/>
    </row>
    <row r="174" spans="1:35" s="6" customFormat="1" ht="13.35" hidden="1" customHeight="1" outlineLevel="3">
      <c r="A174" s="4"/>
      <c r="B174" s="5"/>
      <c r="C174" s="90" t="s">
        <v>1246</v>
      </c>
      <c r="D174" s="34"/>
      <c r="E174" s="7"/>
      <c r="G174" s="121" t="s">
        <v>28</v>
      </c>
      <c r="I174" s="7"/>
      <c r="K174" s="129"/>
      <c r="L174" s="130" t="s">
        <v>1277</v>
      </c>
      <c r="M174" s="127" t="s">
        <v>1278</v>
      </c>
      <c r="N174" s="131" t="s">
        <v>1279</v>
      </c>
      <c r="P174" s="7"/>
      <c r="R174" s="39" t="s">
        <v>28</v>
      </c>
      <c r="T174" s="7"/>
      <c r="V174" s="87"/>
      <c r="W174" s="87"/>
      <c r="X174" s="87">
        <v>2.8208486291999998E-2</v>
      </c>
      <c r="Y174" s="87">
        <v>2.8208486291999998E-2</v>
      </c>
      <c r="AA174" s="7"/>
      <c r="AC174" s="4"/>
      <c r="AD174" s="4"/>
      <c r="AE174" s="4"/>
      <c r="AF174" s="4"/>
      <c r="AG174" s="4"/>
      <c r="AH174" s="4"/>
      <c r="AI174" s="4"/>
    </row>
    <row r="175" spans="1:35" s="6" customFormat="1" ht="13.35" hidden="1" customHeight="1" outlineLevel="3">
      <c r="A175" s="4"/>
      <c r="B175" s="5"/>
      <c r="C175" s="90" t="s">
        <v>1246</v>
      </c>
      <c r="D175" s="34"/>
      <c r="E175" s="7"/>
      <c r="G175" s="121" t="s">
        <v>28</v>
      </c>
      <c r="I175" s="7"/>
      <c r="K175" s="129"/>
      <c r="L175" s="127" t="s">
        <v>1280</v>
      </c>
      <c r="M175" s="127" t="s">
        <v>1281</v>
      </c>
      <c r="N175" s="131" t="s">
        <v>1241</v>
      </c>
      <c r="P175" s="7"/>
      <c r="R175" s="39" t="s">
        <v>28</v>
      </c>
      <c r="T175" s="7"/>
      <c r="V175" s="87"/>
      <c r="W175" s="87"/>
      <c r="X175" s="87">
        <v>2.8208486291999998E-2</v>
      </c>
      <c r="Y175" s="87">
        <v>6.2729832920495929E-2</v>
      </c>
      <c r="AA175" s="7"/>
      <c r="AC175" s="4"/>
      <c r="AD175" s="4"/>
      <c r="AE175" s="4"/>
      <c r="AF175" s="4"/>
      <c r="AG175" s="4"/>
      <c r="AH175" s="4"/>
      <c r="AI175" s="4"/>
    </row>
    <row r="176" spans="1:35" s="6" customFormat="1" ht="13.35" hidden="1" customHeight="1" outlineLevel="3">
      <c r="A176" s="4"/>
      <c r="B176" s="5"/>
      <c r="C176" s="90" t="s">
        <v>1246</v>
      </c>
      <c r="D176" s="34"/>
      <c r="E176" s="7"/>
      <c r="G176" s="121" t="s">
        <v>28</v>
      </c>
      <c r="I176" s="7"/>
      <c r="K176" s="129"/>
      <c r="L176" s="128"/>
      <c r="M176" s="130" t="s">
        <v>179</v>
      </c>
      <c r="N176" s="132" t="s">
        <v>1282</v>
      </c>
      <c r="P176" s="7"/>
      <c r="R176" s="39" t="s">
        <v>28</v>
      </c>
      <c r="T176" s="7"/>
      <c r="V176" s="87"/>
      <c r="W176" s="87"/>
      <c r="X176" s="87">
        <v>1.8201425424436805E-2</v>
      </c>
      <c r="Y176" s="87">
        <v>2.8208486291999998E-2</v>
      </c>
      <c r="AA176" s="7"/>
      <c r="AC176" s="4"/>
      <c r="AD176" s="4"/>
      <c r="AE176" s="4"/>
      <c r="AF176" s="4"/>
      <c r="AG176" s="4"/>
      <c r="AH176" s="4"/>
      <c r="AI176" s="4"/>
    </row>
    <row r="177" spans="1:35" s="6" customFormat="1" ht="13.35" hidden="1" customHeight="1" outlineLevel="3">
      <c r="A177" s="4"/>
      <c r="B177" s="5"/>
      <c r="C177" s="90" t="s">
        <v>1246</v>
      </c>
      <c r="D177" s="34"/>
      <c r="E177" s="7"/>
      <c r="G177" s="121" t="s">
        <v>28</v>
      </c>
      <c r="I177" s="7"/>
      <c r="K177" s="127"/>
      <c r="L177" s="128"/>
      <c r="M177" s="129"/>
      <c r="N177" s="132" t="s">
        <v>1283</v>
      </c>
      <c r="P177" s="7"/>
      <c r="R177" s="39" t="s">
        <v>28</v>
      </c>
      <c r="T177" s="7"/>
      <c r="V177" s="4"/>
      <c r="W177" s="87"/>
      <c r="X177" s="87"/>
      <c r="Y177" s="87">
        <v>2.8208486291999998E-2</v>
      </c>
      <c r="AA177" s="7"/>
      <c r="AC177" s="4"/>
      <c r="AD177" s="4"/>
      <c r="AE177" s="4"/>
      <c r="AF177" s="4"/>
      <c r="AG177" s="4"/>
      <c r="AH177" s="4"/>
      <c r="AI177" s="4"/>
    </row>
    <row r="178" spans="1:35" s="6" customFormat="1" ht="13.35" hidden="1" customHeight="1" outlineLevel="3">
      <c r="A178" s="4"/>
      <c r="B178" s="5"/>
      <c r="C178" s="90" t="s">
        <v>1246</v>
      </c>
      <c r="D178" s="34"/>
      <c r="E178" s="7"/>
      <c r="G178" s="121" t="s">
        <v>28</v>
      </c>
      <c r="I178" s="7"/>
      <c r="K178" s="73"/>
      <c r="L178" s="130"/>
      <c r="M178" s="129"/>
      <c r="N178" s="132" t="s">
        <v>1284</v>
      </c>
      <c r="P178" s="7"/>
      <c r="R178" s="39" t="s">
        <v>28</v>
      </c>
      <c r="T178" s="7"/>
      <c r="V178" s="87"/>
      <c r="W178" s="87"/>
      <c r="X178" s="87"/>
      <c r="Y178" s="87">
        <v>2.8208486291999998E-2</v>
      </c>
      <c r="AA178" s="7"/>
      <c r="AC178" s="4"/>
      <c r="AD178" s="4"/>
      <c r="AE178" s="4"/>
      <c r="AF178" s="4"/>
      <c r="AG178" s="4"/>
      <c r="AH178" s="4"/>
      <c r="AI178" s="4"/>
    </row>
    <row r="179" spans="1:35" s="6" customFormat="1" ht="13.35" hidden="1" customHeight="1" outlineLevel="3">
      <c r="A179" s="4"/>
      <c r="B179" s="5"/>
      <c r="C179" s="90" t="s">
        <v>1246</v>
      </c>
      <c r="D179" s="34"/>
      <c r="E179" s="7"/>
      <c r="G179" s="121" t="s">
        <v>28</v>
      </c>
      <c r="I179" s="7"/>
      <c r="K179" s="73"/>
      <c r="L179" s="130"/>
      <c r="M179" s="128"/>
      <c r="N179" s="132" t="s">
        <v>1285</v>
      </c>
      <c r="P179" s="7"/>
      <c r="R179" s="39" t="s">
        <v>28</v>
      </c>
      <c r="T179" s="7"/>
      <c r="V179" s="4"/>
      <c r="W179" s="4"/>
      <c r="X179" s="4"/>
      <c r="Y179" s="87">
        <v>2.8208486291999998E-2</v>
      </c>
      <c r="AA179" s="7"/>
      <c r="AC179" s="4"/>
      <c r="AD179" s="4"/>
      <c r="AE179" s="4"/>
      <c r="AF179" s="4"/>
      <c r="AG179" s="4"/>
      <c r="AH179" s="4"/>
      <c r="AI179" s="4"/>
    </row>
    <row r="180" spans="1:35" s="6" customFormat="1" ht="13.35" hidden="1" customHeight="1" outlineLevel="3">
      <c r="A180" s="4"/>
      <c r="B180" s="5"/>
      <c r="C180" s="90" t="s">
        <v>1246</v>
      </c>
      <c r="D180" s="34"/>
      <c r="E180" s="7"/>
      <c r="G180" s="121" t="s">
        <v>28</v>
      </c>
      <c r="I180" s="7"/>
      <c r="K180" s="128"/>
      <c r="L180" s="128"/>
      <c r="M180" s="128"/>
      <c r="N180" s="128"/>
      <c r="P180" s="7"/>
      <c r="R180" s="39" t="s">
        <v>28</v>
      </c>
      <c r="T180" s="7"/>
      <c r="V180" s="4"/>
      <c r="W180" s="4"/>
      <c r="X180" s="4"/>
      <c r="Y180" s="66"/>
      <c r="AA180" s="7"/>
      <c r="AC180" s="4"/>
      <c r="AD180" s="4"/>
      <c r="AE180" s="4"/>
      <c r="AF180" s="4"/>
      <c r="AG180" s="4"/>
      <c r="AH180" s="4"/>
      <c r="AI180" s="4"/>
    </row>
    <row r="181" spans="1:35" s="6" customFormat="1" ht="13.35" hidden="1" customHeight="1" outlineLevel="3">
      <c r="A181" s="4"/>
      <c r="B181" s="5"/>
      <c r="C181" s="90" t="s">
        <v>1246</v>
      </c>
      <c r="D181" s="34"/>
      <c r="E181" s="7"/>
      <c r="G181" s="121" t="s">
        <v>28</v>
      </c>
      <c r="I181" s="7"/>
      <c r="K181" s="128"/>
      <c r="L181" s="128"/>
      <c r="M181" s="128"/>
      <c r="N181" s="128"/>
      <c r="P181" s="7"/>
      <c r="R181" s="39" t="s">
        <v>28</v>
      </c>
      <c r="T181" s="7"/>
      <c r="V181" s="87"/>
      <c r="W181" s="87"/>
      <c r="X181" s="87"/>
      <c r="Y181" s="66"/>
      <c r="AA181" s="7"/>
      <c r="AC181" s="4"/>
      <c r="AD181" s="4"/>
      <c r="AE181" s="4"/>
      <c r="AF181" s="4"/>
      <c r="AG181" s="4"/>
      <c r="AH181" s="4"/>
      <c r="AI181" s="4"/>
    </row>
    <row r="182" spans="1:35" s="6" customFormat="1" ht="13.35" hidden="1" customHeight="1" outlineLevel="3">
      <c r="A182" s="4"/>
      <c r="B182" s="5"/>
      <c r="C182" s="90" t="s">
        <v>1246</v>
      </c>
      <c r="D182" s="34"/>
      <c r="E182" s="7"/>
      <c r="G182" s="121" t="s">
        <v>28</v>
      </c>
      <c r="I182" s="7"/>
      <c r="K182" s="128"/>
      <c r="L182" s="128"/>
      <c r="M182" s="128"/>
      <c r="N182" s="128"/>
      <c r="P182" s="7"/>
      <c r="R182" s="39" t="s">
        <v>28</v>
      </c>
      <c r="T182" s="7"/>
      <c r="V182" s="87"/>
      <c r="W182" s="87"/>
      <c r="X182" s="87"/>
      <c r="Y182" s="66"/>
      <c r="AA182" s="7"/>
      <c r="AC182" s="4"/>
      <c r="AD182" s="4"/>
      <c r="AE182" s="4"/>
      <c r="AF182" s="4"/>
      <c r="AG182" s="4"/>
      <c r="AH182" s="4"/>
      <c r="AI182" s="4"/>
    </row>
    <row r="183" spans="1:35" s="6" customFormat="1" ht="13.35" hidden="1" customHeight="1" outlineLevel="3">
      <c r="A183" s="4"/>
      <c r="B183" s="5"/>
      <c r="C183" s="90" t="s">
        <v>1246</v>
      </c>
      <c r="D183" s="34"/>
      <c r="E183" s="7"/>
      <c r="G183" s="121" t="s">
        <v>28</v>
      </c>
      <c r="I183" s="7"/>
      <c r="K183" s="128"/>
      <c r="L183" s="130"/>
      <c r="M183" s="130"/>
      <c r="N183" s="128"/>
      <c r="P183" s="7"/>
      <c r="R183" s="39"/>
      <c r="T183" s="7"/>
      <c r="V183" s="87"/>
      <c r="W183" s="87"/>
      <c r="X183" s="87"/>
      <c r="Y183" s="66"/>
      <c r="AA183" s="7"/>
      <c r="AC183" s="4"/>
      <c r="AD183" s="4"/>
      <c r="AE183" s="4"/>
      <c r="AF183" s="4"/>
      <c r="AG183" s="4"/>
      <c r="AH183" s="4"/>
      <c r="AI183" s="4"/>
    </row>
    <row r="184" spans="1:35" s="6" customFormat="1" ht="13.35" hidden="1" customHeight="1" outlineLevel="3">
      <c r="A184" s="4"/>
      <c r="B184" s="5"/>
      <c r="C184" s="90" t="s">
        <v>1246</v>
      </c>
      <c r="D184" s="34"/>
      <c r="E184" s="7"/>
      <c r="G184" s="121" t="s">
        <v>28</v>
      </c>
      <c r="I184" s="7"/>
      <c r="K184" s="128"/>
      <c r="L184" s="130"/>
      <c r="M184" s="130"/>
      <c r="N184" s="129"/>
      <c r="P184" s="7"/>
      <c r="R184" s="39"/>
      <c r="T184" s="7"/>
      <c r="V184" s="87"/>
      <c r="W184" s="87"/>
      <c r="X184" s="87"/>
      <c r="Y184" s="87"/>
      <c r="AA184" s="7"/>
      <c r="AC184" s="4"/>
      <c r="AD184" s="4"/>
      <c r="AE184" s="4"/>
      <c r="AF184" s="4"/>
      <c r="AG184" s="4"/>
      <c r="AH184" s="4"/>
      <c r="AI184" s="4"/>
    </row>
    <row r="185" spans="1:35" ht="13.35" hidden="1" customHeight="1" outlineLevel="3">
      <c r="C185" s="90" t="s">
        <v>1246</v>
      </c>
      <c r="D185" s="34"/>
      <c r="E185" s="7"/>
      <c r="G185" s="121" t="s">
        <v>28</v>
      </c>
      <c r="I185" s="7"/>
      <c r="K185" s="128"/>
      <c r="L185" s="130"/>
      <c r="M185" s="130"/>
      <c r="N185" s="129"/>
      <c r="P185" s="7"/>
      <c r="R185" s="39"/>
      <c r="S185" s="6"/>
      <c r="T185" s="7"/>
      <c r="U185" s="6"/>
      <c r="V185" s="87"/>
      <c r="W185" s="87"/>
      <c r="X185" s="87"/>
      <c r="Y185" s="87"/>
      <c r="AA185" s="7"/>
    </row>
    <row r="186" spans="1:35" ht="13.35" hidden="1" customHeight="1" outlineLevel="3">
      <c r="C186" s="90" t="s">
        <v>1246</v>
      </c>
      <c r="D186" s="34"/>
      <c r="E186" s="7"/>
      <c r="G186" s="121" t="s">
        <v>28</v>
      </c>
      <c r="I186" s="7"/>
      <c r="K186" s="128"/>
      <c r="L186" s="128"/>
      <c r="M186" s="130"/>
      <c r="N186" s="129"/>
      <c r="P186" s="7"/>
      <c r="R186" s="39"/>
      <c r="S186" s="6"/>
      <c r="T186" s="7"/>
      <c r="U186" s="6"/>
      <c r="V186" s="87"/>
      <c r="W186" s="87"/>
      <c r="X186" s="87"/>
      <c r="Y186" s="87"/>
      <c r="AA186" s="7"/>
    </row>
    <row r="187" spans="1:35" ht="13.35" hidden="1" customHeight="1" outlineLevel="3">
      <c r="C187" s="90" t="s">
        <v>1246</v>
      </c>
      <c r="D187" s="34"/>
      <c r="E187" s="7"/>
      <c r="G187" s="121" t="s">
        <v>28</v>
      </c>
      <c r="I187" s="7"/>
      <c r="K187" s="128"/>
      <c r="L187" s="128"/>
      <c r="M187" s="130"/>
      <c r="N187" s="129"/>
      <c r="P187" s="7"/>
      <c r="R187" s="39"/>
      <c r="S187" s="6"/>
      <c r="T187" s="7"/>
      <c r="U187" s="6"/>
      <c r="V187" s="87"/>
      <c r="W187" s="87"/>
      <c r="X187" s="87"/>
      <c r="Y187" s="87"/>
      <c r="AA187" s="7"/>
    </row>
    <row r="188" spans="1:35" ht="13.35" hidden="1" customHeight="1" outlineLevel="3">
      <c r="C188" s="90" t="s">
        <v>1246</v>
      </c>
      <c r="D188" s="34"/>
      <c r="E188" s="7"/>
      <c r="G188" s="121" t="s">
        <v>28</v>
      </c>
      <c r="I188" s="7"/>
      <c r="K188" s="128"/>
      <c r="L188" s="128"/>
      <c r="M188" s="130"/>
      <c r="N188" s="129"/>
      <c r="P188" s="7"/>
      <c r="R188" s="39"/>
      <c r="S188" s="6"/>
      <c r="T188" s="7"/>
      <c r="U188" s="6"/>
      <c r="V188" s="87"/>
      <c r="W188" s="87"/>
      <c r="X188" s="87"/>
      <c r="Y188" s="87"/>
      <c r="AA188" s="7"/>
    </row>
    <row r="189" spans="1:35" ht="13.35" hidden="1" customHeight="1" outlineLevel="3">
      <c r="C189" s="90" t="s">
        <v>1246</v>
      </c>
      <c r="D189" s="34"/>
      <c r="E189" s="7"/>
      <c r="G189" s="121" t="s">
        <v>28</v>
      </c>
      <c r="I189" s="7"/>
      <c r="K189" s="128"/>
      <c r="L189" s="130"/>
      <c r="M189" s="130"/>
      <c r="N189" s="129"/>
      <c r="P189" s="7"/>
      <c r="R189" s="39"/>
      <c r="S189" s="6"/>
      <c r="T189" s="7"/>
      <c r="U189" s="6"/>
      <c r="V189" s="87"/>
      <c r="W189" s="87"/>
      <c r="X189" s="87"/>
      <c r="Y189" s="87"/>
      <c r="AA189" s="7"/>
    </row>
    <row r="190" spans="1:35" ht="13.35" hidden="1" customHeight="1" outlineLevel="3">
      <c r="C190" s="90" t="s">
        <v>1246</v>
      </c>
      <c r="D190" s="34"/>
      <c r="E190" s="7"/>
      <c r="G190" s="121" t="s">
        <v>28</v>
      </c>
      <c r="I190" s="7"/>
      <c r="K190" s="128"/>
      <c r="L190" s="130"/>
      <c r="M190" s="130"/>
      <c r="N190" s="129"/>
      <c r="P190" s="7"/>
      <c r="R190" s="39"/>
      <c r="S190" s="6"/>
      <c r="T190" s="7"/>
      <c r="U190" s="6"/>
      <c r="V190" s="87"/>
      <c r="W190" s="87"/>
      <c r="X190" s="87"/>
      <c r="Y190" s="87"/>
      <c r="AA190" s="7"/>
    </row>
    <row r="191" spans="1:35" ht="13.35" hidden="1" customHeight="1" outlineLevel="3">
      <c r="C191" s="90" t="s">
        <v>1246</v>
      </c>
      <c r="D191" s="34"/>
      <c r="E191" s="7"/>
      <c r="G191" s="121" t="s">
        <v>28</v>
      </c>
      <c r="I191" s="7"/>
      <c r="K191" s="128"/>
      <c r="L191" s="133"/>
      <c r="M191" s="130"/>
      <c r="N191" s="129"/>
      <c r="P191" s="7"/>
      <c r="R191" s="39"/>
      <c r="S191" s="6"/>
      <c r="T191" s="7"/>
      <c r="U191" s="6"/>
      <c r="V191" s="87"/>
      <c r="W191" s="87"/>
      <c r="X191" s="87"/>
      <c r="Y191" s="87"/>
      <c r="AA191" s="7"/>
    </row>
    <row r="192" spans="1:35" ht="13.35" hidden="1" customHeight="1" outlineLevel="3">
      <c r="C192" s="90" t="s">
        <v>1246</v>
      </c>
      <c r="D192" s="34"/>
      <c r="E192" s="7"/>
      <c r="G192" s="121" t="s">
        <v>28</v>
      </c>
      <c r="I192" s="7"/>
      <c r="K192" s="128"/>
      <c r="L192" s="133"/>
      <c r="M192" s="130"/>
      <c r="N192" s="129"/>
      <c r="P192" s="7"/>
      <c r="R192" s="39"/>
      <c r="S192" s="6"/>
      <c r="T192" s="7"/>
      <c r="U192" s="6"/>
      <c r="V192" s="87"/>
      <c r="W192" s="87"/>
      <c r="X192" s="87"/>
      <c r="Y192" s="87"/>
      <c r="AA192" s="7"/>
    </row>
    <row r="193" spans="2:28" ht="13.35" hidden="1" customHeight="1" outlineLevel="3">
      <c r="C193" s="90" t="s">
        <v>1246</v>
      </c>
      <c r="D193" s="34"/>
      <c r="E193" s="7"/>
      <c r="G193" s="121" t="s">
        <v>28</v>
      </c>
      <c r="I193" s="7"/>
      <c r="K193" s="128"/>
      <c r="L193" s="128"/>
      <c r="M193" s="128"/>
      <c r="N193" s="128"/>
      <c r="P193" s="7"/>
      <c r="R193" s="39"/>
      <c r="S193" s="6"/>
      <c r="T193" s="7"/>
      <c r="U193" s="6"/>
      <c r="V193" s="87"/>
      <c r="W193" s="87"/>
      <c r="X193" s="87"/>
      <c r="Y193" s="87"/>
      <c r="AA193" s="7"/>
    </row>
    <row r="194" spans="2:28" ht="13.35" hidden="1" customHeight="1" outlineLevel="3">
      <c r="C194" s="90" t="s">
        <v>1246</v>
      </c>
      <c r="D194" s="34"/>
      <c r="E194" s="7"/>
      <c r="G194" s="121" t="s">
        <v>28</v>
      </c>
      <c r="I194" s="7"/>
      <c r="K194" s="128"/>
      <c r="L194" s="128"/>
      <c r="M194" s="128"/>
      <c r="N194" s="128"/>
      <c r="P194" s="7"/>
      <c r="R194" s="39"/>
      <c r="S194" s="6"/>
      <c r="T194" s="7"/>
      <c r="U194" s="6"/>
      <c r="V194" s="87"/>
      <c r="W194" s="87"/>
      <c r="X194" s="87"/>
      <c r="Y194" s="87"/>
      <c r="AA194" s="7"/>
    </row>
    <row r="195" spans="2:28" ht="13.35" hidden="1" customHeight="1" outlineLevel="3">
      <c r="C195" s="90" t="s">
        <v>1246</v>
      </c>
      <c r="D195" s="34"/>
      <c r="E195" s="7"/>
      <c r="G195" s="122" t="s">
        <v>28</v>
      </c>
      <c r="I195" s="7"/>
      <c r="K195" s="128"/>
      <c r="L195" s="128"/>
      <c r="M195" s="128"/>
      <c r="N195" s="128"/>
      <c r="P195" s="7"/>
      <c r="R195" s="32"/>
      <c r="S195" s="6"/>
      <c r="T195" s="7"/>
      <c r="U195" s="6"/>
      <c r="V195" s="87"/>
      <c r="W195" s="87"/>
      <c r="X195" s="87"/>
      <c r="Y195" s="87"/>
      <c r="AA195" s="7"/>
    </row>
    <row r="196" spans="2:28" ht="13.35" hidden="1" customHeight="1" outlineLevel="3">
      <c r="C196" s="90" t="s">
        <v>1246</v>
      </c>
      <c r="D196" s="34"/>
      <c r="E196" s="7"/>
      <c r="G196" s="122" t="s">
        <v>28</v>
      </c>
      <c r="I196" s="7"/>
      <c r="K196" s="128"/>
      <c r="L196" s="128"/>
      <c r="M196" s="128"/>
      <c r="N196" s="128"/>
      <c r="P196" s="7"/>
      <c r="R196" s="32"/>
      <c r="S196" s="6"/>
      <c r="T196" s="7"/>
      <c r="U196" s="6"/>
      <c r="V196" s="87"/>
      <c r="W196" s="87"/>
      <c r="X196" s="87"/>
      <c r="Y196" s="87"/>
      <c r="AA196" s="7"/>
    </row>
    <row r="197" spans="2:28" ht="3" hidden="1" customHeight="1" outlineLevel="2">
      <c r="B197" s="29"/>
      <c r="C197" s="29"/>
      <c r="D197" s="34"/>
      <c r="E197" s="7"/>
      <c r="F197" s="34"/>
      <c r="G197" s="119"/>
      <c r="H197" s="34"/>
      <c r="I197" s="7"/>
      <c r="J197" s="34"/>
      <c r="K197" s="76"/>
      <c r="O197" s="34"/>
      <c r="P197" s="7"/>
      <c r="Q197" s="34"/>
      <c r="R197" s="34"/>
      <c r="S197" s="34"/>
      <c r="T197" s="7"/>
      <c r="U197" s="34"/>
      <c r="V197" s="76"/>
      <c r="Z197" s="34"/>
      <c r="AA197" s="7"/>
      <c r="AB197" s="34"/>
    </row>
    <row r="198" spans="2:28" s="22" customFormat="1" hidden="1" outlineLevel="2" collapsed="1">
      <c r="B198" s="23" t="s">
        <v>994</v>
      </c>
      <c r="C198" s="23"/>
      <c r="D198" s="9"/>
      <c r="E198" s="7"/>
      <c r="F198" s="9"/>
      <c r="G198" s="125">
        <f>SUM(K198:N198)</f>
        <v>1</v>
      </c>
      <c r="H198" s="9"/>
      <c r="I198" s="7"/>
      <c r="J198" s="9"/>
      <c r="K198" s="72">
        <f>COUNTA(K199:K199)</f>
        <v>1</v>
      </c>
      <c r="L198" s="72">
        <f>COUNTA(L199:L199)</f>
        <v>0</v>
      </c>
      <c r="M198" s="72">
        <f>COUNTA(M199:M199)</f>
        <v>0</v>
      </c>
      <c r="N198" s="72">
        <f>COUNTA(N199:N199)</f>
        <v>0</v>
      </c>
      <c r="O198" s="9"/>
      <c r="P198" s="7"/>
      <c r="Q198" s="9"/>
      <c r="R198" s="24">
        <f>SUM(V198:Y198)</f>
        <v>0</v>
      </c>
      <c r="S198" s="9"/>
      <c r="T198" s="7"/>
      <c r="U198" s="9"/>
      <c r="V198" s="72">
        <f>SUM(V199:V199)</f>
        <v>0</v>
      </c>
      <c r="W198" s="72">
        <f>SUM(W199:W199)</f>
        <v>0</v>
      </c>
      <c r="X198" s="72">
        <f>SUM(X199:X199)</f>
        <v>0</v>
      </c>
      <c r="Y198" s="72">
        <f>SUM(Y199:Y199)</f>
        <v>0</v>
      </c>
      <c r="Z198" s="9"/>
      <c r="AA198" s="7"/>
      <c r="AB198" s="9"/>
    </row>
    <row r="199" spans="2:28" ht="13.35" hidden="1" customHeight="1" outlineLevel="3">
      <c r="B199" s="29"/>
      <c r="C199" s="30"/>
      <c r="D199" s="34"/>
      <c r="E199" s="7"/>
      <c r="F199" s="34"/>
      <c r="G199" s="119" t="s">
        <v>28</v>
      </c>
      <c r="H199" s="34"/>
      <c r="I199" s="7"/>
      <c r="J199" s="34"/>
      <c r="K199" s="43" t="s">
        <v>1286</v>
      </c>
      <c r="L199" s="43"/>
      <c r="M199" s="41"/>
      <c r="N199" s="33"/>
      <c r="O199" s="34"/>
      <c r="P199" s="7"/>
      <c r="Q199" s="34"/>
      <c r="R199" s="34"/>
      <c r="S199" s="34"/>
      <c r="T199" s="7"/>
      <c r="U199" s="34"/>
      <c r="V199" s="43"/>
      <c r="W199" s="43"/>
      <c r="X199" s="41"/>
      <c r="Y199" s="33"/>
      <c r="Z199" s="34"/>
      <c r="AA199" s="7"/>
      <c r="AB199" s="34"/>
    </row>
    <row r="200" spans="2:28" ht="3" hidden="1" customHeight="1" outlineLevel="2">
      <c r="B200" s="29"/>
      <c r="C200" s="29"/>
      <c r="D200" s="34"/>
      <c r="E200" s="7"/>
      <c r="F200" s="34"/>
      <c r="G200" s="119"/>
      <c r="H200" s="34"/>
      <c r="I200" s="7"/>
      <c r="J200" s="34"/>
      <c r="K200" s="76"/>
      <c r="O200" s="34"/>
      <c r="P200" s="7"/>
      <c r="Q200" s="34"/>
      <c r="R200" s="34"/>
      <c r="S200" s="34"/>
      <c r="T200" s="7"/>
      <c r="U200" s="34"/>
      <c r="V200" s="76"/>
      <c r="Z200" s="34"/>
      <c r="AA200" s="7"/>
      <c r="AB200" s="34"/>
    </row>
    <row r="201" spans="2:28" s="22" customFormat="1" hidden="1" outlineLevel="2" collapsed="1">
      <c r="B201" s="23" t="s">
        <v>921</v>
      </c>
      <c r="C201" s="23"/>
      <c r="D201" s="9"/>
      <c r="E201" s="7"/>
      <c r="F201" s="9"/>
      <c r="G201" s="125">
        <f>SUM(K201:N201)</f>
        <v>1</v>
      </c>
      <c r="H201" s="9"/>
      <c r="I201" s="7"/>
      <c r="J201" s="9"/>
      <c r="K201" s="72">
        <f>COUNTA(K202:K202)</f>
        <v>1</v>
      </c>
      <c r="L201" s="72">
        <f>COUNTA(L202:L202)</f>
        <v>0</v>
      </c>
      <c r="M201" s="72">
        <f>COUNTA(M202:M202)</f>
        <v>0</v>
      </c>
      <c r="N201" s="72">
        <f>COUNTA(N202:N202)</f>
        <v>0</v>
      </c>
      <c r="O201" s="9"/>
      <c r="P201" s="7"/>
      <c r="Q201" s="9"/>
      <c r="R201" s="24">
        <f>SUM(V201:Y201)</f>
        <v>0</v>
      </c>
      <c r="S201" s="9"/>
      <c r="T201" s="7"/>
      <c r="U201" s="9"/>
      <c r="V201" s="72">
        <f>SUM(V202:V202)</f>
        <v>0</v>
      </c>
      <c r="W201" s="72">
        <f>SUM(W202:W202)</f>
        <v>0</v>
      </c>
      <c r="X201" s="72">
        <f>SUM(X202:X202)</f>
        <v>0</v>
      </c>
      <c r="Y201" s="72">
        <f>SUM(Y202:Y202)</f>
        <v>0</v>
      </c>
      <c r="Z201" s="9"/>
      <c r="AA201" s="7"/>
      <c r="AB201" s="9"/>
    </row>
    <row r="202" spans="2:28" ht="13.35" hidden="1" customHeight="1" outlineLevel="3">
      <c r="B202" s="29"/>
      <c r="C202" s="30"/>
      <c r="D202" s="34"/>
      <c r="E202" s="7"/>
      <c r="F202" s="34"/>
      <c r="G202" s="119" t="s">
        <v>28</v>
      </c>
      <c r="H202" s="34"/>
      <c r="I202" s="7"/>
      <c r="J202" s="34"/>
      <c r="K202" s="79" t="s">
        <v>995</v>
      </c>
      <c r="L202" s="43"/>
      <c r="M202" s="41"/>
      <c r="N202" s="33"/>
      <c r="O202" s="34"/>
      <c r="P202" s="7"/>
      <c r="Q202" s="34"/>
      <c r="R202" s="34"/>
      <c r="S202" s="34"/>
      <c r="T202" s="7"/>
      <c r="U202" s="34"/>
      <c r="V202" s="43"/>
      <c r="W202" s="43"/>
      <c r="X202" s="41"/>
      <c r="Y202" s="33"/>
      <c r="Z202" s="34"/>
      <c r="AA202" s="7"/>
      <c r="AB202" s="34"/>
    </row>
    <row r="203" spans="2:28" ht="3" hidden="1" customHeight="1" outlineLevel="2">
      <c r="B203" s="29"/>
      <c r="C203" s="29"/>
      <c r="D203" s="34"/>
      <c r="E203" s="7"/>
      <c r="F203" s="34"/>
      <c r="G203" s="119"/>
      <c r="H203" s="34"/>
      <c r="I203" s="7"/>
      <c r="J203" s="34"/>
      <c r="K203" s="76"/>
      <c r="O203" s="34"/>
      <c r="P203" s="7"/>
      <c r="Q203" s="34"/>
      <c r="R203" s="34"/>
      <c r="S203" s="34"/>
      <c r="T203" s="7"/>
      <c r="U203" s="34"/>
      <c r="V203" s="76"/>
      <c r="Z203" s="34"/>
      <c r="AA203" s="7"/>
      <c r="AB203" s="34"/>
    </row>
    <row r="204" spans="2:28" s="22" customFormat="1" hidden="1" outlineLevel="2" collapsed="1">
      <c r="B204" s="23" t="s">
        <v>996</v>
      </c>
      <c r="C204" s="23"/>
      <c r="D204" s="9"/>
      <c r="E204" s="7"/>
      <c r="F204" s="9"/>
      <c r="G204" s="125">
        <f>SUM(K204:N204)</f>
        <v>1</v>
      </c>
      <c r="H204" s="9"/>
      <c r="I204" s="7"/>
      <c r="J204" s="9"/>
      <c r="K204" s="72">
        <f>COUNTA(K205:K205)</f>
        <v>1</v>
      </c>
      <c r="L204" s="72"/>
      <c r="M204" s="72">
        <f>COUNTA(M205:M205)</f>
        <v>0</v>
      </c>
      <c r="N204" s="72">
        <f>COUNTA(N205:N205)</f>
        <v>0</v>
      </c>
      <c r="O204" s="9"/>
      <c r="P204" s="7"/>
      <c r="Q204" s="9"/>
      <c r="R204" s="24">
        <f>SUM(V204:Y204)</f>
        <v>0</v>
      </c>
      <c r="S204" s="9"/>
      <c r="T204" s="7"/>
      <c r="U204" s="9"/>
      <c r="V204" s="72">
        <f>SUM(V205:V205)</f>
        <v>0</v>
      </c>
      <c r="W204" s="72">
        <f>SUM(W205:W205)</f>
        <v>0</v>
      </c>
      <c r="X204" s="72">
        <f>SUM(X205:X205)</f>
        <v>0</v>
      </c>
      <c r="Y204" s="72">
        <f>SUM(Y205:Y205)</f>
        <v>0</v>
      </c>
      <c r="Z204" s="9"/>
      <c r="AA204" s="7"/>
      <c r="AB204" s="9"/>
    </row>
    <row r="205" spans="2:28" ht="13.35" hidden="1" customHeight="1" outlineLevel="3">
      <c r="B205" s="29"/>
      <c r="C205" s="30"/>
      <c r="D205" s="34"/>
      <c r="E205" s="7"/>
      <c r="F205" s="34"/>
      <c r="G205" s="119" t="s">
        <v>28</v>
      </c>
      <c r="H205" s="34"/>
      <c r="I205" s="7"/>
      <c r="J205" s="34"/>
      <c r="K205" s="43" t="s">
        <v>1287</v>
      </c>
      <c r="L205" s="43"/>
      <c r="M205" s="41"/>
      <c r="N205" s="33"/>
      <c r="O205" s="34"/>
      <c r="P205" s="7"/>
      <c r="Q205" s="34"/>
      <c r="R205" s="34"/>
      <c r="S205" s="34"/>
      <c r="T205" s="7"/>
      <c r="U205" s="34"/>
      <c r="V205" s="43"/>
      <c r="W205" s="43"/>
      <c r="X205" s="41"/>
      <c r="Y205" s="33"/>
      <c r="Z205" s="34"/>
      <c r="AA205" s="7"/>
      <c r="AB205" s="34"/>
    </row>
    <row r="206" spans="2:28" ht="3" hidden="1" customHeight="1" outlineLevel="2">
      <c r="B206" s="29"/>
      <c r="C206" s="29"/>
      <c r="D206" s="34"/>
      <c r="E206" s="7"/>
      <c r="F206" s="34"/>
      <c r="G206" s="119"/>
      <c r="H206" s="34"/>
      <c r="I206" s="7"/>
      <c r="J206" s="34"/>
      <c r="K206" s="76"/>
      <c r="O206" s="34"/>
      <c r="P206" s="7"/>
      <c r="Q206" s="34"/>
      <c r="R206" s="34"/>
      <c r="S206" s="34"/>
      <c r="T206" s="7"/>
      <c r="U206" s="34"/>
      <c r="V206" s="76"/>
      <c r="Z206" s="34"/>
      <c r="AA206" s="7"/>
      <c r="AB206" s="34"/>
    </row>
    <row r="207" spans="2:28" s="22" customFormat="1" hidden="1" outlineLevel="2" collapsed="1">
      <c r="B207" s="23" t="s">
        <v>998</v>
      </c>
      <c r="C207" s="23"/>
      <c r="D207" s="9"/>
      <c r="E207" s="7"/>
      <c r="F207" s="9"/>
      <c r="G207" s="125">
        <f>SUM(K207:N207)</f>
        <v>1</v>
      </c>
      <c r="H207" s="9"/>
      <c r="I207" s="7"/>
      <c r="J207" s="9"/>
      <c r="K207" s="72">
        <f>COUNTA(K208:K208)</f>
        <v>1</v>
      </c>
      <c r="L207" s="72">
        <f>COUNTA(L208:L208)</f>
        <v>0</v>
      </c>
      <c r="M207" s="72">
        <f>COUNTA(M208:M208)</f>
        <v>0</v>
      </c>
      <c r="N207" s="72">
        <f>COUNTA(N208:N208)</f>
        <v>0</v>
      </c>
      <c r="O207" s="9"/>
      <c r="P207" s="7"/>
      <c r="Q207" s="9"/>
      <c r="R207" s="24">
        <f>SUM(V207:Y207)</f>
        <v>0</v>
      </c>
      <c r="S207" s="9"/>
      <c r="T207" s="7"/>
      <c r="U207" s="9"/>
      <c r="V207" s="72">
        <f>SUM(V208:V208)</f>
        <v>0</v>
      </c>
      <c r="W207" s="72">
        <f>SUM(W208:W208)</f>
        <v>0</v>
      </c>
      <c r="X207" s="72">
        <f>SUM(X208:X208)</f>
        <v>0</v>
      </c>
      <c r="Y207" s="72">
        <f>SUM(Y208:Y208)</f>
        <v>0</v>
      </c>
      <c r="Z207" s="9"/>
      <c r="AA207" s="7"/>
      <c r="AB207" s="9"/>
    </row>
    <row r="208" spans="2:28" ht="13.35" hidden="1" customHeight="1" outlineLevel="3">
      <c r="B208" s="29"/>
      <c r="C208" s="30"/>
      <c r="D208" s="34"/>
      <c r="E208" s="7"/>
      <c r="F208" s="34"/>
      <c r="G208" s="119" t="s">
        <v>28</v>
      </c>
      <c r="H208" s="34"/>
      <c r="I208" s="7"/>
      <c r="J208" s="34"/>
      <c r="K208" s="43" t="s">
        <v>898</v>
      </c>
      <c r="L208" s="43"/>
      <c r="M208" s="41"/>
      <c r="N208" s="33"/>
      <c r="O208" s="34"/>
      <c r="P208" s="7"/>
      <c r="Q208" s="34"/>
      <c r="R208" s="34"/>
      <c r="S208" s="34"/>
      <c r="T208" s="7"/>
      <c r="U208" s="34"/>
      <c r="V208" s="43"/>
      <c r="W208" s="43"/>
      <c r="X208" s="41"/>
      <c r="Y208" s="33"/>
      <c r="Z208" s="34"/>
      <c r="AA208" s="7"/>
      <c r="AB208" s="34"/>
    </row>
    <row r="209" spans="2:29" ht="3" hidden="1" customHeight="1" outlineLevel="2">
      <c r="B209" s="29"/>
      <c r="C209" s="29"/>
      <c r="D209" s="34"/>
      <c r="E209" s="7"/>
      <c r="F209" s="34"/>
      <c r="G209" s="119"/>
      <c r="H209" s="34"/>
      <c r="I209" s="7"/>
      <c r="J209" s="34"/>
      <c r="K209" s="76"/>
      <c r="O209" s="34"/>
      <c r="P209" s="7"/>
      <c r="Q209" s="34"/>
      <c r="R209" s="34"/>
      <c r="S209" s="34"/>
      <c r="T209" s="7"/>
      <c r="U209" s="34"/>
      <c r="V209" s="76"/>
      <c r="Z209" s="34"/>
      <c r="AA209" s="7"/>
      <c r="AB209" s="34"/>
    </row>
    <row r="210" spans="2:29" s="22" customFormat="1" hidden="1" outlineLevel="2" collapsed="1">
      <c r="B210" s="23" t="s">
        <v>1000</v>
      </c>
      <c r="C210" s="23"/>
      <c r="D210" s="9"/>
      <c r="E210" s="7"/>
      <c r="F210" s="9"/>
      <c r="G210" s="125">
        <f>SUM(K210:N210)</f>
        <v>1</v>
      </c>
      <c r="H210" s="9"/>
      <c r="I210" s="7"/>
      <c r="J210" s="9"/>
      <c r="K210" s="72">
        <f>COUNTA(K211:K211)</f>
        <v>1</v>
      </c>
      <c r="L210" s="72">
        <f>COUNTA(L211:L211)</f>
        <v>0</v>
      </c>
      <c r="M210" s="72">
        <f>COUNTA(M211:M211)</f>
        <v>0</v>
      </c>
      <c r="N210" s="72">
        <f>COUNTA(N211:N211)</f>
        <v>0</v>
      </c>
      <c r="O210" s="9"/>
      <c r="P210" s="7"/>
      <c r="Q210" s="9"/>
      <c r="R210" s="24">
        <f>SUM(V210:Y210)</f>
        <v>0</v>
      </c>
      <c r="S210" s="9"/>
      <c r="T210" s="7"/>
      <c r="U210" s="9"/>
      <c r="V210" s="72">
        <f>SUM(V211:V211)</f>
        <v>0</v>
      </c>
      <c r="W210" s="72">
        <f>SUM(W211:W211)</f>
        <v>0</v>
      </c>
      <c r="X210" s="72">
        <f>SUM(X211:X211)</f>
        <v>0</v>
      </c>
      <c r="Y210" s="72">
        <f>SUM(Y211:Y211)</f>
        <v>0</v>
      </c>
      <c r="Z210" s="9"/>
      <c r="AA210" s="7"/>
      <c r="AB210" s="9"/>
    </row>
    <row r="211" spans="2:29" ht="27.6" hidden="1" outlineLevel="3">
      <c r="B211" s="29"/>
      <c r="C211" s="30"/>
      <c r="D211" s="34"/>
      <c r="E211" s="7"/>
      <c r="F211" s="34"/>
      <c r="G211" s="119" t="s">
        <v>28</v>
      </c>
      <c r="H211" s="34"/>
      <c r="I211" s="7"/>
      <c r="J211" s="34"/>
      <c r="K211" s="43" t="s">
        <v>1288</v>
      </c>
      <c r="L211" s="43"/>
      <c r="M211" s="41"/>
      <c r="N211" s="33"/>
      <c r="O211" s="34"/>
      <c r="P211" s="7"/>
      <c r="Q211" s="34"/>
      <c r="R211" s="34"/>
      <c r="S211" s="34"/>
      <c r="T211" s="7"/>
      <c r="U211" s="34"/>
      <c r="V211" s="43"/>
      <c r="W211" s="43"/>
      <c r="X211" s="41"/>
      <c r="Y211" s="33"/>
      <c r="Z211" s="34"/>
      <c r="AA211" s="7"/>
      <c r="AB211" s="34"/>
    </row>
    <row r="212" spans="2:29" ht="3" hidden="1" customHeight="1" outlineLevel="2">
      <c r="B212" s="29"/>
      <c r="C212" s="30"/>
      <c r="D212" s="27"/>
      <c r="E212" s="7"/>
      <c r="F212" s="27"/>
      <c r="G212" s="119"/>
      <c r="H212" s="27"/>
      <c r="I212" s="7"/>
      <c r="J212" s="27"/>
      <c r="K212" s="76"/>
      <c r="O212" s="27"/>
      <c r="P212" s="7"/>
      <c r="Q212" s="27"/>
      <c r="R212" s="27"/>
      <c r="S212" s="27"/>
      <c r="T212" s="7"/>
      <c r="U212" s="27"/>
      <c r="V212" s="76"/>
      <c r="Z212" s="27"/>
      <c r="AA212" s="7"/>
      <c r="AB212" s="27"/>
    </row>
    <row r="213" spans="2:29" s="22" customFormat="1" hidden="1" outlineLevel="2" collapsed="1">
      <c r="B213" s="23" t="s">
        <v>858</v>
      </c>
      <c r="C213" s="23"/>
      <c r="D213" s="9"/>
      <c r="E213" s="91"/>
      <c r="F213" s="9"/>
      <c r="G213" s="125">
        <f>SUM(K213:N213)</f>
        <v>19</v>
      </c>
      <c r="H213" s="9"/>
      <c r="I213" s="91"/>
      <c r="J213" s="9"/>
      <c r="K213" s="72">
        <f>COUNTA(K214:K225)</f>
        <v>1</v>
      </c>
      <c r="L213" s="72">
        <f>COUNTA(L214:L225)</f>
        <v>1</v>
      </c>
      <c r="M213" s="72">
        <f>COUNTA(M214:M225)</f>
        <v>5</v>
      </c>
      <c r="N213" s="72">
        <f>COUNTA(N214:N225)</f>
        <v>12</v>
      </c>
      <c r="O213" s="9"/>
      <c r="P213" s="91"/>
      <c r="Q213" s="9"/>
      <c r="R213" s="24">
        <f>SUM(V213:Y213)</f>
        <v>0.29450094593794357</v>
      </c>
      <c r="S213" s="9"/>
      <c r="T213" s="91"/>
      <c r="U213" s="9"/>
      <c r="V213" s="72">
        <f>SUM(V214:V225)</f>
        <v>1.82018422463791E-2</v>
      </c>
      <c r="W213" s="72">
        <f>SUM(W214:W225)</f>
        <v>1.82018422463791E-2</v>
      </c>
      <c r="X213" s="72">
        <f>SUM(X214:X225)</f>
        <v>0.25336954626840463</v>
      </c>
      <c r="Y213" s="72">
        <f>SUM(Y214:Y225)</f>
        <v>4.7277151767807293E-3</v>
      </c>
      <c r="Z213" s="9"/>
      <c r="AA213" s="91"/>
      <c r="AB213" s="9"/>
      <c r="AC213" s="9"/>
    </row>
    <row r="214" spans="2:29" ht="41.45" hidden="1" outlineLevel="3">
      <c r="B214" s="29"/>
      <c r="C214" s="30" t="s">
        <v>967</v>
      </c>
      <c r="D214" s="9"/>
      <c r="E214" s="91"/>
      <c r="F214" s="9"/>
      <c r="G214" s="119" t="s">
        <v>28</v>
      </c>
      <c r="H214" s="9"/>
      <c r="I214" s="91"/>
      <c r="J214" s="9"/>
      <c r="K214" s="145" t="s">
        <v>1289</v>
      </c>
      <c r="L214" s="145" t="s">
        <v>1290</v>
      </c>
      <c r="M214" s="145" t="s">
        <v>1291</v>
      </c>
      <c r="N214" s="145" t="s">
        <v>1292</v>
      </c>
      <c r="O214" s="9"/>
      <c r="P214" s="91"/>
      <c r="Q214" s="9"/>
      <c r="R214" s="34"/>
      <c r="S214" s="9"/>
      <c r="T214" s="91"/>
      <c r="U214" s="9"/>
      <c r="V214" s="137">
        <v>1.82018422463791E-2</v>
      </c>
      <c r="W214" s="137">
        <v>1.82018422463791E-2</v>
      </c>
      <c r="X214" s="137">
        <v>5.6304343333333333E-2</v>
      </c>
      <c r="Y214" s="137">
        <v>5.1341703277256792E-4</v>
      </c>
      <c r="Z214" s="9"/>
      <c r="AA214" s="91"/>
      <c r="AB214" s="9"/>
      <c r="AC214" s="9"/>
    </row>
    <row r="215" spans="2:29" ht="41.45" hidden="1" outlineLevel="3">
      <c r="B215" s="29"/>
      <c r="C215" s="30" t="s">
        <v>967</v>
      </c>
      <c r="D215" s="9"/>
      <c r="E215" s="91"/>
      <c r="F215" s="9"/>
      <c r="G215" s="119" t="s">
        <v>28</v>
      </c>
      <c r="H215" s="9"/>
      <c r="I215" s="91"/>
      <c r="J215" s="9"/>
      <c r="K215" s="145"/>
      <c r="L215" s="145"/>
      <c r="M215" s="145" t="s">
        <v>1293</v>
      </c>
      <c r="N215" s="145" t="s">
        <v>1294</v>
      </c>
      <c r="O215" s="9"/>
      <c r="P215" s="91"/>
      <c r="Q215" s="9"/>
      <c r="R215" s="34"/>
      <c r="S215" s="9"/>
      <c r="T215" s="91"/>
      <c r="U215" s="9"/>
      <c r="V215" s="137"/>
      <c r="W215" s="137"/>
      <c r="X215" s="137">
        <v>6.5688400555555554E-2</v>
      </c>
      <c r="Y215" s="137">
        <v>3.4227802184837869E-4</v>
      </c>
      <c r="Z215" s="9"/>
      <c r="AA215" s="91"/>
      <c r="AB215" s="9"/>
      <c r="AC215" s="9"/>
    </row>
    <row r="216" spans="2:29" ht="41.45" hidden="1" outlineLevel="3">
      <c r="B216" s="29"/>
      <c r="C216" s="30" t="s">
        <v>967</v>
      </c>
      <c r="D216" s="9"/>
      <c r="E216" s="91"/>
      <c r="F216" s="9"/>
      <c r="G216" s="119" t="s">
        <v>28</v>
      </c>
      <c r="H216" s="9"/>
      <c r="I216" s="91"/>
      <c r="J216" s="9"/>
      <c r="K216" s="138"/>
      <c r="L216" s="138"/>
      <c r="M216" s="145" t="s">
        <v>1295</v>
      </c>
      <c r="N216" s="145" t="s">
        <v>1296</v>
      </c>
      <c r="O216" s="9"/>
      <c r="P216" s="91"/>
      <c r="Q216" s="9"/>
      <c r="R216" s="34"/>
      <c r="S216" s="9"/>
      <c r="T216" s="91"/>
      <c r="U216" s="9"/>
      <c r="V216" s="137"/>
      <c r="W216" s="137"/>
      <c r="X216" s="137">
        <v>6.5688400555555554E-2</v>
      </c>
      <c r="Y216" s="137">
        <v>2.5670851638628402E-4</v>
      </c>
      <c r="Z216" s="9"/>
      <c r="AA216" s="91"/>
      <c r="AB216" s="9"/>
      <c r="AC216" s="9"/>
    </row>
    <row r="217" spans="2:29" ht="41.45" hidden="1" outlineLevel="3">
      <c r="B217" s="29"/>
      <c r="C217" s="30" t="s">
        <v>967</v>
      </c>
      <c r="D217" s="9"/>
      <c r="E217" s="91"/>
      <c r="F217" s="9"/>
      <c r="G217" s="119" t="s">
        <v>28</v>
      </c>
      <c r="H217" s="9"/>
      <c r="I217" s="91"/>
      <c r="J217" s="9"/>
      <c r="K217" s="138"/>
      <c r="L217" s="138"/>
      <c r="M217" s="145" t="s">
        <v>974</v>
      </c>
      <c r="N217" s="145" t="s">
        <v>1297</v>
      </c>
      <c r="O217" s="9"/>
      <c r="P217" s="91"/>
      <c r="Q217" s="9"/>
      <c r="R217" s="34"/>
      <c r="S217" s="9"/>
      <c r="T217" s="91"/>
      <c r="U217" s="9"/>
      <c r="V217" s="137"/>
      <c r="W217" s="137"/>
      <c r="X217" s="137">
        <v>6.5688400555555554E-2</v>
      </c>
      <c r="Y217" s="137">
        <v>5.1341703277256792E-4</v>
      </c>
      <c r="Z217" s="9"/>
      <c r="AA217" s="91"/>
      <c r="AB217" s="9"/>
      <c r="AC217" s="9"/>
    </row>
    <row r="218" spans="2:29" ht="27.6" hidden="1" outlineLevel="3">
      <c r="B218" s="29"/>
      <c r="C218" s="30" t="s">
        <v>967</v>
      </c>
      <c r="D218" s="9"/>
      <c r="E218" s="91"/>
      <c r="F218" s="9"/>
      <c r="G218" s="119" t="s">
        <v>28</v>
      </c>
      <c r="H218" s="9"/>
      <c r="I218" s="91"/>
      <c r="J218" s="9"/>
      <c r="K218" s="138"/>
      <c r="L218" s="138"/>
      <c r="M218" s="145" t="s">
        <v>975</v>
      </c>
      <c r="N218" s="145" t="s">
        <v>1298</v>
      </c>
      <c r="O218" s="9"/>
      <c r="P218" s="91"/>
      <c r="Q218" s="9"/>
      <c r="R218" s="34"/>
      <c r="S218" s="9"/>
      <c r="T218" s="91"/>
      <c r="U218" s="9"/>
      <c r="V218" s="137"/>
      <c r="W218" s="137"/>
      <c r="X218" s="137">
        <v>1.2684046610949687E-9</v>
      </c>
      <c r="Y218" s="137">
        <v>3.4227802184837869E-4</v>
      </c>
      <c r="Z218" s="9"/>
      <c r="AA218" s="91"/>
      <c r="AB218" s="9"/>
      <c r="AC218" s="9"/>
    </row>
    <row r="219" spans="2:29" ht="41.45" hidden="1" outlineLevel="3">
      <c r="B219" s="29"/>
      <c r="C219" s="30" t="s">
        <v>967</v>
      </c>
      <c r="D219" s="9"/>
      <c r="E219" s="91"/>
      <c r="F219" s="9"/>
      <c r="G219" s="119" t="s">
        <v>28</v>
      </c>
      <c r="H219" s="9"/>
      <c r="I219" s="91"/>
      <c r="J219" s="9"/>
      <c r="K219" s="138"/>
      <c r="L219" s="138"/>
      <c r="M219" s="145"/>
      <c r="N219" s="145" t="s">
        <v>1299</v>
      </c>
      <c r="O219" s="9"/>
      <c r="P219" s="91"/>
      <c r="Q219" s="9"/>
      <c r="R219" s="34"/>
      <c r="S219" s="9"/>
      <c r="T219" s="91"/>
      <c r="U219" s="9"/>
      <c r="V219" s="137"/>
      <c r="W219" s="137"/>
      <c r="X219" s="137"/>
      <c r="Y219" s="137">
        <v>2.5670851638628402E-4</v>
      </c>
      <c r="Z219" s="9"/>
      <c r="AA219" s="91"/>
      <c r="AB219" s="9"/>
      <c r="AC219" s="9"/>
    </row>
    <row r="220" spans="2:29" ht="41.45" hidden="1" outlineLevel="3">
      <c r="B220" s="29"/>
      <c r="C220" s="30" t="s">
        <v>967</v>
      </c>
      <c r="D220" s="9"/>
      <c r="E220" s="91"/>
      <c r="F220" s="9"/>
      <c r="G220" s="119" t="s">
        <v>28</v>
      </c>
      <c r="H220" s="9"/>
      <c r="I220" s="91"/>
      <c r="J220" s="9"/>
      <c r="K220" s="138"/>
      <c r="L220" s="138"/>
      <c r="M220" s="145"/>
      <c r="N220" s="145" t="s">
        <v>1300</v>
      </c>
      <c r="O220" s="9"/>
      <c r="P220" s="91"/>
      <c r="Q220" s="9"/>
      <c r="R220" s="34"/>
      <c r="S220" s="9"/>
      <c r="T220" s="91"/>
      <c r="U220" s="9"/>
      <c r="V220" s="137"/>
      <c r="W220" s="137"/>
      <c r="X220" s="137"/>
      <c r="Y220" s="137">
        <v>2.5670851638628396E-4</v>
      </c>
      <c r="Z220" s="9"/>
      <c r="AA220" s="91"/>
      <c r="AB220" s="9"/>
      <c r="AC220" s="9"/>
    </row>
    <row r="221" spans="2:29" ht="27.6" hidden="1" outlineLevel="3">
      <c r="B221" s="29"/>
      <c r="C221" s="30" t="s">
        <v>967</v>
      </c>
      <c r="D221" s="9"/>
      <c r="E221" s="91"/>
      <c r="F221" s="9"/>
      <c r="G221" s="119" t="s">
        <v>28</v>
      </c>
      <c r="H221" s="9"/>
      <c r="I221" s="91"/>
      <c r="J221" s="9"/>
      <c r="K221" s="138"/>
      <c r="L221" s="138"/>
      <c r="M221" s="145"/>
      <c r="N221" s="145" t="s">
        <v>1301</v>
      </c>
      <c r="O221" s="9"/>
      <c r="P221" s="91"/>
      <c r="Q221" s="9"/>
      <c r="R221" s="34"/>
      <c r="S221" s="9"/>
      <c r="T221" s="91"/>
      <c r="U221" s="9"/>
      <c r="V221" s="137"/>
      <c r="W221" s="137"/>
      <c r="X221" s="137"/>
      <c r="Y221" s="137">
        <v>1.7113901092418934E-4</v>
      </c>
      <c r="Z221" s="9"/>
      <c r="AA221" s="91"/>
      <c r="AB221" s="9"/>
      <c r="AC221" s="9"/>
    </row>
    <row r="222" spans="2:29" ht="41.45" hidden="1" outlineLevel="3">
      <c r="B222" s="29"/>
      <c r="C222" s="30" t="s">
        <v>967</v>
      </c>
      <c r="D222" s="9"/>
      <c r="E222" s="91"/>
      <c r="F222" s="9"/>
      <c r="G222" s="119" t="s">
        <v>28</v>
      </c>
      <c r="H222" s="9"/>
      <c r="I222" s="91"/>
      <c r="J222" s="9"/>
      <c r="K222" s="138"/>
      <c r="L222" s="138"/>
      <c r="M222" s="145"/>
      <c r="N222" s="145" t="s">
        <v>1302</v>
      </c>
      <c r="O222" s="9"/>
      <c r="P222" s="91"/>
      <c r="Q222" s="9"/>
      <c r="R222" s="34"/>
      <c r="S222" s="9"/>
      <c r="T222" s="91"/>
      <c r="U222" s="9"/>
      <c r="V222" s="137"/>
      <c r="W222" s="137"/>
      <c r="X222" s="137"/>
      <c r="Y222" s="137">
        <v>1.2835425819314201E-4</v>
      </c>
      <c r="Z222" s="9"/>
      <c r="AA222" s="91"/>
      <c r="AB222" s="9"/>
      <c r="AC222" s="9"/>
    </row>
    <row r="223" spans="2:29" ht="41.45" hidden="1" outlineLevel="3">
      <c r="B223" s="29"/>
      <c r="C223" s="30" t="s">
        <v>967</v>
      </c>
      <c r="D223" s="9"/>
      <c r="E223" s="91"/>
      <c r="F223" s="9"/>
      <c r="G223" s="119" t="s">
        <v>28</v>
      </c>
      <c r="H223" s="9"/>
      <c r="I223" s="91"/>
      <c r="J223" s="9"/>
      <c r="K223" s="138"/>
      <c r="L223" s="138"/>
      <c r="M223" s="145"/>
      <c r="N223" s="145" t="s">
        <v>972</v>
      </c>
      <c r="O223" s="9"/>
      <c r="P223" s="91"/>
      <c r="Q223" s="9"/>
      <c r="R223" s="34"/>
      <c r="S223" s="9"/>
      <c r="T223" s="91"/>
      <c r="U223" s="9"/>
      <c r="V223" s="137"/>
      <c r="W223" s="137"/>
      <c r="X223" s="137"/>
      <c r="Y223" s="137">
        <v>8.9847980735199362E-4</v>
      </c>
      <c r="Z223" s="9"/>
      <c r="AA223" s="91"/>
      <c r="AB223" s="9"/>
      <c r="AC223" s="9"/>
    </row>
    <row r="224" spans="2:29" ht="27.6" hidden="1" outlineLevel="3">
      <c r="B224" s="29"/>
      <c r="C224" s="30" t="s">
        <v>967</v>
      </c>
      <c r="D224" s="9"/>
      <c r="E224" s="91"/>
      <c r="F224" s="9"/>
      <c r="G224" s="119" t="s">
        <v>28</v>
      </c>
      <c r="H224" s="9"/>
      <c r="I224" s="91"/>
      <c r="J224" s="9"/>
      <c r="K224" s="138"/>
      <c r="L224" s="138"/>
      <c r="M224" s="145"/>
      <c r="N224" s="145" t="s">
        <v>1303</v>
      </c>
      <c r="O224" s="9"/>
      <c r="P224" s="91"/>
      <c r="Q224" s="9"/>
      <c r="R224" s="34"/>
      <c r="S224" s="9"/>
      <c r="T224" s="91"/>
      <c r="U224" s="9"/>
      <c r="V224" s="137"/>
      <c r="W224" s="137"/>
      <c r="X224" s="137"/>
      <c r="Y224" s="137">
        <v>5.9898653823466249E-4</v>
      </c>
      <c r="Z224" s="9"/>
      <c r="AA224" s="91"/>
      <c r="AB224" s="9"/>
      <c r="AC224" s="9"/>
    </row>
    <row r="225" spans="2:29" ht="41.45" hidden="1" outlineLevel="3">
      <c r="B225" s="29"/>
      <c r="C225" s="30" t="s">
        <v>967</v>
      </c>
      <c r="D225" s="9"/>
      <c r="E225" s="91"/>
      <c r="F225" s="9"/>
      <c r="G225" s="119" t="s">
        <v>28</v>
      </c>
      <c r="H225" s="9"/>
      <c r="I225" s="91"/>
      <c r="J225" s="9"/>
      <c r="K225" s="138"/>
      <c r="L225" s="138"/>
      <c r="M225" s="145"/>
      <c r="N225" s="145" t="s">
        <v>1304</v>
      </c>
      <c r="O225" s="9"/>
      <c r="P225" s="91"/>
      <c r="Q225" s="9"/>
      <c r="R225" s="34"/>
      <c r="S225" s="9"/>
      <c r="T225" s="91"/>
      <c r="U225" s="9"/>
      <c r="V225" s="137"/>
      <c r="W225" s="137"/>
      <c r="X225" s="137"/>
      <c r="Y225" s="137">
        <v>4.4923990367599681E-4</v>
      </c>
      <c r="Z225" s="9"/>
      <c r="AA225" s="91"/>
      <c r="AB225" s="9"/>
      <c r="AC225" s="9"/>
    </row>
    <row r="226" spans="2:29" ht="3" hidden="1" customHeight="1" outlineLevel="2">
      <c r="B226" s="29"/>
      <c r="C226" s="30"/>
      <c r="D226" s="9"/>
      <c r="E226" s="91"/>
      <c r="F226" s="9"/>
      <c r="G226" s="119"/>
      <c r="H226" s="9"/>
      <c r="I226" s="91"/>
      <c r="J226" s="9"/>
      <c r="O226" s="9"/>
      <c r="P226" s="91"/>
      <c r="Q226" s="9"/>
      <c r="R226" s="34"/>
      <c r="S226" s="9"/>
      <c r="T226" s="91"/>
      <c r="U226" s="9"/>
      <c r="Z226" s="9"/>
      <c r="AA226" s="91"/>
      <c r="AB226" s="9"/>
      <c r="AC226" s="9"/>
    </row>
    <row r="227" spans="2:29" s="22" customFormat="1" hidden="1" outlineLevel="2" collapsed="1">
      <c r="B227" s="23" t="s">
        <v>212</v>
      </c>
      <c r="C227" s="23"/>
      <c r="D227" s="9"/>
      <c r="E227" s="91"/>
      <c r="F227" s="9"/>
      <c r="G227" s="125">
        <f>SUM(K227:N227)</f>
        <v>42</v>
      </c>
      <c r="H227" s="9"/>
      <c r="I227" s="91"/>
      <c r="J227" s="9"/>
      <c r="K227" s="72">
        <f>COUNTA(K228:K240)</f>
        <v>9</v>
      </c>
      <c r="L227" s="72">
        <f>COUNTA(L228:L240)</f>
        <v>13</v>
      </c>
      <c r="M227" s="72">
        <f>COUNTA(M228:M240)</f>
        <v>13</v>
      </c>
      <c r="N227" s="72">
        <f>COUNTA(N228:N240)</f>
        <v>7</v>
      </c>
      <c r="O227" s="9"/>
      <c r="P227" s="91"/>
      <c r="Q227" s="9"/>
      <c r="R227" s="83">
        <f>SUM(V227:Y227)</f>
        <v>2.0126562257846299</v>
      </c>
      <c r="S227" s="9"/>
      <c r="T227" s="91"/>
      <c r="U227" s="9"/>
      <c r="V227" s="82">
        <f>SUM(V228:V240)</f>
        <v>0.38239256881395056</v>
      </c>
      <c r="W227" s="82">
        <f>SUM(W228:W240)</f>
        <v>1.0912014502480001</v>
      </c>
      <c r="X227" s="82">
        <f>SUM(X228:X240)</f>
        <v>0.3549288252629158</v>
      </c>
      <c r="Y227" s="82">
        <f>SUM(Y228:Y240)</f>
        <v>0.18413338145976338</v>
      </c>
      <c r="Z227" s="9"/>
      <c r="AA227" s="91"/>
      <c r="AB227" s="9"/>
      <c r="AC227" s="9"/>
    </row>
    <row r="228" spans="2:29" ht="55.15" hidden="1" outlineLevel="3">
      <c r="B228" s="29"/>
      <c r="C228" s="30"/>
      <c r="D228" s="9"/>
      <c r="E228" s="91"/>
      <c r="F228" s="9"/>
      <c r="G228" s="119" t="s">
        <v>28</v>
      </c>
      <c r="H228" s="9"/>
      <c r="I228" s="91"/>
      <c r="J228" s="9"/>
      <c r="K228" s="30" t="s">
        <v>34</v>
      </c>
      <c r="L228" s="30" t="s">
        <v>1305</v>
      </c>
      <c r="M228" s="30" t="s">
        <v>1306</v>
      </c>
      <c r="N228" s="30" t="s">
        <v>24</v>
      </c>
      <c r="O228" s="9"/>
      <c r="P228" s="91"/>
      <c r="Q228" s="9"/>
      <c r="R228" s="34" t="s">
        <v>28</v>
      </c>
      <c r="S228" s="9"/>
      <c r="T228" s="91"/>
      <c r="U228" s="9"/>
      <c r="V228" s="81">
        <v>0.26835416343795065</v>
      </c>
      <c r="W228" s="81">
        <v>1.641505E-2</v>
      </c>
      <c r="X228" s="81">
        <v>7.7614500000000005E-3</v>
      </c>
      <c r="Y228" s="81">
        <v>0.12284444962643681</v>
      </c>
      <c r="Z228" s="9"/>
      <c r="AA228" s="91"/>
      <c r="AB228" s="9"/>
      <c r="AC228" s="9"/>
    </row>
    <row r="229" spans="2:29" ht="27.6" hidden="1" outlineLevel="3">
      <c r="B229" s="29"/>
      <c r="C229" s="30"/>
      <c r="D229" s="9"/>
      <c r="E229" s="91"/>
      <c r="F229" s="9"/>
      <c r="G229" s="119" t="s">
        <v>28</v>
      </c>
      <c r="H229" s="9"/>
      <c r="I229" s="91"/>
      <c r="J229" s="9"/>
      <c r="K229" s="30" t="s">
        <v>1307</v>
      </c>
      <c r="L229" s="30" t="s">
        <v>1308</v>
      </c>
      <c r="M229" s="30" t="s">
        <v>821</v>
      </c>
      <c r="N229" s="30" t="s">
        <v>116</v>
      </c>
      <c r="O229" s="9"/>
      <c r="P229" s="91"/>
      <c r="Q229" s="9"/>
      <c r="R229" s="34" t="s">
        <v>28</v>
      </c>
      <c r="S229" s="9"/>
      <c r="T229" s="91"/>
      <c r="U229" s="9"/>
      <c r="V229" s="81">
        <v>7.7614500000000005E-3</v>
      </c>
      <c r="W229" s="81">
        <v>1.1642174999999999E-2</v>
      </c>
      <c r="X229" s="81">
        <v>2.3284349999999999E-2</v>
      </c>
      <c r="Y229" s="81">
        <v>8.1296301249949125E-3</v>
      </c>
      <c r="Z229" s="9"/>
      <c r="AA229" s="91"/>
      <c r="AB229" s="9"/>
      <c r="AC229" s="9"/>
    </row>
    <row r="230" spans="2:29" ht="55.15" hidden="1" outlineLevel="3">
      <c r="B230" s="29"/>
      <c r="C230" s="30"/>
      <c r="D230" s="9"/>
      <c r="E230" s="91"/>
      <c r="F230" s="9"/>
      <c r="G230" s="119" t="s">
        <v>28</v>
      </c>
      <c r="H230" s="9"/>
      <c r="I230" s="91"/>
      <c r="J230" s="9"/>
      <c r="K230" s="30" t="s">
        <v>1309</v>
      </c>
      <c r="L230" s="30" t="s">
        <v>1310</v>
      </c>
      <c r="M230" s="30" t="s">
        <v>1311</v>
      </c>
      <c r="N230" s="26" t="s">
        <v>98</v>
      </c>
      <c r="O230" s="9"/>
      <c r="P230" s="91"/>
      <c r="Q230" s="9"/>
      <c r="R230" s="34" t="s">
        <v>28</v>
      </c>
      <c r="S230" s="9"/>
      <c r="T230" s="91"/>
      <c r="U230" s="9"/>
      <c r="V230" s="81">
        <v>1.641505E-2</v>
      </c>
      <c r="W230" s="81">
        <v>2.4622574999999997E-2</v>
      </c>
      <c r="X230" s="81">
        <v>1.641505E-2</v>
      </c>
      <c r="Y230" s="95">
        <v>2.7098767083316381E-3</v>
      </c>
      <c r="Z230" s="9"/>
      <c r="AA230" s="91"/>
      <c r="AB230" s="9"/>
      <c r="AC230" s="9"/>
    </row>
    <row r="231" spans="2:29" ht="27.6" hidden="1" outlineLevel="3">
      <c r="B231" s="29"/>
      <c r="C231" s="30"/>
      <c r="D231" s="9"/>
      <c r="E231" s="91"/>
      <c r="F231" s="9"/>
      <c r="G231" s="119" t="s">
        <v>28</v>
      </c>
      <c r="H231" s="9"/>
      <c r="I231" s="91"/>
      <c r="J231" s="9"/>
      <c r="K231" s="30" t="s">
        <v>1312</v>
      </c>
      <c r="L231" s="30" t="s">
        <v>1313</v>
      </c>
      <c r="M231" s="30" t="s">
        <v>271</v>
      </c>
      <c r="N231" s="30" t="s">
        <v>806</v>
      </c>
      <c r="O231" s="9"/>
      <c r="P231" s="91"/>
      <c r="Q231" s="9"/>
      <c r="R231" s="34" t="s">
        <v>28</v>
      </c>
      <c r="S231" s="9"/>
      <c r="T231" s="91"/>
      <c r="U231" s="9"/>
      <c r="V231" s="81">
        <v>1.641505E-2</v>
      </c>
      <c r="W231" s="81">
        <v>2.4622574999999997E-2</v>
      </c>
      <c r="X231" s="81">
        <v>4.9245149999999994E-2</v>
      </c>
      <c r="Y231" s="81">
        <v>7.7614500000000005E-3</v>
      </c>
      <c r="Z231" s="9"/>
      <c r="AA231" s="91"/>
      <c r="AB231" s="9"/>
      <c r="AC231" s="9"/>
    </row>
    <row r="232" spans="2:29" ht="55.15" hidden="1" outlineLevel="3">
      <c r="B232" s="29"/>
      <c r="C232" s="30"/>
      <c r="D232" s="9"/>
      <c r="E232" s="91"/>
      <c r="F232" s="9"/>
      <c r="G232" s="119" t="s">
        <v>28</v>
      </c>
      <c r="H232" s="9"/>
      <c r="I232" s="91"/>
      <c r="J232" s="9"/>
      <c r="K232" s="30" t="s">
        <v>1314</v>
      </c>
      <c r="L232" s="30" t="s">
        <v>1315</v>
      </c>
      <c r="M232" s="30" t="s">
        <v>1316</v>
      </c>
      <c r="N232" s="30" t="s">
        <v>809</v>
      </c>
      <c r="O232" s="9"/>
      <c r="P232" s="91"/>
      <c r="Q232" s="9"/>
      <c r="R232" s="34" t="s">
        <v>28</v>
      </c>
      <c r="S232" s="9"/>
      <c r="T232" s="91"/>
      <c r="U232" s="9"/>
      <c r="V232" s="81">
        <v>1.641505E-2</v>
      </c>
      <c r="W232" s="81">
        <v>2.4622574999999997E-2</v>
      </c>
      <c r="X232" s="81">
        <v>1.641505E-2</v>
      </c>
      <c r="Y232" s="81">
        <v>1.1642174999999999E-2</v>
      </c>
      <c r="Z232" s="9"/>
      <c r="AA232" s="91"/>
      <c r="AB232" s="9"/>
      <c r="AC232" s="9"/>
    </row>
    <row r="233" spans="2:29" ht="55.15" hidden="1" outlineLevel="3">
      <c r="B233" s="29"/>
      <c r="C233" s="30"/>
      <c r="D233" s="9"/>
      <c r="E233" s="91"/>
      <c r="F233" s="9"/>
      <c r="G233" s="119" t="s">
        <v>28</v>
      </c>
      <c r="H233" s="9"/>
      <c r="I233" s="91"/>
      <c r="J233" s="9"/>
      <c r="K233" s="30" t="s">
        <v>815</v>
      </c>
      <c r="L233" s="30" t="s">
        <v>1317</v>
      </c>
      <c r="M233" s="30" t="s">
        <v>824</v>
      </c>
      <c r="N233" s="30" t="s">
        <v>812</v>
      </c>
      <c r="O233" s="9"/>
      <c r="P233" s="91"/>
      <c r="Q233" s="9"/>
      <c r="R233" s="34" t="s">
        <v>28</v>
      </c>
      <c r="S233" s="9"/>
      <c r="T233" s="91"/>
      <c r="U233" s="9"/>
      <c r="V233" s="81">
        <v>1.2221101151999999E-2</v>
      </c>
      <c r="W233" s="81">
        <v>2.4622574999999997E-2</v>
      </c>
      <c r="X233" s="81">
        <v>4.9245149999999994E-2</v>
      </c>
      <c r="Y233" s="81">
        <v>7.7614500000000005E-3</v>
      </c>
      <c r="Z233" s="9"/>
      <c r="AA233" s="91"/>
      <c r="AB233" s="9"/>
      <c r="AC233" s="9"/>
    </row>
    <row r="234" spans="2:29" ht="55.15" hidden="1" outlineLevel="3">
      <c r="B234" s="29"/>
      <c r="C234" s="30"/>
      <c r="D234" s="9"/>
      <c r="E234" s="91"/>
      <c r="F234" s="9"/>
      <c r="G234" s="119" t="s">
        <v>28</v>
      </c>
      <c r="H234" s="9"/>
      <c r="I234" s="91"/>
      <c r="J234" s="9"/>
      <c r="K234" s="30" t="s">
        <v>816</v>
      </c>
      <c r="L234" s="30" t="s">
        <v>265</v>
      </c>
      <c r="M234" s="30" t="s">
        <v>1318</v>
      </c>
      <c r="N234" s="30" t="s">
        <v>813</v>
      </c>
      <c r="O234" s="9"/>
      <c r="P234" s="91"/>
      <c r="Q234" s="9"/>
      <c r="R234" s="34" t="s">
        <v>28</v>
      </c>
      <c r="S234" s="9"/>
      <c r="T234" s="91"/>
      <c r="U234" s="9"/>
      <c r="V234" s="81">
        <v>1.2221101151999999E-2</v>
      </c>
      <c r="W234" s="81">
        <v>1.2221101151999999E-2</v>
      </c>
      <c r="X234" s="81">
        <v>1.641505E-2</v>
      </c>
      <c r="Y234" s="81">
        <v>2.3284349999999999E-2</v>
      </c>
      <c r="Z234" s="9"/>
      <c r="AA234" s="91"/>
      <c r="AB234" s="9"/>
      <c r="AC234" s="9"/>
    </row>
    <row r="235" spans="2:29" ht="27.6" hidden="1" outlineLevel="3">
      <c r="B235" s="29"/>
      <c r="C235" s="30"/>
      <c r="D235" s="9"/>
      <c r="E235" s="91"/>
      <c r="F235" s="9"/>
      <c r="G235" s="119" t="s">
        <v>28</v>
      </c>
      <c r="H235" s="9"/>
      <c r="I235" s="91"/>
      <c r="J235" s="9"/>
      <c r="K235" s="30" t="s">
        <v>1319</v>
      </c>
      <c r="L235" s="30" t="s">
        <v>817</v>
      </c>
      <c r="M235" s="30" t="s">
        <v>826</v>
      </c>
      <c r="N235" s="93"/>
      <c r="O235" s="9"/>
      <c r="P235" s="91"/>
      <c r="Q235" s="9"/>
      <c r="R235" s="34" t="s">
        <v>28</v>
      </c>
      <c r="S235" s="9"/>
      <c r="T235" s="91"/>
      <c r="U235" s="9"/>
      <c r="V235" s="81">
        <v>1.6294801536000002E-2</v>
      </c>
      <c r="W235" s="81">
        <v>1.2221101151999999E-2</v>
      </c>
      <c r="X235" s="81">
        <v>4.9245149999999994E-2</v>
      </c>
      <c r="Y235" s="107"/>
      <c r="Z235" s="9"/>
      <c r="AA235" s="91"/>
      <c r="AB235" s="9"/>
      <c r="AC235" s="9"/>
    </row>
    <row r="236" spans="2:29" ht="55.15" hidden="1" outlineLevel="3">
      <c r="B236" s="29"/>
      <c r="C236" s="30"/>
      <c r="D236" s="9"/>
      <c r="E236" s="91"/>
      <c r="F236" s="9"/>
      <c r="G236" s="119" t="s">
        <v>28</v>
      </c>
      <c r="H236" s="9"/>
      <c r="I236" s="91"/>
      <c r="J236" s="9"/>
      <c r="K236" s="30" t="s">
        <v>1320</v>
      </c>
      <c r="L236" s="30" t="s">
        <v>270</v>
      </c>
      <c r="M236" s="30" t="s">
        <v>1321</v>
      </c>
      <c r="N236" s="93"/>
      <c r="O236" s="9"/>
      <c r="P236" s="91"/>
      <c r="Q236" s="9"/>
      <c r="R236" s="34" t="s">
        <v>28</v>
      </c>
      <c r="S236" s="9"/>
      <c r="T236" s="91"/>
      <c r="U236" s="9"/>
      <c r="V236" s="81">
        <v>1.6294801536000002E-2</v>
      </c>
      <c r="W236" s="81">
        <v>1.2221101151999999E-2</v>
      </c>
      <c r="X236" s="81">
        <v>1.641505E-2</v>
      </c>
      <c r="Y236" s="107"/>
      <c r="Z236" s="9"/>
      <c r="AA236" s="91"/>
      <c r="AB236" s="9"/>
      <c r="AC236" s="9"/>
    </row>
    <row r="237" spans="2:29" ht="27.6" hidden="1" outlineLevel="3">
      <c r="B237" s="29"/>
      <c r="C237" s="30"/>
      <c r="D237" s="9"/>
      <c r="E237" s="91"/>
      <c r="F237" s="9"/>
      <c r="G237" s="119" t="s">
        <v>28</v>
      </c>
      <c r="H237" s="9"/>
      <c r="I237" s="91"/>
      <c r="J237" s="9"/>
      <c r="K237" s="142"/>
      <c r="L237" s="30" t="s">
        <v>818</v>
      </c>
      <c r="M237" s="30" t="s">
        <v>828</v>
      </c>
      <c r="N237" s="93"/>
      <c r="O237" s="9"/>
      <c r="P237" s="91"/>
      <c r="Q237" s="9"/>
      <c r="R237" s="34" t="s">
        <v>28</v>
      </c>
      <c r="S237" s="9"/>
      <c r="T237" s="91"/>
      <c r="U237" s="9"/>
      <c r="W237" s="81">
        <v>1.2221101151999999E-2</v>
      </c>
      <c r="X237" s="81">
        <v>4.9245149999999994E-2</v>
      </c>
      <c r="Y237" s="107"/>
      <c r="Z237" s="9"/>
      <c r="AA237" s="91"/>
      <c r="AB237" s="9"/>
      <c r="AC237" s="9"/>
    </row>
    <row r="238" spans="2:29" ht="27.6" hidden="1" outlineLevel="3">
      <c r="B238" s="29"/>
      <c r="C238" s="30"/>
      <c r="D238" s="9"/>
      <c r="E238" s="91"/>
      <c r="F238" s="9"/>
      <c r="G238" s="119" t="s">
        <v>28</v>
      </c>
      <c r="H238" s="9"/>
      <c r="I238" s="91"/>
      <c r="J238" s="9"/>
      <c r="K238" s="142"/>
      <c r="L238" s="30" t="s">
        <v>819</v>
      </c>
      <c r="M238" s="30" t="s">
        <v>1001</v>
      </c>
      <c r="N238" s="30"/>
      <c r="O238" s="9"/>
      <c r="P238" s="91"/>
      <c r="Q238" s="9"/>
      <c r="R238" s="34" t="s">
        <v>28</v>
      </c>
      <c r="S238" s="9"/>
      <c r="T238" s="91"/>
      <c r="U238" s="9"/>
      <c r="W238" s="81">
        <v>0.30995276083200002</v>
      </c>
      <c r="X238" s="81">
        <v>3.6853334887931043E-2</v>
      </c>
      <c r="Y238" s="81"/>
      <c r="Z238" s="9"/>
      <c r="AA238" s="91"/>
      <c r="AB238" s="9"/>
      <c r="AC238" s="9"/>
    </row>
    <row r="239" spans="2:29" ht="27.6" hidden="1" outlineLevel="3">
      <c r="B239" s="29"/>
      <c r="C239" s="30"/>
      <c r="D239" s="9"/>
      <c r="E239" s="91"/>
      <c r="F239" s="9"/>
      <c r="G239" s="119" t="s">
        <v>28</v>
      </c>
      <c r="H239" s="9"/>
      <c r="I239" s="91"/>
      <c r="J239" s="9"/>
      <c r="K239" s="142"/>
      <c r="L239" s="30" t="s">
        <v>820</v>
      </c>
      <c r="M239" s="30" t="s">
        <v>205</v>
      </c>
      <c r="N239" s="30"/>
      <c r="O239" s="9"/>
      <c r="P239" s="91"/>
      <c r="Q239" s="9"/>
      <c r="R239" s="34" t="s">
        <v>28</v>
      </c>
      <c r="S239" s="9"/>
      <c r="T239" s="91"/>
      <c r="U239" s="9"/>
      <c r="W239" s="81">
        <v>0.30995276083200002</v>
      </c>
      <c r="X239" s="81">
        <v>1.8969136958321465E-2</v>
      </c>
      <c r="Y239" s="81"/>
      <c r="Z239" s="9"/>
      <c r="AA239" s="91"/>
      <c r="AB239" s="9"/>
      <c r="AC239" s="9"/>
    </row>
    <row r="240" spans="2:29" ht="27.6" hidden="1" outlineLevel="3">
      <c r="B240" s="29"/>
      <c r="C240" s="30"/>
      <c r="D240" s="9"/>
      <c r="E240" s="91"/>
      <c r="F240" s="9"/>
      <c r="G240" s="119" t="s">
        <v>28</v>
      </c>
      <c r="H240" s="9"/>
      <c r="I240" s="91"/>
      <c r="J240" s="9"/>
      <c r="K240" s="142"/>
      <c r="L240" s="30" t="s">
        <v>1322</v>
      </c>
      <c r="M240" s="144" t="s">
        <v>117</v>
      </c>
      <c r="N240" s="30"/>
      <c r="O240" s="9"/>
      <c r="P240" s="91"/>
      <c r="Q240" s="9"/>
      <c r="R240" s="34" t="s">
        <v>28</v>
      </c>
      <c r="S240" s="9"/>
      <c r="T240" s="91"/>
      <c r="U240" s="9"/>
      <c r="W240" s="81">
        <v>0.29586399897600002</v>
      </c>
      <c r="X240" s="94">
        <v>5.4197534166632762E-3</v>
      </c>
      <c r="Y240" s="81"/>
      <c r="Z240" s="9"/>
      <c r="AA240" s="91"/>
      <c r="AB240" s="9"/>
      <c r="AC240" s="9"/>
    </row>
    <row r="241" spans="2:29" ht="3" hidden="1" customHeight="1" outlineLevel="2">
      <c r="B241" s="29"/>
      <c r="C241" s="30"/>
      <c r="D241" s="9"/>
      <c r="E241" s="91"/>
      <c r="F241" s="9"/>
      <c r="G241" s="119"/>
      <c r="H241" s="9"/>
      <c r="I241" s="91"/>
      <c r="J241" s="9"/>
      <c r="K241" s="76"/>
      <c r="O241" s="9"/>
      <c r="P241" s="91"/>
      <c r="Q241" s="9"/>
      <c r="R241" s="34"/>
      <c r="S241" s="9"/>
      <c r="T241" s="91"/>
      <c r="U241" s="9"/>
      <c r="V241" s="76"/>
      <c r="Z241" s="9"/>
      <c r="AA241" s="91"/>
      <c r="AB241" s="9"/>
      <c r="AC241" s="9"/>
    </row>
    <row r="242" spans="2:29" s="22" customFormat="1" hidden="1" outlineLevel="2" collapsed="1">
      <c r="B242" s="23" t="s">
        <v>830</v>
      </c>
      <c r="C242" s="23"/>
      <c r="D242" s="9"/>
      <c r="E242" s="91"/>
      <c r="F242" s="9"/>
      <c r="G242" s="125">
        <f>SUM(K242:N242)</f>
        <v>5</v>
      </c>
      <c r="H242" s="9"/>
      <c r="I242" s="91"/>
      <c r="J242" s="9"/>
      <c r="K242" s="72">
        <f>COUNTA(K243:K246)</f>
        <v>3</v>
      </c>
      <c r="L242" s="72">
        <f>COUNTA(L243:L246)</f>
        <v>2</v>
      </c>
      <c r="M242" s="72">
        <f>COUNTA(M243:M246)</f>
        <v>0</v>
      </c>
      <c r="N242" s="72">
        <f>COUNTA(N243:N246)</f>
        <v>0</v>
      </c>
      <c r="O242" s="9"/>
      <c r="P242" s="91"/>
      <c r="Q242" s="9"/>
      <c r="R242" s="24">
        <f>SUM(V242:Y242)</f>
        <v>0.93</v>
      </c>
      <c r="S242" s="9"/>
      <c r="T242" s="91"/>
      <c r="U242" s="9"/>
      <c r="V242" s="72">
        <f>SUM(V243:V246)</f>
        <v>0.84000000000000008</v>
      </c>
      <c r="W242" s="72">
        <f>SUM(W243:W246)</f>
        <v>9.0000000000000011E-2</v>
      </c>
      <c r="X242" s="72">
        <f>SUM(X243:X246)</f>
        <v>0</v>
      </c>
      <c r="Y242" s="72">
        <f>SUM(Y243:Y246)</f>
        <v>0</v>
      </c>
      <c r="Z242" s="9"/>
      <c r="AA242" s="91"/>
      <c r="AB242" s="9"/>
      <c r="AC242" s="9"/>
    </row>
    <row r="243" spans="2:29" ht="27.6" hidden="1" outlineLevel="4">
      <c r="B243" s="29"/>
      <c r="C243" s="30"/>
      <c r="D243" s="9"/>
      <c r="E243" s="91"/>
      <c r="F243" s="9"/>
      <c r="G243" s="119" t="s">
        <v>28</v>
      </c>
      <c r="H243" s="9"/>
      <c r="I243" s="91"/>
      <c r="J243" s="9"/>
      <c r="K243" s="30" t="s">
        <v>343</v>
      </c>
      <c r="L243" s="30" t="s">
        <v>116</v>
      </c>
      <c r="M243" s="142"/>
      <c r="N243" s="142"/>
      <c r="O243" s="9"/>
      <c r="P243" s="91"/>
      <c r="Q243" s="9"/>
      <c r="R243" s="34" t="s">
        <v>28</v>
      </c>
      <c r="S243" s="9"/>
      <c r="T243" s="91"/>
      <c r="U243" s="9"/>
      <c r="V243" s="36">
        <v>0.14000000000000001</v>
      </c>
      <c r="W243" s="36">
        <v>7.0000000000000007E-2</v>
      </c>
      <c r="Z243" s="9"/>
      <c r="AA243" s="91"/>
      <c r="AB243" s="9"/>
      <c r="AC243" s="9"/>
    </row>
    <row r="244" spans="2:29" ht="27.6" hidden="1" outlineLevel="4">
      <c r="B244" s="29"/>
      <c r="C244" s="30"/>
      <c r="D244" s="9"/>
      <c r="E244" s="91"/>
      <c r="F244" s="9"/>
      <c r="G244" s="119"/>
      <c r="H244" s="9"/>
      <c r="I244" s="91"/>
      <c r="J244" s="9"/>
      <c r="K244" s="30" t="s">
        <v>205</v>
      </c>
      <c r="L244" s="30" t="s">
        <v>98</v>
      </c>
      <c r="M244" s="142"/>
      <c r="N244" s="142"/>
      <c r="O244" s="9"/>
      <c r="P244" s="91"/>
      <c r="Q244" s="9"/>
      <c r="R244" s="34" t="s">
        <v>28</v>
      </c>
      <c r="S244" s="9"/>
      <c r="T244" s="91"/>
      <c r="U244" s="9"/>
      <c r="V244" s="36">
        <v>0.48</v>
      </c>
      <c r="W244" s="36">
        <v>0.02</v>
      </c>
      <c r="Z244" s="9"/>
      <c r="AA244" s="91"/>
      <c r="AB244" s="9"/>
      <c r="AC244" s="9"/>
    </row>
    <row r="245" spans="2:29" ht="27.6" hidden="1" outlineLevel="3">
      <c r="B245" s="29"/>
      <c r="C245" s="30"/>
      <c r="D245" s="9"/>
      <c r="E245" s="91"/>
      <c r="F245" s="9"/>
      <c r="G245" s="119"/>
      <c r="H245" s="9"/>
      <c r="I245" s="91"/>
      <c r="J245" s="9"/>
      <c r="K245" s="30" t="s">
        <v>117</v>
      </c>
      <c r="L245" s="142"/>
      <c r="M245" s="142"/>
      <c r="N245" s="142"/>
      <c r="O245" s="9"/>
      <c r="P245" s="91"/>
      <c r="Q245" s="9"/>
      <c r="R245" s="34" t="s">
        <v>28</v>
      </c>
      <c r="S245" s="9"/>
      <c r="T245" s="91"/>
      <c r="U245" s="9"/>
      <c r="V245" s="36">
        <v>0.17</v>
      </c>
      <c r="Z245" s="9"/>
      <c r="AA245" s="91"/>
      <c r="AB245" s="9"/>
      <c r="AC245" s="9"/>
    </row>
    <row r="246" spans="2:29" hidden="1" outlineLevel="3">
      <c r="B246" s="29"/>
      <c r="C246" s="30"/>
      <c r="D246" s="9"/>
      <c r="E246" s="91"/>
      <c r="F246" s="9"/>
      <c r="G246" s="119"/>
      <c r="H246" s="9"/>
      <c r="I246" s="91"/>
      <c r="J246" s="9"/>
      <c r="K246" s="142"/>
      <c r="L246" s="30"/>
      <c r="M246" s="142"/>
      <c r="N246" s="142"/>
      <c r="O246" s="9"/>
      <c r="P246" s="91"/>
      <c r="Q246" s="9"/>
      <c r="R246" s="34" t="s">
        <v>28</v>
      </c>
      <c r="S246" s="9"/>
      <c r="T246" s="91"/>
      <c r="U246" s="9"/>
      <c r="V246" s="36">
        <v>0.05</v>
      </c>
      <c r="W246" s="36"/>
      <c r="Z246" s="9"/>
      <c r="AA246" s="91"/>
      <c r="AB246" s="9"/>
      <c r="AC246" s="9"/>
    </row>
    <row r="247" spans="2:29" ht="3" hidden="1" customHeight="1" outlineLevel="2">
      <c r="B247" s="29"/>
      <c r="C247" s="30"/>
      <c r="D247" s="9"/>
      <c r="E247" s="91"/>
      <c r="F247" s="9"/>
      <c r="G247" s="119"/>
      <c r="H247" s="9"/>
      <c r="I247" s="91"/>
      <c r="J247" s="9"/>
      <c r="K247" s="76"/>
      <c r="O247" s="9"/>
      <c r="P247" s="91"/>
      <c r="Q247" s="9"/>
      <c r="R247" s="34"/>
      <c r="S247" s="9"/>
      <c r="T247" s="91"/>
      <c r="U247" s="9"/>
      <c r="V247" s="76"/>
      <c r="Z247" s="9"/>
      <c r="AA247" s="91"/>
      <c r="AB247" s="9"/>
      <c r="AC247" s="9"/>
    </row>
    <row r="248" spans="2:29" s="22" customFormat="1" hidden="1" outlineLevel="2" collapsed="1">
      <c r="B248" s="23" t="s">
        <v>1323</v>
      </c>
      <c r="C248" s="23"/>
      <c r="D248" s="9"/>
      <c r="E248" s="91"/>
      <c r="F248" s="9"/>
      <c r="G248" s="125">
        <f>SUM(K248:N248)</f>
        <v>4</v>
      </c>
      <c r="H248" s="9"/>
      <c r="I248" s="91"/>
      <c r="J248" s="9"/>
      <c r="K248" s="72">
        <f>COUNTA(K249:K250)</f>
        <v>0</v>
      </c>
      <c r="L248" s="72">
        <f>COUNTA(L249:L250)</f>
        <v>2</v>
      </c>
      <c r="M248" s="72">
        <f>COUNTA(M249:M250)</f>
        <v>2</v>
      </c>
      <c r="N248" s="72">
        <f>COUNTA(N249:N250)</f>
        <v>0</v>
      </c>
      <c r="O248" s="9"/>
      <c r="P248" s="91"/>
      <c r="Q248" s="9"/>
      <c r="R248" s="83">
        <f>SUM(V248:Y248)</f>
        <v>4.2497699999999998</v>
      </c>
      <c r="S248" s="9"/>
      <c r="T248" s="91"/>
      <c r="U248" s="9"/>
      <c r="V248" s="82">
        <f>SUM(V249:V250)</f>
        <v>0</v>
      </c>
      <c r="W248" s="82">
        <f>SUM(W249:W250)</f>
        <v>2.1248849999999999</v>
      </c>
      <c r="X248" s="82">
        <f>SUM(X249:X250)</f>
        <v>2.1248849999999999</v>
      </c>
      <c r="Y248" s="82">
        <f>SUM(Y249:Y250)</f>
        <v>0</v>
      </c>
      <c r="Z248" s="9"/>
      <c r="AA248" s="91"/>
      <c r="AB248" s="9"/>
      <c r="AC248" s="9"/>
    </row>
    <row r="249" spans="2:29" hidden="1" outlineLevel="3">
      <c r="B249" s="29"/>
      <c r="C249" s="30"/>
      <c r="D249" s="9"/>
      <c r="E249" s="91"/>
      <c r="F249" s="9"/>
      <c r="G249" s="119" t="s">
        <v>28</v>
      </c>
      <c r="H249" s="9"/>
      <c r="I249" s="91"/>
      <c r="J249" s="9"/>
      <c r="L249" s="100" t="s">
        <v>32</v>
      </c>
      <c r="M249" s="43" t="s">
        <v>842</v>
      </c>
      <c r="N249" s="43"/>
      <c r="O249" s="9"/>
      <c r="P249" s="91"/>
      <c r="Q249" s="9"/>
      <c r="R249" s="34" t="s">
        <v>28</v>
      </c>
      <c r="S249" s="9"/>
      <c r="T249" s="91"/>
      <c r="U249" s="9"/>
      <c r="V249" s="99"/>
      <c r="W249" s="101">
        <v>0.70829500000000001</v>
      </c>
      <c r="X249" s="97">
        <v>1.41659</v>
      </c>
      <c r="Y249" s="97"/>
      <c r="Z249" s="9"/>
      <c r="AA249" s="91"/>
      <c r="AB249" s="9"/>
      <c r="AC249" s="9"/>
    </row>
    <row r="250" spans="2:29" ht="27.6" hidden="1" outlineLevel="3">
      <c r="B250" s="29"/>
      <c r="C250" s="30"/>
      <c r="D250" s="9"/>
      <c r="E250" s="91"/>
      <c r="F250" s="9"/>
      <c r="G250" s="119"/>
      <c r="H250" s="9"/>
      <c r="I250" s="91"/>
      <c r="J250" s="9"/>
      <c r="L250" s="43" t="s">
        <v>33</v>
      </c>
      <c r="M250" s="43" t="s">
        <v>197</v>
      </c>
      <c r="N250" s="74"/>
      <c r="O250" s="9"/>
      <c r="P250" s="91"/>
      <c r="Q250" s="9"/>
      <c r="R250" s="34"/>
      <c r="S250" s="9"/>
      <c r="T250" s="91"/>
      <c r="U250" s="9"/>
      <c r="V250" s="99"/>
      <c r="W250" s="97">
        <v>1.41659</v>
      </c>
      <c r="X250" s="97">
        <v>0.70829500000000001</v>
      </c>
      <c r="Y250" s="97"/>
      <c r="Z250" s="9"/>
      <c r="AA250" s="91"/>
      <c r="AB250" s="9"/>
      <c r="AC250" s="9"/>
    </row>
    <row r="251" spans="2:29" ht="3" hidden="1" customHeight="1" outlineLevel="2">
      <c r="B251" s="29"/>
      <c r="C251" s="30"/>
      <c r="D251" s="9"/>
      <c r="E251" s="91"/>
      <c r="F251" s="9"/>
      <c r="G251" s="119"/>
      <c r="H251" s="9"/>
      <c r="I251" s="91"/>
      <c r="J251" s="9"/>
      <c r="K251" s="76"/>
      <c r="L251" s="43"/>
      <c r="M251" s="43"/>
      <c r="N251" s="43"/>
      <c r="O251" s="9"/>
      <c r="P251" s="91"/>
      <c r="Q251" s="9"/>
      <c r="R251" s="34"/>
      <c r="S251" s="9"/>
      <c r="T251" s="91"/>
      <c r="U251" s="9"/>
      <c r="V251" s="76"/>
      <c r="W251" s="43"/>
      <c r="X251" s="43"/>
      <c r="Y251" s="43"/>
      <c r="Z251" s="9"/>
      <c r="AA251" s="91"/>
      <c r="AB251" s="9"/>
      <c r="AC251" s="9"/>
    </row>
    <row r="252" spans="2:29" s="22" customFormat="1" hidden="1" outlineLevel="2" collapsed="1">
      <c r="B252" s="23" t="s">
        <v>1005</v>
      </c>
      <c r="C252" s="23"/>
      <c r="D252" s="9"/>
      <c r="E252" s="91"/>
      <c r="F252" s="9"/>
      <c r="G252" s="125">
        <f>SUM(K252:N252)</f>
        <v>4</v>
      </c>
      <c r="H252" s="9"/>
      <c r="I252" s="91"/>
      <c r="J252" s="9"/>
      <c r="K252" s="72">
        <f>COUNTA(K253:K254)</f>
        <v>0</v>
      </c>
      <c r="L252" s="72">
        <f>COUNTA(L253:L254)</f>
        <v>2</v>
      </c>
      <c r="M252" s="72">
        <f>COUNTA(M253:M254)</f>
        <v>1</v>
      </c>
      <c r="N252" s="72">
        <f>COUNTA(N253:N254)</f>
        <v>1</v>
      </c>
      <c r="O252" s="9"/>
      <c r="P252" s="91"/>
      <c r="Q252" s="9"/>
      <c r="R252" s="83">
        <f>SUM(V252:Y252)</f>
        <v>0.48321000000000003</v>
      </c>
      <c r="S252" s="9"/>
      <c r="T252" s="91"/>
      <c r="U252" s="9"/>
      <c r="V252" s="82">
        <f>SUM(V253:V254)</f>
        <v>0</v>
      </c>
      <c r="W252" s="82">
        <f>SUM(W253:W254)</f>
        <v>0.32214000000000004</v>
      </c>
      <c r="X252" s="82">
        <f>SUM(X253:X254)</f>
        <v>0.16107000000000002</v>
      </c>
      <c r="Y252" s="82">
        <f>SUM(Y253:Y254)</f>
        <v>0</v>
      </c>
      <c r="Z252" s="9"/>
      <c r="AA252" s="91"/>
      <c r="AB252" s="9"/>
      <c r="AC252" s="9"/>
    </row>
    <row r="253" spans="2:29" ht="27.6" hidden="1" outlineLevel="3">
      <c r="B253" s="29"/>
      <c r="C253" s="30"/>
      <c r="D253" s="9"/>
      <c r="E253" s="91"/>
      <c r="F253" s="9"/>
      <c r="G253" s="119" t="s">
        <v>28</v>
      </c>
      <c r="H253" s="9"/>
      <c r="I253" s="91"/>
      <c r="J253" s="9"/>
      <c r="K253" s="26"/>
      <c r="L253" s="143" t="s">
        <v>32</v>
      </c>
      <c r="M253" s="140" t="s">
        <v>842</v>
      </c>
      <c r="N253" s="140" t="s">
        <v>197</v>
      </c>
      <c r="O253" s="9"/>
      <c r="P253" s="91"/>
      <c r="Q253" s="9"/>
      <c r="R253" s="34" t="s">
        <v>28</v>
      </c>
      <c r="S253" s="9"/>
      <c r="T253" s="91"/>
      <c r="U253" s="9"/>
      <c r="V253" s="99"/>
      <c r="W253" s="101">
        <v>0.16107000000000002</v>
      </c>
      <c r="X253" s="97">
        <v>0.16107000000000002</v>
      </c>
      <c r="Y253" s="108"/>
      <c r="Z253" s="9"/>
      <c r="AA253" s="91"/>
      <c r="AB253" s="9"/>
      <c r="AC253" s="9"/>
    </row>
    <row r="254" spans="2:29" hidden="1" outlineLevel="3">
      <c r="B254" s="29"/>
      <c r="C254" s="30"/>
      <c r="D254" s="9"/>
      <c r="E254" s="91"/>
      <c r="F254" s="9"/>
      <c r="G254" s="119" t="s">
        <v>28</v>
      </c>
      <c r="H254" s="9"/>
      <c r="I254" s="91"/>
      <c r="J254" s="9"/>
      <c r="K254" s="26"/>
      <c r="L254" s="140" t="s">
        <v>33</v>
      </c>
      <c r="M254" s="140"/>
      <c r="N254" s="30"/>
      <c r="O254" s="9"/>
      <c r="P254" s="91"/>
      <c r="Q254" s="9"/>
      <c r="R254" s="34" t="s">
        <v>28</v>
      </c>
      <c r="S254" s="9"/>
      <c r="T254" s="91"/>
      <c r="U254" s="9"/>
      <c r="V254" s="99"/>
      <c r="W254" s="97">
        <v>0.16107000000000002</v>
      </c>
      <c r="X254" s="97"/>
      <c r="Y254" s="108"/>
      <c r="Z254" s="9"/>
      <c r="AA254" s="91"/>
      <c r="AB254" s="9"/>
      <c r="AC254" s="9"/>
    </row>
    <row r="255" spans="2:29" ht="3" hidden="1" customHeight="1" outlineLevel="2">
      <c r="B255" s="29"/>
      <c r="C255" s="30"/>
      <c r="D255" s="9"/>
      <c r="E255" s="91"/>
      <c r="F255" s="9"/>
      <c r="G255" s="119"/>
      <c r="H255" s="9"/>
      <c r="I255" s="91"/>
      <c r="J255" s="9"/>
      <c r="K255" s="76"/>
      <c r="L255" s="43"/>
      <c r="M255" s="43"/>
      <c r="O255" s="9"/>
      <c r="P255" s="91"/>
      <c r="Q255" s="9"/>
      <c r="R255" s="34"/>
      <c r="S255" s="9"/>
      <c r="T255" s="91"/>
      <c r="U255" s="9"/>
      <c r="V255" s="76"/>
      <c r="W255" s="43"/>
      <c r="X255" s="43"/>
      <c r="Z255" s="9"/>
      <c r="AA255" s="91"/>
      <c r="AB255" s="9"/>
      <c r="AC255" s="9"/>
    </row>
    <row r="256" spans="2:29" s="22" customFormat="1" hidden="1" outlineLevel="2" collapsed="1">
      <c r="B256" s="23" t="s">
        <v>321</v>
      </c>
      <c r="C256" s="23"/>
      <c r="D256" s="9"/>
      <c r="E256" s="91"/>
      <c r="F256" s="9"/>
      <c r="G256" s="125">
        <f>SUM(K256:N256)</f>
        <v>9</v>
      </c>
      <c r="H256" s="9"/>
      <c r="I256" s="91"/>
      <c r="J256" s="9"/>
      <c r="K256" s="72">
        <f>COUNTA(K257:K259)</f>
        <v>3</v>
      </c>
      <c r="L256" s="72">
        <f>COUNTA(L257:L259)</f>
        <v>2</v>
      </c>
      <c r="M256" s="72">
        <f>COUNTA(M257:M259)</f>
        <v>1</v>
      </c>
      <c r="N256" s="72">
        <f>COUNTA(N257:N259)</f>
        <v>3</v>
      </c>
      <c r="O256" s="9"/>
      <c r="P256" s="91"/>
      <c r="Q256" s="9"/>
      <c r="R256" s="83">
        <f>SUM(V256:Y256)</f>
        <v>1.3491771229611276</v>
      </c>
      <c r="S256" s="9"/>
      <c r="T256" s="91"/>
      <c r="U256" s="9"/>
      <c r="V256" s="82">
        <f>SUM(V257:V259)</f>
        <v>0.28925560339382506</v>
      </c>
      <c r="W256" s="82">
        <f>SUM(W257:W259)</f>
        <v>0.28720852476365671</v>
      </c>
      <c r="X256" s="82">
        <f>SUM(X257:X259)</f>
        <v>0.17350895211679071</v>
      </c>
      <c r="Y256" s="82">
        <f>SUM(Y257:Y259)</f>
        <v>0.5992040426868549</v>
      </c>
      <c r="Z256" s="9"/>
      <c r="AA256" s="91"/>
      <c r="AB256" s="9"/>
      <c r="AC256" s="9"/>
    </row>
    <row r="257" spans="2:29" ht="27.6" hidden="1" outlineLevel="3">
      <c r="B257" s="29"/>
      <c r="C257" s="30"/>
      <c r="D257" s="9"/>
      <c r="E257" s="91"/>
      <c r="F257" s="9"/>
      <c r="G257" s="119" t="s">
        <v>28</v>
      </c>
      <c r="H257" s="9"/>
      <c r="I257" s="91"/>
      <c r="J257" s="9"/>
      <c r="K257" s="100" t="s">
        <v>32</v>
      </c>
      <c r="L257" s="140" t="s">
        <v>842</v>
      </c>
      <c r="M257" s="41" t="s">
        <v>205</v>
      </c>
      <c r="N257" s="41" t="s">
        <v>116</v>
      </c>
      <c r="O257" s="9"/>
      <c r="P257" s="91"/>
      <c r="Q257" s="9"/>
      <c r="R257" s="34" t="s">
        <v>28</v>
      </c>
      <c r="S257" s="9"/>
      <c r="T257" s="91"/>
      <c r="U257" s="9"/>
      <c r="V257" s="101">
        <v>7.2313900848456264E-2</v>
      </c>
      <c r="W257" s="97">
        <v>0.14462780169691253</v>
      </c>
      <c r="X257" s="112">
        <v>0.17350895211679071</v>
      </c>
      <c r="Y257" s="112">
        <v>7.4360979478624592E-2</v>
      </c>
      <c r="Z257" s="9"/>
      <c r="AA257" s="91"/>
      <c r="AB257" s="9"/>
      <c r="AC257" s="9"/>
    </row>
    <row r="258" spans="2:29" ht="27.6" hidden="1" outlineLevel="3">
      <c r="B258" s="29"/>
      <c r="C258" s="30"/>
      <c r="D258" s="9"/>
      <c r="E258" s="91"/>
      <c r="F258" s="9"/>
      <c r="G258" s="119" t="s">
        <v>28</v>
      </c>
      <c r="H258" s="9"/>
      <c r="I258" s="91"/>
      <c r="J258" s="9"/>
      <c r="K258" s="140" t="s">
        <v>33</v>
      </c>
      <c r="L258" s="41" t="s">
        <v>788</v>
      </c>
      <c r="M258" s="93"/>
      <c r="N258" s="41" t="s">
        <v>117</v>
      </c>
      <c r="O258" s="9"/>
      <c r="P258" s="91"/>
      <c r="Q258" s="9"/>
      <c r="R258" s="34" t="s">
        <v>28</v>
      </c>
      <c r="S258" s="9"/>
      <c r="T258" s="91"/>
      <c r="U258" s="9"/>
      <c r="V258" s="97">
        <v>0.14462780169691253</v>
      </c>
      <c r="W258" s="112">
        <v>0.14258072306674419</v>
      </c>
      <c r="X258" s="109"/>
      <c r="Y258" s="112">
        <v>4.9573986319083066E-2</v>
      </c>
      <c r="Z258" s="9"/>
      <c r="AA258" s="91"/>
      <c r="AB258" s="9"/>
      <c r="AC258" s="9"/>
    </row>
    <row r="259" spans="2:29" ht="27.6" hidden="1" outlineLevel="3">
      <c r="B259" s="29"/>
      <c r="C259" s="30"/>
      <c r="D259" s="9"/>
      <c r="E259" s="91"/>
      <c r="F259" s="9"/>
      <c r="G259" s="119" t="s">
        <v>28</v>
      </c>
      <c r="H259" s="9"/>
      <c r="I259" s="91"/>
      <c r="J259" s="9"/>
      <c r="K259" s="140" t="s">
        <v>197</v>
      </c>
      <c r="L259" s="140"/>
      <c r="M259" s="42"/>
      <c r="N259" s="41" t="s">
        <v>97</v>
      </c>
      <c r="O259" s="9"/>
      <c r="P259" s="91"/>
      <c r="Q259" s="9"/>
      <c r="R259" s="34" t="s">
        <v>28</v>
      </c>
      <c r="S259" s="9"/>
      <c r="T259" s="91"/>
      <c r="U259" s="9"/>
      <c r="V259" s="97">
        <v>7.2313900848456264E-2</v>
      </c>
      <c r="W259" s="97"/>
      <c r="X259" s="113"/>
      <c r="Y259" s="112">
        <v>0.47526907688914727</v>
      </c>
      <c r="Z259" s="9"/>
      <c r="AA259" s="91"/>
      <c r="AB259" s="9"/>
      <c r="AC259" s="9"/>
    </row>
    <row r="260" spans="2:29" ht="3" hidden="1" customHeight="1" outlineLevel="2">
      <c r="B260" s="29"/>
      <c r="C260" s="30"/>
      <c r="D260" s="9"/>
      <c r="E260" s="91"/>
      <c r="F260" s="9"/>
      <c r="G260" s="119"/>
      <c r="H260" s="9"/>
      <c r="I260" s="91"/>
      <c r="J260" s="9"/>
      <c r="K260" s="76"/>
      <c r="L260" s="43"/>
      <c r="M260" s="43"/>
      <c r="N260" s="43"/>
      <c r="O260" s="9"/>
      <c r="P260" s="91"/>
      <c r="Q260" s="9"/>
      <c r="R260" s="34"/>
      <c r="S260" s="9"/>
      <c r="T260" s="91"/>
      <c r="U260" s="9"/>
      <c r="V260" s="76"/>
      <c r="W260" s="43"/>
      <c r="X260" s="43"/>
      <c r="Y260" s="43"/>
      <c r="Z260" s="9"/>
      <c r="AA260" s="91"/>
      <c r="AB260" s="9"/>
      <c r="AC260" s="9"/>
    </row>
    <row r="261" spans="2:29" s="22" customFormat="1" hidden="1" outlineLevel="2" collapsed="1">
      <c r="B261" s="23" t="s">
        <v>1214</v>
      </c>
      <c r="C261" s="23"/>
      <c r="D261" s="9"/>
      <c r="E261" s="91"/>
      <c r="F261" s="9"/>
      <c r="G261" s="125">
        <f>SUM(K261:N261)</f>
        <v>4</v>
      </c>
      <c r="H261" s="9"/>
      <c r="I261" s="91"/>
      <c r="J261" s="9"/>
      <c r="K261" s="72">
        <f>COUNTA(K262:K263)</f>
        <v>0</v>
      </c>
      <c r="L261" s="72">
        <f>COUNTA(L262:L263)</f>
        <v>2</v>
      </c>
      <c r="M261" s="72">
        <f>COUNTA(M262:M263)</f>
        <v>1</v>
      </c>
      <c r="N261" s="72">
        <f>COUNTA(N262:N263)</f>
        <v>1</v>
      </c>
      <c r="O261" s="9"/>
      <c r="P261" s="91"/>
      <c r="Q261" s="9"/>
      <c r="R261" s="83">
        <f>SUM(V261:Y261)</f>
        <v>0.59354000000000007</v>
      </c>
      <c r="S261" s="9"/>
      <c r="T261" s="91"/>
      <c r="U261" s="9"/>
      <c r="V261" s="82">
        <f>SUM(V262:V263)</f>
        <v>0</v>
      </c>
      <c r="W261" s="82">
        <f>SUM(W262:W263)</f>
        <v>0.36196500000000004</v>
      </c>
      <c r="X261" s="82">
        <f>SUM(X262:X263)</f>
        <v>0.12065500000000001</v>
      </c>
      <c r="Y261" s="82">
        <f>SUM(Y262:Y263)</f>
        <v>0.11092</v>
      </c>
      <c r="Z261" s="9"/>
      <c r="AA261" s="91"/>
      <c r="AB261" s="9"/>
      <c r="AC261" s="9"/>
    </row>
    <row r="262" spans="2:29" ht="27.6" hidden="1" outlineLevel="3">
      <c r="B262" s="29"/>
      <c r="C262" s="30"/>
      <c r="D262" s="9"/>
      <c r="E262" s="91"/>
      <c r="F262" s="9"/>
      <c r="G262" s="119" t="s">
        <v>28</v>
      </c>
      <c r="H262" s="9"/>
      <c r="I262" s="91"/>
      <c r="J262" s="9"/>
      <c r="K262" s="36"/>
      <c r="L262" s="100" t="s">
        <v>32</v>
      </c>
      <c r="M262" s="43" t="s">
        <v>197</v>
      </c>
      <c r="N262" s="43" t="s">
        <v>842</v>
      </c>
      <c r="O262" s="9"/>
      <c r="P262" s="91"/>
      <c r="Q262" s="9"/>
      <c r="R262" s="34" t="s">
        <v>28</v>
      </c>
      <c r="S262" s="9"/>
      <c r="T262" s="91"/>
      <c r="U262" s="9"/>
      <c r="V262" s="103"/>
      <c r="W262" s="101">
        <v>0.12065500000000001</v>
      </c>
      <c r="X262" s="97">
        <v>0.12065500000000001</v>
      </c>
      <c r="Y262" s="97">
        <v>0.11092</v>
      </c>
      <c r="Z262" s="9"/>
      <c r="AA262" s="91"/>
      <c r="AB262" s="9"/>
      <c r="AC262" s="9"/>
    </row>
    <row r="263" spans="2:29" hidden="1" outlineLevel="3">
      <c r="B263" s="29"/>
      <c r="C263" s="30"/>
      <c r="D263" s="9"/>
      <c r="E263" s="91"/>
      <c r="F263" s="9"/>
      <c r="G263" s="119" t="s">
        <v>28</v>
      </c>
      <c r="H263" s="9"/>
      <c r="I263" s="91"/>
      <c r="J263" s="9"/>
      <c r="K263" s="36"/>
      <c r="L263" s="43" t="s">
        <v>33</v>
      </c>
      <c r="M263" s="4"/>
      <c r="N263" s="76"/>
      <c r="O263" s="9"/>
      <c r="P263" s="91"/>
      <c r="Q263" s="9"/>
      <c r="R263" s="34" t="s">
        <v>28</v>
      </c>
      <c r="S263" s="9"/>
      <c r="T263" s="91"/>
      <c r="U263" s="9"/>
      <c r="V263" s="103"/>
      <c r="W263" s="97">
        <v>0.24131000000000002</v>
      </c>
      <c r="X263" s="98"/>
      <c r="Y263" s="108"/>
      <c r="Z263" s="9"/>
      <c r="AA263" s="91"/>
      <c r="AB263" s="9"/>
      <c r="AC263" s="9"/>
    </row>
    <row r="264" spans="2:29" ht="3" hidden="1" customHeight="1" outlineLevel="2">
      <c r="B264" s="29"/>
      <c r="C264" s="30"/>
      <c r="D264" s="9"/>
      <c r="E264" s="91"/>
      <c r="F264" s="9"/>
      <c r="G264" s="119"/>
      <c r="H264" s="9"/>
      <c r="I264" s="91"/>
      <c r="J264" s="9"/>
      <c r="K264" s="76"/>
      <c r="L264" s="43"/>
      <c r="M264" s="43"/>
      <c r="N264" s="43"/>
      <c r="O264" s="9"/>
      <c r="P264" s="91"/>
      <c r="Q264" s="9"/>
      <c r="R264" s="34"/>
      <c r="S264" s="9"/>
      <c r="T264" s="91"/>
      <c r="U264" s="9"/>
      <c r="V264" s="76"/>
      <c r="W264" s="43"/>
      <c r="X264" s="43"/>
      <c r="Y264" s="43"/>
      <c r="Z264" s="9"/>
      <c r="AA264" s="91"/>
      <c r="AB264" s="9"/>
      <c r="AC264" s="9"/>
    </row>
    <row r="265" spans="2:29" s="22" customFormat="1" hidden="1" outlineLevel="2" collapsed="1">
      <c r="B265" s="23" t="s">
        <v>832</v>
      </c>
      <c r="C265" s="23"/>
      <c r="D265" s="9"/>
      <c r="E265" s="91"/>
      <c r="F265" s="9"/>
      <c r="G265" s="125">
        <f>SUM(K265:N265)</f>
        <v>4</v>
      </c>
      <c r="H265" s="9"/>
      <c r="I265" s="91"/>
      <c r="J265" s="9"/>
      <c r="K265" s="72">
        <f>COUNTA(K266:K267)</f>
        <v>0</v>
      </c>
      <c r="L265" s="72">
        <f>COUNTA(L266:L267)</f>
        <v>2</v>
      </c>
      <c r="M265" s="72">
        <f>COUNTA(M266:M267)</f>
        <v>1</v>
      </c>
      <c r="N265" s="72">
        <f>COUNTA(N266:N267)</f>
        <v>1</v>
      </c>
      <c r="O265" s="9"/>
      <c r="P265" s="91"/>
      <c r="Q265" s="9"/>
      <c r="R265" s="83">
        <f>SUM(V265:Y265)</f>
        <v>0.47790000000000005</v>
      </c>
      <c r="S265" s="9"/>
      <c r="T265" s="91"/>
      <c r="U265" s="9"/>
      <c r="V265" s="82">
        <f>SUM(V266:V268)</f>
        <v>0</v>
      </c>
      <c r="W265" s="82">
        <f>SUM(W266:W268)</f>
        <v>0.27523500000000001</v>
      </c>
      <c r="X265" s="82">
        <f>SUM(X266:X268)</f>
        <v>0.11092</v>
      </c>
      <c r="Y265" s="82">
        <f>SUM(Y266:Y268)</f>
        <v>9.1745000000000007E-2</v>
      </c>
      <c r="Z265" s="9"/>
      <c r="AA265" s="91"/>
      <c r="AB265" s="9"/>
      <c r="AC265" s="9"/>
    </row>
    <row r="266" spans="2:29" ht="27.6" hidden="1" outlineLevel="3">
      <c r="B266" s="29"/>
      <c r="C266" s="30"/>
      <c r="D266" s="9"/>
      <c r="E266" s="91"/>
      <c r="F266" s="9"/>
      <c r="G266" s="119" t="s">
        <v>28</v>
      </c>
      <c r="H266" s="9"/>
      <c r="I266" s="91"/>
      <c r="J266" s="9"/>
      <c r="K266" s="36"/>
      <c r="L266" s="100" t="s">
        <v>32</v>
      </c>
      <c r="M266" s="43" t="s">
        <v>842</v>
      </c>
      <c r="N266" s="43" t="s">
        <v>197</v>
      </c>
      <c r="O266" s="9"/>
      <c r="P266" s="91"/>
      <c r="Q266" s="9"/>
      <c r="R266" s="34" t="s">
        <v>28</v>
      </c>
      <c r="S266" s="9"/>
      <c r="T266" s="91"/>
      <c r="U266" s="9"/>
      <c r="V266" s="103"/>
      <c r="W266" s="101">
        <v>9.1745000000000007E-2</v>
      </c>
      <c r="X266" s="97">
        <v>0.11092</v>
      </c>
      <c r="Y266" s="97">
        <v>9.1745000000000007E-2</v>
      </c>
      <c r="Z266" s="9"/>
      <c r="AA266" s="91"/>
      <c r="AB266" s="9"/>
      <c r="AC266" s="9"/>
    </row>
    <row r="267" spans="2:29" hidden="1" outlineLevel="3">
      <c r="B267" s="29"/>
      <c r="C267" s="30"/>
      <c r="D267" s="9"/>
      <c r="E267" s="91"/>
      <c r="F267" s="9"/>
      <c r="G267" s="119" t="s">
        <v>28</v>
      </c>
      <c r="H267" s="9"/>
      <c r="I267" s="91"/>
      <c r="J267" s="9"/>
      <c r="K267" s="36"/>
      <c r="L267" s="43" t="s">
        <v>33</v>
      </c>
      <c r="M267" s="4"/>
      <c r="N267" s="76"/>
      <c r="O267" s="9"/>
      <c r="P267" s="91"/>
      <c r="Q267" s="9"/>
      <c r="R267" s="34" t="s">
        <v>28</v>
      </c>
      <c r="S267" s="9"/>
      <c r="T267" s="91"/>
      <c r="U267" s="9"/>
      <c r="V267" s="103"/>
      <c r="W267" s="97">
        <v>0.18349000000000001</v>
      </c>
      <c r="X267" s="98"/>
      <c r="Y267" s="108"/>
      <c r="Z267" s="9"/>
      <c r="AA267" s="91"/>
      <c r="AB267" s="9"/>
      <c r="AC267" s="9"/>
    </row>
    <row r="268" spans="2:29" ht="3" hidden="1" customHeight="1" outlineLevel="2">
      <c r="B268" s="29"/>
      <c r="C268" s="30"/>
      <c r="D268" s="9"/>
      <c r="E268" s="91"/>
      <c r="F268" s="9"/>
      <c r="G268" s="119"/>
      <c r="H268" s="9"/>
      <c r="I268" s="91"/>
      <c r="J268" s="9"/>
      <c r="K268" s="76"/>
      <c r="L268" s="43"/>
      <c r="M268" s="43"/>
      <c r="N268" s="43"/>
      <c r="O268" s="9"/>
      <c r="P268" s="91"/>
      <c r="Q268" s="9"/>
      <c r="R268" s="34"/>
      <c r="S268" s="9"/>
      <c r="T268" s="91"/>
      <c r="U268" s="9"/>
      <c r="V268" s="76"/>
      <c r="W268" s="43"/>
      <c r="X268" s="43"/>
      <c r="Y268" s="43"/>
      <c r="Z268" s="9"/>
      <c r="AA268" s="91"/>
      <c r="AB268" s="9"/>
      <c r="AC268" s="9"/>
    </row>
    <row r="269" spans="2:29" s="22" customFormat="1" hidden="1" outlineLevel="2" collapsed="1">
      <c r="B269" s="23" t="s">
        <v>313</v>
      </c>
      <c r="C269" s="23"/>
      <c r="D269" s="9"/>
      <c r="E269" s="91"/>
      <c r="F269" s="9"/>
      <c r="G269" s="125">
        <f>SUM(K269:N269)</f>
        <v>4</v>
      </c>
      <c r="H269" s="9"/>
      <c r="I269" s="91"/>
      <c r="J269" s="9"/>
      <c r="K269" s="72">
        <f>COUNTA(K270:K271)</f>
        <v>0</v>
      </c>
      <c r="L269" s="72">
        <f>COUNTA(L270:L271)</f>
        <v>2</v>
      </c>
      <c r="M269" s="72">
        <f>COUNTA(M270:M271)</f>
        <v>1</v>
      </c>
      <c r="N269" s="72">
        <f>COUNTA(N270:N271)</f>
        <v>1</v>
      </c>
      <c r="O269" s="9"/>
      <c r="P269" s="91"/>
      <c r="Q269" s="9"/>
      <c r="R269" s="83">
        <f>SUM(V269:Y269)</f>
        <v>0.22654819999999998</v>
      </c>
      <c r="S269" s="153"/>
      <c r="T269" s="155"/>
      <c r="U269" s="153"/>
      <c r="V269" s="82">
        <f>SUM(V270:V272)</f>
        <v>0</v>
      </c>
      <c r="W269" s="82">
        <f>SUM(W270:W272)</f>
        <v>8.6721149999999997E-2</v>
      </c>
      <c r="X269" s="82">
        <f>SUM(X270:X272)</f>
        <v>0.11092</v>
      </c>
      <c r="Y269" s="82">
        <f>SUM(Y270:Y272)</f>
        <v>2.8907049999999997E-2</v>
      </c>
      <c r="Z269" s="9"/>
      <c r="AA269" s="91"/>
      <c r="AB269" s="9"/>
      <c r="AC269" s="9"/>
    </row>
    <row r="270" spans="2:29" ht="27.6" hidden="1" outlineLevel="3">
      <c r="B270" s="29"/>
      <c r="C270" s="30"/>
      <c r="D270" s="9"/>
      <c r="E270" s="91"/>
      <c r="F270" s="9"/>
      <c r="G270" s="119" t="s">
        <v>28</v>
      </c>
      <c r="H270" s="9"/>
      <c r="I270" s="91"/>
      <c r="J270" s="9"/>
      <c r="K270" s="36"/>
      <c r="L270" s="100" t="s">
        <v>32</v>
      </c>
      <c r="M270" s="43" t="s">
        <v>842</v>
      </c>
      <c r="N270" s="43" t="s">
        <v>197</v>
      </c>
      <c r="O270" s="9"/>
      <c r="P270" s="91"/>
      <c r="Q270" s="9"/>
      <c r="R270" s="34" t="s">
        <v>28</v>
      </c>
      <c r="S270" s="9"/>
      <c r="T270" s="91"/>
      <c r="U270" s="9"/>
      <c r="V270" s="103"/>
      <c r="W270" s="101">
        <v>2.8907049999999997E-2</v>
      </c>
      <c r="X270" s="97">
        <v>0.11092</v>
      </c>
      <c r="Y270" s="97">
        <v>2.8907049999999997E-2</v>
      </c>
      <c r="Z270" s="9"/>
      <c r="AA270" s="91"/>
      <c r="AB270" s="9"/>
      <c r="AC270" s="9"/>
    </row>
    <row r="271" spans="2:29" hidden="1" outlineLevel="3">
      <c r="B271" s="29"/>
      <c r="C271" s="30"/>
      <c r="D271" s="9"/>
      <c r="E271" s="91"/>
      <c r="F271" s="9"/>
      <c r="G271" s="119"/>
      <c r="H271" s="9"/>
      <c r="I271" s="91"/>
      <c r="J271" s="9"/>
      <c r="K271" s="36"/>
      <c r="L271" s="43" t="s">
        <v>33</v>
      </c>
      <c r="M271" s="4"/>
      <c r="N271" s="76"/>
      <c r="O271" s="9"/>
      <c r="P271" s="91"/>
      <c r="Q271" s="9"/>
      <c r="R271" s="34"/>
      <c r="S271" s="9"/>
      <c r="T271" s="91"/>
      <c r="U271" s="9"/>
      <c r="V271" s="103"/>
      <c r="W271" s="97">
        <v>5.7814099999999993E-2</v>
      </c>
      <c r="X271" s="98"/>
      <c r="Y271" s="108"/>
      <c r="Z271" s="9"/>
      <c r="AA271" s="91"/>
      <c r="AB271" s="9"/>
      <c r="AC271" s="9"/>
    </row>
    <row r="272" spans="2:29" ht="3" hidden="1" customHeight="1" outlineLevel="2">
      <c r="B272" s="29"/>
      <c r="C272" s="30"/>
      <c r="D272" s="9"/>
      <c r="E272" s="91"/>
      <c r="F272" s="9"/>
      <c r="G272" s="119"/>
      <c r="H272" s="9"/>
      <c r="I272" s="91"/>
      <c r="J272" s="9"/>
      <c r="K272" s="76"/>
      <c r="O272" s="9"/>
      <c r="P272" s="91"/>
      <c r="Q272" s="9"/>
      <c r="R272" s="34"/>
      <c r="S272" s="9"/>
      <c r="T272" s="91"/>
      <c r="U272" s="9"/>
      <c r="V272" s="76"/>
      <c r="Z272" s="9"/>
      <c r="AA272" s="91"/>
      <c r="AB272" s="9"/>
      <c r="AC272" s="9"/>
    </row>
    <row r="273" spans="1:29" s="22" customFormat="1" hidden="1" outlineLevel="2" collapsed="1">
      <c r="B273" s="23" t="s">
        <v>1007</v>
      </c>
      <c r="C273" s="23"/>
      <c r="D273" s="9"/>
      <c r="E273" s="91"/>
      <c r="F273" s="9"/>
      <c r="G273" s="125">
        <f>SUM(K273:N273)</f>
        <v>4</v>
      </c>
      <c r="H273" s="9"/>
      <c r="I273" s="91"/>
      <c r="J273" s="9"/>
      <c r="K273" s="72">
        <f>COUNTA(K274:K275)</f>
        <v>0</v>
      </c>
      <c r="L273" s="72">
        <f>COUNTA(L274:L275)</f>
        <v>0</v>
      </c>
      <c r="M273" s="72">
        <f>COUNTA(M274:M275)</f>
        <v>2</v>
      </c>
      <c r="N273" s="72">
        <f>COUNTA(N274:N275)</f>
        <v>2</v>
      </c>
      <c r="O273" s="9"/>
      <c r="P273" s="91"/>
      <c r="Q273" s="9"/>
      <c r="R273" s="83">
        <f>SUM(V273:Y273)</f>
        <v>0.93456000000000006</v>
      </c>
      <c r="S273" s="9"/>
      <c r="T273" s="91"/>
      <c r="U273" s="9"/>
      <c r="V273" s="82">
        <f>SUM(V274:V275)</f>
        <v>0</v>
      </c>
      <c r="W273" s="82">
        <f>SUM(W274:W275)</f>
        <v>0</v>
      </c>
      <c r="X273" s="82">
        <f>SUM(X274:X275)</f>
        <v>0.62304000000000004</v>
      </c>
      <c r="Y273" s="82">
        <f>SUM(Y274:Y275)</f>
        <v>0.31152000000000002</v>
      </c>
      <c r="Z273" s="9"/>
      <c r="AA273" s="91"/>
      <c r="AB273" s="9"/>
      <c r="AC273" s="9"/>
    </row>
    <row r="274" spans="1:29" hidden="1" outlineLevel="3">
      <c r="B274" s="29"/>
      <c r="C274" s="30"/>
      <c r="D274" s="9"/>
      <c r="E274" s="91"/>
      <c r="F274" s="9"/>
      <c r="G274" s="119" t="s">
        <v>28</v>
      </c>
      <c r="H274" s="9"/>
      <c r="I274" s="91"/>
      <c r="J274" s="9"/>
      <c r="K274" s="36"/>
      <c r="M274" s="37" t="s">
        <v>32</v>
      </c>
      <c r="N274" s="37" t="s">
        <v>34</v>
      </c>
      <c r="O274" s="9"/>
      <c r="P274" s="91"/>
      <c r="Q274" s="9"/>
      <c r="R274" s="34" t="s">
        <v>28</v>
      </c>
      <c r="S274" s="9"/>
      <c r="T274" s="91"/>
      <c r="U274" s="9"/>
      <c r="V274" s="103"/>
      <c r="W274" s="103"/>
      <c r="X274" s="104">
        <v>0.31152000000000002</v>
      </c>
      <c r="Y274" s="104">
        <v>0.31152000000000002</v>
      </c>
      <c r="Z274" s="9"/>
      <c r="AA274" s="91"/>
      <c r="AB274" s="9"/>
      <c r="AC274" s="9"/>
    </row>
    <row r="275" spans="1:29" hidden="1" outlineLevel="3">
      <c r="B275" s="29"/>
      <c r="C275" s="30"/>
      <c r="D275" s="9"/>
      <c r="E275" s="91"/>
      <c r="F275" s="9"/>
      <c r="G275" s="119" t="s">
        <v>28</v>
      </c>
      <c r="H275" s="9"/>
      <c r="I275" s="91"/>
      <c r="J275" s="9"/>
      <c r="K275" s="114"/>
      <c r="M275" s="74" t="s">
        <v>33</v>
      </c>
      <c r="N275" s="37" t="s">
        <v>471</v>
      </c>
      <c r="O275" s="9"/>
      <c r="P275" s="91"/>
      <c r="Q275" s="9"/>
      <c r="R275" s="34" t="s">
        <v>28</v>
      </c>
      <c r="S275" s="9"/>
      <c r="T275" s="91"/>
      <c r="U275" s="9"/>
      <c r="V275" s="98"/>
      <c r="W275" s="103"/>
      <c r="X275" s="97">
        <v>0.31152000000000002</v>
      </c>
      <c r="Y275" s="104"/>
      <c r="Z275" s="9"/>
      <c r="AA275" s="91"/>
      <c r="AB275" s="9"/>
      <c r="AC275" s="9"/>
    </row>
    <row r="276" spans="1:29" ht="3" hidden="1" customHeight="1" outlineLevel="2">
      <c r="B276" s="3"/>
      <c r="C276" s="26"/>
      <c r="D276" s="9"/>
      <c r="E276" s="91"/>
      <c r="F276" s="9"/>
      <c r="G276" s="126"/>
      <c r="H276" s="9"/>
      <c r="I276" s="91"/>
      <c r="J276" s="9"/>
      <c r="K276" s="78"/>
      <c r="L276" s="78"/>
      <c r="M276" s="78"/>
      <c r="N276" s="78"/>
      <c r="O276" s="9"/>
      <c r="P276" s="91"/>
      <c r="Q276" s="9"/>
      <c r="R276" s="31"/>
      <c r="S276" s="9"/>
      <c r="T276" s="91"/>
      <c r="U276" s="9"/>
      <c r="V276" s="78"/>
      <c r="W276" s="78"/>
      <c r="X276" s="78"/>
      <c r="Y276" s="78"/>
      <c r="Z276" s="9"/>
      <c r="AA276" s="91"/>
      <c r="AB276" s="9"/>
      <c r="AC276" s="9"/>
    </row>
    <row r="277" spans="1:29" s="22" customFormat="1" hidden="1" outlineLevel="2" collapsed="1">
      <c r="B277" s="23" t="s">
        <v>537</v>
      </c>
      <c r="C277" s="23"/>
      <c r="D277" s="9"/>
      <c r="E277" s="91"/>
      <c r="F277" s="9"/>
      <c r="G277" s="125">
        <f>SUM(K277:N277)</f>
        <v>5</v>
      </c>
      <c r="H277" s="9"/>
      <c r="I277" s="91"/>
      <c r="J277" s="9"/>
      <c r="K277" s="72">
        <f>COUNTA(K278:K279)</f>
        <v>2</v>
      </c>
      <c r="L277" s="72">
        <f>COUNTA(L278:L279)</f>
        <v>1</v>
      </c>
      <c r="M277" s="72">
        <f>COUNTA(M278:M279)</f>
        <v>1</v>
      </c>
      <c r="N277" s="72">
        <f>COUNTA(N278:N279)</f>
        <v>1</v>
      </c>
      <c r="O277" s="9"/>
      <c r="P277" s="91"/>
      <c r="Q277" s="9"/>
      <c r="R277" s="82">
        <f>SUM(V277:Y277)</f>
        <v>1.9621039999999998</v>
      </c>
      <c r="S277" s="9"/>
      <c r="T277" s="91"/>
      <c r="U277" s="9"/>
      <c r="V277" s="82">
        <f>SUM(V278:V279)</f>
        <v>1.2307399999999999</v>
      </c>
      <c r="W277" s="82">
        <f>SUM(W278:W279)</f>
        <v>0.61536999999999997</v>
      </c>
      <c r="X277" s="82">
        <f>SUM(X278:X279)</f>
        <v>0</v>
      </c>
      <c r="Y277" s="82">
        <f>SUM(Y278:Y279)</f>
        <v>0.115994</v>
      </c>
      <c r="Z277" s="9"/>
      <c r="AA277" s="91"/>
      <c r="AB277" s="9"/>
      <c r="AC277" s="9"/>
    </row>
    <row r="278" spans="1:29" ht="27.6" hidden="1" outlineLevel="3">
      <c r="A278" s="19"/>
      <c r="B278" s="20"/>
      <c r="C278" s="21"/>
      <c r="D278" s="9"/>
      <c r="E278" s="91"/>
      <c r="F278" s="9"/>
      <c r="G278" s="119" t="s">
        <v>28</v>
      </c>
      <c r="H278" s="9"/>
      <c r="I278" s="91"/>
      <c r="J278" s="9"/>
      <c r="K278" s="37" t="s">
        <v>32</v>
      </c>
      <c r="L278" s="37" t="s">
        <v>34</v>
      </c>
      <c r="M278" s="37" t="s">
        <v>197</v>
      </c>
      <c r="N278" s="105" t="s">
        <v>355</v>
      </c>
      <c r="O278" s="9"/>
      <c r="P278" s="91"/>
      <c r="Q278" s="9"/>
      <c r="R278" s="34" t="s">
        <v>28</v>
      </c>
      <c r="S278" s="9"/>
      <c r="T278" s="91"/>
      <c r="U278" s="9"/>
      <c r="V278" s="104">
        <v>0.61536999999999997</v>
      </c>
      <c r="W278" s="104">
        <v>0.61536999999999997</v>
      </c>
      <c r="X278" s="98"/>
      <c r="Y278" s="106">
        <v>0.115994</v>
      </c>
      <c r="Z278" s="9"/>
      <c r="AA278" s="91"/>
      <c r="AB278" s="9"/>
      <c r="AC278" s="9"/>
    </row>
    <row r="279" spans="1:29" hidden="1" outlineLevel="3">
      <c r="A279" s="19"/>
      <c r="B279" s="20"/>
      <c r="C279" s="21"/>
      <c r="D279" s="9"/>
      <c r="E279" s="91"/>
      <c r="F279" s="9"/>
      <c r="G279" s="119" t="s">
        <v>28</v>
      </c>
      <c r="H279" s="9"/>
      <c r="I279" s="91"/>
      <c r="J279" s="9"/>
      <c r="K279" s="37" t="s">
        <v>33</v>
      </c>
      <c r="L279" s="37"/>
      <c r="M279" s="4"/>
      <c r="N279" s="37"/>
      <c r="O279" s="9"/>
      <c r="P279" s="91"/>
      <c r="Q279" s="9"/>
      <c r="R279" s="34" t="s">
        <v>28</v>
      </c>
      <c r="S279" s="9"/>
      <c r="T279" s="91"/>
      <c r="U279" s="9"/>
      <c r="V279" s="104">
        <v>0.61536999999999997</v>
      </c>
      <c r="W279" s="104"/>
      <c r="X279" s="98"/>
      <c r="Y279" s="104"/>
      <c r="Z279" s="9"/>
      <c r="AA279" s="91"/>
      <c r="AB279" s="9"/>
      <c r="AC279" s="9"/>
    </row>
    <row r="280" spans="1:29" ht="3" hidden="1" customHeight="1" outlineLevel="2">
      <c r="A280" s="19"/>
      <c r="B280" s="20"/>
      <c r="C280" s="21"/>
      <c r="D280" s="9"/>
      <c r="E280" s="91"/>
      <c r="F280" s="9"/>
      <c r="G280" s="124"/>
      <c r="H280" s="9"/>
      <c r="I280" s="91"/>
      <c r="J280" s="9"/>
      <c r="K280" s="71"/>
      <c r="L280" s="71"/>
      <c r="M280" s="71"/>
      <c r="N280" s="75"/>
      <c r="O280" s="9"/>
      <c r="P280" s="91"/>
      <c r="Q280" s="9"/>
      <c r="R280" s="9"/>
      <c r="S280" s="9"/>
      <c r="T280" s="91"/>
      <c r="U280" s="9"/>
      <c r="V280" s="71"/>
      <c r="W280" s="71"/>
      <c r="X280" s="71"/>
      <c r="Y280" s="75"/>
      <c r="Z280" s="9"/>
      <c r="AA280" s="91"/>
      <c r="AB280" s="9"/>
      <c r="AC280" s="9"/>
    </row>
    <row r="281" spans="1:29" s="22" customFormat="1" hidden="1" outlineLevel="2" collapsed="1">
      <c r="B281" s="23" t="s">
        <v>1324</v>
      </c>
      <c r="C281" s="23"/>
      <c r="D281" s="9"/>
      <c r="E281" s="91"/>
      <c r="F281" s="9"/>
      <c r="G281" s="125">
        <f>SUM(K281:N281)</f>
        <v>7</v>
      </c>
      <c r="H281" s="9"/>
      <c r="I281" s="91"/>
      <c r="J281" s="9"/>
      <c r="K281" s="72">
        <f>COUNTA(K282:K284)</f>
        <v>2</v>
      </c>
      <c r="L281" s="72">
        <f>COUNTA(L282:L284)</f>
        <v>1</v>
      </c>
      <c r="M281" s="72">
        <f>COUNTA(M282:M284)</f>
        <v>1</v>
      </c>
      <c r="N281" s="72">
        <f>COUNTA(N282:N284)</f>
        <v>3</v>
      </c>
      <c r="O281" s="9"/>
      <c r="P281" s="91"/>
      <c r="Q281" s="9"/>
      <c r="R281" s="82">
        <f>SUM(V281:Y281)</f>
        <v>1.6963522912500002</v>
      </c>
      <c r="S281" s="9"/>
      <c r="T281" s="91"/>
      <c r="U281" s="9"/>
      <c r="V281" s="82">
        <f>SUM(V282:V284)</f>
        <v>0.46013893500000003</v>
      </c>
      <c r="W281" s="82">
        <f>SUM(W282:W284)</f>
        <v>0.23006946750000001</v>
      </c>
      <c r="X281" s="82">
        <f>SUM(X282:X284)</f>
        <v>0</v>
      </c>
      <c r="Y281" s="82">
        <f>SUM(Y282:Y284)</f>
        <v>1.00614388875</v>
      </c>
      <c r="Z281" s="9"/>
      <c r="AA281" s="91"/>
      <c r="AB281" s="9"/>
      <c r="AC281" s="9"/>
    </row>
    <row r="282" spans="1:29" ht="27.6" hidden="1" outlineLevel="3">
      <c r="A282" s="19"/>
      <c r="B282" s="20"/>
      <c r="C282" s="21"/>
      <c r="D282" s="9"/>
      <c r="E282" s="91"/>
      <c r="F282" s="9"/>
      <c r="G282" s="119" t="s">
        <v>28</v>
      </c>
      <c r="H282" s="9"/>
      <c r="I282" s="91"/>
      <c r="J282" s="9"/>
      <c r="K282" s="37" t="s">
        <v>32</v>
      </c>
      <c r="L282" s="37" t="s">
        <v>34</v>
      </c>
      <c r="M282" s="37" t="s">
        <v>197</v>
      </c>
      <c r="N282" s="105" t="s">
        <v>1325</v>
      </c>
      <c r="O282" s="9"/>
      <c r="P282" s="91"/>
      <c r="Q282" s="9"/>
      <c r="R282" s="9"/>
      <c r="S282" s="9"/>
      <c r="T282" s="91"/>
      <c r="U282" s="9"/>
      <c r="V282" s="104">
        <v>0.23006946750000001</v>
      </c>
      <c r="W282" s="104">
        <v>0.23006946750000001</v>
      </c>
      <c r="X282" s="98"/>
      <c r="Y282" s="106">
        <v>0.4643741025</v>
      </c>
      <c r="Z282" s="9"/>
      <c r="AA282" s="91"/>
      <c r="AB282" s="9"/>
      <c r="AC282" s="9"/>
    </row>
    <row r="283" spans="1:29" hidden="1" outlineLevel="3">
      <c r="A283" s="19"/>
      <c r="B283" s="20"/>
      <c r="C283" s="21"/>
      <c r="D283" s="9"/>
      <c r="E283" s="91"/>
      <c r="F283" s="9"/>
      <c r="G283" s="119" t="s">
        <v>28</v>
      </c>
      <c r="H283" s="9"/>
      <c r="I283" s="91"/>
      <c r="J283" s="9"/>
      <c r="K283" s="37" t="s">
        <v>33</v>
      </c>
      <c r="L283" s="37"/>
      <c r="M283" s="4"/>
      <c r="N283" s="105" t="s">
        <v>1326</v>
      </c>
      <c r="O283" s="9"/>
      <c r="P283" s="91"/>
      <c r="Q283" s="9"/>
      <c r="R283" s="9"/>
      <c r="S283" s="9"/>
      <c r="T283" s="91"/>
      <c r="U283" s="9"/>
      <c r="V283" s="104">
        <v>0.23006946750000001</v>
      </c>
      <c r="W283" s="98"/>
      <c r="X283" s="109"/>
      <c r="Y283" s="106">
        <v>0.309582735</v>
      </c>
      <c r="Z283" s="9"/>
      <c r="AA283" s="91"/>
      <c r="AB283" s="9"/>
      <c r="AC283" s="9"/>
    </row>
    <row r="284" spans="1:29" ht="27.6" hidden="1" outlineLevel="3">
      <c r="A284" s="19"/>
      <c r="B284" s="20"/>
      <c r="C284" s="21"/>
      <c r="D284" s="9"/>
      <c r="E284" s="91"/>
      <c r="F284" s="9"/>
      <c r="G284" s="119" t="s">
        <v>28</v>
      </c>
      <c r="H284" s="9"/>
      <c r="I284" s="91"/>
      <c r="J284" s="9"/>
      <c r="K284" s="4"/>
      <c r="L284" s="37"/>
      <c r="M284" s="75"/>
      <c r="N284" s="105" t="s">
        <v>1327</v>
      </c>
      <c r="O284" s="9"/>
      <c r="P284" s="91"/>
      <c r="Q284" s="9"/>
      <c r="R284" s="9"/>
      <c r="S284" s="9"/>
      <c r="T284" s="91"/>
      <c r="U284" s="9"/>
      <c r="V284" s="104"/>
      <c r="W284" s="98"/>
      <c r="X284" s="109"/>
      <c r="Y284" s="106">
        <v>0.23218705125</v>
      </c>
      <c r="Z284" s="9"/>
      <c r="AA284" s="91"/>
      <c r="AB284" s="9"/>
      <c r="AC284" s="9"/>
    </row>
    <row r="285" spans="1:29" ht="3" hidden="1" customHeight="1" outlineLevel="2">
      <c r="B285" s="29"/>
      <c r="C285" s="30"/>
      <c r="D285" s="9"/>
      <c r="E285" s="91"/>
      <c r="F285" s="9"/>
      <c r="G285" s="119"/>
      <c r="H285" s="9"/>
      <c r="I285" s="91"/>
      <c r="J285" s="9"/>
      <c r="K285" s="76"/>
      <c r="O285" s="9"/>
      <c r="P285" s="91"/>
      <c r="Q285" s="9"/>
      <c r="R285" s="27"/>
      <c r="S285" s="9"/>
      <c r="T285" s="91"/>
      <c r="U285" s="9"/>
      <c r="V285" s="76"/>
      <c r="Z285" s="9"/>
      <c r="AA285" s="91"/>
      <c r="AB285" s="9"/>
      <c r="AC285" s="9"/>
    </row>
    <row r="286" spans="1:29" s="22" customFormat="1" hidden="1" outlineLevel="2" collapsed="1">
      <c r="B286" s="23" t="s">
        <v>786</v>
      </c>
      <c r="C286" s="23"/>
      <c r="D286" s="9"/>
      <c r="E286" s="91"/>
      <c r="F286" s="9"/>
      <c r="G286" s="125">
        <f>SUM(K286:N286)</f>
        <v>7</v>
      </c>
      <c r="H286" s="9"/>
      <c r="I286" s="91"/>
      <c r="J286" s="9"/>
      <c r="K286" s="72">
        <f>COUNTA(K287:K292)</f>
        <v>5</v>
      </c>
      <c r="L286" s="72">
        <f>COUNTA(L287:L292)</f>
        <v>2</v>
      </c>
      <c r="M286" s="72">
        <f>COUNTA(M287:M292)</f>
        <v>0</v>
      </c>
      <c r="N286" s="72">
        <f>COUNTA(N287:N292)</f>
        <v>0</v>
      </c>
      <c r="O286" s="9"/>
      <c r="P286" s="91"/>
      <c r="Q286" s="9"/>
      <c r="R286" s="83">
        <f>SUM(V286:Y286)</f>
        <v>0.27415205626489164</v>
      </c>
      <c r="S286" s="153"/>
      <c r="T286" s="155"/>
      <c r="U286" s="153"/>
      <c r="V286" s="82">
        <f>SUM(V287:V292)</f>
        <v>0.23193552075597784</v>
      </c>
      <c r="W286" s="82">
        <f>SUM(W287:W292)</f>
        <v>4.2216535508913799E-2</v>
      </c>
      <c r="X286" s="82">
        <f>SUM(X287:X292)</f>
        <v>0</v>
      </c>
      <c r="Y286" s="82">
        <f>SUM(Y287:Y292)</f>
        <v>0</v>
      </c>
      <c r="Z286" s="9"/>
      <c r="AA286" s="91"/>
      <c r="AB286" s="9"/>
      <c r="AC286" s="9"/>
    </row>
    <row r="287" spans="1:29" hidden="1" outlineLevel="3">
      <c r="B287" s="25"/>
      <c r="C287" s="26"/>
      <c r="D287" s="9"/>
      <c r="E287" s="91"/>
      <c r="F287" s="9"/>
      <c r="G287" s="119" t="s">
        <v>28</v>
      </c>
      <c r="H287" s="9"/>
      <c r="I287" s="91"/>
      <c r="J287" s="9"/>
      <c r="K287" s="43" t="s">
        <v>97</v>
      </c>
      <c r="L287" s="43" t="s">
        <v>1241</v>
      </c>
      <c r="O287" s="9"/>
      <c r="P287" s="91"/>
      <c r="Q287" s="9"/>
      <c r="R287" s="27"/>
      <c r="S287" s="9"/>
      <c r="T287" s="91"/>
      <c r="U287" s="9"/>
      <c r="V287" s="88">
        <v>7.4218848599999998E-2</v>
      </c>
      <c r="W287" s="88">
        <v>1.2341052200000001E-2</v>
      </c>
      <c r="Z287" s="9"/>
      <c r="AA287" s="91"/>
      <c r="AB287" s="9"/>
      <c r="AC287" s="9"/>
    </row>
    <row r="288" spans="1:29" hidden="1" outlineLevel="3">
      <c r="B288" s="25"/>
      <c r="C288" s="26"/>
      <c r="D288" s="9"/>
      <c r="E288" s="91"/>
      <c r="F288" s="9"/>
      <c r="G288" s="119"/>
      <c r="H288" s="9"/>
      <c r="I288" s="91"/>
      <c r="J288" s="9"/>
      <c r="K288" s="43"/>
      <c r="O288" s="9"/>
      <c r="P288" s="91"/>
      <c r="Q288" s="9"/>
      <c r="R288" s="27"/>
      <c r="S288" s="9"/>
      <c r="T288" s="91"/>
      <c r="U288" s="9"/>
      <c r="V288" s="88"/>
      <c r="W288" s="88"/>
      <c r="Z288" s="9"/>
      <c r="AA288" s="91"/>
      <c r="AB288" s="9"/>
      <c r="AC288" s="9"/>
    </row>
    <row r="289" spans="1:35" hidden="1" outlineLevel="3">
      <c r="B289" s="25"/>
      <c r="C289" s="26"/>
      <c r="D289" s="9"/>
      <c r="E289" s="91"/>
      <c r="F289" s="9"/>
      <c r="G289" s="119" t="s">
        <v>976</v>
      </c>
      <c r="H289" s="9"/>
      <c r="I289" s="91"/>
      <c r="J289" s="9"/>
      <c r="K289" s="75" t="s">
        <v>34</v>
      </c>
      <c r="L289" s="43" t="s">
        <v>1241</v>
      </c>
      <c r="O289" s="9"/>
      <c r="P289" s="91"/>
      <c r="Q289" s="9"/>
      <c r="R289" s="27"/>
      <c r="S289" s="9"/>
      <c r="T289" s="91"/>
      <c r="U289" s="9"/>
      <c r="V289" s="88">
        <v>2.9875483308913799E-2</v>
      </c>
      <c r="W289" s="88"/>
      <c r="Z289" s="9"/>
      <c r="AA289" s="91"/>
      <c r="AB289" s="9"/>
      <c r="AC289" s="9"/>
    </row>
    <row r="290" spans="1:35" hidden="1" outlineLevel="3">
      <c r="B290" s="25"/>
      <c r="C290" s="26"/>
      <c r="D290" s="9"/>
      <c r="E290" s="91"/>
      <c r="F290" s="9"/>
      <c r="G290" s="119" t="s">
        <v>976</v>
      </c>
      <c r="H290" s="9"/>
      <c r="I290" s="91"/>
      <c r="J290" s="9"/>
      <c r="K290" s="75" t="s">
        <v>788</v>
      </c>
      <c r="L290" s="43"/>
      <c r="O290" s="9"/>
      <c r="P290" s="91"/>
      <c r="Q290" s="9"/>
      <c r="R290" s="27"/>
      <c r="S290" s="9"/>
      <c r="T290" s="91"/>
      <c r="U290" s="9"/>
      <c r="V290" s="88">
        <v>4.4984631294120017E-2</v>
      </c>
      <c r="W290" s="88">
        <v>2.9875483308913799E-2</v>
      </c>
      <c r="Z290" s="9"/>
      <c r="AA290" s="91"/>
      <c r="AB290" s="9"/>
      <c r="AC290" s="9"/>
    </row>
    <row r="291" spans="1:35" hidden="1" outlineLevel="3">
      <c r="B291" s="25"/>
      <c r="C291" s="26"/>
      <c r="D291" s="9"/>
      <c r="E291" s="91"/>
      <c r="F291" s="9"/>
      <c r="G291" s="119" t="s">
        <v>976</v>
      </c>
      <c r="H291" s="9"/>
      <c r="I291" s="91"/>
      <c r="J291" s="9"/>
      <c r="K291" s="43" t="s">
        <v>790</v>
      </c>
      <c r="O291" s="9"/>
      <c r="P291" s="91"/>
      <c r="Q291" s="9"/>
      <c r="R291" s="27"/>
      <c r="S291" s="9"/>
      <c r="T291" s="91"/>
      <c r="U291" s="9"/>
      <c r="V291" s="88">
        <v>5.3981557552944016E-2</v>
      </c>
      <c r="W291" s="75"/>
      <c r="Z291" s="9"/>
      <c r="AA291" s="91"/>
      <c r="AB291" s="9"/>
      <c r="AC291" s="9"/>
    </row>
    <row r="292" spans="1:35" ht="27.6" hidden="1" outlineLevel="3">
      <c r="B292" s="25"/>
      <c r="C292" s="26"/>
      <c r="D292" s="9"/>
      <c r="E292" s="91"/>
      <c r="F292" s="9"/>
      <c r="G292" s="119" t="s">
        <v>976</v>
      </c>
      <c r="H292" s="9"/>
      <c r="I292" s="91"/>
      <c r="J292" s="9"/>
      <c r="K292" s="75" t="s">
        <v>118</v>
      </c>
      <c r="O292" s="9"/>
      <c r="P292" s="91"/>
      <c r="Q292" s="9"/>
      <c r="R292" s="27"/>
      <c r="S292" s="9"/>
      <c r="T292" s="91"/>
      <c r="U292" s="9"/>
      <c r="V292" s="88">
        <v>2.8875000000000005E-2</v>
      </c>
      <c r="Z292" s="9"/>
      <c r="AA292" s="91"/>
      <c r="AB292" s="9"/>
      <c r="AC292" s="9"/>
    </row>
    <row r="293" spans="1:35" ht="3" hidden="1" customHeight="1" outlineLevel="2">
      <c r="B293" s="3"/>
      <c r="C293" s="26"/>
      <c r="D293" s="9"/>
      <c r="E293" s="91"/>
      <c r="F293" s="9"/>
      <c r="G293" s="126"/>
      <c r="H293" s="9"/>
      <c r="I293" s="91"/>
      <c r="J293" s="9"/>
      <c r="K293" s="78"/>
      <c r="L293" s="78"/>
      <c r="M293" s="78"/>
      <c r="N293" s="78"/>
      <c r="O293" s="9"/>
      <c r="P293" s="91"/>
      <c r="Q293" s="9"/>
      <c r="R293" s="31"/>
      <c r="S293" s="9"/>
      <c r="T293" s="91"/>
      <c r="U293" s="9"/>
      <c r="V293" s="78"/>
      <c r="W293" s="78"/>
      <c r="X293" s="78"/>
      <c r="Y293" s="78"/>
      <c r="Z293" s="9"/>
      <c r="AA293" s="91"/>
      <c r="AB293" s="9"/>
      <c r="AC293" s="9"/>
    </row>
    <row r="294" spans="1:35" s="22" customFormat="1" hidden="1" outlineLevel="2" collapsed="1">
      <c r="B294" s="23" t="s">
        <v>905</v>
      </c>
      <c r="C294" s="23"/>
      <c r="D294" s="9"/>
      <c r="E294" s="91"/>
      <c r="F294" s="9"/>
      <c r="G294" s="125">
        <f>SUM(K294:N294)</f>
        <v>6</v>
      </c>
      <c r="H294" s="9"/>
      <c r="I294" s="91"/>
      <c r="J294" s="9"/>
      <c r="K294" s="72">
        <f>COUNTA(K295:K297)</f>
        <v>3</v>
      </c>
      <c r="L294" s="72">
        <f>COUNTA(L295:L297)</f>
        <v>3</v>
      </c>
      <c r="M294" s="72">
        <f>COUNTA(M295:M297)</f>
        <v>0</v>
      </c>
      <c r="N294" s="72">
        <f>COUNTA(N295:N297)</f>
        <v>0</v>
      </c>
      <c r="O294" s="9"/>
      <c r="P294" s="91"/>
      <c r="Q294" s="9"/>
      <c r="R294" s="24">
        <f>SUM(V294:Y294)</f>
        <v>0</v>
      </c>
      <c r="S294" s="9"/>
      <c r="T294" s="91"/>
      <c r="U294" s="9"/>
      <c r="V294" s="72">
        <f>SUM(V295:V297)</f>
        <v>0</v>
      </c>
      <c r="W294" s="72">
        <f>SUM(W295:W297)</f>
        <v>0</v>
      </c>
      <c r="X294" s="72">
        <f>SUM(X295:X297)</f>
        <v>0</v>
      </c>
      <c r="Y294" s="72">
        <f>SUM(Y295:Y297)</f>
        <v>0</v>
      </c>
      <c r="Z294" s="9"/>
      <c r="AA294" s="91"/>
      <c r="AB294" s="9"/>
      <c r="AC294" s="9"/>
    </row>
    <row r="295" spans="1:35" ht="27.6" hidden="1" outlineLevel="3">
      <c r="A295" s="19"/>
      <c r="B295" s="20"/>
      <c r="C295" s="21"/>
      <c r="D295" s="9"/>
      <c r="E295" s="91"/>
      <c r="F295" s="9"/>
      <c r="G295" s="119" t="s">
        <v>28</v>
      </c>
      <c r="H295" s="9"/>
      <c r="I295" s="91"/>
      <c r="J295" s="9"/>
      <c r="K295" s="37" t="s">
        <v>1328</v>
      </c>
      <c r="L295" s="37" t="s">
        <v>1329</v>
      </c>
      <c r="M295" s="75"/>
      <c r="N295" s="75"/>
      <c r="O295" s="9"/>
      <c r="P295" s="91"/>
      <c r="Q295" s="9"/>
      <c r="R295" s="9"/>
      <c r="S295" s="9"/>
      <c r="T295" s="91"/>
      <c r="U295" s="9"/>
      <c r="V295" s="37"/>
      <c r="W295" s="75"/>
      <c r="X295" s="75"/>
      <c r="Y295" s="75"/>
      <c r="Z295" s="9"/>
      <c r="AA295" s="91"/>
      <c r="AB295" s="9"/>
      <c r="AC295" s="9"/>
    </row>
    <row r="296" spans="1:35" ht="27.6" hidden="1" outlineLevel="3">
      <c r="A296" s="19"/>
      <c r="B296" s="20"/>
      <c r="C296" s="21"/>
      <c r="D296" s="9"/>
      <c r="E296" s="91"/>
      <c r="F296" s="9"/>
      <c r="G296" s="119" t="s">
        <v>28</v>
      </c>
      <c r="H296" s="9"/>
      <c r="I296" s="91"/>
      <c r="J296" s="9"/>
      <c r="K296" s="37" t="s">
        <v>1330</v>
      </c>
      <c r="L296" s="37" t="s">
        <v>1331</v>
      </c>
      <c r="N296" s="75"/>
      <c r="O296" s="9"/>
      <c r="P296" s="91"/>
      <c r="Q296" s="9"/>
      <c r="R296" s="9"/>
      <c r="S296" s="9"/>
      <c r="T296" s="91"/>
      <c r="U296" s="9"/>
      <c r="V296" s="37"/>
      <c r="W296" s="75"/>
      <c r="Y296" s="75"/>
      <c r="Z296" s="9"/>
      <c r="AA296" s="91"/>
      <c r="AB296" s="9"/>
      <c r="AC296" s="9"/>
    </row>
    <row r="297" spans="1:35" ht="27.6" hidden="1" outlineLevel="3">
      <c r="A297" s="19"/>
      <c r="B297" s="20"/>
      <c r="C297" s="21"/>
      <c r="D297" s="9"/>
      <c r="E297" s="91"/>
      <c r="F297" s="9"/>
      <c r="G297" s="119" t="s">
        <v>28</v>
      </c>
      <c r="H297" s="9"/>
      <c r="I297" s="91"/>
      <c r="J297" s="9"/>
      <c r="K297" s="37" t="s">
        <v>1332</v>
      </c>
      <c r="L297" s="37" t="s">
        <v>1333</v>
      </c>
      <c r="N297" s="75"/>
      <c r="O297" s="9"/>
      <c r="P297" s="91"/>
      <c r="Q297" s="9"/>
      <c r="R297" s="9"/>
      <c r="S297" s="9"/>
      <c r="T297" s="91"/>
      <c r="U297" s="9"/>
      <c r="V297" s="37"/>
      <c r="W297" s="75"/>
      <c r="Y297" s="75"/>
      <c r="Z297" s="9"/>
      <c r="AA297" s="91"/>
      <c r="AB297" s="9"/>
      <c r="AC297" s="9"/>
    </row>
    <row r="298" spans="1:35" ht="3" hidden="1" customHeight="1" outlineLevel="2">
      <c r="B298" s="3"/>
      <c r="C298" s="3"/>
      <c r="D298" s="9"/>
      <c r="E298" s="91"/>
      <c r="F298" s="9"/>
      <c r="G298" s="122"/>
      <c r="H298" s="9"/>
      <c r="I298" s="91"/>
      <c r="J298" s="9"/>
      <c r="O298" s="9"/>
      <c r="P298" s="91"/>
      <c r="Q298" s="9"/>
      <c r="R298" s="115"/>
      <c r="S298" s="9"/>
      <c r="T298" s="91"/>
      <c r="U298" s="9"/>
      <c r="Z298" s="9"/>
      <c r="AA298" s="91"/>
      <c r="AB298" s="9"/>
      <c r="AC298" s="9"/>
    </row>
    <row r="299" spans="1:35" s="22" customFormat="1" hidden="1" outlineLevel="2" collapsed="1">
      <c r="B299" s="23" t="s">
        <v>1334</v>
      </c>
      <c r="C299" s="23"/>
      <c r="D299" s="9"/>
      <c r="E299" s="91"/>
      <c r="F299" s="9"/>
      <c r="G299" s="125">
        <f>SUM(K299:N299)</f>
        <v>2</v>
      </c>
      <c r="H299" s="9"/>
      <c r="I299" s="91"/>
      <c r="J299" s="9"/>
      <c r="K299" s="72">
        <f>COUNTA(K300:K300)</f>
        <v>0</v>
      </c>
      <c r="L299" s="72">
        <f>COUNTA(L300:L300)</f>
        <v>1</v>
      </c>
      <c r="M299" s="72">
        <f>COUNTA(M300:M300)</f>
        <v>1</v>
      </c>
      <c r="N299" s="72">
        <f>COUNTA(N300:N300)</f>
        <v>0</v>
      </c>
      <c r="O299" s="9"/>
      <c r="P299" s="91"/>
      <c r="Q299" s="9"/>
      <c r="R299" s="24"/>
      <c r="S299" s="9"/>
      <c r="T299" s="91"/>
      <c r="U299" s="9"/>
      <c r="V299" s="82">
        <f>SUM(V300)</f>
        <v>0</v>
      </c>
      <c r="W299" s="82">
        <f t="shared" ref="W299:Y299" si="6">SUM(W300)</f>
        <v>3.7124999999999998E-2</v>
      </c>
      <c r="X299" s="82">
        <f t="shared" si="6"/>
        <v>3.7124999999999998E-2</v>
      </c>
      <c r="Y299" s="82">
        <f t="shared" si="6"/>
        <v>0</v>
      </c>
      <c r="Z299" s="9"/>
      <c r="AA299" s="91"/>
      <c r="AB299" s="9"/>
      <c r="AC299" s="9"/>
    </row>
    <row r="300" spans="1:35" hidden="1" outlineLevel="3">
      <c r="A300" s="19"/>
      <c r="B300" s="20"/>
      <c r="C300" s="21"/>
      <c r="D300" s="9"/>
      <c r="E300" s="91"/>
      <c r="F300" s="9"/>
      <c r="G300" s="119" t="s">
        <v>28</v>
      </c>
      <c r="H300" s="9"/>
      <c r="I300" s="91"/>
      <c r="J300" s="9"/>
      <c r="K300" s="74"/>
      <c r="L300" s="75" t="s">
        <v>841</v>
      </c>
      <c r="M300" s="75" t="s">
        <v>1335</v>
      </c>
      <c r="N300" s="36"/>
      <c r="O300" s="9"/>
      <c r="P300" s="91"/>
      <c r="Q300" s="9"/>
      <c r="R300" s="9"/>
      <c r="S300" s="9"/>
      <c r="T300" s="91"/>
      <c r="U300" s="9"/>
      <c r="V300" s="97"/>
      <c r="W300" s="109">
        <v>3.7124999999999998E-2</v>
      </c>
      <c r="X300" s="109">
        <v>3.7124999999999998E-2</v>
      </c>
      <c r="Y300" s="103"/>
      <c r="Z300" s="9"/>
      <c r="AA300" s="91"/>
      <c r="AB300" s="9"/>
      <c r="AC300" s="9"/>
    </row>
    <row r="301" spans="1:35" ht="3" hidden="1" customHeight="1" outlineLevel="2">
      <c r="B301" s="3"/>
      <c r="C301" s="3"/>
      <c r="D301" s="9"/>
      <c r="E301" s="91"/>
      <c r="F301" s="9"/>
      <c r="G301" s="122"/>
      <c r="H301" s="9"/>
      <c r="I301" s="91"/>
      <c r="J301" s="9"/>
      <c r="O301" s="9"/>
      <c r="P301" s="91"/>
      <c r="Q301" s="9"/>
      <c r="R301" s="115"/>
      <c r="S301" s="9"/>
      <c r="T301" s="91"/>
      <c r="U301" s="9"/>
      <c r="Z301" s="9"/>
      <c r="AA301" s="91"/>
      <c r="AB301" s="9"/>
      <c r="AC301" s="9"/>
    </row>
    <row r="302" spans="1:35" s="22" customFormat="1" hidden="1" outlineLevel="2" collapsed="1">
      <c r="B302" s="23" t="s">
        <v>792</v>
      </c>
      <c r="C302" s="23"/>
      <c r="D302" s="9"/>
      <c r="E302" s="91"/>
      <c r="F302" s="9"/>
      <c r="G302" s="125">
        <f>SUM(K302:N302)</f>
        <v>4</v>
      </c>
      <c r="H302" s="9"/>
      <c r="I302" s="91"/>
      <c r="J302" s="9"/>
      <c r="K302" s="72">
        <f>COUNTA(K303:K304)</f>
        <v>0</v>
      </c>
      <c r="L302" s="72">
        <f>COUNTA(L303:L304)</f>
        <v>1</v>
      </c>
      <c r="M302" s="72">
        <f>COUNTA(M303:M304)</f>
        <v>2</v>
      </c>
      <c r="N302" s="72">
        <f>COUNTA(N303:N304)</f>
        <v>1</v>
      </c>
      <c r="O302" s="9"/>
      <c r="P302" s="91"/>
      <c r="Q302" s="9"/>
      <c r="R302" s="24">
        <f>SUM(V302:Y302)</f>
        <v>4.3200000000000002E-2</v>
      </c>
      <c r="S302" s="9"/>
      <c r="T302" s="91"/>
      <c r="U302" s="9"/>
      <c r="V302" s="82">
        <f>SUM(V303:V304)</f>
        <v>0</v>
      </c>
      <c r="W302" s="82">
        <f t="shared" ref="W302:Y302" si="7">SUM(W303:W304)</f>
        <v>5.4000000000000003E-3</v>
      </c>
      <c r="X302" s="82">
        <f t="shared" si="7"/>
        <v>2.1600000000000001E-2</v>
      </c>
      <c r="Y302" s="82">
        <f t="shared" si="7"/>
        <v>1.6199999999999999E-2</v>
      </c>
      <c r="Z302" s="9"/>
      <c r="AA302" s="91"/>
      <c r="AB302" s="9"/>
      <c r="AC302" s="9"/>
    </row>
    <row r="303" spans="1:35" hidden="1" outlineLevel="3">
      <c r="B303" s="25"/>
      <c r="C303" s="26"/>
      <c r="D303" s="9"/>
      <c r="E303" s="91"/>
      <c r="F303" s="9"/>
      <c r="G303" s="119" t="s">
        <v>28</v>
      </c>
      <c r="H303" s="9"/>
      <c r="I303" s="91"/>
      <c r="J303" s="9"/>
      <c r="K303" s="43"/>
      <c r="L303" s="92" t="s">
        <v>32</v>
      </c>
      <c r="M303" s="93" t="s">
        <v>842</v>
      </c>
      <c r="N303" s="93" t="s">
        <v>1336</v>
      </c>
      <c r="O303" s="9"/>
      <c r="P303" s="91"/>
      <c r="Q303" s="9"/>
      <c r="R303" s="27"/>
      <c r="S303" s="9"/>
      <c r="T303" s="91"/>
      <c r="U303" s="9"/>
      <c r="V303" s="43"/>
      <c r="W303" s="102">
        <v>5.4000000000000003E-3</v>
      </c>
      <c r="X303" s="102">
        <v>1.6199999999999999E-2</v>
      </c>
      <c r="Y303" s="102">
        <v>1.6199999999999999E-2</v>
      </c>
      <c r="Z303" s="9"/>
      <c r="AA303" s="91"/>
      <c r="AB303" s="9"/>
      <c r="AC303" s="9"/>
      <c r="AI303" s="102"/>
    </row>
    <row r="304" spans="1:35" hidden="1" outlineLevel="3">
      <c r="B304" s="25"/>
      <c r="C304" s="26"/>
      <c r="D304" s="9"/>
      <c r="E304" s="91"/>
      <c r="F304" s="9"/>
      <c r="G304" s="119" t="s">
        <v>28</v>
      </c>
      <c r="H304" s="9"/>
      <c r="I304" s="91"/>
      <c r="J304" s="9"/>
      <c r="K304" s="43"/>
      <c r="M304" s="93" t="s">
        <v>33</v>
      </c>
      <c r="N304" s="93"/>
      <c r="O304" s="9"/>
      <c r="P304" s="91"/>
      <c r="Q304" s="9"/>
      <c r="R304" s="27"/>
      <c r="S304" s="9"/>
      <c r="T304" s="91"/>
      <c r="U304" s="9"/>
      <c r="V304" s="43"/>
      <c r="W304" s="102"/>
      <c r="X304" s="102">
        <v>5.4000000000000003E-3</v>
      </c>
      <c r="Y304" s="102"/>
      <c r="Z304" s="9"/>
      <c r="AA304" s="91"/>
      <c r="AB304" s="9"/>
      <c r="AC304" s="9"/>
    </row>
    <row r="305" spans="1:29" ht="3" hidden="1" customHeight="1" outlineLevel="2">
      <c r="B305" s="3"/>
      <c r="C305" s="3"/>
      <c r="D305" s="9"/>
      <c r="E305" s="91"/>
      <c r="F305" s="9"/>
      <c r="G305" s="122"/>
      <c r="H305" s="9"/>
      <c r="I305" s="91"/>
      <c r="J305" s="9"/>
      <c r="O305" s="9"/>
      <c r="P305" s="91"/>
      <c r="Q305" s="9"/>
      <c r="R305" s="115"/>
      <c r="S305" s="9"/>
      <c r="T305" s="91"/>
      <c r="U305" s="9"/>
      <c r="Z305" s="9"/>
      <c r="AA305" s="91"/>
      <c r="AB305" s="9"/>
      <c r="AC305" s="9"/>
    </row>
    <row r="306" spans="1:29" s="22" customFormat="1" hidden="1" outlineLevel="2" collapsed="1">
      <c r="B306" s="23" t="s">
        <v>1337</v>
      </c>
      <c r="C306" s="23"/>
      <c r="D306" s="9"/>
      <c r="E306" s="91"/>
      <c r="F306" s="9"/>
      <c r="G306" s="125">
        <f>SUM(K306:N306)</f>
        <v>4</v>
      </c>
      <c r="H306" s="9"/>
      <c r="I306" s="91"/>
      <c r="J306" s="9"/>
      <c r="K306" s="72">
        <f>COUNTA(K307:K308)</f>
        <v>0</v>
      </c>
      <c r="L306" s="72">
        <f>COUNTA(L307:L308)</f>
        <v>1</v>
      </c>
      <c r="M306" s="72">
        <f>COUNTA(M307:M308)</f>
        <v>2</v>
      </c>
      <c r="N306" s="72">
        <f>COUNTA(N307:N308)</f>
        <v>1</v>
      </c>
      <c r="O306" s="9"/>
      <c r="P306" s="91"/>
      <c r="Q306" s="9"/>
      <c r="R306" s="24">
        <f>SUM(V306:Y306)</f>
        <v>0</v>
      </c>
      <c r="S306" s="9"/>
      <c r="T306" s="91"/>
      <c r="U306" s="9"/>
      <c r="V306" s="72">
        <f>SUM(V307:V308)</f>
        <v>0</v>
      </c>
      <c r="W306" s="72">
        <f t="shared" ref="W306:Y306" si="8">SUM(W307:W308)</f>
        <v>0</v>
      </c>
      <c r="X306" s="72">
        <f t="shared" si="8"/>
        <v>0</v>
      </c>
      <c r="Y306" s="72">
        <f t="shared" si="8"/>
        <v>0</v>
      </c>
      <c r="Z306" s="9"/>
      <c r="AA306" s="91"/>
      <c r="AB306" s="9"/>
      <c r="AC306" s="9"/>
    </row>
    <row r="307" spans="1:29" hidden="1" outlineLevel="3">
      <c r="B307" s="25"/>
      <c r="C307" s="26"/>
      <c r="D307" s="9"/>
      <c r="E307" s="91"/>
      <c r="F307" s="9"/>
      <c r="G307" s="119" t="s">
        <v>28</v>
      </c>
      <c r="H307" s="9"/>
      <c r="I307" s="91"/>
      <c r="J307" s="9"/>
      <c r="L307" s="92" t="s">
        <v>32</v>
      </c>
      <c r="M307" s="93" t="s">
        <v>842</v>
      </c>
      <c r="N307" s="93" t="s">
        <v>1336</v>
      </c>
      <c r="O307" s="9"/>
      <c r="P307" s="91"/>
      <c r="Q307" s="9"/>
      <c r="R307" s="27"/>
      <c r="S307" s="9"/>
      <c r="T307" s="91"/>
      <c r="U307" s="9"/>
      <c r="V307" s="43"/>
      <c r="Z307" s="9"/>
      <c r="AA307" s="91"/>
      <c r="AB307" s="9"/>
      <c r="AC307" s="9"/>
    </row>
    <row r="308" spans="1:29" hidden="1" outlineLevel="3">
      <c r="B308" s="25"/>
      <c r="C308" s="26"/>
      <c r="D308" s="9"/>
      <c r="E308" s="91"/>
      <c r="F308" s="9"/>
      <c r="G308" s="119" t="s">
        <v>28</v>
      </c>
      <c r="H308" s="9"/>
      <c r="I308" s="91"/>
      <c r="J308" s="9"/>
      <c r="M308" s="93" t="s">
        <v>33</v>
      </c>
      <c r="N308" s="93"/>
      <c r="O308" s="9"/>
      <c r="P308" s="91"/>
      <c r="Q308" s="9"/>
      <c r="R308" s="27"/>
      <c r="S308" s="9"/>
      <c r="T308" s="91"/>
      <c r="U308" s="9"/>
      <c r="V308" s="43"/>
      <c r="Z308" s="9"/>
      <c r="AA308" s="91"/>
      <c r="AB308" s="9"/>
      <c r="AC308" s="9"/>
    </row>
    <row r="309" spans="1:29" ht="3" hidden="1" customHeight="1" outlineLevel="2">
      <c r="A309" s="19"/>
      <c r="B309" s="116"/>
      <c r="C309" s="117"/>
      <c r="D309" s="9"/>
      <c r="E309" s="91"/>
      <c r="F309" s="9"/>
      <c r="G309" s="126"/>
      <c r="H309" s="9"/>
      <c r="I309" s="91"/>
      <c r="J309" s="9"/>
      <c r="K309" s="78"/>
      <c r="L309" s="78"/>
      <c r="M309" s="78"/>
      <c r="N309" s="78"/>
      <c r="O309" s="9"/>
      <c r="P309" s="91"/>
      <c r="Q309" s="9"/>
      <c r="R309" s="31"/>
      <c r="S309" s="9"/>
      <c r="T309" s="91"/>
      <c r="U309" s="9"/>
      <c r="V309" s="78"/>
      <c r="W309" s="78"/>
      <c r="X309" s="78"/>
      <c r="Y309" s="78"/>
      <c r="Z309" s="9"/>
      <c r="AA309" s="91"/>
      <c r="AB309" s="9"/>
      <c r="AC309" s="9"/>
    </row>
    <row r="310" spans="1:29" s="22" customFormat="1" hidden="1" outlineLevel="2" collapsed="1">
      <c r="B310" s="23" t="s">
        <v>1338</v>
      </c>
      <c r="C310" s="23"/>
      <c r="D310" s="9"/>
      <c r="E310" s="91"/>
      <c r="F310" s="9"/>
      <c r="G310" s="125">
        <f>SUM(K310:N310)</f>
        <v>4</v>
      </c>
      <c r="H310" s="9"/>
      <c r="I310" s="91"/>
      <c r="J310" s="9"/>
      <c r="K310" s="72">
        <f>COUNTA(K311:K312)</f>
        <v>0</v>
      </c>
      <c r="L310" s="72">
        <f>COUNTA(L311:L312)</f>
        <v>1</v>
      </c>
      <c r="M310" s="72">
        <f>COUNTA(M311:M312)</f>
        <v>2</v>
      </c>
      <c r="N310" s="72">
        <f>COUNTA(N311:N312)</f>
        <v>1</v>
      </c>
      <c r="O310" s="9"/>
      <c r="P310" s="91"/>
      <c r="Q310" s="9"/>
      <c r="R310" s="24">
        <f>SUM(V310:Y310)</f>
        <v>0</v>
      </c>
      <c r="S310" s="9"/>
      <c r="T310" s="91"/>
      <c r="U310" s="9"/>
      <c r="V310" s="72">
        <f>SUM(V311:V312)</f>
        <v>0</v>
      </c>
      <c r="W310" s="72">
        <f t="shared" ref="W310:Y310" si="9">SUM(W311:W312)</f>
        <v>0</v>
      </c>
      <c r="X310" s="72">
        <f t="shared" si="9"/>
        <v>0</v>
      </c>
      <c r="Y310" s="72">
        <f t="shared" si="9"/>
        <v>0</v>
      </c>
      <c r="Z310" s="9"/>
      <c r="AA310" s="91"/>
      <c r="AB310" s="9"/>
      <c r="AC310" s="9"/>
    </row>
    <row r="311" spans="1:29" hidden="1" outlineLevel="3">
      <c r="B311" s="25"/>
      <c r="C311" s="26"/>
      <c r="D311" s="9"/>
      <c r="E311" s="91"/>
      <c r="F311" s="9"/>
      <c r="G311" s="119" t="s">
        <v>28</v>
      </c>
      <c r="H311" s="9"/>
      <c r="I311" s="91"/>
      <c r="J311" s="9"/>
      <c r="L311" s="92" t="s">
        <v>32</v>
      </c>
      <c r="M311" s="93" t="s">
        <v>842</v>
      </c>
      <c r="N311" s="93" t="s">
        <v>1336</v>
      </c>
      <c r="O311" s="9"/>
      <c r="P311" s="91"/>
      <c r="Q311" s="9"/>
      <c r="R311" s="27"/>
      <c r="S311" s="9"/>
      <c r="T311" s="91"/>
      <c r="U311" s="9"/>
      <c r="V311" s="43"/>
      <c r="Z311" s="9"/>
      <c r="AA311" s="91"/>
      <c r="AB311" s="9"/>
      <c r="AC311" s="9"/>
    </row>
    <row r="312" spans="1:29" hidden="1" outlineLevel="3">
      <c r="B312" s="25"/>
      <c r="C312" s="26"/>
      <c r="D312" s="9"/>
      <c r="E312" s="91"/>
      <c r="F312" s="9"/>
      <c r="G312" s="119" t="s">
        <v>28</v>
      </c>
      <c r="H312" s="9"/>
      <c r="I312" s="91"/>
      <c r="J312" s="9"/>
      <c r="M312" s="93" t="s">
        <v>33</v>
      </c>
      <c r="N312" s="93"/>
      <c r="O312" s="9"/>
      <c r="P312" s="91"/>
      <c r="Q312" s="9"/>
      <c r="R312" s="27"/>
      <c r="S312" s="9"/>
      <c r="T312" s="91"/>
      <c r="U312" s="9"/>
      <c r="V312" s="43"/>
      <c r="Z312" s="9"/>
      <c r="AA312" s="91"/>
      <c r="AB312" s="9"/>
      <c r="AC312" s="9"/>
    </row>
    <row r="313" spans="1:29" ht="3" hidden="1" customHeight="1" outlineLevel="2">
      <c r="B313" s="3"/>
      <c r="C313" s="3"/>
      <c r="D313" s="9"/>
      <c r="E313" s="91"/>
      <c r="F313" s="9"/>
      <c r="G313" s="122"/>
      <c r="H313" s="9"/>
      <c r="I313" s="91"/>
      <c r="J313" s="9"/>
      <c r="O313" s="9"/>
      <c r="P313" s="91"/>
      <c r="Q313" s="9"/>
      <c r="R313" s="115"/>
      <c r="S313" s="9"/>
      <c r="T313" s="91"/>
      <c r="U313" s="9"/>
      <c r="Z313" s="9"/>
      <c r="AA313" s="91"/>
      <c r="AB313" s="9"/>
      <c r="AC313" s="9"/>
    </row>
    <row r="314" spans="1:29" s="22" customFormat="1" hidden="1" outlineLevel="2" collapsed="1">
      <c r="B314" s="23" t="s">
        <v>1206</v>
      </c>
      <c r="C314" s="23"/>
      <c r="D314" s="9"/>
      <c r="E314" s="91"/>
      <c r="F314" s="9"/>
      <c r="G314" s="125">
        <f>SUM(K314:N314)</f>
        <v>4</v>
      </c>
      <c r="H314" s="9"/>
      <c r="I314" s="91"/>
      <c r="J314" s="9"/>
      <c r="K314" s="72">
        <f>COUNTA(K315:K316)</f>
        <v>1</v>
      </c>
      <c r="L314" s="72">
        <f>COUNTA(L315:L316)</f>
        <v>1</v>
      </c>
      <c r="M314" s="72">
        <f>COUNTA(M315:M316)</f>
        <v>1</v>
      </c>
      <c r="N314" s="72">
        <f>COUNTA(N315:N316)</f>
        <v>1</v>
      </c>
      <c r="O314" s="9"/>
      <c r="P314" s="91"/>
      <c r="Q314" s="9"/>
      <c r="R314" s="83">
        <f>SUM(V314:Y314)</f>
        <v>0.33276</v>
      </c>
      <c r="S314" s="9"/>
      <c r="T314" s="91"/>
      <c r="U314" s="9"/>
      <c r="V314" s="82">
        <f>SUM(V315:V316)</f>
        <v>5.5460000000000002E-2</v>
      </c>
      <c r="W314" s="82">
        <f>SUM(W315:W316)</f>
        <v>0.11092</v>
      </c>
      <c r="X314" s="82">
        <f>SUM(X315:X316)</f>
        <v>0.11092</v>
      </c>
      <c r="Y314" s="82">
        <f>SUM(Y315:Y316)</f>
        <v>5.5460000000000002E-2</v>
      </c>
      <c r="Z314" s="9"/>
      <c r="AA314" s="91"/>
      <c r="AB314" s="9"/>
      <c r="AC314" s="9"/>
    </row>
    <row r="315" spans="1:29" hidden="1" outlineLevel="3">
      <c r="B315" s="29"/>
      <c r="C315" s="30"/>
      <c r="D315" s="9"/>
      <c r="E315" s="91"/>
      <c r="F315" s="9"/>
      <c r="G315" s="119" t="s">
        <v>28</v>
      </c>
      <c r="H315" s="9"/>
      <c r="I315" s="91"/>
      <c r="J315" s="9"/>
      <c r="K315" s="37" t="s">
        <v>32</v>
      </c>
      <c r="L315" s="4"/>
      <c r="M315" s="37" t="s">
        <v>34</v>
      </c>
      <c r="N315" s="37" t="s">
        <v>471</v>
      </c>
      <c r="O315" s="9"/>
      <c r="P315" s="91"/>
      <c r="Q315" s="9"/>
      <c r="R315" s="34" t="s">
        <v>28</v>
      </c>
      <c r="S315" s="9"/>
      <c r="T315" s="91"/>
      <c r="U315" s="9"/>
      <c r="V315" s="104">
        <v>5.5460000000000002E-2</v>
      </c>
      <c r="W315" s="98"/>
      <c r="X315" s="104">
        <v>0.11092</v>
      </c>
      <c r="Y315" s="104">
        <v>5.5460000000000002E-2</v>
      </c>
      <c r="Z315" s="9"/>
      <c r="AA315" s="91"/>
      <c r="AB315" s="9"/>
      <c r="AC315" s="9"/>
    </row>
    <row r="316" spans="1:29" hidden="1" outlineLevel="3">
      <c r="B316" s="29"/>
      <c r="C316" s="30"/>
      <c r="D316" s="9"/>
      <c r="E316" s="91"/>
      <c r="F316" s="9"/>
      <c r="G316" s="119" t="s">
        <v>28</v>
      </c>
      <c r="H316" s="9"/>
      <c r="I316" s="91"/>
      <c r="J316" s="9"/>
      <c r="L316" s="37" t="s">
        <v>33</v>
      </c>
      <c r="M316" s="4"/>
      <c r="N316" s="4"/>
      <c r="O316" s="9"/>
      <c r="P316" s="91"/>
      <c r="Q316" s="9"/>
      <c r="R316" s="34" t="s">
        <v>28</v>
      </c>
      <c r="S316" s="9"/>
      <c r="T316" s="91"/>
      <c r="U316" s="9"/>
      <c r="V316" s="99"/>
      <c r="W316" s="104">
        <v>0.11092</v>
      </c>
      <c r="X316" s="98"/>
      <c r="Y316" s="98"/>
      <c r="Z316" s="9"/>
      <c r="AA316" s="91"/>
      <c r="AB316" s="9"/>
      <c r="AC316" s="9"/>
    </row>
    <row r="317" spans="1:29" ht="3" hidden="1" customHeight="1" outlineLevel="2">
      <c r="B317" s="29"/>
      <c r="C317" s="30"/>
      <c r="D317" s="9"/>
      <c r="E317" s="91"/>
      <c r="F317" s="9"/>
      <c r="G317" s="119"/>
      <c r="H317" s="9"/>
      <c r="I317" s="91"/>
      <c r="J317" s="9"/>
      <c r="K317" s="76"/>
      <c r="O317" s="9"/>
      <c r="P317" s="91"/>
      <c r="Q317" s="9"/>
      <c r="R317" s="34"/>
      <c r="S317" s="9"/>
      <c r="T317" s="91"/>
      <c r="U317" s="9"/>
      <c r="V317" s="76"/>
      <c r="Z317" s="9"/>
      <c r="AA317" s="91"/>
      <c r="AB317" s="9"/>
      <c r="AC317" s="9"/>
    </row>
    <row r="318" spans="1:29" s="22" customFormat="1" hidden="1" outlineLevel="2" collapsed="1">
      <c r="B318" s="23" t="s">
        <v>1101</v>
      </c>
      <c r="C318" s="23"/>
      <c r="D318" s="9"/>
      <c r="E318" s="91"/>
      <c r="F318" s="9"/>
      <c r="G318" s="125">
        <f>SUM(K318:N318)</f>
        <v>4</v>
      </c>
      <c r="H318" s="9"/>
      <c r="I318" s="91"/>
      <c r="J318" s="9"/>
      <c r="K318" s="72">
        <f>COUNTA(K319:K320)</f>
        <v>1</v>
      </c>
      <c r="L318" s="72">
        <f>COUNTA(L319:L320)</f>
        <v>1</v>
      </c>
      <c r="M318" s="72">
        <f>COUNTA(M319:M320)</f>
        <v>1</v>
      </c>
      <c r="N318" s="72">
        <f>COUNTA(N319:N320)</f>
        <v>1</v>
      </c>
      <c r="O318" s="9"/>
      <c r="P318" s="91"/>
      <c r="Q318" s="9"/>
      <c r="R318" s="83">
        <f>SUM(V318:Y318)</f>
        <v>0.20532</v>
      </c>
      <c r="S318" s="9"/>
      <c r="T318" s="91"/>
      <c r="U318" s="9"/>
      <c r="V318" s="82">
        <f>SUM(V319:V320)</f>
        <v>2.3599999999999999E-2</v>
      </c>
      <c r="W318" s="82">
        <f>SUM(W319:W320)</f>
        <v>4.7199999999999999E-2</v>
      </c>
      <c r="X318" s="82">
        <f>SUM(X319:X320)</f>
        <v>0.11092</v>
      </c>
      <c r="Y318" s="82">
        <f>SUM(Y319:Y320)</f>
        <v>2.3599999999999999E-2</v>
      </c>
      <c r="Z318" s="9"/>
      <c r="AA318" s="91"/>
      <c r="AB318" s="9"/>
      <c r="AC318" s="9"/>
    </row>
    <row r="319" spans="1:29" hidden="1" outlineLevel="3">
      <c r="B319" s="29"/>
      <c r="C319" s="30"/>
      <c r="D319" s="9"/>
      <c r="E319" s="91"/>
      <c r="F319" s="9"/>
      <c r="G319" s="119" t="s">
        <v>28</v>
      </c>
      <c r="H319" s="9"/>
      <c r="I319" s="91"/>
      <c r="J319" s="9"/>
      <c r="K319" s="37" t="s">
        <v>32</v>
      </c>
      <c r="L319" s="4"/>
      <c r="M319" s="37" t="s">
        <v>34</v>
      </c>
      <c r="N319" s="37" t="s">
        <v>471</v>
      </c>
      <c r="O319" s="9"/>
      <c r="P319" s="91"/>
      <c r="Q319" s="9"/>
      <c r="R319" s="34" t="s">
        <v>28</v>
      </c>
      <c r="S319" s="9"/>
      <c r="T319" s="91"/>
      <c r="U319" s="9"/>
      <c r="V319" s="104">
        <v>2.3599999999999999E-2</v>
      </c>
      <c r="W319" s="98"/>
      <c r="X319" s="104">
        <v>0.11092</v>
      </c>
      <c r="Y319" s="104">
        <v>2.3599999999999999E-2</v>
      </c>
      <c r="Z319" s="9"/>
      <c r="AA319" s="91"/>
      <c r="AB319" s="9"/>
      <c r="AC319" s="9"/>
    </row>
    <row r="320" spans="1:29" hidden="1" outlineLevel="3">
      <c r="B320" s="29"/>
      <c r="C320" s="30"/>
      <c r="D320" s="9"/>
      <c r="E320" s="91"/>
      <c r="F320" s="9"/>
      <c r="G320" s="119" t="s">
        <v>28</v>
      </c>
      <c r="H320" s="9"/>
      <c r="I320" s="91"/>
      <c r="J320" s="9"/>
      <c r="L320" s="37" t="s">
        <v>33</v>
      </c>
      <c r="M320" s="4"/>
      <c r="N320" s="4"/>
      <c r="O320" s="9"/>
      <c r="P320" s="91"/>
      <c r="Q320" s="9"/>
      <c r="R320" s="34" t="s">
        <v>28</v>
      </c>
      <c r="S320" s="9"/>
      <c r="T320" s="91"/>
      <c r="U320" s="9"/>
      <c r="V320" s="99"/>
      <c r="W320" s="104">
        <v>4.7199999999999999E-2</v>
      </c>
      <c r="X320" s="98"/>
      <c r="Y320" s="98"/>
      <c r="Z320" s="9"/>
      <c r="AA320" s="91"/>
      <c r="AB320" s="9"/>
      <c r="AC320" s="9"/>
    </row>
    <row r="321" spans="1:29" ht="3" hidden="1" customHeight="1" outlineLevel="2">
      <c r="B321" s="29"/>
      <c r="C321" s="30"/>
      <c r="D321" s="9"/>
      <c r="E321" s="91"/>
      <c r="F321" s="9"/>
      <c r="G321" s="119"/>
      <c r="H321" s="9"/>
      <c r="I321" s="91"/>
      <c r="J321" s="9"/>
      <c r="K321" s="76"/>
      <c r="O321" s="9"/>
      <c r="P321" s="91"/>
      <c r="Q321" s="9"/>
      <c r="R321" s="34"/>
      <c r="S321" s="9"/>
      <c r="T321" s="91"/>
      <c r="U321" s="9"/>
      <c r="V321" s="76"/>
      <c r="Z321" s="9"/>
      <c r="AA321" s="91"/>
      <c r="AB321" s="9"/>
      <c r="AC321" s="9"/>
    </row>
    <row r="322" spans="1:29" s="22" customFormat="1" hidden="1" outlineLevel="2" collapsed="1">
      <c r="A322" s="22">
        <v>1</v>
      </c>
      <c r="B322" s="23" t="s">
        <v>1215</v>
      </c>
      <c r="C322" s="23"/>
      <c r="D322" s="9"/>
      <c r="E322" s="91"/>
      <c r="F322" s="9"/>
      <c r="G322" s="125">
        <f>SUM(K322:N322)</f>
        <v>4</v>
      </c>
      <c r="H322" s="9"/>
      <c r="I322" s="91"/>
      <c r="J322" s="9"/>
      <c r="K322" s="72">
        <f>COUNTA(K323:K324)</f>
        <v>0</v>
      </c>
      <c r="L322" s="72">
        <f>COUNTA(L323:L324)</f>
        <v>0</v>
      </c>
      <c r="M322" s="72">
        <f>COUNTA(M323:M324)</f>
        <v>2</v>
      </c>
      <c r="N322" s="72">
        <f>COUNTA(N323:N324)</f>
        <v>2</v>
      </c>
      <c r="O322" s="9"/>
      <c r="P322" s="91"/>
      <c r="Q322" s="9"/>
      <c r="R322" s="24">
        <f>SUM(V322:Y322)</f>
        <v>1.3664400000000001</v>
      </c>
      <c r="S322" s="9"/>
      <c r="T322" s="91"/>
      <c r="U322" s="9"/>
      <c r="V322" s="72">
        <f>SUM(V323:V324)</f>
        <v>0</v>
      </c>
      <c r="W322" s="72">
        <f>SUM(W323:W324)</f>
        <v>0</v>
      </c>
      <c r="X322" s="72">
        <f>SUM(X323:X324)</f>
        <v>0.79709000000000008</v>
      </c>
      <c r="Y322" s="72">
        <f>SUM(Y323:Y324)</f>
        <v>0.56935000000000002</v>
      </c>
      <c r="Z322" s="9"/>
      <c r="AA322" s="91"/>
      <c r="AB322" s="9"/>
      <c r="AC322" s="9"/>
    </row>
    <row r="323" spans="1:29" hidden="1" outlineLevel="3">
      <c r="B323" s="29"/>
      <c r="C323" s="30"/>
      <c r="D323" s="9"/>
      <c r="E323" s="91"/>
      <c r="F323" s="9"/>
      <c r="G323" s="119" t="s">
        <v>28</v>
      </c>
      <c r="H323" s="9"/>
      <c r="I323" s="91"/>
      <c r="J323" s="9"/>
      <c r="K323" s="4"/>
      <c r="M323" s="37" t="s">
        <v>32</v>
      </c>
      <c r="N323" s="37" t="s">
        <v>34</v>
      </c>
      <c r="O323" s="9"/>
      <c r="P323" s="91"/>
      <c r="Q323" s="9"/>
      <c r="R323" s="34"/>
      <c r="S323" s="9"/>
      <c r="T323" s="91"/>
      <c r="U323" s="9"/>
      <c r="V323" s="36"/>
      <c r="X323" s="157">
        <v>0.34161000000000002</v>
      </c>
      <c r="Y323" s="102">
        <v>0.45548000000000005</v>
      </c>
      <c r="Z323" s="9"/>
      <c r="AA323" s="91"/>
      <c r="AB323" s="9"/>
      <c r="AC323" s="9"/>
    </row>
    <row r="324" spans="1:29" hidden="1" outlineLevel="3">
      <c r="B324" s="29"/>
      <c r="C324" s="30"/>
      <c r="D324" s="9"/>
      <c r="E324" s="91"/>
      <c r="F324" s="9"/>
      <c r="G324" s="119" t="s">
        <v>28</v>
      </c>
      <c r="H324" s="9"/>
      <c r="I324" s="91"/>
      <c r="J324" s="9"/>
      <c r="K324" s="4"/>
      <c r="M324" s="37" t="s">
        <v>33</v>
      </c>
      <c r="N324" s="4" t="s">
        <v>471</v>
      </c>
      <c r="O324" s="9"/>
      <c r="P324" s="91"/>
      <c r="Q324" s="9"/>
      <c r="R324" s="34"/>
      <c r="S324" s="9"/>
      <c r="T324" s="91"/>
      <c r="U324" s="9"/>
      <c r="V324" s="4"/>
      <c r="W324" s="36"/>
      <c r="X324" s="102">
        <v>0.45548000000000005</v>
      </c>
      <c r="Y324" s="102">
        <v>0.11387000000000001</v>
      </c>
      <c r="Z324" s="9"/>
      <c r="AA324" s="91"/>
      <c r="AB324" s="9"/>
      <c r="AC324" s="9"/>
    </row>
    <row r="325" spans="1:29" ht="3" hidden="1" customHeight="1" outlineLevel="2">
      <c r="B325" s="29"/>
      <c r="C325" s="30"/>
      <c r="D325" s="9"/>
      <c r="E325" s="91"/>
      <c r="F325" s="9"/>
      <c r="G325" s="119"/>
      <c r="H325" s="9"/>
      <c r="I325" s="91"/>
      <c r="J325" s="9"/>
      <c r="K325" s="76"/>
      <c r="O325" s="9"/>
      <c r="P325" s="91"/>
      <c r="Q325" s="9"/>
      <c r="R325" s="34"/>
      <c r="S325" s="9"/>
      <c r="T325" s="91"/>
      <c r="U325" s="9"/>
      <c r="V325" s="76"/>
      <c r="Z325" s="9"/>
      <c r="AA325" s="91"/>
      <c r="AB325" s="9"/>
      <c r="AC325" s="9"/>
    </row>
    <row r="326" spans="1:29" s="22" customFormat="1" hidden="1" outlineLevel="2" collapsed="1">
      <c r="B326" s="23" t="s">
        <v>581</v>
      </c>
      <c r="C326" s="23"/>
      <c r="D326" s="9"/>
      <c r="E326" s="91"/>
      <c r="F326" s="9"/>
      <c r="G326" s="125">
        <f>SUM(K326:N326)</f>
        <v>5</v>
      </c>
      <c r="H326" s="9"/>
      <c r="I326" s="91"/>
      <c r="J326" s="9"/>
      <c r="K326" s="72">
        <f>COUNTA(K327:K328)</f>
        <v>1</v>
      </c>
      <c r="L326" s="72">
        <f>COUNTA(L327:L328)</f>
        <v>1</v>
      </c>
      <c r="M326" s="72">
        <f>COUNTA(M327:M328)</f>
        <v>2</v>
      </c>
      <c r="N326" s="72">
        <f>COUNTA(N327:N328)</f>
        <v>1</v>
      </c>
      <c r="O326" s="9"/>
      <c r="P326" s="91"/>
      <c r="Q326" s="9"/>
      <c r="R326" s="83">
        <f>SUM(V326:Y326)</f>
        <v>0.52</v>
      </c>
      <c r="S326" s="9"/>
      <c r="T326" s="91"/>
      <c r="U326" s="9"/>
      <c r="V326" s="82">
        <f>SUM(V327:V328)</f>
        <v>0.06</v>
      </c>
      <c r="W326" s="82">
        <f>SUM(W327:W328)</f>
        <v>0.12</v>
      </c>
      <c r="X326" s="82">
        <f>SUM(X327:X328)</f>
        <v>0.18</v>
      </c>
      <c r="Y326" s="82">
        <f>SUM(Y327:Y328)</f>
        <v>0.16</v>
      </c>
      <c r="Z326" s="9"/>
      <c r="AA326" s="91"/>
      <c r="AB326" s="9"/>
      <c r="AC326" s="9"/>
    </row>
    <row r="327" spans="1:29" hidden="1" outlineLevel="3">
      <c r="B327" s="29"/>
      <c r="C327" s="30"/>
      <c r="D327" s="9"/>
      <c r="E327" s="91"/>
      <c r="F327" s="9"/>
      <c r="G327" s="119" t="s">
        <v>28</v>
      </c>
      <c r="H327" s="9"/>
      <c r="I327" s="91"/>
      <c r="J327" s="9"/>
      <c r="K327" s="37" t="s">
        <v>32</v>
      </c>
      <c r="L327" s="4"/>
      <c r="M327" s="37" t="s">
        <v>34</v>
      </c>
      <c r="N327" s="37" t="s">
        <v>69</v>
      </c>
      <c r="O327" s="9"/>
      <c r="P327" s="91"/>
      <c r="Q327" s="9"/>
      <c r="R327" s="34" t="s">
        <v>28</v>
      </c>
      <c r="S327" s="9"/>
      <c r="T327" s="91"/>
      <c r="U327" s="9"/>
      <c r="V327" s="37">
        <v>0.06</v>
      </c>
      <c r="W327" s="4"/>
      <c r="X327" s="37">
        <v>0.12</v>
      </c>
      <c r="Y327" s="37">
        <v>0.16</v>
      </c>
      <c r="Z327" s="9"/>
      <c r="AA327" s="91"/>
      <c r="AB327" s="9"/>
      <c r="AC327" s="9"/>
    </row>
    <row r="328" spans="1:29" hidden="1" outlineLevel="3">
      <c r="B328" s="29"/>
      <c r="C328" s="30"/>
      <c r="D328" s="9"/>
      <c r="E328" s="91"/>
      <c r="F328" s="9"/>
      <c r="G328" s="119" t="s">
        <v>28</v>
      </c>
      <c r="H328" s="9"/>
      <c r="I328" s="91"/>
      <c r="J328" s="9"/>
      <c r="K328" s="114"/>
      <c r="L328" s="37" t="s">
        <v>33</v>
      </c>
      <c r="M328" s="37" t="s">
        <v>471</v>
      </c>
      <c r="N328" s="37"/>
      <c r="O328" s="9"/>
      <c r="P328" s="91"/>
      <c r="Q328" s="9"/>
      <c r="R328" s="34" t="s">
        <v>28</v>
      </c>
      <c r="S328" s="9"/>
      <c r="T328" s="91"/>
      <c r="U328" s="9"/>
      <c r="V328" s="114"/>
      <c r="W328" s="37">
        <v>0.12</v>
      </c>
      <c r="X328" s="37">
        <v>0.06</v>
      </c>
      <c r="Y328" s="37"/>
      <c r="Z328" s="9"/>
      <c r="AA328" s="91"/>
      <c r="AB328" s="9"/>
      <c r="AC328" s="9"/>
    </row>
    <row r="329" spans="1:29" ht="3" hidden="1" customHeight="1" outlineLevel="2">
      <c r="B329" s="29"/>
      <c r="C329" s="30"/>
      <c r="D329" s="9"/>
      <c r="E329" s="91"/>
      <c r="F329" s="9"/>
      <c r="G329" s="119"/>
      <c r="H329" s="9"/>
      <c r="I329" s="91"/>
      <c r="J329" s="9"/>
      <c r="K329" s="76"/>
      <c r="O329" s="9"/>
      <c r="P329" s="91"/>
      <c r="Q329" s="9"/>
      <c r="R329" s="34"/>
      <c r="S329" s="9"/>
      <c r="T329" s="91"/>
      <c r="U329" s="9"/>
      <c r="V329" s="76"/>
      <c r="Z329" s="9"/>
      <c r="AA329" s="91"/>
      <c r="AB329" s="9"/>
      <c r="AC329" s="9"/>
    </row>
    <row r="330" spans="1:29" s="22" customFormat="1" hidden="1" outlineLevel="2" collapsed="1">
      <c r="B330" s="23" t="s">
        <v>1216</v>
      </c>
      <c r="C330" s="23"/>
      <c r="D330" s="9"/>
      <c r="E330" s="91"/>
      <c r="F330" s="9"/>
      <c r="G330" s="125">
        <f>SUM(K330:N330)</f>
        <v>3</v>
      </c>
      <c r="H330" s="9"/>
      <c r="I330" s="91"/>
      <c r="J330" s="9"/>
      <c r="K330" s="72">
        <f>COUNTA(K331:K331)</f>
        <v>0</v>
      </c>
      <c r="L330" s="72">
        <f>COUNTA(L331:L331)</f>
        <v>1</v>
      </c>
      <c r="M330" s="72">
        <f>COUNTA(M331:M331)</f>
        <v>1</v>
      </c>
      <c r="N330" s="72">
        <f>COUNTA(N331:N331)</f>
        <v>1</v>
      </c>
      <c r="O330" s="9"/>
      <c r="P330" s="91"/>
      <c r="Q330" s="9"/>
      <c r="R330" s="83">
        <f>SUM(V330:Y330)</f>
        <v>0.38231999999999999</v>
      </c>
      <c r="S330" s="9"/>
      <c r="T330" s="91"/>
      <c r="U330" s="9"/>
      <c r="V330" s="82">
        <f>SUM(V331:V331)</f>
        <v>0</v>
      </c>
      <c r="W330" s="82">
        <f>SUM(W331:W331)</f>
        <v>0.12744</v>
      </c>
      <c r="X330" s="82">
        <f>SUM(X331:X331)</f>
        <v>0.12744</v>
      </c>
      <c r="Y330" s="82">
        <f>SUM(Y331:Y331)</f>
        <v>0.12744</v>
      </c>
      <c r="Z330" s="9"/>
      <c r="AA330" s="91"/>
      <c r="AB330" s="9"/>
      <c r="AC330" s="9"/>
    </row>
    <row r="331" spans="1:29" hidden="1" outlineLevel="3">
      <c r="B331" s="29"/>
      <c r="C331" s="30"/>
      <c r="D331" s="9"/>
      <c r="E331" s="91"/>
      <c r="F331" s="9"/>
      <c r="G331" s="119" t="s">
        <v>28</v>
      </c>
      <c r="H331" s="9"/>
      <c r="I331" s="91"/>
      <c r="J331" s="9"/>
      <c r="K331" s="36"/>
      <c r="L331" s="37" t="s">
        <v>32</v>
      </c>
      <c r="M331" s="37" t="s">
        <v>33</v>
      </c>
      <c r="N331" s="37" t="s">
        <v>34</v>
      </c>
      <c r="O331" s="9"/>
      <c r="P331" s="91"/>
      <c r="Q331" s="9"/>
      <c r="R331" s="34" t="s">
        <v>28</v>
      </c>
      <c r="S331" s="9"/>
      <c r="T331" s="91"/>
      <c r="U331" s="9"/>
      <c r="V331" s="103"/>
      <c r="W331" s="104">
        <v>0.12744</v>
      </c>
      <c r="X331" s="104">
        <v>0.12744</v>
      </c>
      <c r="Y331" s="104">
        <v>0.12744</v>
      </c>
      <c r="Z331" s="9"/>
      <c r="AA331" s="91"/>
      <c r="AB331" s="9"/>
      <c r="AC331" s="9"/>
    </row>
    <row r="332" spans="1:29" ht="3" hidden="1" customHeight="1" outlineLevel="2">
      <c r="B332" s="29"/>
      <c r="C332" s="30"/>
      <c r="D332" s="9"/>
      <c r="E332" s="91"/>
      <c r="F332" s="9"/>
      <c r="G332" s="119"/>
      <c r="H332" s="9"/>
      <c r="I332" s="91"/>
      <c r="J332" s="9"/>
      <c r="K332" s="76"/>
      <c r="O332" s="9"/>
      <c r="P332" s="91"/>
      <c r="Q332" s="9"/>
      <c r="R332" s="34"/>
      <c r="S332" s="9"/>
      <c r="T332" s="91"/>
      <c r="U332" s="9"/>
      <c r="V332" s="76"/>
      <c r="Z332" s="9"/>
      <c r="AA332" s="91"/>
      <c r="AB332" s="9"/>
      <c r="AC332" s="9"/>
    </row>
    <row r="333" spans="1:29" s="22" customFormat="1" hidden="1" outlineLevel="2" collapsed="1">
      <c r="B333" s="23" t="s">
        <v>1217</v>
      </c>
      <c r="C333" s="23"/>
      <c r="D333" s="9"/>
      <c r="E333" s="91"/>
      <c r="F333" s="9"/>
      <c r="G333" s="125">
        <f>SUM(K333:N333)</f>
        <v>3</v>
      </c>
      <c r="H333" s="9"/>
      <c r="I333" s="91"/>
      <c r="J333" s="9"/>
      <c r="K333" s="72">
        <f>COUNTA(K334:K334)</f>
        <v>0</v>
      </c>
      <c r="L333" s="72">
        <f>COUNTA(L334:L334)</f>
        <v>1</v>
      </c>
      <c r="M333" s="72">
        <f>COUNTA(M334:M334)</f>
        <v>1</v>
      </c>
      <c r="N333" s="72">
        <f>COUNTA(N334:N334)</f>
        <v>1</v>
      </c>
      <c r="O333" s="9"/>
      <c r="P333" s="91"/>
      <c r="Q333" s="9"/>
      <c r="R333" s="83">
        <f>SUM(V333:Y333)</f>
        <v>0.70623000000000002</v>
      </c>
      <c r="S333" s="9"/>
      <c r="T333" s="91"/>
      <c r="U333" s="9"/>
      <c r="V333" s="82">
        <f>SUM(V334:V334)</f>
        <v>0</v>
      </c>
      <c r="W333" s="82">
        <f>SUM(W334:W334)</f>
        <v>0.23541000000000001</v>
      </c>
      <c r="X333" s="82">
        <f>SUM(X334:X334)</f>
        <v>0.23541000000000001</v>
      </c>
      <c r="Y333" s="82">
        <f>SUM(Y334:Y334)</f>
        <v>0.23541000000000001</v>
      </c>
      <c r="Z333" s="9"/>
      <c r="AA333" s="91"/>
      <c r="AB333" s="9"/>
      <c r="AC333" s="9"/>
    </row>
    <row r="334" spans="1:29" hidden="1" outlineLevel="3">
      <c r="B334" s="37"/>
      <c r="C334" s="30"/>
      <c r="D334" s="9"/>
      <c r="E334" s="91"/>
      <c r="F334" s="9"/>
      <c r="G334" s="119" t="s">
        <v>28</v>
      </c>
      <c r="H334" s="9"/>
      <c r="I334" s="91"/>
      <c r="J334" s="9"/>
      <c r="K334" s="36"/>
      <c r="L334" s="37" t="s">
        <v>32</v>
      </c>
      <c r="M334" s="37" t="s">
        <v>33</v>
      </c>
      <c r="N334" s="37" t="s">
        <v>34</v>
      </c>
      <c r="O334" s="9"/>
      <c r="P334" s="91"/>
      <c r="Q334" s="9"/>
      <c r="R334" s="34" t="s">
        <v>28</v>
      </c>
      <c r="S334" s="9"/>
      <c r="T334" s="91"/>
      <c r="U334" s="9"/>
      <c r="V334" s="103"/>
      <c r="W334" s="104">
        <v>0.23541000000000001</v>
      </c>
      <c r="X334" s="104">
        <v>0.23541000000000001</v>
      </c>
      <c r="Y334" s="104">
        <v>0.23541000000000001</v>
      </c>
      <c r="Z334" s="9"/>
      <c r="AA334" s="91"/>
      <c r="AB334" s="9"/>
      <c r="AC334" s="9"/>
    </row>
    <row r="335" spans="1:29" ht="3" hidden="1" customHeight="1" outlineLevel="2">
      <c r="B335" s="29"/>
      <c r="C335" s="30"/>
      <c r="D335" s="9"/>
      <c r="E335" s="91"/>
      <c r="F335" s="9"/>
      <c r="G335" s="119"/>
      <c r="H335" s="9"/>
      <c r="I335" s="91"/>
      <c r="J335" s="9"/>
      <c r="K335" s="76"/>
      <c r="O335" s="9"/>
      <c r="P335" s="91"/>
      <c r="Q335" s="9"/>
      <c r="R335" s="34"/>
      <c r="S335" s="9"/>
      <c r="T335" s="91"/>
      <c r="U335" s="9"/>
      <c r="V335" s="76"/>
      <c r="Z335" s="9"/>
      <c r="AA335" s="91"/>
      <c r="AB335" s="9"/>
      <c r="AC335" s="9"/>
    </row>
    <row r="336" spans="1:29" s="22" customFormat="1" hidden="1" outlineLevel="2" collapsed="1">
      <c r="B336" s="23" t="s">
        <v>1218</v>
      </c>
      <c r="C336" s="23"/>
      <c r="D336" s="9"/>
      <c r="E336" s="91"/>
      <c r="F336" s="9"/>
      <c r="G336" s="125">
        <f>SUM(K336:N336)</f>
        <v>3</v>
      </c>
      <c r="H336" s="9"/>
      <c r="I336" s="91"/>
      <c r="J336" s="9"/>
      <c r="K336" s="72">
        <f>COUNTA(K337:K338)</f>
        <v>0</v>
      </c>
      <c r="L336" s="72">
        <f>COUNTA(L337:L338)</f>
        <v>2</v>
      </c>
      <c r="M336" s="72">
        <f>COUNTA(M337:M338)</f>
        <v>1</v>
      </c>
      <c r="N336" s="72">
        <f>COUNTA(N337:N338)</f>
        <v>0</v>
      </c>
      <c r="O336" s="9"/>
      <c r="P336" s="91"/>
      <c r="Q336" s="9"/>
      <c r="R336" s="83">
        <f>SUM(V336:Y336)</f>
        <v>1.08324</v>
      </c>
      <c r="S336" s="9"/>
      <c r="T336" s="91"/>
      <c r="U336" s="9"/>
      <c r="V336" s="82">
        <f>SUM(V337:V338)</f>
        <v>0</v>
      </c>
      <c r="W336" s="82">
        <f>SUM(W337:W338)</f>
        <v>0.72216000000000002</v>
      </c>
      <c r="X336" s="82">
        <f>SUM(X337:X338)</f>
        <v>0.36108000000000001</v>
      </c>
      <c r="Y336" s="82">
        <f>SUM(Y337:Y338)</f>
        <v>0</v>
      </c>
      <c r="Z336" s="9"/>
      <c r="AA336" s="91"/>
      <c r="AB336" s="9"/>
      <c r="AC336" s="9"/>
    </row>
    <row r="337" spans="1:29" hidden="1" outlineLevel="3">
      <c r="B337" s="37"/>
      <c r="C337" s="30"/>
      <c r="D337" s="9"/>
      <c r="E337" s="91"/>
      <c r="F337" s="9"/>
      <c r="G337" s="119" t="s">
        <v>28</v>
      </c>
      <c r="H337" s="9"/>
      <c r="I337" s="91"/>
      <c r="J337" s="9"/>
      <c r="K337" s="36"/>
      <c r="L337" s="37" t="s">
        <v>32</v>
      </c>
      <c r="M337" s="37" t="s">
        <v>34</v>
      </c>
      <c r="N337" s="37"/>
      <c r="O337" s="9"/>
      <c r="P337" s="91"/>
      <c r="Q337" s="9"/>
      <c r="R337" s="34" t="s">
        <v>28</v>
      </c>
      <c r="S337" s="9"/>
      <c r="T337" s="91"/>
      <c r="U337" s="9"/>
      <c r="V337" s="103"/>
      <c r="W337" s="104">
        <v>0.36108000000000001</v>
      </c>
      <c r="X337" s="104">
        <v>0.36108000000000001</v>
      </c>
      <c r="Y337" s="104"/>
      <c r="Z337" s="9"/>
      <c r="AA337" s="91"/>
      <c r="AB337" s="9"/>
      <c r="AC337" s="9"/>
    </row>
    <row r="338" spans="1:29" hidden="1" outlineLevel="3">
      <c r="B338" s="37"/>
      <c r="C338" s="30"/>
      <c r="D338" s="9"/>
      <c r="E338" s="91"/>
      <c r="F338" s="9"/>
      <c r="G338" s="119" t="s">
        <v>28</v>
      </c>
      <c r="H338" s="9"/>
      <c r="I338" s="91"/>
      <c r="J338" s="9"/>
      <c r="K338" s="114"/>
      <c r="L338" s="37" t="s">
        <v>33</v>
      </c>
      <c r="N338" s="4"/>
      <c r="O338" s="9"/>
      <c r="P338" s="91"/>
      <c r="Q338" s="9"/>
      <c r="R338" s="34" t="s">
        <v>28</v>
      </c>
      <c r="S338" s="9"/>
      <c r="T338" s="91"/>
      <c r="U338" s="9"/>
      <c r="V338" s="118"/>
      <c r="W338" s="104">
        <v>0.36108000000000001</v>
      </c>
      <c r="X338" s="99"/>
      <c r="Y338" s="98"/>
      <c r="Z338" s="9"/>
      <c r="AA338" s="91"/>
      <c r="AB338" s="9"/>
      <c r="AC338" s="9"/>
    </row>
    <row r="339" spans="1:29" ht="3" hidden="1" customHeight="1" outlineLevel="2">
      <c r="B339" s="29"/>
      <c r="C339" s="30"/>
      <c r="D339" s="9"/>
      <c r="E339" s="91"/>
      <c r="F339" s="9"/>
      <c r="G339" s="119"/>
      <c r="H339" s="9"/>
      <c r="I339" s="91"/>
      <c r="J339" s="9"/>
      <c r="K339" s="76"/>
      <c r="O339" s="9"/>
      <c r="P339" s="91"/>
      <c r="Q339" s="9"/>
      <c r="R339" s="34"/>
      <c r="S339" s="9"/>
      <c r="T339" s="91"/>
      <c r="U339" s="9"/>
      <c r="V339" s="76"/>
      <c r="Z339" s="9"/>
      <c r="AA339" s="91"/>
      <c r="AB339" s="9"/>
      <c r="AC339" s="9"/>
    </row>
    <row r="340" spans="1:29" s="22" customFormat="1" hidden="1" outlineLevel="2" collapsed="1">
      <c r="A340" s="22">
        <v>1</v>
      </c>
      <c r="B340" s="23" t="s">
        <v>526</v>
      </c>
      <c r="C340" s="23"/>
      <c r="D340" s="9"/>
      <c r="E340" s="91"/>
      <c r="F340" s="9"/>
      <c r="G340" s="125">
        <f>SUM(K340:N340)</f>
        <v>4</v>
      </c>
      <c r="H340" s="9"/>
      <c r="I340" s="91"/>
      <c r="J340" s="9"/>
      <c r="K340" s="72">
        <f>COUNTA(K341:K342)</f>
        <v>0</v>
      </c>
      <c r="L340" s="72">
        <f>COUNTA(L341:L342)</f>
        <v>2</v>
      </c>
      <c r="M340" s="72">
        <f>COUNTA(M341:M342)</f>
        <v>1</v>
      </c>
      <c r="N340" s="72">
        <f>COUNTA(N341:N342)</f>
        <v>1</v>
      </c>
      <c r="O340" s="9"/>
      <c r="P340" s="91"/>
      <c r="Q340" s="9"/>
      <c r="R340" s="24">
        <f>SUM(V340:Y340)</f>
        <v>5.4692999999999996</v>
      </c>
      <c r="S340" s="9"/>
      <c r="T340" s="91"/>
      <c r="U340" s="9"/>
      <c r="V340" s="72">
        <f>SUM(V341:V342)</f>
        <v>0</v>
      </c>
      <c r="W340" s="72">
        <f>SUM(W341:W342)</f>
        <v>3.1904249999999998</v>
      </c>
      <c r="X340" s="72">
        <f>SUM(X341:X342)</f>
        <v>0.45577499999999999</v>
      </c>
      <c r="Y340" s="72">
        <f>SUM(Y341:Y342)</f>
        <v>1.8230999999999999</v>
      </c>
      <c r="Z340" s="9"/>
      <c r="AA340" s="91"/>
      <c r="AB340" s="9"/>
      <c r="AC340" s="9"/>
    </row>
    <row r="341" spans="1:29" hidden="1" outlineLevel="3">
      <c r="B341" s="37"/>
      <c r="C341" s="30"/>
      <c r="D341" s="9"/>
      <c r="E341" s="91"/>
      <c r="F341" s="9"/>
      <c r="G341" s="119" t="s">
        <v>28</v>
      </c>
      <c r="H341" s="9"/>
      <c r="I341" s="91"/>
      <c r="J341" s="9"/>
      <c r="K341" s="36"/>
      <c r="L341" s="37" t="s">
        <v>32</v>
      </c>
      <c r="M341" s="4" t="s">
        <v>471</v>
      </c>
      <c r="N341" s="37" t="s">
        <v>34</v>
      </c>
      <c r="O341" s="9"/>
      <c r="P341" s="91"/>
      <c r="Q341" s="9"/>
      <c r="R341" s="34"/>
      <c r="S341" s="9"/>
      <c r="T341" s="91"/>
      <c r="U341" s="9"/>
      <c r="V341" s="37"/>
      <c r="W341" s="102">
        <v>1.3673249999999999</v>
      </c>
      <c r="X341" s="102">
        <v>0.45577499999999999</v>
      </c>
      <c r="Y341" s="102">
        <v>1.8230999999999999</v>
      </c>
      <c r="Z341" s="9"/>
      <c r="AA341" s="91"/>
      <c r="AB341" s="9"/>
      <c r="AC341" s="9"/>
    </row>
    <row r="342" spans="1:29" hidden="1" outlineLevel="3">
      <c r="B342" s="37"/>
      <c r="C342" s="30"/>
      <c r="D342" s="9"/>
      <c r="E342" s="91"/>
      <c r="F342" s="9"/>
      <c r="G342" s="119" t="s">
        <v>28</v>
      </c>
      <c r="H342" s="9"/>
      <c r="I342" s="91"/>
      <c r="J342" s="9"/>
      <c r="K342" s="114"/>
      <c r="L342" s="37" t="s">
        <v>33</v>
      </c>
      <c r="M342" s="4"/>
      <c r="N342" s="4"/>
      <c r="O342" s="9"/>
      <c r="P342" s="91"/>
      <c r="Q342" s="9"/>
      <c r="R342" s="34"/>
      <c r="S342" s="9"/>
      <c r="T342" s="91"/>
      <c r="U342" s="9"/>
      <c r="V342" s="37"/>
      <c r="W342" s="157">
        <v>1.8230999999999999</v>
      </c>
      <c r="Z342" s="9"/>
      <c r="AA342" s="91"/>
      <c r="AB342" s="9"/>
      <c r="AC342" s="9"/>
    </row>
    <row r="343" spans="1:29" ht="3" hidden="1" customHeight="1" outlineLevel="1">
      <c r="B343" s="3"/>
      <c r="C343" s="26"/>
      <c r="D343" s="31"/>
      <c r="E343" s="7"/>
      <c r="F343" s="31"/>
      <c r="G343" s="126"/>
      <c r="H343" s="31"/>
      <c r="I343" s="7"/>
      <c r="J343" s="31"/>
      <c r="K343" s="78"/>
      <c r="L343" s="78"/>
      <c r="M343" s="78"/>
      <c r="N343" s="78"/>
      <c r="O343" s="31"/>
      <c r="P343" s="7"/>
      <c r="Q343" s="31"/>
      <c r="R343" s="31"/>
      <c r="S343" s="31"/>
      <c r="T343" s="7"/>
      <c r="U343" s="31"/>
      <c r="V343" s="78"/>
      <c r="W343" s="78"/>
      <c r="X343" s="78"/>
      <c r="Y343" s="78"/>
      <c r="Z343" s="31"/>
      <c r="AA343" s="7"/>
      <c r="AB343" s="31"/>
    </row>
    <row r="344" spans="1:29" s="49" customFormat="1" ht="20.100000000000001" hidden="1" customHeight="1" outlineLevel="1">
      <c r="A344" s="156"/>
      <c r="B344" s="44" t="s">
        <v>64</v>
      </c>
      <c r="C344" s="45" t="s">
        <v>976</v>
      </c>
      <c r="D344" s="46"/>
      <c r="E344" s="47"/>
      <c r="F344" s="46"/>
      <c r="G344" s="123">
        <f>SUM(K344:N344)</f>
        <v>171</v>
      </c>
      <c r="H344" s="46"/>
      <c r="I344" s="47"/>
      <c r="J344" s="46"/>
      <c r="K344" s="70">
        <f>SUM(K346,K352,K357,K360,K365,K375,K379,K393,K396,K399,K402,K409,K414,K418,K422,K426,K432,K436,K440,K444,K448,K452,K456,K462,K467,,K470,K474,K478,K482,K486,K490,K494,K498,K501,K504,K508)</f>
        <v>39</v>
      </c>
      <c r="L344" s="70">
        <f>SUM(L346,L352,L357,L360,L365,L375,L379,L393,L396,L399,L402,L409,L414,L418,L422,L426,L432,L436,L440,L444,L448,L452,L456,L462,L467,,L470,L474,L478,L482,L486,L490,L494,L498,L501,L504,L508)</f>
        <v>56</v>
      </c>
      <c r="M344" s="70">
        <f>SUM(M346,M352,M357,M360,M365,M375,M379,M393,M396,M399,M402,M409,M414,M418,M422,M426,M432,M436,M440,M444,M448,M452,M456,M462,M467,,M470,M474,M478,M482,M486,M490,M494,M498,M501,M504,M508)</f>
        <v>40</v>
      </c>
      <c r="N344" s="70">
        <f>SUM(N346,N352,N357,N360,N365,N375,N379,N393,N396,N399,N402,N409,N414,N418,N422,N426,N432,N436,N440,N444,N448,N452,N456,N462,N467,,N470,N474,N478,N482,N486,N490,N494,N498,N501,N504,N508)</f>
        <v>36</v>
      </c>
      <c r="O344" s="46"/>
      <c r="P344" s="47"/>
      <c r="Q344" s="46"/>
      <c r="R344" s="123">
        <f>SUM(V344:Y344)</f>
        <v>18.344489042810181</v>
      </c>
      <c r="S344" s="46"/>
      <c r="T344" s="47"/>
      <c r="U344" s="46"/>
      <c r="V344" s="70">
        <f>SUM(V346,V352,V357,V360,V365,V375,V379,V393,V396,V399,V402,V409,V414,V418,V422,V426,V432,V436,V440,V444,V448,V452,V456,V462,V467,,V470,V474,V478,V482,V486,V490,V494,V498,V501,V504,V508)</f>
        <v>2.4931610108099878</v>
      </c>
      <c r="W344" s="70">
        <f>SUM(W346,W352,W357,W360,W365,W375,W379,W393,W396,W399,W402,W409,W414,W418,W422,W426,W432,W436,W440,W444,W448,W452,W456,W462,W467,,W470,W474,W478,W482,W486,W490,W494,W498,W501,W504,W508)</f>
        <v>7.607099601856107</v>
      </c>
      <c r="X344" s="70">
        <f>SUM(X346,X352,X357,X360,X365,X375,X379,X393,X396,X399,X402,X409,X414,X418,X422,X426,X432,X436,X440,X444,X448,X452,X456,X462,X467,,X470,X474,X478,X482,X486,X490,X494,X498,X501,X504,X508)</f>
        <v>3.5924567575476329</v>
      </c>
      <c r="Y344" s="70">
        <f>SUM(Y346,Y352,Y357,Y360,Y365,Y375,Y379,Y393,Y396,Y399,Y402,Y409,Y414,Y418,Y422,Y426,Y432,Y436,Y440,Y444,Y448,Y452,Y456,Y462,Y467,,Y470,Y474,Y478,Y482,Y486,Y490,Y494,Y498,Y501,Y504,Y508)</f>
        <v>4.6517716725964542</v>
      </c>
      <c r="Z344" s="46"/>
      <c r="AA344" s="47"/>
      <c r="AB344" s="46"/>
    </row>
    <row r="345" spans="1:29" ht="3" hidden="1" customHeight="1" outlineLevel="2">
      <c r="B345" s="3"/>
      <c r="C345" s="26"/>
      <c r="D345" s="31"/>
      <c r="E345" s="7"/>
      <c r="F345" s="31"/>
      <c r="G345" s="126"/>
      <c r="H345" s="31"/>
      <c r="I345" s="7"/>
      <c r="J345" s="31"/>
      <c r="K345" s="78"/>
      <c r="L345" s="78"/>
      <c r="M345" s="78"/>
      <c r="N345" s="78"/>
      <c r="O345" s="31"/>
      <c r="P345" s="7"/>
      <c r="Q345" s="31"/>
      <c r="R345" s="31"/>
      <c r="S345" s="31"/>
      <c r="T345" s="7"/>
      <c r="U345" s="31"/>
      <c r="V345" s="78"/>
      <c r="W345" s="78"/>
      <c r="X345" s="78"/>
      <c r="Y345" s="78"/>
      <c r="Z345" s="31"/>
      <c r="AA345" s="7"/>
      <c r="AB345" s="31"/>
    </row>
    <row r="346" spans="1:29" s="22" customFormat="1" hidden="1" outlineLevel="2" collapsed="1">
      <c r="A346" s="22">
        <v>1</v>
      </c>
      <c r="B346" s="23" t="s">
        <v>966</v>
      </c>
      <c r="C346" s="23"/>
      <c r="D346" s="9"/>
      <c r="E346" s="7"/>
      <c r="F346" s="9"/>
      <c r="G346" s="125">
        <f>SUM(K346:N346)</f>
        <v>3</v>
      </c>
      <c r="H346" s="9"/>
      <c r="I346" s="7"/>
      <c r="J346" s="9"/>
      <c r="K346" s="72">
        <f>COUNTA(K347:K350)</f>
        <v>2</v>
      </c>
      <c r="L346" s="72">
        <f>COUNTA(L347:L350)</f>
        <v>1</v>
      </c>
      <c r="M346" s="72">
        <f>COUNTA(M347:M350)</f>
        <v>0</v>
      </c>
      <c r="N346" s="72">
        <f>COUNTA(N347:N350)</f>
        <v>0</v>
      </c>
      <c r="O346" s="9"/>
      <c r="P346" s="7"/>
      <c r="Q346" s="9"/>
      <c r="R346" s="24">
        <f>SUM(V346:Y346)</f>
        <v>0.14738153689424122</v>
      </c>
      <c r="S346" s="9"/>
      <c r="T346" s="7"/>
      <c r="U346" s="9"/>
      <c r="V346" s="72">
        <f>SUM(V347:V350)</f>
        <v>0.13513130209673999</v>
      </c>
      <c r="W346" s="72">
        <f>SUM(W347:W350)</f>
        <v>1.2250234797501244E-2</v>
      </c>
      <c r="X346" s="72">
        <f>SUM(X347:X350)</f>
        <v>0</v>
      </c>
      <c r="Y346" s="72">
        <f>SUM(Y347:Y350)</f>
        <v>0</v>
      </c>
      <c r="Z346" s="9"/>
      <c r="AA346" s="7"/>
      <c r="AB346" s="9"/>
    </row>
    <row r="347" spans="1:29" ht="13.35" hidden="1" customHeight="1" outlineLevel="3">
      <c r="B347" s="25" t="s">
        <v>29</v>
      </c>
      <c r="C347" s="30" t="s">
        <v>849</v>
      </c>
      <c r="D347" s="34"/>
      <c r="E347" s="7"/>
      <c r="G347" s="120" t="s">
        <v>984</v>
      </c>
      <c r="I347" s="7"/>
      <c r="K347" s="36" t="s">
        <v>1339</v>
      </c>
      <c r="P347" s="7"/>
      <c r="R347" s="35" t="s">
        <v>984</v>
      </c>
      <c r="S347" s="6"/>
      <c r="T347" s="7"/>
      <c r="U347" s="6"/>
      <c r="V347" s="136">
        <v>4.2473543000000009E-2</v>
      </c>
      <c r="W347" s="136"/>
      <c r="AA347" s="7"/>
    </row>
    <row r="348" spans="1:29" ht="13.35" hidden="1" customHeight="1" outlineLevel="3">
      <c r="B348" s="25" t="s">
        <v>29</v>
      </c>
      <c r="C348" s="30" t="s">
        <v>849</v>
      </c>
      <c r="D348" s="34"/>
      <c r="E348" s="7"/>
      <c r="G348" s="120" t="s">
        <v>984</v>
      </c>
      <c r="I348" s="7"/>
      <c r="K348" s="36" t="s">
        <v>1340</v>
      </c>
      <c r="P348" s="7"/>
      <c r="R348" s="35" t="s">
        <v>984</v>
      </c>
      <c r="S348" s="6"/>
      <c r="T348" s="7"/>
      <c r="U348" s="6"/>
      <c r="V348" s="136">
        <v>9.2657759096739983E-2</v>
      </c>
      <c r="W348" s="136"/>
      <c r="AA348" s="7"/>
    </row>
    <row r="349" spans="1:29" ht="13.35" hidden="1" customHeight="1" outlineLevel="3">
      <c r="B349" s="25"/>
      <c r="C349" s="30"/>
      <c r="D349" s="34"/>
      <c r="E349" s="7"/>
      <c r="G349" s="120"/>
      <c r="I349" s="7"/>
      <c r="P349" s="7"/>
      <c r="R349" s="35"/>
      <c r="S349" s="6"/>
      <c r="T349" s="7"/>
      <c r="U349" s="6"/>
      <c r="V349" s="136"/>
      <c r="W349" s="136"/>
      <c r="AA349" s="7"/>
    </row>
    <row r="350" spans="1:29" ht="13.35" hidden="1" customHeight="1" outlineLevel="3">
      <c r="B350" s="25" t="s">
        <v>29</v>
      </c>
      <c r="C350" s="30" t="s">
        <v>853</v>
      </c>
      <c r="D350" s="34"/>
      <c r="E350" s="7"/>
      <c r="G350" s="120" t="s">
        <v>984</v>
      </c>
      <c r="I350" s="7"/>
      <c r="L350" s="36" t="s">
        <v>1340</v>
      </c>
      <c r="P350" s="7"/>
      <c r="R350" s="35" t="s">
        <v>984</v>
      </c>
      <c r="S350" s="6"/>
      <c r="T350" s="7"/>
      <c r="U350" s="6"/>
      <c r="V350" s="136"/>
      <c r="W350" s="136">
        <v>1.2250234797501244E-2</v>
      </c>
      <c r="AA350" s="7"/>
    </row>
    <row r="351" spans="1:29" ht="3" hidden="1" customHeight="1" outlineLevel="2">
      <c r="B351" s="29"/>
      <c r="C351" s="30"/>
      <c r="D351" s="34"/>
      <c r="E351" s="7"/>
      <c r="G351" s="120"/>
      <c r="I351" s="7"/>
      <c r="P351" s="7"/>
      <c r="R351" s="35"/>
      <c r="S351" s="6"/>
      <c r="T351" s="7"/>
      <c r="U351" s="6"/>
      <c r="AA351" s="7"/>
    </row>
    <row r="352" spans="1:29" s="22" customFormat="1" hidden="1" outlineLevel="2" collapsed="1">
      <c r="A352" s="22">
        <v>1</v>
      </c>
      <c r="B352" s="23" t="s">
        <v>900</v>
      </c>
      <c r="C352" s="23"/>
      <c r="D352" s="9"/>
      <c r="E352" s="7"/>
      <c r="F352" s="9"/>
      <c r="G352" s="125">
        <f>SUM(K352:N352)</f>
        <v>4</v>
      </c>
      <c r="H352" s="9"/>
      <c r="I352" s="7"/>
      <c r="J352" s="9"/>
      <c r="K352" s="72">
        <f>COUNTA(K353:K355)</f>
        <v>3</v>
      </c>
      <c r="L352" s="72">
        <f>COUNTA(L353:L355)</f>
        <v>1</v>
      </c>
      <c r="M352" s="72">
        <f>COUNTA(M353:M355)</f>
        <v>0</v>
      </c>
      <c r="N352" s="72">
        <f>COUNTA(N353:N355)</f>
        <v>0</v>
      </c>
      <c r="O352" s="9"/>
      <c r="P352" s="7"/>
      <c r="Q352" s="9"/>
      <c r="R352" s="24">
        <f>SUM(V352:Y352)</f>
        <v>0.19811707215745483</v>
      </c>
      <c r="S352" s="9"/>
      <c r="T352" s="7"/>
      <c r="U352" s="9"/>
      <c r="V352" s="72">
        <f>SUM(V353:V355)</f>
        <v>0.1362054871082502</v>
      </c>
      <c r="W352" s="72">
        <f>SUM(W353:W355)</f>
        <v>6.1911585049204632E-2</v>
      </c>
      <c r="X352" s="72">
        <f>SUM(X353:X355)</f>
        <v>0</v>
      </c>
      <c r="Y352" s="72">
        <f>SUM(Y353:Y355)</f>
        <v>0</v>
      </c>
      <c r="Z352" s="9"/>
      <c r="AA352" s="7"/>
      <c r="AB352" s="9"/>
    </row>
    <row r="353" spans="1:28" ht="26.85" hidden="1" customHeight="1" outlineLevel="3">
      <c r="B353" s="25" t="s">
        <v>29</v>
      </c>
      <c r="C353" s="30" t="s">
        <v>900</v>
      </c>
      <c r="D353" s="34"/>
      <c r="E353" s="7"/>
      <c r="G353" s="120" t="s">
        <v>984</v>
      </c>
      <c r="I353" s="7"/>
      <c r="K353" s="30" t="s">
        <v>979</v>
      </c>
      <c r="L353" s="30" t="s">
        <v>1340</v>
      </c>
      <c r="M353" s="142"/>
      <c r="N353" s="142"/>
      <c r="P353" s="7"/>
      <c r="R353" s="35" t="s">
        <v>984</v>
      </c>
      <c r="S353" s="6"/>
      <c r="T353" s="7"/>
      <c r="U353" s="6"/>
      <c r="V353" s="136">
        <v>3.0733122777398793E-2</v>
      </c>
      <c r="W353" s="136">
        <v>6.1911585049204632E-2</v>
      </c>
      <c r="AA353" s="7"/>
    </row>
    <row r="354" spans="1:28" ht="13.35" hidden="1" customHeight="1" outlineLevel="3">
      <c r="B354" s="25" t="s">
        <v>29</v>
      </c>
      <c r="C354" s="30" t="s">
        <v>900</v>
      </c>
      <c r="D354" s="34"/>
      <c r="E354" s="7"/>
      <c r="G354" s="120" t="s">
        <v>984</v>
      </c>
      <c r="I354" s="7"/>
      <c r="K354" s="30" t="s">
        <v>980</v>
      </c>
      <c r="L354" s="142"/>
      <c r="M354" s="142"/>
      <c r="N354" s="142"/>
      <c r="P354" s="7"/>
      <c r="R354" s="35" t="s">
        <v>984</v>
      </c>
      <c r="S354" s="6"/>
      <c r="T354" s="7"/>
      <c r="U354" s="6"/>
      <c r="V354" s="136">
        <v>2.5610935647832327E-2</v>
      </c>
      <c r="W354" s="136"/>
      <c r="AA354" s="7"/>
    </row>
    <row r="355" spans="1:28" ht="13.35" hidden="1" customHeight="1" outlineLevel="3">
      <c r="B355" s="25" t="s">
        <v>29</v>
      </c>
      <c r="C355" s="30" t="s">
        <v>900</v>
      </c>
      <c r="D355" s="34"/>
      <c r="E355" s="7"/>
      <c r="G355" s="120" t="s">
        <v>984</v>
      </c>
      <c r="I355" s="7"/>
      <c r="K355" s="30" t="s">
        <v>1341</v>
      </c>
      <c r="L355" s="142"/>
      <c r="M355" s="142"/>
      <c r="N355" s="142"/>
      <c r="P355" s="7"/>
      <c r="R355" s="35" t="s">
        <v>984</v>
      </c>
      <c r="S355" s="6"/>
      <c r="T355" s="7"/>
      <c r="U355" s="6"/>
      <c r="V355" s="136">
        <v>7.9861428683019084E-2</v>
      </c>
      <c r="W355" s="136"/>
      <c r="AA355" s="7"/>
    </row>
    <row r="356" spans="1:28" ht="3" hidden="1" customHeight="1" outlineLevel="2">
      <c r="E356" s="7"/>
      <c r="G356" s="15"/>
      <c r="I356" s="7"/>
      <c r="P356" s="7"/>
      <c r="S356" s="6"/>
      <c r="T356" s="7"/>
      <c r="U356" s="6"/>
      <c r="AA356" s="7"/>
    </row>
    <row r="357" spans="1:28" s="22" customFormat="1" hidden="1" outlineLevel="2" collapsed="1">
      <c r="A357" s="22">
        <v>1</v>
      </c>
      <c r="B357" s="23" t="s">
        <v>1046</v>
      </c>
      <c r="C357" s="23"/>
      <c r="D357" s="9"/>
      <c r="E357" s="7"/>
      <c r="F357" s="9"/>
      <c r="G357" s="125">
        <f>SUM(K357:N357)</f>
        <v>1</v>
      </c>
      <c r="H357" s="9"/>
      <c r="I357" s="7"/>
      <c r="J357" s="9"/>
      <c r="K357" s="72">
        <f>COUNTA(K358:K358)</f>
        <v>1</v>
      </c>
      <c r="L357" s="72">
        <f>COUNTA(L358:L358)</f>
        <v>0</v>
      </c>
      <c r="M357" s="72">
        <f>COUNTA(M358:M358)</f>
        <v>0</v>
      </c>
      <c r="N357" s="72">
        <f>COUNTA(N358:N358)</f>
        <v>0</v>
      </c>
      <c r="O357" s="9"/>
      <c r="P357" s="7"/>
      <c r="Q357" s="9"/>
      <c r="R357" s="83">
        <f>SUM(V357:Y357)</f>
        <v>3.2487230810551999E-2</v>
      </c>
      <c r="S357" s="9"/>
      <c r="T357" s="7"/>
      <c r="U357" s="9"/>
      <c r="V357" s="82">
        <f>SUM(V358:V358)</f>
        <v>3.2487230810551999E-2</v>
      </c>
      <c r="W357" s="82">
        <f>SUM(W358:W358)</f>
        <v>0</v>
      </c>
      <c r="X357" s="82">
        <f>SUM(X358:X358)</f>
        <v>0</v>
      </c>
      <c r="Y357" s="82">
        <f>SUM(Y358:Y358)</f>
        <v>0</v>
      </c>
      <c r="Z357" s="9"/>
      <c r="AA357" s="7"/>
      <c r="AB357" s="9"/>
    </row>
    <row r="358" spans="1:28" ht="13.35" hidden="1" customHeight="1" outlineLevel="3">
      <c r="B358" s="25" t="s">
        <v>29</v>
      </c>
      <c r="C358" s="29" t="s">
        <v>1046</v>
      </c>
      <c r="D358" s="34"/>
      <c r="E358" s="7"/>
      <c r="G358" s="120" t="s">
        <v>984</v>
      </c>
      <c r="I358" s="7"/>
      <c r="K358" s="36" t="s">
        <v>1340</v>
      </c>
      <c r="P358" s="7"/>
      <c r="R358" s="35" t="s">
        <v>984</v>
      </c>
      <c r="S358" s="6"/>
      <c r="T358" s="7"/>
      <c r="U358" s="6"/>
      <c r="V358" s="81">
        <v>3.2487230810551999E-2</v>
      </c>
      <c r="AA358" s="7"/>
    </row>
    <row r="359" spans="1:28" ht="3" hidden="1" customHeight="1" outlineLevel="2">
      <c r="B359" s="29"/>
      <c r="C359" s="29"/>
      <c r="D359" s="34"/>
      <c r="E359" s="7"/>
      <c r="G359" s="120" t="s">
        <v>241</v>
      </c>
      <c r="I359" s="7"/>
      <c r="P359" s="7"/>
      <c r="R359" s="35" t="s">
        <v>241</v>
      </c>
      <c r="S359" s="6"/>
      <c r="T359" s="7"/>
      <c r="U359" s="6"/>
      <c r="AA359" s="7"/>
    </row>
    <row r="360" spans="1:28" s="22" customFormat="1" hidden="1" outlineLevel="2">
      <c r="A360" s="22">
        <v>1</v>
      </c>
      <c r="B360" s="23" t="s">
        <v>804</v>
      </c>
      <c r="C360" s="23"/>
      <c r="D360" s="9"/>
      <c r="E360" s="7"/>
      <c r="F360" s="9"/>
      <c r="G360" s="125">
        <f>SUM(K360:N360)</f>
        <v>6</v>
      </c>
      <c r="H360" s="9"/>
      <c r="I360" s="7"/>
      <c r="J360" s="9"/>
      <c r="K360" s="72">
        <f>COUNTA(K361:K363)</f>
        <v>3</v>
      </c>
      <c r="L360" s="72">
        <f>COUNTA(L361:L363)</f>
        <v>3</v>
      </c>
      <c r="M360" s="72">
        <f>COUNTA(M361:M363)</f>
        <v>0</v>
      </c>
      <c r="N360" s="72">
        <f>COUNTA(N361:N363)</f>
        <v>0</v>
      </c>
      <c r="O360" s="9"/>
      <c r="P360" s="7"/>
      <c r="Q360" s="9"/>
      <c r="R360" s="83">
        <f>SUM(V360:Y360)</f>
        <v>0.16323182611890019</v>
      </c>
      <c r="S360" s="9"/>
      <c r="T360" s="7"/>
      <c r="U360" s="9"/>
      <c r="V360" s="82">
        <f>SUM(V361:V363)</f>
        <v>8.8957368508478768E-2</v>
      </c>
      <c r="W360" s="82">
        <f>SUM(W361:W363)</f>
        <v>7.427445761042141E-2</v>
      </c>
      <c r="X360" s="82">
        <f>SUM(X361:X363)</f>
        <v>0</v>
      </c>
      <c r="Y360" s="82">
        <f>SUM(Y361:Y363)</f>
        <v>0</v>
      </c>
      <c r="Z360" s="9"/>
      <c r="AA360" s="7"/>
      <c r="AB360" s="9"/>
    </row>
    <row r="361" spans="1:28" ht="13.35" hidden="1" customHeight="1" outlineLevel="3">
      <c r="B361" s="25"/>
      <c r="C361" s="29" t="s">
        <v>804</v>
      </c>
      <c r="D361" s="34"/>
      <c r="E361" s="7"/>
      <c r="F361" s="34"/>
      <c r="G361" s="120" t="s">
        <v>984</v>
      </c>
      <c r="H361" s="34"/>
      <c r="I361" s="7"/>
      <c r="J361" s="34"/>
      <c r="K361" s="36" t="s">
        <v>1342</v>
      </c>
      <c r="L361" s="36" t="s">
        <v>1343</v>
      </c>
      <c r="O361" s="34"/>
      <c r="P361" s="7"/>
      <c r="Q361" s="34"/>
      <c r="R361" s="35" t="s">
        <v>984</v>
      </c>
      <c r="S361" s="34"/>
      <c r="T361" s="7"/>
      <c r="U361" s="34"/>
      <c r="V361" s="84">
        <v>2.4769399776581255E-2</v>
      </c>
      <c r="W361" s="84">
        <v>1.7232344500000003E-2</v>
      </c>
      <c r="Z361" s="34"/>
      <c r="AA361" s="7"/>
      <c r="AB361" s="34"/>
    </row>
    <row r="362" spans="1:28" ht="13.35" hidden="1" customHeight="1" outlineLevel="3">
      <c r="B362" s="25"/>
      <c r="C362" s="29" t="s">
        <v>804</v>
      </c>
      <c r="D362" s="34"/>
      <c r="E362" s="7"/>
      <c r="F362" s="34"/>
      <c r="G362" s="120" t="s">
        <v>984</v>
      </c>
      <c r="H362" s="34"/>
      <c r="I362" s="7"/>
      <c r="J362" s="34"/>
      <c r="K362" s="36" t="s">
        <v>1344</v>
      </c>
      <c r="L362" s="36" t="s">
        <v>1345</v>
      </c>
      <c r="O362" s="34"/>
      <c r="P362" s="7"/>
      <c r="Q362" s="34"/>
      <c r="R362" s="35" t="s">
        <v>984</v>
      </c>
      <c r="S362" s="34"/>
      <c r="T362" s="7"/>
      <c r="U362" s="34"/>
      <c r="V362" s="84">
        <v>2.9723279731897506E-2</v>
      </c>
      <c r="W362" s="84">
        <v>4.3080861250000005E-2</v>
      </c>
      <c r="Z362" s="34"/>
      <c r="AA362" s="7"/>
      <c r="AB362" s="34"/>
    </row>
    <row r="363" spans="1:28" ht="13.35" hidden="1" customHeight="1" outlineLevel="3">
      <c r="B363" s="25"/>
      <c r="C363" s="29" t="s">
        <v>804</v>
      </c>
      <c r="D363" s="34"/>
      <c r="E363" s="7"/>
      <c r="F363" s="34"/>
      <c r="G363" s="120" t="s">
        <v>984</v>
      </c>
      <c r="H363" s="34"/>
      <c r="I363" s="7"/>
      <c r="J363" s="34"/>
      <c r="K363" s="36" t="s">
        <v>1346</v>
      </c>
      <c r="L363" s="36" t="s">
        <v>1340</v>
      </c>
      <c r="O363" s="34"/>
      <c r="P363" s="7"/>
      <c r="Q363" s="34"/>
      <c r="R363" s="35" t="s">
        <v>984</v>
      </c>
      <c r="S363" s="34"/>
      <c r="T363" s="7"/>
      <c r="U363" s="34"/>
      <c r="V363" s="84">
        <v>3.4464689000000007E-2</v>
      </c>
      <c r="W363" s="84">
        <v>1.39612518604214E-2</v>
      </c>
      <c r="Z363" s="34"/>
      <c r="AA363" s="7"/>
      <c r="AB363" s="34"/>
    </row>
    <row r="364" spans="1:28" ht="3" hidden="1" customHeight="1" outlineLevel="2">
      <c r="B364" s="29"/>
      <c r="C364" s="29"/>
      <c r="D364" s="34"/>
      <c r="E364" s="7"/>
      <c r="F364" s="34"/>
      <c r="G364" s="120"/>
      <c r="H364" s="34"/>
      <c r="I364" s="7"/>
      <c r="J364" s="34"/>
      <c r="K364" s="76"/>
      <c r="O364" s="34"/>
      <c r="P364" s="7"/>
      <c r="Q364" s="34"/>
      <c r="R364" s="35"/>
      <c r="S364" s="34"/>
      <c r="T364" s="7"/>
      <c r="U364" s="34"/>
      <c r="V364" s="76"/>
      <c r="Z364" s="34"/>
      <c r="AA364" s="7"/>
      <c r="AB364" s="34"/>
    </row>
    <row r="365" spans="1:28" s="22" customFormat="1" hidden="1" outlineLevel="2" collapsed="1">
      <c r="B365" s="23" t="s">
        <v>873</v>
      </c>
      <c r="C365" s="23"/>
      <c r="D365" s="9"/>
      <c r="E365" s="7"/>
      <c r="F365" s="9"/>
      <c r="G365" s="125">
        <f>SUM(K365:N365)</f>
        <v>11</v>
      </c>
      <c r="H365" s="9"/>
      <c r="I365" s="7"/>
      <c r="J365" s="9"/>
      <c r="K365" s="72">
        <f>COUNTA(K366:K373)</f>
        <v>3</v>
      </c>
      <c r="L365" s="72">
        <f>COUNTA(L366:L373)</f>
        <v>7</v>
      </c>
      <c r="M365" s="72">
        <f>COUNTA(M366:M373)</f>
        <v>1</v>
      </c>
      <c r="N365" s="72">
        <f>COUNTA(N366:N373)</f>
        <v>0</v>
      </c>
      <c r="O365" s="9"/>
      <c r="P365" s="7"/>
      <c r="Q365" s="9"/>
      <c r="R365" s="24">
        <f>SUM(V365:Y365)</f>
        <v>0.23400000000000004</v>
      </c>
      <c r="S365" s="9"/>
      <c r="T365" s="7"/>
      <c r="U365" s="9"/>
      <c r="V365" s="82">
        <f>SUM(V366:V373)</f>
        <v>0.08</v>
      </c>
      <c r="W365" s="82">
        <f>SUM(W366:W373)</f>
        <v>0.14400000000000002</v>
      </c>
      <c r="X365" s="82">
        <f>SUM(X366:X373)</f>
        <v>0.01</v>
      </c>
      <c r="Y365" s="82">
        <f>SUM(Y366:Y373)</f>
        <v>0</v>
      </c>
      <c r="Z365" s="9"/>
      <c r="AA365" s="7"/>
      <c r="AB365" s="9"/>
    </row>
    <row r="366" spans="1:28" ht="13.35" hidden="1" customHeight="1" outlineLevel="3">
      <c r="B366" s="25" t="s">
        <v>29</v>
      </c>
      <c r="C366" s="37" t="s">
        <v>873</v>
      </c>
      <c r="D366" s="34"/>
      <c r="E366" s="7"/>
      <c r="F366" s="34"/>
      <c r="G366" s="120" t="s">
        <v>976</v>
      </c>
      <c r="H366" s="34"/>
      <c r="I366" s="7"/>
      <c r="J366" s="34"/>
      <c r="K366" s="36" t="s">
        <v>1347</v>
      </c>
      <c r="L366" s="36" t="s">
        <v>1348</v>
      </c>
      <c r="O366" s="34"/>
      <c r="P366" s="7"/>
      <c r="Q366" s="34"/>
      <c r="R366" s="35" t="s">
        <v>976</v>
      </c>
      <c r="S366" s="34"/>
      <c r="T366" s="7"/>
      <c r="U366" s="34"/>
      <c r="V366" s="36">
        <v>0.04</v>
      </c>
      <c r="W366" s="36">
        <v>7.0000000000000007E-2</v>
      </c>
      <c r="Z366" s="34"/>
      <c r="AA366" s="7"/>
      <c r="AB366" s="34"/>
    </row>
    <row r="367" spans="1:28" ht="13.35" hidden="1" customHeight="1" outlineLevel="3">
      <c r="C367" s="38"/>
      <c r="E367" s="7"/>
      <c r="G367" s="15"/>
      <c r="I367" s="7"/>
      <c r="M367" s="75"/>
      <c r="P367" s="7"/>
      <c r="S367" s="6"/>
      <c r="T367" s="7"/>
      <c r="U367" s="6"/>
      <c r="X367" s="75"/>
      <c r="AA367" s="7"/>
    </row>
    <row r="368" spans="1:28" ht="13.35" hidden="1" customHeight="1" outlineLevel="3">
      <c r="B368" s="25" t="s">
        <v>29</v>
      </c>
      <c r="C368" s="37" t="s">
        <v>101</v>
      </c>
      <c r="D368" s="34"/>
      <c r="E368" s="7"/>
      <c r="F368" s="34"/>
      <c r="G368" s="120" t="s">
        <v>976</v>
      </c>
      <c r="H368" s="34"/>
      <c r="I368" s="7"/>
      <c r="J368" s="34"/>
      <c r="K368" s="36"/>
      <c r="L368" s="36" t="s">
        <v>1349</v>
      </c>
      <c r="M368" s="36" t="s">
        <v>1350</v>
      </c>
      <c r="O368" s="34"/>
      <c r="P368" s="7"/>
      <c r="Q368" s="34"/>
      <c r="R368" s="35" t="s">
        <v>976</v>
      </c>
      <c r="S368" s="34"/>
      <c r="T368" s="7"/>
      <c r="U368" s="34"/>
      <c r="V368" s="36"/>
      <c r="W368" s="36">
        <v>1E-3</v>
      </c>
      <c r="X368" s="36">
        <v>0.01</v>
      </c>
      <c r="Z368" s="34"/>
      <c r="AA368" s="7"/>
      <c r="AB368" s="34"/>
    </row>
    <row r="369" spans="2:28" ht="13.35" hidden="1" customHeight="1" outlineLevel="3">
      <c r="B369" s="25" t="s">
        <v>29</v>
      </c>
      <c r="C369" s="37" t="s">
        <v>101</v>
      </c>
      <c r="D369" s="34"/>
      <c r="E369" s="7"/>
      <c r="F369" s="34"/>
      <c r="G369" s="120" t="s">
        <v>976</v>
      </c>
      <c r="H369" s="34"/>
      <c r="I369" s="7"/>
      <c r="J369" s="34"/>
      <c r="K369" s="36"/>
      <c r="L369" s="36" t="s">
        <v>1351</v>
      </c>
      <c r="O369" s="34"/>
      <c r="P369" s="7"/>
      <c r="Q369" s="34"/>
      <c r="R369" s="35" t="s">
        <v>976</v>
      </c>
      <c r="S369" s="34"/>
      <c r="T369" s="7"/>
      <c r="U369" s="34"/>
      <c r="V369" s="36"/>
      <c r="W369" s="36">
        <v>1E-3</v>
      </c>
      <c r="Z369" s="34"/>
      <c r="AA369" s="7"/>
      <c r="AB369" s="34"/>
    </row>
    <row r="370" spans="2:28" ht="13.35" hidden="1" customHeight="1" outlineLevel="3">
      <c r="B370" s="25" t="s">
        <v>29</v>
      </c>
      <c r="C370" s="37" t="s">
        <v>101</v>
      </c>
      <c r="D370" s="34"/>
      <c r="E370" s="7"/>
      <c r="F370" s="34"/>
      <c r="G370" s="120" t="s">
        <v>976</v>
      </c>
      <c r="H370" s="34"/>
      <c r="I370" s="7"/>
      <c r="J370" s="34"/>
      <c r="K370" s="36"/>
      <c r="L370" s="36" t="s">
        <v>1352</v>
      </c>
      <c r="O370" s="34"/>
      <c r="P370" s="7"/>
      <c r="Q370" s="34"/>
      <c r="R370" s="35" t="s">
        <v>976</v>
      </c>
      <c r="S370" s="34"/>
      <c r="T370" s="7"/>
      <c r="U370" s="34"/>
      <c r="V370" s="36"/>
      <c r="W370" s="36">
        <v>1E-3</v>
      </c>
      <c r="Z370" s="34"/>
      <c r="AA370" s="7"/>
      <c r="AB370" s="34"/>
    </row>
    <row r="371" spans="2:28" ht="13.35" hidden="1" customHeight="1" outlineLevel="3">
      <c r="B371" s="25" t="s">
        <v>29</v>
      </c>
      <c r="C371" s="37" t="s">
        <v>101</v>
      </c>
      <c r="D371" s="34"/>
      <c r="E371" s="7"/>
      <c r="F371" s="34"/>
      <c r="G371" s="120" t="s">
        <v>976</v>
      </c>
      <c r="H371" s="34"/>
      <c r="I371" s="7"/>
      <c r="J371" s="34"/>
      <c r="K371" s="36" t="s">
        <v>131</v>
      </c>
      <c r="L371" s="36" t="s">
        <v>1353</v>
      </c>
      <c r="O371" s="34"/>
      <c r="P371" s="7"/>
      <c r="Q371" s="34"/>
      <c r="R371" s="35" t="s">
        <v>976</v>
      </c>
      <c r="S371" s="34"/>
      <c r="T371" s="7"/>
      <c r="U371" s="34"/>
      <c r="V371" s="36">
        <v>0.02</v>
      </c>
      <c r="W371" s="36">
        <v>1E-3</v>
      </c>
      <c r="Z371" s="34"/>
      <c r="AA371" s="7"/>
      <c r="AB371" s="34"/>
    </row>
    <row r="372" spans="2:28" ht="13.35" hidden="1" customHeight="1" outlineLevel="3">
      <c r="B372" s="25" t="s">
        <v>29</v>
      </c>
      <c r="C372" s="37" t="s">
        <v>101</v>
      </c>
      <c r="D372" s="34"/>
      <c r="E372" s="7"/>
      <c r="F372" s="34"/>
      <c r="G372" s="120" t="s">
        <v>976</v>
      </c>
      <c r="H372" s="34"/>
      <c r="I372" s="7"/>
      <c r="J372" s="34"/>
      <c r="K372" s="36" t="s">
        <v>132</v>
      </c>
      <c r="L372" s="36" t="s">
        <v>133</v>
      </c>
      <c r="O372" s="34"/>
      <c r="P372" s="7"/>
      <c r="Q372" s="34"/>
      <c r="R372" s="35" t="s">
        <v>976</v>
      </c>
      <c r="S372" s="34"/>
      <c r="T372" s="7"/>
      <c r="U372" s="34"/>
      <c r="V372" s="36">
        <v>0.02</v>
      </c>
      <c r="W372" s="36">
        <v>0.02</v>
      </c>
      <c r="Z372" s="34"/>
      <c r="AA372" s="7"/>
      <c r="AB372" s="34"/>
    </row>
    <row r="373" spans="2:28" ht="13.35" hidden="1" customHeight="1" outlineLevel="3">
      <c r="B373" s="25" t="s">
        <v>29</v>
      </c>
      <c r="C373" s="37" t="s">
        <v>101</v>
      </c>
      <c r="D373" s="34"/>
      <c r="E373" s="7"/>
      <c r="F373" s="34"/>
      <c r="G373" s="120" t="s">
        <v>976</v>
      </c>
      <c r="H373" s="34"/>
      <c r="I373" s="7"/>
      <c r="J373" s="34"/>
      <c r="K373" s="75"/>
      <c r="L373" s="36" t="s">
        <v>134</v>
      </c>
      <c r="O373" s="34"/>
      <c r="P373" s="7"/>
      <c r="Q373" s="34"/>
      <c r="R373" s="35" t="s">
        <v>976</v>
      </c>
      <c r="S373" s="34"/>
      <c r="T373" s="7"/>
      <c r="U373" s="34"/>
      <c r="V373" s="75"/>
      <c r="W373" s="36">
        <v>0.05</v>
      </c>
      <c r="Z373" s="34"/>
      <c r="AA373" s="7"/>
      <c r="AB373" s="34"/>
    </row>
    <row r="374" spans="2:28" ht="3" hidden="1" customHeight="1" outlineLevel="2">
      <c r="B374" s="29"/>
      <c r="C374" s="30"/>
      <c r="D374" s="27"/>
      <c r="E374" s="7"/>
      <c r="F374" s="27"/>
      <c r="G374" s="120"/>
      <c r="H374" s="27"/>
      <c r="I374" s="7"/>
      <c r="J374" s="27"/>
      <c r="K374" s="76"/>
      <c r="O374" s="27"/>
      <c r="P374" s="7"/>
      <c r="Q374" s="27"/>
      <c r="R374" s="28"/>
      <c r="S374" s="27"/>
      <c r="T374" s="7"/>
      <c r="U374" s="27"/>
      <c r="V374" s="76"/>
      <c r="Z374" s="27"/>
      <c r="AA374" s="7"/>
      <c r="AB374" s="27"/>
    </row>
    <row r="375" spans="2:28" s="22" customFormat="1" hidden="1" outlineLevel="2" collapsed="1">
      <c r="B375" s="23" t="s">
        <v>1112</v>
      </c>
      <c r="C375" s="23"/>
      <c r="D375" s="9"/>
      <c r="E375" s="7"/>
      <c r="F375" s="9"/>
      <c r="G375" s="125">
        <f>SUM(K375:N375)</f>
        <v>2</v>
      </c>
      <c r="H375" s="9"/>
      <c r="I375" s="7"/>
      <c r="J375" s="9"/>
      <c r="K375" s="72">
        <f>COUNTA(K376:K377)</f>
        <v>2</v>
      </c>
      <c r="L375" s="72">
        <f>COUNTA(L376:L377)</f>
        <v>0</v>
      </c>
      <c r="M375" s="72">
        <f>COUNTA(M376:M377)</f>
        <v>0</v>
      </c>
      <c r="N375" s="72">
        <f>COUNTA(N376:N377)</f>
        <v>0</v>
      </c>
      <c r="O375" s="9"/>
      <c r="P375" s="7"/>
      <c r="Q375" s="9"/>
      <c r="R375" s="24">
        <f>SUM(V375:Y375)</f>
        <v>0</v>
      </c>
      <c r="S375" s="9"/>
      <c r="T375" s="7"/>
      <c r="U375" s="9"/>
      <c r="V375" s="82">
        <f>SUM(V376:V377)</f>
        <v>0</v>
      </c>
      <c r="W375" s="72">
        <f>SUM(W376:W377)</f>
        <v>0</v>
      </c>
      <c r="X375" s="72">
        <f>SUM(X376:X377)</f>
        <v>0</v>
      </c>
      <c r="Y375" s="72">
        <f>SUM(Y376:Y377)</f>
        <v>0</v>
      </c>
      <c r="Z375" s="9"/>
      <c r="AA375" s="7"/>
      <c r="AB375" s="9"/>
    </row>
    <row r="376" spans="2:28" ht="13.35" hidden="1" customHeight="1" outlineLevel="3">
      <c r="B376" s="25" t="s">
        <v>29</v>
      </c>
      <c r="C376" s="30" t="s">
        <v>1240</v>
      </c>
      <c r="D376" s="34"/>
      <c r="E376" s="7"/>
      <c r="F376" s="34"/>
      <c r="G376" s="120" t="s">
        <v>976</v>
      </c>
      <c r="H376" s="34"/>
      <c r="I376" s="7"/>
      <c r="J376" s="34"/>
      <c r="K376" s="36" t="s">
        <v>1241</v>
      </c>
      <c r="O376" s="34"/>
      <c r="P376" s="7"/>
      <c r="Q376" s="34"/>
      <c r="R376" s="35" t="s">
        <v>976</v>
      </c>
      <c r="S376" s="34"/>
      <c r="T376" s="7"/>
      <c r="U376" s="34"/>
      <c r="V376" s="76"/>
      <c r="W376" s="76"/>
      <c r="Z376" s="34"/>
      <c r="AA376" s="7"/>
      <c r="AB376" s="34"/>
    </row>
    <row r="377" spans="2:28" ht="13.35" hidden="1" customHeight="1" outlineLevel="3">
      <c r="B377" s="25" t="s">
        <v>29</v>
      </c>
      <c r="C377" s="30" t="s">
        <v>1242</v>
      </c>
      <c r="D377" s="34"/>
      <c r="E377" s="7"/>
      <c r="F377" s="34"/>
      <c r="G377" s="120" t="s">
        <v>976</v>
      </c>
      <c r="H377" s="34"/>
      <c r="I377" s="7"/>
      <c r="J377" s="34"/>
      <c r="K377" s="36" t="s">
        <v>1241</v>
      </c>
      <c r="O377" s="34"/>
      <c r="P377" s="7"/>
      <c r="Q377" s="34"/>
      <c r="R377" s="35" t="s">
        <v>976</v>
      </c>
      <c r="S377" s="34"/>
      <c r="T377" s="7"/>
      <c r="U377" s="34"/>
      <c r="V377" s="76"/>
      <c r="Z377" s="34"/>
      <c r="AA377" s="7"/>
      <c r="AB377" s="34"/>
    </row>
    <row r="378" spans="2:28" ht="3" hidden="1" customHeight="1" outlineLevel="2">
      <c r="B378" s="29"/>
      <c r="C378" s="29"/>
      <c r="D378" s="34"/>
      <c r="E378" s="7"/>
      <c r="F378" s="34"/>
      <c r="G378" s="120"/>
      <c r="H378" s="34"/>
      <c r="I378" s="7"/>
      <c r="J378" s="34"/>
      <c r="K378" s="76"/>
      <c r="O378" s="34"/>
      <c r="P378" s="7"/>
      <c r="Q378" s="34"/>
      <c r="R378" s="35"/>
      <c r="S378" s="34"/>
      <c r="T378" s="7"/>
      <c r="U378" s="34"/>
      <c r="V378" s="76"/>
      <c r="Z378" s="34"/>
      <c r="AA378" s="7"/>
      <c r="AB378" s="34"/>
    </row>
    <row r="379" spans="2:28" s="22" customFormat="1" hidden="1" outlineLevel="2" collapsed="1">
      <c r="B379" s="23" t="s">
        <v>765</v>
      </c>
      <c r="C379" s="23"/>
      <c r="D379" s="9"/>
      <c r="E379" s="7"/>
      <c r="F379" s="9"/>
      <c r="G379" s="125">
        <f>SUM(K379:N379)</f>
        <v>14</v>
      </c>
      <c r="H379" s="9"/>
      <c r="I379" s="7"/>
      <c r="J379" s="9"/>
      <c r="K379" s="72">
        <f>COUNTA(K380:K391)</f>
        <v>4</v>
      </c>
      <c r="L379" s="72">
        <f>COUNTA(L380:L391)</f>
        <v>3</v>
      </c>
      <c r="M379" s="72">
        <f>COUNTA(M380:M391)</f>
        <v>2</v>
      </c>
      <c r="N379" s="72">
        <f>COUNTA(N380:N391)</f>
        <v>5</v>
      </c>
      <c r="O379" s="9"/>
      <c r="P379" s="7"/>
      <c r="Q379" s="9"/>
      <c r="R379" s="83">
        <f>SUM(V379:Y379)</f>
        <v>0.64268974663924849</v>
      </c>
      <c r="S379" s="153"/>
      <c r="T379" s="154"/>
      <c r="U379" s="153"/>
      <c r="V379" s="82">
        <f>SUM(V380:V391)</f>
        <v>0.24835150207682696</v>
      </c>
      <c r="W379" s="82">
        <f>SUM(W380:W391)</f>
        <v>8.2120372598242494E-2</v>
      </c>
      <c r="X379" s="82">
        <f>SUM(X380:X391)</f>
        <v>3.0443224782089547E-2</v>
      </c>
      <c r="Y379" s="82">
        <f>SUM(Y380:Y391)</f>
        <v>0.28177464718208955</v>
      </c>
      <c r="Z379" s="9"/>
      <c r="AA379" s="7"/>
      <c r="AB379" s="9"/>
    </row>
    <row r="380" spans="2:28" ht="13.35" hidden="1" customHeight="1" outlineLevel="3">
      <c r="C380" s="26" t="s">
        <v>766</v>
      </c>
      <c r="D380" s="34"/>
      <c r="E380" s="7"/>
      <c r="G380" s="121" t="s">
        <v>976</v>
      </c>
      <c r="I380" s="7"/>
      <c r="K380" s="128"/>
      <c r="L380" s="127" t="s">
        <v>1241</v>
      </c>
      <c r="M380" s="128"/>
      <c r="N380" s="128"/>
      <c r="P380" s="7"/>
      <c r="R380" s="39" t="s">
        <v>976</v>
      </c>
      <c r="S380" s="6"/>
      <c r="T380" s="7"/>
      <c r="U380" s="6"/>
      <c r="V380" s="87"/>
      <c r="W380" s="87">
        <v>5.307726488026402E-2</v>
      </c>
      <c r="X380" s="87"/>
      <c r="Y380" s="87"/>
      <c r="AA380" s="7"/>
    </row>
    <row r="381" spans="2:28" ht="13.35" hidden="1" customHeight="1" outlineLevel="3">
      <c r="B381" s="29"/>
      <c r="C381" s="26"/>
      <c r="D381" s="34"/>
      <c r="E381" s="7"/>
      <c r="F381" s="34"/>
      <c r="G381" s="121"/>
      <c r="H381" s="34"/>
      <c r="I381" s="7"/>
      <c r="J381" s="34"/>
      <c r="K381" s="128"/>
      <c r="L381" s="128"/>
      <c r="M381" s="128"/>
      <c r="N381" s="128"/>
      <c r="O381" s="34"/>
      <c r="P381" s="7"/>
      <c r="Q381" s="34"/>
      <c r="R381" s="39"/>
      <c r="S381" s="34"/>
      <c r="T381" s="7"/>
      <c r="U381" s="34"/>
      <c r="V381" s="87"/>
      <c r="W381" s="87"/>
      <c r="X381" s="87"/>
      <c r="Y381" s="87"/>
      <c r="Z381" s="34"/>
      <c r="AA381" s="7"/>
      <c r="AB381" s="34"/>
    </row>
    <row r="382" spans="2:28" ht="13.35" hidden="1" customHeight="1" outlineLevel="3">
      <c r="B382" s="29"/>
      <c r="C382" s="26" t="s">
        <v>768</v>
      </c>
      <c r="D382" s="34"/>
      <c r="E382" s="7"/>
      <c r="F382" s="34"/>
      <c r="G382" s="121" t="s">
        <v>976</v>
      </c>
      <c r="H382" s="34"/>
      <c r="I382" s="7"/>
      <c r="J382" s="34"/>
      <c r="K382" s="129"/>
      <c r="L382" s="127" t="s">
        <v>1241</v>
      </c>
      <c r="M382" s="128"/>
      <c r="N382" s="128"/>
      <c r="O382" s="34"/>
      <c r="P382" s="7"/>
      <c r="Q382" s="34"/>
      <c r="R382" s="39" t="s">
        <v>976</v>
      </c>
      <c r="S382" s="34"/>
      <c r="T382" s="7"/>
      <c r="U382" s="34"/>
      <c r="V382" s="87"/>
      <c r="W382" s="87">
        <v>2.2485241204762269E-2</v>
      </c>
      <c r="X382" s="87"/>
      <c r="Y382" s="87"/>
      <c r="Z382" s="34"/>
      <c r="AA382" s="7"/>
      <c r="AB382" s="34"/>
    </row>
    <row r="383" spans="2:28" ht="13.35" hidden="1" customHeight="1" outlineLevel="3">
      <c r="B383" s="29"/>
      <c r="C383" s="26"/>
      <c r="D383" s="34"/>
      <c r="E383" s="7"/>
      <c r="F383" s="34"/>
      <c r="G383" s="121"/>
      <c r="H383" s="34"/>
      <c r="I383" s="7"/>
      <c r="J383" s="34"/>
      <c r="K383" s="128"/>
      <c r="L383" s="128"/>
      <c r="M383" s="128"/>
      <c r="N383" s="128"/>
      <c r="O383" s="34"/>
      <c r="P383" s="7"/>
      <c r="Q383" s="34"/>
      <c r="R383" s="39"/>
      <c r="S383" s="34"/>
      <c r="T383" s="7"/>
      <c r="U383" s="34"/>
      <c r="V383" s="87"/>
      <c r="W383" s="87"/>
      <c r="X383" s="87"/>
      <c r="Y383" s="87"/>
      <c r="Z383" s="34"/>
      <c r="AA383" s="7"/>
      <c r="AB383" s="34"/>
    </row>
    <row r="384" spans="2:28" ht="13.35" hidden="1" customHeight="1" outlineLevel="3">
      <c r="B384" s="29"/>
      <c r="C384" s="26" t="s">
        <v>769</v>
      </c>
      <c r="D384" s="34"/>
      <c r="E384" s="7"/>
      <c r="F384" s="34"/>
      <c r="G384" s="121" t="s">
        <v>976</v>
      </c>
      <c r="H384" s="34"/>
      <c r="I384" s="7"/>
      <c r="J384" s="34"/>
      <c r="K384" s="127" t="s">
        <v>991</v>
      </c>
      <c r="L384" s="128"/>
      <c r="M384" s="127" t="s">
        <v>1354</v>
      </c>
      <c r="N384" s="128"/>
      <c r="O384" s="34"/>
      <c r="P384" s="7"/>
      <c r="Q384" s="34"/>
      <c r="R384" s="39" t="s">
        <v>976</v>
      </c>
      <c r="S384" s="34"/>
      <c r="T384" s="7"/>
      <c r="U384" s="34"/>
      <c r="V384" s="87">
        <v>6.5578665132162012E-3</v>
      </c>
      <c r="W384" s="87"/>
      <c r="X384" s="87">
        <v>7.8694398158594414E-3</v>
      </c>
      <c r="Y384" s="87"/>
      <c r="Z384" s="34"/>
      <c r="AA384" s="7"/>
      <c r="AB384" s="34"/>
    </row>
    <row r="385" spans="1:28" ht="13.35" hidden="1" customHeight="1" outlineLevel="3">
      <c r="B385" s="29"/>
      <c r="C385" s="26" t="s">
        <v>769</v>
      </c>
      <c r="D385" s="34"/>
      <c r="E385" s="7"/>
      <c r="F385" s="34"/>
      <c r="G385" s="121" t="s">
        <v>976</v>
      </c>
      <c r="H385" s="34"/>
      <c r="I385" s="7"/>
      <c r="J385" s="34"/>
      <c r="K385" s="129"/>
      <c r="L385" s="128"/>
      <c r="M385" s="127" t="s">
        <v>1340</v>
      </c>
      <c r="N385" s="128"/>
      <c r="O385" s="34"/>
      <c r="P385" s="7"/>
      <c r="Q385" s="34"/>
      <c r="R385" s="39" t="s">
        <v>976</v>
      </c>
      <c r="S385" s="34"/>
      <c r="T385" s="7"/>
      <c r="U385" s="34"/>
      <c r="V385" s="87"/>
      <c r="W385" s="87"/>
      <c r="X385" s="87">
        <v>2.2573784966230106E-2</v>
      </c>
      <c r="Y385" s="87"/>
      <c r="Z385" s="34"/>
      <c r="AA385" s="7"/>
      <c r="AB385" s="34"/>
    </row>
    <row r="386" spans="1:28" ht="13.35" hidden="1" customHeight="1" outlineLevel="3">
      <c r="B386" s="29"/>
      <c r="C386" s="26"/>
      <c r="D386" s="34"/>
      <c r="E386" s="7"/>
      <c r="F386" s="34"/>
      <c r="G386" s="121"/>
      <c r="H386" s="34"/>
      <c r="I386" s="7"/>
      <c r="J386" s="34"/>
      <c r="K386" s="128"/>
      <c r="L386" s="128"/>
      <c r="M386" s="128"/>
      <c r="N386" s="128"/>
      <c r="O386" s="34"/>
      <c r="P386" s="7"/>
      <c r="Q386" s="34"/>
      <c r="R386" s="39"/>
      <c r="S386" s="34"/>
      <c r="T386" s="7"/>
      <c r="U386" s="34"/>
      <c r="V386" s="87"/>
      <c r="W386" s="87"/>
      <c r="X386" s="87"/>
      <c r="Y386" s="87"/>
      <c r="Z386" s="34"/>
      <c r="AA386" s="7"/>
      <c r="AB386" s="34"/>
    </row>
    <row r="387" spans="1:28" ht="13.35" hidden="1" customHeight="1" outlineLevel="3">
      <c r="B387" s="29"/>
      <c r="C387" s="90" t="s">
        <v>1246</v>
      </c>
      <c r="D387" s="34"/>
      <c r="E387" s="7"/>
      <c r="F387" s="34"/>
      <c r="G387" s="121" t="s">
        <v>976</v>
      </c>
      <c r="H387" s="34"/>
      <c r="I387" s="7"/>
      <c r="J387" s="34"/>
      <c r="K387" s="127" t="s">
        <v>32</v>
      </c>
      <c r="L387" s="127" t="s">
        <v>34</v>
      </c>
      <c r="M387" s="128"/>
      <c r="N387" s="128" t="s">
        <v>1262</v>
      </c>
      <c r="O387" s="34"/>
      <c r="P387" s="7"/>
      <c r="Q387" s="34"/>
      <c r="R387" s="39" t="s">
        <v>976</v>
      </c>
      <c r="S387" s="34"/>
      <c r="T387" s="7"/>
      <c r="U387" s="34"/>
      <c r="V387" s="87">
        <v>4.5147569932460212E-2</v>
      </c>
      <c r="W387" s="87">
        <v>6.5578665132162012E-3</v>
      </c>
      <c r="X387" s="87"/>
      <c r="Y387" s="87">
        <v>8.3777140799999997E-2</v>
      </c>
      <c r="Z387" s="34"/>
      <c r="AA387" s="7"/>
      <c r="AB387" s="34"/>
    </row>
    <row r="388" spans="1:28" ht="13.35" hidden="1" customHeight="1" outlineLevel="3">
      <c r="B388" s="29"/>
      <c r="C388" s="90" t="s">
        <v>1246</v>
      </c>
      <c r="D388" s="34"/>
      <c r="E388" s="7"/>
      <c r="F388" s="34"/>
      <c r="G388" s="121" t="s">
        <v>976</v>
      </c>
      <c r="H388" s="34"/>
      <c r="I388" s="7"/>
      <c r="J388" s="34"/>
      <c r="K388" s="127" t="s">
        <v>33</v>
      </c>
      <c r="L388" s="128"/>
      <c r="M388" s="128"/>
      <c r="N388" s="128" t="s">
        <v>1265</v>
      </c>
      <c r="O388" s="34"/>
      <c r="P388" s="7"/>
      <c r="Q388" s="34"/>
      <c r="R388" s="39" t="s">
        <v>976</v>
      </c>
      <c r="S388" s="34"/>
      <c r="T388" s="7"/>
      <c r="U388" s="34"/>
      <c r="V388" s="87">
        <v>6.7721354898690314E-2</v>
      </c>
      <c r="W388" s="87"/>
      <c r="X388" s="87"/>
      <c r="Y388" s="87">
        <v>8.3777140799999997E-2</v>
      </c>
      <c r="Z388" s="34"/>
      <c r="AA388" s="7"/>
      <c r="AB388" s="34"/>
    </row>
    <row r="389" spans="1:28" ht="13.35" hidden="1" customHeight="1" outlineLevel="3">
      <c r="B389" s="29"/>
      <c r="C389" s="90" t="s">
        <v>1246</v>
      </c>
      <c r="D389" s="34"/>
      <c r="E389" s="7"/>
      <c r="F389" s="34"/>
      <c r="G389" s="121" t="s">
        <v>976</v>
      </c>
      <c r="H389" s="34"/>
      <c r="I389" s="7"/>
      <c r="J389" s="34"/>
      <c r="K389" s="127" t="s">
        <v>335</v>
      </c>
      <c r="L389" s="128"/>
      <c r="M389" s="128"/>
      <c r="N389" s="128" t="s">
        <v>129</v>
      </c>
      <c r="O389" s="34"/>
      <c r="P389" s="7"/>
      <c r="Q389" s="34"/>
      <c r="R389" s="39" t="s">
        <v>976</v>
      </c>
      <c r="S389" s="34"/>
      <c r="T389" s="7"/>
      <c r="U389" s="34"/>
      <c r="V389" s="87">
        <v>2.2573784966230106E-2</v>
      </c>
      <c r="W389" s="87"/>
      <c r="X389" s="87"/>
      <c r="Y389" s="87">
        <v>8.3777140799999997E-2</v>
      </c>
      <c r="Z389" s="34"/>
      <c r="AA389" s="7"/>
      <c r="AB389" s="34"/>
    </row>
    <row r="390" spans="1:28" ht="13.35" hidden="1" customHeight="1" outlineLevel="3">
      <c r="B390" s="29"/>
      <c r="C390" s="90" t="s">
        <v>1246</v>
      </c>
      <c r="D390" s="34"/>
      <c r="E390" s="7"/>
      <c r="F390" s="34"/>
      <c r="G390" s="121" t="s">
        <v>976</v>
      </c>
      <c r="H390" s="34"/>
      <c r="I390" s="7"/>
      <c r="J390" s="34"/>
      <c r="K390" s="127"/>
      <c r="L390" s="128"/>
      <c r="M390" s="128"/>
      <c r="N390" s="128" t="s">
        <v>1354</v>
      </c>
      <c r="O390" s="34"/>
      <c r="P390" s="7"/>
      <c r="Q390" s="34"/>
      <c r="R390" s="39" t="s">
        <v>976</v>
      </c>
      <c r="S390" s="34"/>
      <c r="T390" s="7"/>
      <c r="U390" s="34"/>
      <c r="V390" s="87">
        <v>8.3777140799999997E-2</v>
      </c>
      <c r="W390" s="87"/>
      <c r="X390" s="87"/>
      <c r="Y390" s="87">
        <v>7.8694398158594414E-3</v>
      </c>
      <c r="Z390" s="34"/>
      <c r="AA390" s="7"/>
      <c r="AB390" s="34"/>
    </row>
    <row r="391" spans="1:28" ht="13.35" hidden="1" customHeight="1" outlineLevel="3">
      <c r="B391" s="29"/>
      <c r="C391" s="90" t="s">
        <v>1246</v>
      </c>
      <c r="D391" s="34"/>
      <c r="E391" s="7"/>
      <c r="F391" s="34"/>
      <c r="G391" s="121" t="s">
        <v>976</v>
      </c>
      <c r="H391" s="34"/>
      <c r="I391" s="7"/>
      <c r="J391" s="34"/>
      <c r="K391" s="128"/>
      <c r="L391" s="128"/>
      <c r="M391" s="128"/>
      <c r="N391" s="128" t="s">
        <v>1355</v>
      </c>
      <c r="O391" s="34"/>
      <c r="P391" s="7"/>
      <c r="Q391" s="34"/>
      <c r="R391" s="39" t="s">
        <v>976</v>
      </c>
      <c r="S391" s="34"/>
      <c r="T391" s="7"/>
      <c r="U391" s="34"/>
      <c r="V391" s="87">
        <v>2.2573784966230106E-2</v>
      </c>
      <c r="W391" s="87"/>
      <c r="X391" s="87"/>
      <c r="Y391" s="87">
        <v>2.2573784966230106E-2</v>
      </c>
      <c r="Z391" s="34"/>
      <c r="AA391" s="7"/>
      <c r="AB391" s="34"/>
    </row>
    <row r="392" spans="1:28" ht="3" hidden="1" customHeight="1" outlineLevel="2">
      <c r="B392" s="29"/>
      <c r="C392" s="29"/>
      <c r="D392" s="34"/>
      <c r="E392" s="7"/>
      <c r="F392" s="34"/>
      <c r="G392" s="119"/>
      <c r="H392" s="34"/>
      <c r="I392" s="7"/>
      <c r="J392" s="34"/>
      <c r="K392" s="76"/>
      <c r="O392" s="34"/>
      <c r="P392" s="7"/>
      <c r="Q392" s="34"/>
      <c r="R392" s="34"/>
      <c r="S392" s="34"/>
      <c r="T392" s="7"/>
      <c r="U392" s="34"/>
      <c r="V392" s="76"/>
      <c r="Z392" s="34"/>
      <c r="AA392" s="7"/>
      <c r="AB392" s="34"/>
    </row>
    <row r="393" spans="1:28" s="22" customFormat="1" hidden="1" outlineLevel="2" collapsed="1">
      <c r="B393" s="23" t="s">
        <v>921</v>
      </c>
      <c r="C393" s="23"/>
      <c r="D393" s="9"/>
      <c r="E393" s="7"/>
      <c r="F393" s="9"/>
      <c r="G393" s="125">
        <f>SUM(K393:N393)</f>
        <v>1</v>
      </c>
      <c r="H393" s="9"/>
      <c r="I393" s="7"/>
      <c r="J393" s="9"/>
      <c r="K393" s="72">
        <f>COUNTA(K394:K394)</f>
        <v>1</v>
      </c>
      <c r="L393" s="72">
        <f>COUNTA(L394:L394)</f>
        <v>0</v>
      </c>
      <c r="M393" s="72">
        <f>COUNTA(M394:M394)</f>
        <v>0</v>
      </c>
      <c r="N393" s="72">
        <f>COUNTA(N394:N394)</f>
        <v>0</v>
      </c>
      <c r="O393" s="9"/>
      <c r="P393" s="7"/>
      <c r="Q393" s="9"/>
      <c r="R393" s="24">
        <f>SUM(V393:Y393)</f>
        <v>0</v>
      </c>
      <c r="S393" s="9"/>
      <c r="T393" s="7"/>
      <c r="U393" s="9"/>
      <c r="V393" s="72">
        <f>SUM(V394:V394)</f>
        <v>0</v>
      </c>
      <c r="W393" s="72">
        <f>SUM(W394:W394)</f>
        <v>0</v>
      </c>
      <c r="X393" s="72">
        <f>SUM(X394:X394)</f>
        <v>0</v>
      </c>
      <c r="Y393" s="72">
        <f>SUM(Y394:Y394)</f>
        <v>0</v>
      </c>
      <c r="Z393" s="9"/>
      <c r="AA393" s="7"/>
      <c r="AB393" s="9"/>
    </row>
    <row r="394" spans="1:28" ht="13.35" hidden="1" customHeight="1" outlineLevel="3">
      <c r="A394" s="22">
        <v>0</v>
      </c>
      <c r="B394" s="29"/>
      <c r="C394" s="30"/>
      <c r="D394" s="34"/>
      <c r="E394" s="7"/>
      <c r="F394" s="34"/>
      <c r="G394" s="119" t="s">
        <v>976</v>
      </c>
      <c r="H394" s="34"/>
      <c r="I394" s="7"/>
      <c r="J394" s="34"/>
      <c r="K394" s="79" t="s">
        <v>995</v>
      </c>
      <c r="L394" s="43"/>
      <c r="M394" s="41"/>
      <c r="N394" s="33"/>
      <c r="O394" s="34"/>
      <c r="P394" s="7"/>
      <c r="Q394" s="34"/>
      <c r="R394" s="34"/>
      <c r="S394" s="34"/>
      <c r="T394" s="7"/>
      <c r="U394" s="34"/>
      <c r="V394" s="43"/>
      <c r="W394" s="43"/>
      <c r="X394" s="41"/>
      <c r="Y394" s="33"/>
      <c r="Z394" s="34"/>
      <c r="AA394" s="7"/>
      <c r="AB394" s="34"/>
    </row>
    <row r="395" spans="1:28" ht="3" hidden="1" customHeight="1" outlineLevel="2">
      <c r="B395" s="29"/>
      <c r="C395" s="29"/>
      <c r="D395" s="34"/>
      <c r="E395" s="7"/>
      <c r="F395" s="34"/>
      <c r="G395" s="119"/>
      <c r="H395" s="34"/>
      <c r="I395" s="7"/>
      <c r="J395" s="34"/>
      <c r="K395" s="76"/>
      <c r="O395" s="34"/>
      <c r="P395" s="7"/>
      <c r="Q395" s="34"/>
      <c r="R395" s="34"/>
      <c r="S395" s="34"/>
      <c r="T395" s="7"/>
      <c r="U395" s="34"/>
      <c r="V395" s="76"/>
      <c r="Z395" s="34"/>
      <c r="AA395" s="7"/>
      <c r="AB395" s="34"/>
    </row>
    <row r="396" spans="1:28" s="22" customFormat="1" hidden="1" outlineLevel="2" collapsed="1">
      <c r="B396" s="23" t="s">
        <v>996</v>
      </c>
      <c r="C396" s="23"/>
      <c r="D396" s="9"/>
      <c r="E396" s="7"/>
      <c r="F396" s="9"/>
      <c r="G396" s="125">
        <f>SUM(K396:N396)</f>
        <v>1</v>
      </c>
      <c r="H396" s="9"/>
      <c r="I396" s="7"/>
      <c r="J396" s="9"/>
      <c r="K396" s="72">
        <f>COUNTA(K397:K397)</f>
        <v>1</v>
      </c>
      <c r="L396" s="72"/>
      <c r="M396" s="72">
        <f>COUNTA(M397:M397)</f>
        <v>0</v>
      </c>
      <c r="N396" s="72">
        <f>COUNTA(N397:N397)</f>
        <v>0</v>
      </c>
      <c r="O396" s="9"/>
      <c r="P396" s="7"/>
      <c r="Q396" s="9"/>
      <c r="R396" s="24">
        <f>SUM(V396:Y396)</f>
        <v>0</v>
      </c>
      <c r="S396" s="9"/>
      <c r="T396" s="7"/>
      <c r="U396" s="9"/>
      <c r="V396" s="72">
        <f>SUM(V397:V397)</f>
        <v>0</v>
      </c>
      <c r="W396" s="72">
        <f>SUM(W397:W397)</f>
        <v>0</v>
      </c>
      <c r="X396" s="72">
        <f>SUM(X397:X397)</f>
        <v>0</v>
      </c>
      <c r="Y396" s="72">
        <f>SUM(Y397:Y397)</f>
        <v>0</v>
      </c>
      <c r="Z396" s="9"/>
      <c r="AA396" s="7"/>
      <c r="AB396" s="9"/>
    </row>
    <row r="397" spans="1:28" ht="13.35" hidden="1" customHeight="1" outlineLevel="3">
      <c r="B397" s="29"/>
      <c r="C397" s="30"/>
      <c r="D397" s="34"/>
      <c r="E397" s="7"/>
      <c r="F397" s="34"/>
      <c r="G397" s="119" t="s">
        <v>976</v>
      </c>
      <c r="H397" s="34"/>
      <c r="I397" s="7"/>
      <c r="J397" s="34"/>
      <c r="K397" s="43" t="s">
        <v>898</v>
      </c>
      <c r="L397" s="43"/>
      <c r="M397" s="43"/>
      <c r="N397" s="43"/>
      <c r="O397" s="34"/>
      <c r="P397" s="7"/>
      <c r="Q397" s="34"/>
      <c r="R397" s="34"/>
      <c r="S397" s="34"/>
      <c r="T397" s="7"/>
      <c r="U397" s="34"/>
      <c r="V397" s="43"/>
      <c r="W397" s="43"/>
      <c r="X397" s="43"/>
      <c r="Y397" s="43"/>
      <c r="Z397" s="34"/>
      <c r="AA397" s="7"/>
      <c r="AB397" s="34"/>
    </row>
    <row r="398" spans="1:28" ht="3" hidden="1" customHeight="1" outlineLevel="2">
      <c r="B398" s="29"/>
      <c r="C398" s="29"/>
      <c r="D398" s="34"/>
      <c r="E398" s="7"/>
      <c r="F398" s="34"/>
      <c r="G398" s="119"/>
      <c r="H398" s="34"/>
      <c r="I398" s="7"/>
      <c r="J398" s="34"/>
      <c r="K398" s="76"/>
      <c r="O398" s="34"/>
      <c r="P398" s="7"/>
      <c r="Q398" s="34"/>
      <c r="R398" s="34"/>
      <c r="S398" s="34"/>
      <c r="T398" s="7"/>
      <c r="U398" s="34"/>
      <c r="V398" s="76"/>
      <c r="Z398" s="34"/>
      <c r="AA398" s="7"/>
      <c r="AB398" s="34"/>
    </row>
    <row r="399" spans="1:28" s="22" customFormat="1" hidden="1" outlineLevel="2" collapsed="1">
      <c r="B399" s="23" t="s">
        <v>998</v>
      </c>
      <c r="C399" s="23"/>
      <c r="D399" s="9"/>
      <c r="E399" s="7"/>
      <c r="F399" s="9"/>
      <c r="G399" s="125">
        <f>SUM(K399:N399)</f>
        <v>1</v>
      </c>
      <c r="H399" s="9"/>
      <c r="I399" s="7"/>
      <c r="J399" s="9"/>
      <c r="K399" s="72">
        <f>COUNTA(K400:K400)</f>
        <v>1</v>
      </c>
      <c r="L399" s="72">
        <f>COUNTA(L400:L400)</f>
        <v>0</v>
      </c>
      <c r="M399" s="72">
        <f>COUNTA(M400:M400)</f>
        <v>0</v>
      </c>
      <c r="N399" s="72">
        <f>COUNTA(N400:N400)</f>
        <v>0</v>
      </c>
      <c r="O399" s="9"/>
      <c r="P399" s="7"/>
      <c r="Q399" s="9"/>
      <c r="R399" s="24">
        <f>SUM(V399:Y399)</f>
        <v>0</v>
      </c>
      <c r="S399" s="9"/>
      <c r="T399" s="7"/>
      <c r="U399" s="9"/>
      <c r="V399" s="72">
        <f>SUM(V400:V400)</f>
        <v>0</v>
      </c>
      <c r="W399" s="72">
        <f>SUM(W400:W400)</f>
        <v>0</v>
      </c>
      <c r="X399" s="72">
        <f>SUM(X400:X400)</f>
        <v>0</v>
      </c>
      <c r="Y399" s="72">
        <f>SUM(Y400:Y400)</f>
        <v>0</v>
      </c>
      <c r="Z399" s="9"/>
      <c r="AA399" s="7"/>
      <c r="AB399" s="9"/>
    </row>
    <row r="400" spans="1:28" ht="13.35" hidden="1" customHeight="1" outlineLevel="3">
      <c r="B400" s="29"/>
      <c r="C400" s="30"/>
      <c r="D400" s="34"/>
      <c r="E400" s="7"/>
      <c r="F400" s="34"/>
      <c r="G400" s="119" t="s">
        <v>976</v>
      </c>
      <c r="H400" s="34"/>
      <c r="I400" s="7"/>
      <c r="J400" s="34"/>
      <c r="K400" s="43" t="s">
        <v>898</v>
      </c>
      <c r="L400" s="43"/>
      <c r="M400" s="43"/>
      <c r="N400" s="43"/>
      <c r="O400" s="34"/>
      <c r="P400" s="7"/>
      <c r="Q400" s="34"/>
      <c r="R400" s="34"/>
      <c r="S400" s="34"/>
      <c r="T400" s="7"/>
      <c r="U400" s="34"/>
      <c r="V400" s="43"/>
      <c r="W400" s="43"/>
      <c r="X400" s="43"/>
      <c r="Y400" s="43"/>
      <c r="Z400" s="34"/>
      <c r="AA400" s="7"/>
      <c r="AB400" s="34"/>
    </row>
    <row r="401" spans="2:29" ht="3" hidden="1" customHeight="1" outlineLevel="2">
      <c r="B401" s="29"/>
      <c r="C401" s="29"/>
      <c r="D401" s="34"/>
      <c r="E401" s="7"/>
      <c r="F401" s="34"/>
      <c r="G401" s="119"/>
      <c r="H401" s="34"/>
      <c r="I401" s="7"/>
      <c r="J401" s="34"/>
      <c r="K401" s="76"/>
      <c r="O401" s="34"/>
      <c r="P401" s="7"/>
      <c r="Q401" s="34"/>
      <c r="R401" s="34"/>
      <c r="S401" s="34"/>
      <c r="T401" s="7"/>
      <c r="U401" s="34"/>
      <c r="V401" s="76"/>
      <c r="Z401" s="34"/>
      <c r="AA401" s="7"/>
      <c r="AB401" s="34"/>
    </row>
    <row r="402" spans="2:29" s="22" customFormat="1" hidden="1" outlineLevel="2" collapsed="1">
      <c r="B402" s="23" t="s">
        <v>858</v>
      </c>
      <c r="C402" s="23"/>
      <c r="D402" s="9"/>
      <c r="E402" s="91"/>
      <c r="F402" s="9"/>
      <c r="G402" s="125">
        <f>SUM(K402:N402)</f>
        <v>12</v>
      </c>
      <c r="H402" s="9"/>
      <c r="I402" s="91"/>
      <c r="J402" s="9"/>
      <c r="K402" s="72">
        <f>COUNTA(K403:K407)</f>
        <v>0</v>
      </c>
      <c r="L402" s="72">
        <f>COUNTA(L403:L407)</f>
        <v>3</v>
      </c>
      <c r="M402" s="72">
        <f>COUNTA(M403:M407)</f>
        <v>5</v>
      </c>
      <c r="N402" s="72">
        <f>COUNTA(N403:N407)</f>
        <v>4</v>
      </c>
      <c r="O402" s="9"/>
      <c r="P402" s="91"/>
      <c r="Q402" s="9"/>
      <c r="R402" s="24">
        <f>SUM(V402:Y402)</f>
        <v>0.15556230323526479</v>
      </c>
      <c r="S402" s="9"/>
      <c r="T402" s="91"/>
      <c r="U402" s="9"/>
      <c r="V402" s="72">
        <f>SUM(V403:V407)</f>
        <v>0</v>
      </c>
      <c r="W402" s="72">
        <f>SUM(W403:W407)</f>
        <v>7.2075381264796873E-2</v>
      </c>
      <c r="X402" s="72">
        <f>SUM(X403:X407)</f>
        <v>7.8241198920343563E-2</v>
      </c>
      <c r="Y402" s="72">
        <f>SUM(Y403:Y407)</f>
        <v>5.2457230501243689E-3</v>
      </c>
      <c r="Z402" s="9"/>
      <c r="AA402" s="91"/>
      <c r="AB402" s="9"/>
      <c r="AC402" s="9"/>
    </row>
    <row r="403" spans="2:29" ht="41.45" hidden="1" outlineLevel="3">
      <c r="B403" s="29"/>
      <c r="C403" s="30" t="s">
        <v>967</v>
      </c>
      <c r="D403" s="9"/>
      <c r="E403" s="91"/>
      <c r="F403" s="9"/>
      <c r="G403" s="119"/>
      <c r="H403" s="9"/>
      <c r="I403" s="91"/>
      <c r="J403" s="9"/>
      <c r="K403" s="145"/>
      <c r="L403" s="145" t="s">
        <v>1356</v>
      </c>
      <c r="M403" s="145" t="s">
        <v>1357</v>
      </c>
      <c r="N403" s="145" t="s">
        <v>1358</v>
      </c>
      <c r="O403" s="9"/>
      <c r="P403" s="91"/>
      <c r="Q403" s="9"/>
      <c r="R403" s="34"/>
      <c r="S403" s="9"/>
      <c r="T403" s="91"/>
      <c r="U403" s="9"/>
      <c r="V403" s="137"/>
      <c r="W403" s="137">
        <v>4.3245228758878124E-2</v>
      </c>
      <c r="X403" s="137">
        <v>1.7008956249999992E-2</v>
      </c>
      <c r="Y403" s="137">
        <v>1.2342877764998513E-3</v>
      </c>
      <c r="Z403" s="9"/>
      <c r="AA403" s="91"/>
      <c r="AB403" s="9"/>
      <c r="AC403" s="9"/>
    </row>
    <row r="404" spans="2:29" ht="41.45" hidden="1" outlineLevel="3">
      <c r="B404" s="29"/>
      <c r="C404" s="30" t="s">
        <v>967</v>
      </c>
      <c r="D404" s="9"/>
      <c r="E404" s="91"/>
      <c r="F404" s="9"/>
      <c r="G404" s="119"/>
      <c r="H404" s="9"/>
      <c r="I404" s="91"/>
      <c r="J404" s="9"/>
      <c r="K404" s="145"/>
      <c r="L404" s="145" t="s">
        <v>1359</v>
      </c>
      <c r="M404" s="145" t="s">
        <v>1360</v>
      </c>
      <c r="N404" s="145" t="s">
        <v>1361</v>
      </c>
      <c r="O404" s="9"/>
      <c r="P404" s="91"/>
      <c r="Q404" s="9"/>
      <c r="R404" s="34"/>
      <c r="S404" s="9"/>
      <c r="T404" s="91"/>
      <c r="U404" s="9"/>
      <c r="V404" s="137"/>
      <c r="W404" s="137">
        <v>1.4415076252959375E-2</v>
      </c>
      <c r="X404" s="137">
        <v>2.0410747499999989E-2</v>
      </c>
      <c r="Y404" s="137">
        <v>1.2342877764998513E-3</v>
      </c>
      <c r="Z404" s="9"/>
      <c r="AA404" s="91"/>
      <c r="AB404" s="9"/>
      <c r="AC404" s="9"/>
    </row>
    <row r="405" spans="2:29" ht="41.45" hidden="1" outlineLevel="3">
      <c r="B405" s="29"/>
      <c r="C405" s="30" t="s">
        <v>967</v>
      </c>
      <c r="D405" s="9"/>
      <c r="E405" s="91"/>
      <c r="F405" s="9"/>
      <c r="G405" s="119"/>
      <c r="H405" s="9"/>
      <c r="I405" s="91"/>
      <c r="J405" s="9"/>
      <c r="K405" s="146"/>
      <c r="L405" s="145" t="s">
        <v>1362</v>
      </c>
      <c r="M405" s="145" t="s">
        <v>1363</v>
      </c>
      <c r="N405" s="145" t="s">
        <v>1364</v>
      </c>
      <c r="O405" s="9"/>
      <c r="P405" s="91"/>
      <c r="Q405" s="9"/>
      <c r="R405" s="34"/>
      <c r="S405" s="9"/>
      <c r="T405" s="91"/>
      <c r="U405" s="9"/>
      <c r="V405" s="137"/>
      <c r="W405" s="137">
        <v>1.4415076252959375E-2</v>
      </c>
      <c r="X405" s="137">
        <v>2.0410747499999989E-2</v>
      </c>
      <c r="Y405" s="137">
        <v>6.1714388824992566E-4</v>
      </c>
      <c r="Z405" s="9"/>
      <c r="AA405" s="91"/>
      <c r="AB405" s="9"/>
      <c r="AC405" s="9"/>
    </row>
    <row r="406" spans="2:29" ht="41.45" hidden="1" outlineLevel="3">
      <c r="B406" s="29"/>
      <c r="C406" s="30" t="s">
        <v>967</v>
      </c>
      <c r="D406" s="9"/>
      <c r="E406" s="91"/>
      <c r="F406" s="9"/>
      <c r="G406" s="119"/>
      <c r="H406" s="9"/>
      <c r="I406" s="91"/>
      <c r="J406" s="9"/>
      <c r="K406" s="139"/>
      <c r="L406" s="139"/>
      <c r="M406" s="145" t="s">
        <v>978</v>
      </c>
      <c r="N406" s="145" t="s">
        <v>1365</v>
      </c>
      <c r="O406" s="9"/>
      <c r="P406" s="91"/>
      <c r="Q406" s="9"/>
      <c r="R406" s="34"/>
      <c r="S406" s="9"/>
      <c r="T406" s="91"/>
      <c r="U406" s="9"/>
      <c r="V406" s="137"/>
      <c r="W406" s="137"/>
      <c r="X406" s="137">
        <v>2.0410747499999989E-2</v>
      </c>
      <c r="Y406" s="137">
        <v>2.1600036088747403E-3</v>
      </c>
      <c r="Z406" s="9"/>
      <c r="AA406" s="91"/>
      <c r="AB406" s="9"/>
      <c r="AC406" s="9"/>
    </row>
    <row r="407" spans="2:29" ht="27.6" hidden="1" outlineLevel="3">
      <c r="B407" s="29"/>
      <c r="C407" s="30" t="s">
        <v>967</v>
      </c>
      <c r="D407" s="9"/>
      <c r="E407" s="91"/>
      <c r="F407" s="9"/>
      <c r="G407" s="119"/>
      <c r="H407" s="9"/>
      <c r="I407" s="91"/>
      <c r="J407" s="9"/>
      <c r="K407" s="139"/>
      <c r="L407" s="139"/>
      <c r="M407" s="145" t="s">
        <v>979</v>
      </c>
      <c r="N407" s="145"/>
      <c r="O407" s="9"/>
      <c r="P407" s="91"/>
      <c r="Q407" s="9"/>
      <c r="R407" s="34"/>
      <c r="S407" s="9"/>
      <c r="T407" s="91"/>
      <c r="U407" s="9"/>
      <c r="V407" s="137"/>
      <c r="W407" s="137"/>
      <c r="X407" s="137">
        <v>1.7034360118010938E-10</v>
      </c>
      <c r="Y407" s="137"/>
      <c r="Z407" s="9"/>
      <c r="AA407" s="91"/>
      <c r="AB407" s="9"/>
      <c r="AC407" s="9"/>
    </row>
    <row r="408" spans="2:29" ht="3" hidden="1" customHeight="1" outlineLevel="2">
      <c r="B408" s="29"/>
      <c r="C408" s="30"/>
      <c r="D408" s="9"/>
      <c r="E408" s="91"/>
      <c r="F408" s="9"/>
      <c r="G408" s="119"/>
      <c r="H408" s="9"/>
      <c r="I408" s="91"/>
      <c r="J408" s="9"/>
      <c r="O408" s="9"/>
      <c r="P408" s="91"/>
      <c r="Q408" s="9"/>
      <c r="R408" s="34"/>
      <c r="S408" s="9"/>
      <c r="T408" s="91"/>
      <c r="U408" s="9"/>
      <c r="Z408" s="9"/>
      <c r="AA408" s="91"/>
      <c r="AB408" s="9"/>
      <c r="AC408" s="9"/>
    </row>
    <row r="409" spans="2:29" s="22" customFormat="1" hidden="1" outlineLevel="2" collapsed="1">
      <c r="B409" s="23" t="s">
        <v>212</v>
      </c>
      <c r="C409" s="23"/>
      <c r="D409" s="9"/>
      <c r="E409" s="91"/>
      <c r="F409" s="9"/>
      <c r="G409" s="125">
        <f>SUM(K409:N409)</f>
        <v>10</v>
      </c>
      <c r="H409" s="9"/>
      <c r="I409" s="91"/>
      <c r="J409" s="9"/>
      <c r="K409" s="72">
        <f>COUNTA(K410:K412)</f>
        <v>2</v>
      </c>
      <c r="L409" s="72">
        <f>COUNTA(L410:L412)</f>
        <v>3</v>
      </c>
      <c r="M409" s="72">
        <f>COUNTA(M410:M412)</f>
        <v>2</v>
      </c>
      <c r="N409" s="72">
        <f>COUNTA(N410:N412)</f>
        <v>3</v>
      </c>
      <c r="O409" s="9"/>
      <c r="P409" s="91"/>
      <c r="Q409" s="9"/>
      <c r="R409" s="83">
        <f>SUM(V409:Y409)</f>
        <v>0.70480240454726018</v>
      </c>
      <c r="S409" s="9"/>
      <c r="T409" s="91"/>
      <c r="U409" s="9"/>
      <c r="V409" s="82">
        <f>SUM(V410:V412)</f>
        <v>0.13212344685342467</v>
      </c>
      <c r="W409" s="82">
        <f>SUM(W410:W412)</f>
        <v>0.23124077798439452</v>
      </c>
      <c r="X409" s="82">
        <f>SUM(X410:X412)</f>
        <v>0.14469917259520049</v>
      </c>
      <c r="Y409" s="82">
        <f>SUM(Y410:Y412)</f>
        <v>0.19673900711424055</v>
      </c>
      <c r="Z409" s="9"/>
      <c r="AA409" s="91"/>
      <c r="AB409" s="9"/>
      <c r="AC409" s="9"/>
    </row>
    <row r="410" spans="2:29" ht="27.6" hidden="1" outlineLevel="3">
      <c r="B410" s="29"/>
      <c r="C410" s="30"/>
      <c r="D410" s="9"/>
      <c r="E410" s="91"/>
      <c r="F410" s="9"/>
      <c r="G410" s="119" t="s">
        <v>976</v>
      </c>
      <c r="H410" s="9"/>
      <c r="I410" s="91"/>
      <c r="J410" s="9"/>
      <c r="K410" s="30" t="s">
        <v>34</v>
      </c>
      <c r="L410" s="30" t="s">
        <v>819</v>
      </c>
      <c r="M410" s="30" t="s">
        <v>47</v>
      </c>
      <c r="N410" s="30" t="s">
        <v>74</v>
      </c>
      <c r="O410" s="9"/>
      <c r="P410" s="91"/>
      <c r="Q410" s="9"/>
      <c r="R410" s="34" t="s">
        <v>976</v>
      </c>
      <c r="S410" s="9"/>
      <c r="T410" s="91"/>
      <c r="U410" s="9"/>
      <c r="V410" s="81">
        <v>6.6061723426712335E-2</v>
      </c>
      <c r="W410" s="81">
        <v>7.9883177849154469E-2</v>
      </c>
      <c r="X410" s="81">
        <v>0.10269917259520048</v>
      </c>
      <c r="Y410" s="81">
        <v>0.12323900711424056</v>
      </c>
      <c r="Z410" s="9"/>
      <c r="AA410" s="91"/>
      <c r="AB410" s="9"/>
      <c r="AC410" s="9"/>
    </row>
    <row r="411" spans="2:29" ht="27.6" hidden="1" outlineLevel="3">
      <c r="B411" s="29"/>
      <c r="C411" s="30"/>
      <c r="D411" s="9"/>
      <c r="E411" s="91"/>
      <c r="F411" s="9"/>
      <c r="G411" s="119" t="s">
        <v>976</v>
      </c>
      <c r="H411" s="9"/>
      <c r="I411" s="91"/>
      <c r="J411" s="9"/>
      <c r="K411" s="30" t="s">
        <v>1366</v>
      </c>
      <c r="L411" s="30" t="s">
        <v>820</v>
      </c>
      <c r="M411" s="144" t="s">
        <v>117</v>
      </c>
      <c r="N411" s="30" t="s">
        <v>116</v>
      </c>
      <c r="O411" s="9"/>
      <c r="P411" s="91"/>
      <c r="Q411" s="9"/>
      <c r="R411" s="34" t="s">
        <v>976</v>
      </c>
      <c r="S411" s="9"/>
      <c r="T411" s="91"/>
      <c r="U411" s="9"/>
      <c r="V411" s="81">
        <v>6.6061723426712335E-2</v>
      </c>
      <c r="W411" s="81">
        <v>7.5678800067620025E-2</v>
      </c>
      <c r="X411" s="94">
        <v>4.2000000000000003E-2</v>
      </c>
      <c r="Y411" s="81">
        <v>2.1000000000000001E-2</v>
      </c>
      <c r="Z411" s="9"/>
      <c r="AA411" s="91"/>
      <c r="AB411" s="9"/>
      <c r="AC411" s="9"/>
    </row>
    <row r="412" spans="2:29" ht="27.6" hidden="1" outlineLevel="3">
      <c r="B412" s="29"/>
      <c r="C412" s="30"/>
      <c r="D412" s="9"/>
      <c r="E412" s="91"/>
      <c r="F412" s="9"/>
      <c r="G412" s="119" t="s">
        <v>976</v>
      </c>
      <c r="H412" s="9"/>
      <c r="I412" s="91"/>
      <c r="J412" s="9"/>
      <c r="K412" s="30"/>
      <c r="L412" s="30" t="s">
        <v>1322</v>
      </c>
      <c r="M412" s="142"/>
      <c r="N412" s="144" t="s">
        <v>805</v>
      </c>
      <c r="O412" s="9"/>
      <c r="P412" s="91"/>
      <c r="Q412" s="9"/>
      <c r="R412" s="34" t="s">
        <v>976</v>
      </c>
      <c r="S412" s="9"/>
      <c r="T412" s="91"/>
      <c r="U412" s="9"/>
      <c r="V412" s="81"/>
      <c r="W412" s="81">
        <v>7.5678800067620025E-2</v>
      </c>
      <c r="X412" s="96"/>
      <c r="Y412" s="94">
        <v>5.2499999999999998E-2</v>
      </c>
      <c r="Z412" s="9"/>
      <c r="AA412" s="91"/>
      <c r="AB412" s="9"/>
      <c r="AC412" s="9"/>
    </row>
    <row r="413" spans="2:29" ht="3" hidden="1" customHeight="1" outlineLevel="2">
      <c r="B413" s="29"/>
      <c r="C413" s="30"/>
      <c r="D413" s="9"/>
      <c r="E413" s="91"/>
      <c r="F413" s="9"/>
      <c r="G413" s="119"/>
      <c r="H413" s="9"/>
      <c r="I413" s="91"/>
      <c r="J413" s="9"/>
      <c r="K413" s="76"/>
      <c r="O413" s="9"/>
      <c r="P413" s="91"/>
      <c r="Q413" s="9"/>
      <c r="R413" s="34"/>
      <c r="S413" s="9"/>
      <c r="T413" s="91"/>
      <c r="U413" s="9"/>
      <c r="V413" s="76"/>
      <c r="Z413" s="9"/>
      <c r="AA413" s="91"/>
      <c r="AB413" s="9"/>
      <c r="AC413" s="9"/>
    </row>
    <row r="414" spans="2:29" s="22" customFormat="1" hidden="1" outlineLevel="2" collapsed="1">
      <c r="B414" s="23" t="s">
        <v>830</v>
      </c>
      <c r="C414" s="23"/>
      <c r="D414" s="9"/>
      <c r="E414" s="91"/>
      <c r="F414" s="9"/>
      <c r="G414" s="125">
        <f>SUM(K414:N414)</f>
        <v>3</v>
      </c>
      <c r="H414" s="9"/>
      <c r="I414" s="91"/>
      <c r="J414" s="9"/>
      <c r="K414" s="72">
        <f>COUNTA(K415:K416)</f>
        <v>1</v>
      </c>
      <c r="L414" s="72">
        <f>COUNTA(L415:L416)</f>
        <v>2</v>
      </c>
      <c r="M414" s="72">
        <f>COUNTA(M415:M416)</f>
        <v>0</v>
      </c>
      <c r="N414" s="72">
        <f>COUNTA(N415:N416)</f>
        <v>0</v>
      </c>
      <c r="O414" s="9"/>
      <c r="P414" s="91"/>
      <c r="Q414" s="9"/>
      <c r="R414" s="24">
        <f>SUM(V414:Y414)</f>
        <v>0.16999999999999998</v>
      </c>
      <c r="S414" s="9"/>
      <c r="T414" s="91"/>
      <c r="U414" s="9"/>
      <c r="V414" s="72">
        <f>SUM(V415:V416)</f>
        <v>0.06</v>
      </c>
      <c r="W414" s="72">
        <f>SUM(W415:W416)</f>
        <v>0.11</v>
      </c>
      <c r="X414" s="72">
        <f>SUM(X415:X416)</f>
        <v>0</v>
      </c>
      <c r="Y414" s="72">
        <f>SUM(Y415:Y416)</f>
        <v>0</v>
      </c>
      <c r="Z414" s="9"/>
      <c r="AA414" s="91"/>
      <c r="AB414" s="9"/>
      <c r="AC414" s="9"/>
    </row>
    <row r="415" spans="2:29" ht="27.6" hidden="1" outlineLevel="3">
      <c r="B415" s="29"/>
      <c r="C415" s="30"/>
      <c r="D415" s="9"/>
      <c r="E415" s="91"/>
      <c r="F415" s="9"/>
      <c r="G415" s="119" t="s">
        <v>976</v>
      </c>
      <c r="H415" s="9"/>
      <c r="I415" s="91"/>
      <c r="J415" s="9"/>
      <c r="K415" s="30" t="s">
        <v>117</v>
      </c>
      <c r="L415" s="30" t="s">
        <v>116</v>
      </c>
      <c r="M415" s="142"/>
      <c r="N415" s="142"/>
      <c r="O415" s="9"/>
      <c r="P415" s="91"/>
      <c r="Q415" s="9"/>
      <c r="R415" s="34" t="s">
        <v>976</v>
      </c>
      <c r="S415" s="9"/>
      <c r="T415" s="91"/>
      <c r="U415" s="9"/>
      <c r="V415" s="36">
        <v>0.06</v>
      </c>
      <c r="W415" s="36">
        <v>0.03</v>
      </c>
      <c r="Z415" s="9"/>
      <c r="AA415" s="91"/>
      <c r="AB415" s="9"/>
      <c r="AC415" s="9"/>
    </row>
    <row r="416" spans="2:29" ht="27.6" hidden="1" outlineLevel="3">
      <c r="B416" s="29"/>
      <c r="C416" s="30"/>
      <c r="D416" s="9"/>
      <c r="E416" s="91"/>
      <c r="F416" s="9"/>
      <c r="G416" s="119"/>
      <c r="H416" s="9"/>
      <c r="I416" s="91"/>
      <c r="J416" s="9"/>
      <c r="K416" s="93"/>
      <c r="L416" s="30" t="s">
        <v>118</v>
      </c>
      <c r="M416" s="142"/>
      <c r="N416" s="142"/>
      <c r="O416" s="9"/>
      <c r="P416" s="91"/>
      <c r="Q416" s="9"/>
      <c r="R416" s="34" t="s">
        <v>976</v>
      </c>
      <c r="S416" s="9"/>
      <c r="T416" s="91"/>
      <c r="U416" s="9"/>
      <c r="V416" s="75"/>
      <c r="W416" s="36">
        <v>0.08</v>
      </c>
      <c r="Z416" s="9"/>
      <c r="AA416" s="91"/>
      <c r="AB416" s="9"/>
      <c r="AC416" s="9"/>
    </row>
    <row r="417" spans="2:29" ht="3" hidden="1" customHeight="1" outlineLevel="2">
      <c r="B417" s="29"/>
      <c r="C417" s="30"/>
      <c r="D417" s="9"/>
      <c r="E417" s="91"/>
      <c r="F417" s="9"/>
      <c r="G417" s="119"/>
      <c r="H417" s="9"/>
      <c r="I417" s="91"/>
      <c r="J417" s="9"/>
      <c r="K417" s="76"/>
      <c r="O417" s="9"/>
      <c r="P417" s="91"/>
      <c r="Q417" s="9"/>
      <c r="R417" s="34"/>
      <c r="S417" s="9"/>
      <c r="T417" s="91"/>
      <c r="U417" s="9"/>
      <c r="V417" s="76"/>
      <c r="Z417" s="9"/>
      <c r="AA417" s="91"/>
      <c r="AB417" s="9"/>
      <c r="AC417" s="9"/>
    </row>
    <row r="418" spans="2:29" s="22" customFormat="1" hidden="1" outlineLevel="2" collapsed="1">
      <c r="B418" s="23" t="s">
        <v>781</v>
      </c>
      <c r="C418" s="23"/>
      <c r="D418" s="9"/>
      <c r="E418" s="91"/>
      <c r="F418" s="9"/>
      <c r="G418" s="125">
        <f>SUM(K418:N418)</f>
        <v>5</v>
      </c>
      <c r="H418" s="9"/>
      <c r="I418" s="91"/>
      <c r="J418" s="9"/>
      <c r="K418" s="72">
        <f>COUNTA(K419:K420)</f>
        <v>0</v>
      </c>
      <c r="L418" s="72">
        <f>COUNTA(L419:L420)</f>
        <v>2</v>
      </c>
      <c r="M418" s="72">
        <f>COUNTA(M419:M420)</f>
        <v>2</v>
      </c>
      <c r="N418" s="72">
        <f>COUNTA(N419:N420)</f>
        <v>1</v>
      </c>
      <c r="O418" s="9"/>
      <c r="P418" s="91"/>
      <c r="Q418" s="9"/>
      <c r="R418" s="83">
        <f>SUM(V418:Y418)</f>
        <v>3.1693200000000004</v>
      </c>
      <c r="S418" s="9"/>
      <c r="T418" s="91"/>
      <c r="U418" s="9"/>
      <c r="V418" s="82">
        <f>SUM(V419:V420)</f>
        <v>0</v>
      </c>
      <c r="W418" s="82">
        <f>SUM(W419:W420)</f>
        <v>1.9808250000000003</v>
      </c>
      <c r="X418" s="82">
        <f>SUM(X419:X420)</f>
        <v>0.79233000000000009</v>
      </c>
      <c r="Y418" s="82">
        <f>SUM(Y419:Y420)</f>
        <v>0.39616500000000004</v>
      </c>
      <c r="Z418" s="9"/>
      <c r="AA418" s="91"/>
      <c r="AB418" s="9"/>
      <c r="AC418" s="9"/>
    </row>
    <row r="419" spans="2:29" hidden="1" outlineLevel="3">
      <c r="B419" s="29"/>
      <c r="C419" s="30"/>
      <c r="D419" s="9"/>
      <c r="E419" s="91"/>
      <c r="F419" s="9"/>
      <c r="G419" s="119" t="s">
        <v>976</v>
      </c>
      <c r="H419" s="9"/>
      <c r="I419" s="91"/>
      <c r="J419" s="9"/>
      <c r="L419" s="100" t="s">
        <v>32</v>
      </c>
      <c r="M419" s="43" t="s">
        <v>842</v>
      </c>
      <c r="N419" s="43" t="s">
        <v>335</v>
      </c>
      <c r="O419" s="9"/>
      <c r="P419" s="91"/>
      <c r="Q419" s="9"/>
      <c r="R419" s="34" t="s">
        <v>976</v>
      </c>
      <c r="S419" s="9"/>
      <c r="T419" s="91"/>
      <c r="U419" s="9"/>
      <c r="V419" s="99"/>
      <c r="W419" s="101">
        <v>0.79233000000000009</v>
      </c>
      <c r="X419" s="97">
        <v>0.39616500000000004</v>
      </c>
      <c r="Y419" s="97">
        <v>0.39616500000000004</v>
      </c>
      <c r="Z419" s="9"/>
      <c r="AA419" s="91"/>
      <c r="AB419" s="9"/>
      <c r="AC419" s="9"/>
    </row>
    <row r="420" spans="2:29" ht="27.6" hidden="1" outlineLevel="3">
      <c r="B420" s="29"/>
      <c r="C420" s="30"/>
      <c r="D420" s="9"/>
      <c r="E420" s="91"/>
      <c r="F420" s="9"/>
      <c r="G420" s="119"/>
      <c r="H420" s="9"/>
      <c r="I420" s="91"/>
      <c r="J420" s="9"/>
      <c r="L420" s="43" t="s">
        <v>33</v>
      </c>
      <c r="M420" s="43" t="s">
        <v>197</v>
      </c>
      <c r="N420" s="74"/>
      <c r="O420" s="9"/>
      <c r="P420" s="91"/>
      <c r="Q420" s="9"/>
      <c r="R420" s="34"/>
      <c r="S420" s="9"/>
      <c r="T420" s="91"/>
      <c r="U420" s="9"/>
      <c r="V420" s="99"/>
      <c r="W420" s="97">
        <v>1.1884950000000001</v>
      </c>
      <c r="X420" s="97">
        <v>0.39616500000000004</v>
      </c>
      <c r="Y420" s="97"/>
      <c r="Z420" s="9"/>
      <c r="AA420" s="91"/>
      <c r="AB420" s="9"/>
      <c r="AC420" s="9"/>
    </row>
    <row r="421" spans="2:29" ht="3" hidden="1" customHeight="1" outlineLevel="2">
      <c r="B421" s="29"/>
      <c r="C421" s="30"/>
      <c r="D421" s="9"/>
      <c r="E421" s="91"/>
      <c r="F421" s="9"/>
      <c r="G421" s="119"/>
      <c r="H421" s="9"/>
      <c r="I421" s="91"/>
      <c r="J421" s="9"/>
      <c r="K421" s="76"/>
      <c r="L421" s="43"/>
      <c r="M421" s="43"/>
      <c r="N421" s="43"/>
      <c r="O421" s="9"/>
      <c r="P421" s="91"/>
      <c r="Q421" s="9"/>
      <c r="R421" s="34"/>
      <c r="S421" s="9"/>
      <c r="T421" s="91"/>
      <c r="U421" s="9"/>
      <c r="V421" s="76"/>
      <c r="W421" s="43"/>
      <c r="X421" s="43"/>
      <c r="Y421" s="43"/>
      <c r="Z421" s="9"/>
      <c r="AA421" s="91"/>
      <c r="AB421" s="9"/>
      <c r="AC421" s="9"/>
    </row>
    <row r="422" spans="2:29" s="22" customFormat="1" hidden="1" outlineLevel="2" collapsed="1">
      <c r="B422" s="23" t="s">
        <v>1005</v>
      </c>
      <c r="C422" s="23"/>
      <c r="D422" s="9"/>
      <c r="E422" s="91"/>
      <c r="F422" s="9"/>
      <c r="G422" s="125">
        <f>SUM(K422:N422)</f>
        <v>4</v>
      </c>
      <c r="H422" s="9"/>
      <c r="I422" s="91"/>
      <c r="J422" s="9"/>
      <c r="K422" s="72">
        <f>COUNTA(K423:K424)</f>
        <v>0</v>
      </c>
      <c r="L422" s="72">
        <f>COUNTA(L423:L424)</f>
        <v>2</v>
      </c>
      <c r="M422" s="72">
        <f>COUNTA(M423:M424)</f>
        <v>1</v>
      </c>
      <c r="N422" s="72">
        <f>COUNTA(N423:N424)</f>
        <v>1</v>
      </c>
      <c r="O422" s="9"/>
      <c r="P422" s="91"/>
      <c r="Q422" s="9"/>
      <c r="R422" s="83">
        <f>SUM(V422:Y422)</f>
        <v>0.36036000000000001</v>
      </c>
      <c r="S422" s="9"/>
      <c r="T422" s="91"/>
      <c r="U422" s="9"/>
      <c r="V422" s="82">
        <f>SUM(V423:V424)</f>
        <v>0</v>
      </c>
      <c r="W422" s="82">
        <f>SUM(W423:W424)</f>
        <v>0.18018000000000001</v>
      </c>
      <c r="X422" s="82">
        <f>SUM(X423:X424)</f>
        <v>0.13513500000000001</v>
      </c>
      <c r="Y422" s="82">
        <f>SUM(Y423:Y424)</f>
        <v>4.5045000000000002E-2</v>
      </c>
      <c r="Z422" s="9"/>
      <c r="AA422" s="91"/>
      <c r="AB422" s="9"/>
      <c r="AC422" s="9"/>
    </row>
    <row r="423" spans="2:29" ht="27.6" hidden="1" outlineLevel="3">
      <c r="B423" s="29"/>
      <c r="C423" s="30"/>
      <c r="D423" s="9"/>
      <c r="E423" s="91"/>
      <c r="F423" s="9"/>
      <c r="G423" s="119" t="s">
        <v>976</v>
      </c>
      <c r="H423" s="9"/>
      <c r="I423" s="91"/>
      <c r="J423" s="9"/>
      <c r="K423" s="26"/>
      <c r="L423" s="143" t="s">
        <v>32</v>
      </c>
      <c r="M423" s="140" t="s">
        <v>842</v>
      </c>
      <c r="N423" s="140" t="s">
        <v>197</v>
      </c>
      <c r="O423" s="9"/>
      <c r="P423" s="91"/>
      <c r="Q423" s="9"/>
      <c r="R423" s="34" t="s">
        <v>976</v>
      </c>
      <c r="S423" s="9"/>
      <c r="T423" s="91"/>
      <c r="U423" s="9"/>
      <c r="V423" s="99"/>
      <c r="W423" s="101">
        <v>0.13513500000000001</v>
      </c>
      <c r="X423" s="97">
        <v>0.13513500000000001</v>
      </c>
      <c r="Y423" s="97">
        <v>4.5045000000000002E-2</v>
      </c>
      <c r="Z423" s="9"/>
      <c r="AA423" s="91"/>
      <c r="AB423" s="9"/>
      <c r="AC423" s="9"/>
    </row>
    <row r="424" spans="2:29" hidden="1" outlineLevel="3">
      <c r="B424" s="29"/>
      <c r="C424" s="30"/>
      <c r="D424" s="9"/>
      <c r="E424" s="91"/>
      <c r="F424" s="9"/>
      <c r="G424" s="119" t="s">
        <v>976</v>
      </c>
      <c r="H424" s="9"/>
      <c r="I424" s="91"/>
      <c r="J424" s="9"/>
      <c r="K424" s="26"/>
      <c r="L424" s="140" t="s">
        <v>33</v>
      </c>
      <c r="M424" s="140"/>
      <c r="N424" s="26"/>
      <c r="O424" s="9"/>
      <c r="P424" s="91"/>
      <c r="Q424" s="9"/>
      <c r="R424" s="34" t="s">
        <v>976</v>
      </c>
      <c r="S424" s="9"/>
      <c r="T424" s="91"/>
      <c r="U424" s="9"/>
      <c r="V424" s="99"/>
      <c r="W424" s="97">
        <v>4.5045000000000002E-2</v>
      </c>
      <c r="X424" s="97"/>
      <c r="Y424" s="109"/>
      <c r="Z424" s="9"/>
      <c r="AA424" s="91"/>
      <c r="AB424" s="9"/>
      <c r="AC424" s="9"/>
    </row>
    <row r="425" spans="2:29" ht="3" hidden="1" customHeight="1" outlineLevel="2">
      <c r="B425" s="29"/>
      <c r="C425" s="30"/>
      <c r="D425" s="9"/>
      <c r="E425" s="91"/>
      <c r="F425" s="9"/>
      <c r="G425" s="119"/>
      <c r="H425" s="9"/>
      <c r="I425" s="91"/>
      <c r="J425" s="9"/>
      <c r="K425" s="76"/>
      <c r="L425" s="43"/>
      <c r="M425" s="43"/>
      <c r="O425" s="9"/>
      <c r="P425" s="91"/>
      <c r="Q425" s="9"/>
      <c r="R425" s="34"/>
      <c r="S425" s="9"/>
      <c r="T425" s="91"/>
      <c r="U425" s="9"/>
      <c r="V425" s="76"/>
      <c r="W425" s="43"/>
      <c r="X425" s="43"/>
      <c r="Z425" s="9"/>
      <c r="AA425" s="91"/>
      <c r="AB425" s="9"/>
      <c r="AC425" s="9"/>
    </row>
    <row r="426" spans="2:29" s="22" customFormat="1" hidden="1" outlineLevel="2" collapsed="1">
      <c r="B426" s="23" t="s">
        <v>321</v>
      </c>
      <c r="C426" s="23"/>
      <c r="D426" s="9"/>
      <c r="E426" s="91"/>
      <c r="F426" s="9"/>
      <c r="G426" s="125">
        <f>SUM(K426:N426)</f>
        <v>8</v>
      </c>
      <c r="H426" s="9"/>
      <c r="I426" s="91"/>
      <c r="J426" s="9"/>
      <c r="K426" s="72">
        <f>COUNTA(K427:K430)</f>
        <v>4</v>
      </c>
      <c r="L426" s="72">
        <f>COUNTA(L427:L430)</f>
        <v>2</v>
      </c>
      <c r="M426" s="72">
        <f>COUNTA(M427:M430)</f>
        <v>0</v>
      </c>
      <c r="N426" s="72">
        <f>COUNTA(N427:N430)</f>
        <v>2</v>
      </c>
      <c r="O426" s="9"/>
      <c r="P426" s="91"/>
      <c r="Q426" s="9"/>
      <c r="R426" s="83">
        <f>SUM(V426:Y426)</f>
        <v>0.60680105319236921</v>
      </c>
      <c r="S426" s="9"/>
      <c r="T426" s="91"/>
      <c r="U426" s="9"/>
      <c r="V426" s="82">
        <f>SUM(V427:V430)</f>
        <v>0.31800215619973726</v>
      </c>
      <c r="W426" s="82">
        <f>SUM(W427:W430)</f>
        <v>0.19144517549263196</v>
      </c>
      <c r="X426" s="82">
        <f>SUM(X427:X430)</f>
        <v>0</v>
      </c>
      <c r="Y426" s="82">
        <f>SUM(Y427:Y430)</f>
        <v>9.7353721500000018E-2</v>
      </c>
      <c r="Z426" s="9"/>
      <c r="AA426" s="91"/>
      <c r="AB426" s="9"/>
      <c r="AC426" s="9"/>
    </row>
    <row r="427" spans="2:29" ht="27.6" hidden="1" outlineLevel="3">
      <c r="B427" s="29"/>
      <c r="C427" s="30"/>
      <c r="D427" s="9"/>
      <c r="E427" s="91"/>
      <c r="F427" s="9"/>
      <c r="G427" s="119" t="s">
        <v>976</v>
      </c>
      <c r="H427" s="9"/>
      <c r="I427" s="91"/>
      <c r="J427" s="9"/>
      <c r="K427" s="100" t="s">
        <v>32</v>
      </c>
      <c r="L427" s="140" t="s">
        <v>842</v>
      </c>
      <c r="M427" s="93"/>
      <c r="N427" s="41" t="s">
        <v>116</v>
      </c>
      <c r="O427" s="9"/>
      <c r="P427" s="91"/>
      <c r="Q427" s="9"/>
      <c r="R427" s="34" t="s">
        <v>976</v>
      </c>
      <c r="S427" s="9"/>
      <c r="T427" s="91"/>
      <c r="U427" s="9"/>
      <c r="V427" s="101">
        <v>9.0857758914210648E-2</v>
      </c>
      <c r="W427" s="97">
        <v>4.5428879457105324E-2</v>
      </c>
      <c r="X427" s="109"/>
      <c r="Y427" s="112">
        <v>3.2451240500000006E-2</v>
      </c>
      <c r="Z427" s="9"/>
      <c r="AA427" s="91"/>
      <c r="AB427" s="9"/>
      <c r="AC427" s="9"/>
    </row>
    <row r="428" spans="2:29" ht="27.6" hidden="1" outlineLevel="3">
      <c r="B428" s="29"/>
      <c r="C428" s="30"/>
      <c r="D428" s="9"/>
      <c r="E428" s="91"/>
      <c r="F428" s="9"/>
      <c r="G428" s="119" t="s">
        <v>976</v>
      </c>
      <c r="H428" s="9"/>
      <c r="I428" s="91"/>
      <c r="J428" s="9"/>
      <c r="K428" s="140" t="s">
        <v>33</v>
      </c>
      <c r="L428" s="41" t="s">
        <v>788</v>
      </c>
      <c r="M428" s="142"/>
      <c r="N428" s="41" t="s">
        <v>117</v>
      </c>
      <c r="O428" s="9"/>
      <c r="P428" s="91"/>
      <c r="Q428" s="9"/>
      <c r="R428" s="34" t="s">
        <v>976</v>
      </c>
      <c r="S428" s="9"/>
      <c r="T428" s="91"/>
      <c r="U428" s="9"/>
      <c r="V428" s="97">
        <v>0.13628663837131597</v>
      </c>
      <c r="W428" s="112">
        <v>0.14601629603552663</v>
      </c>
      <c r="X428" s="99"/>
      <c r="Y428" s="112">
        <v>6.4902481000000012E-2</v>
      </c>
      <c r="Z428" s="9"/>
      <c r="AA428" s="91"/>
      <c r="AB428" s="9"/>
      <c r="AC428" s="9"/>
    </row>
    <row r="429" spans="2:29" hidden="1" outlineLevel="3">
      <c r="B429" s="29"/>
      <c r="C429" s="30"/>
      <c r="D429" s="9"/>
      <c r="E429" s="91"/>
      <c r="F429" s="9"/>
      <c r="G429" s="119" t="s">
        <v>976</v>
      </c>
      <c r="H429" s="9"/>
      <c r="I429" s="91"/>
      <c r="J429" s="9"/>
      <c r="K429" s="140" t="s">
        <v>335</v>
      </c>
      <c r="L429" s="140"/>
      <c r="M429" s="142"/>
      <c r="N429" s="41"/>
      <c r="O429" s="9"/>
      <c r="P429" s="91"/>
      <c r="Q429" s="9"/>
      <c r="R429" s="34" t="s">
        <v>976</v>
      </c>
      <c r="S429" s="9"/>
      <c r="T429" s="91"/>
      <c r="U429" s="9"/>
      <c r="V429" s="97">
        <v>4.5428879457105324E-2</v>
      </c>
      <c r="W429" s="97"/>
      <c r="X429" s="99"/>
      <c r="Y429" s="112"/>
      <c r="Z429" s="9"/>
      <c r="AA429" s="91"/>
      <c r="AB429" s="9"/>
      <c r="AC429" s="9"/>
    </row>
    <row r="430" spans="2:29" ht="27.6" hidden="1" outlineLevel="3">
      <c r="B430" s="29"/>
      <c r="C430" s="30"/>
      <c r="D430" s="9"/>
      <c r="E430" s="91"/>
      <c r="F430" s="9"/>
      <c r="G430" s="119" t="s">
        <v>976</v>
      </c>
      <c r="H430" s="9"/>
      <c r="I430" s="91"/>
      <c r="J430" s="9"/>
      <c r="K430" s="140" t="s">
        <v>197</v>
      </c>
      <c r="L430" s="93"/>
      <c r="M430" s="142"/>
      <c r="N430" s="142"/>
      <c r="O430" s="9"/>
      <c r="P430" s="91"/>
      <c r="Q430" s="9"/>
      <c r="R430" s="34" t="s">
        <v>976</v>
      </c>
      <c r="S430" s="9"/>
      <c r="T430" s="91"/>
      <c r="U430" s="9"/>
      <c r="V430" s="97">
        <v>4.5428879457105324E-2</v>
      </c>
      <c r="W430" s="109"/>
      <c r="X430" s="99"/>
      <c r="Y430" s="99"/>
      <c r="Z430" s="9"/>
      <c r="AA430" s="91"/>
      <c r="AB430" s="9"/>
      <c r="AC430" s="9"/>
    </row>
    <row r="431" spans="2:29" ht="3" hidden="1" customHeight="1" outlineLevel="2">
      <c r="B431" s="29"/>
      <c r="C431" s="30"/>
      <c r="D431" s="9"/>
      <c r="E431" s="91"/>
      <c r="F431" s="9"/>
      <c r="G431" s="119"/>
      <c r="H431" s="9"/>
      <c r="I431" s="91"/>
      <c r="J431" s="9"/>
      <c r="K431" s="76"/>
      <c r="L431" s="43"/>
      <c r="M431" s="43"/>
      <c r="N431" s="43"/>
      <c r="O431" s="9"/>
      <c r="P431" s="91"/>
      <c r="Q431" s="9"/>
      <c r="R431" s="34"/>
      <c r="S431" s="9"/>
      <c r="T431" s="91"/>
      <c r="U431" s="9"/>
      <c r="V431" s="76"/>
      <c r="W431" s="43"/>
      <c r="X431" s="43"/>
      <c r="Y431" s="43"/>
      <c r="Z431" s="9"/>
      <c r="AA431" s="91"/>
      <c r="AB431" s="9"/>
      <c r="AC431" s="9"/>
    </row>
    <row r="432" spans="2:29" s="22" customFormat="1" hidden="1" outlineLevel="2" collapsed="1">
      <c r="B432" s="23" t="s">
        <v>1214</v>
      </c>
      <c r="C432" s="23"/>
      <c r="D432" s="9"/>
      <c r="E432" s="91"/>
      <c r="F432" s="9"/>
      <c r="G432" s="125">
        <f>SUM(K432:N432)</f>
        <v>5</v>
      </c>
      <c r="H432" s="9"/>
      <c r="I432" s="91"/>
      <c r="J432" s="9"/>
      <c r="K432" s="72">
        <f>COUNTA(K433:K434)</f>
        <v>0</v>
      </c>
      <c r="L432" s="72">
        <f>COUNTA(L433:L434)</f>
        <v>2</v>
      </c>
      <c r="M432" s="72">
        <f>COUNTA(M433:M434)</f>
        <v>2</v>
      </c>
      <c r="N432" s="72">
        <f>COUNTA(N433:N434)</f>
        <v>1</v>
      </c>
      <c r="O432" s="9"/>
      <c r="P432" s="91"/>
      <c r="Q432" s="9"/>
      <c r="R432" s="83">
        <f>SUM(V432:Y432)</f>
        <v>0.53988000000000003</v>
      </c>
      <c r="S432" s="9"/>
      <c r="T432" s="91"/>
      <c r="U432" s="9"/>
      <c r="V432" s="82">
        <f>SUM(V433:V434)</f>
        <v>0</v>
      </c>
      <c r="W432" s="82">
        <f>SUM(W433:W434)</f>
        <v>0.33742499999999997</v>
      </c>
      <c r="X432" s="82">
        <f>SUM(X433:X434)</f>
        <v>0.13497000000000001</v>
      </c>
      <c r="Y432" s="82">
        <f>SUM(Y433:Y434)</f>
        <v>6.7485000000000003E-2</v>
      </c>
      <c r="Z432" s="9"/>
      <c r="AA432" s="91"/>
      <c r="AB432" s="9"/>
      <c r="AC432" s="9"/>
    </row>
    <row r="433" spans="2:29" ht="27.6" hidden="1" outlineLevel="3">
      <c r="B433" s="29"/>
      <c r="C433" s="30"/>
      <c r="D433" s="9"/>
      <c r="E433" s="91"/>
      <c r="F433" s="9"/>
      <c r="G433" s="119" t="s">
        <v>976</v>
      </c>
      <c r="H433" s="9"/>
      <c r="I433" s="91"/>
      <c r="J433" s="9"/>
      <c r="K433" s="36"/>
      <c r="L433" s="100" t="s">
        <v>32</v>
      </c>
      <c r="M433" s="43" t="s">
        <v>197</v>
      </c>
      <c r="N433" s="43" t="s">
        <v>842</v>
      </c>
      <c r="O433" s="9"/>
      <c r="P433" s="91"/>
      <c r="Q433" s="9"/>
      <c r="R433" s="34" t="s">
        <v>976</v>
      </c>
      <c r="S433" s="9"/>
      <c r="T433" s="91"/>
      <c r="U433" s="9"/>
      <c r="V433" s="103"/>
      <c r="W433" s="101">
        <v>0.13497000000000001</v>
      </c>
      <c r="X433" s="97">
        <v>6.7485000000000003E-2</v>
      </c>
      <c r="Y433" s="97">
        <v>6.7485000000000003E-2</v>
      </c>
      <c r="Z433" s="9"/>
      <c r="AA433" s="91"/>
      <c r="AB433" s="9"/>
      <c r="AC433" s="9"/>
    </row>
    <row r="434" spans="2:29" hidden="1" outlineLevel="3">
      <c r="B434" s="29"/>
      <c r="C434" s="30"/>
      <c r="D434" s="9"/>
      <c r="E434" s="91"/>
      <c r="F434" s="9"/>
      <c r="G434" s="119" t="s">
        <v>976</v>
      </c>
      <c r="H434" s="9"/>
      <c r="I434" s="91"/>
      <c r="J434" s="9"/>
      <c r="K434" s="36"/>
      <c r="L434" s="43" t="s">
        <v>33</v>
      </c>
      <c r="M434" s="43" t="s">
        <v>335</v>
      </c>
      <c r="N434" s="4"/>
      <c r="O434" s="9"/>
      <c r="P434" s="91"/>
      <c r="Q434" s="9"/>
      <c r="R434" s="34" t="s">
        <v>976</v>
      </c>
      <c r="S434" s="9"/>
      <c r="T434" s="91"/>
      <c r="U434" s="9"/>
      <c r="V434" s="103"/>
      <c r="W434" s="97">
        <v>0.20245499999999997</v>
      </c>
      <c r="X434" s="97">
        <v>6.7485000000000003E-2</v>
      </c>
      <c r="Y434" s="98"/>
      <c r="Z434" s="9"/>
      <c r="AA434" s="91"/>
      <c r="AB434" s="9"/>
      <c r="AC434" s="9"/>
    </row>
    <row r="435" spans="2:29" ht="3" hidden="1" customHeight="1" outlineLevel="2">
      <c r="B435" s="29"/>
      <c r="C435" s="30"/>
      <c r="D435" s="9"/>
      <c r="E435" s="91"/>
      <c r="F435" s="9"/>
      <c r="G435" s="119"/>
      <c r="H435" s="9"/>
      <c r="I435" s="91"/>
      <c r="J435" s="9"/>
      <c r="K435" s="76"/>
      <c r="L435" s="43"/>
      <c r="M435" s="43"/>
      <c r="N435" s="43"/>
      <c r="O435" s="9"/>
      <c r="P435" s="91"/>
      <c r="Q435" s="9"/>
      <c r="R435" s="34"/>
      <c r="S435" s="9"/>
      <c r="T435" s="91"/>
      <c r="U435" s="9"/>
      <c r="V435" s="76"/>
      <c r="W435" s="43"/>
      <c r="X435" s="43"/>
      <c r="Y435" s="43"/>
      <c r="Z435" s="9"/>
      <c r="AA435" s="91"/>
      <c r="AB435" s="9"/>
      <c r="AC435" s="9"/>
    </row>
    <row r="436" spans="2:29" s="22" customFormat="1" hidden="1" outlineLevel="2" collapsed="1">
      <c r="B436" s="23" t="s">
        <v>832</v>
      </c>
      <c r="C436" s="23"/>
      <c r="D436" s="9"/>
      <c r="E436" s="91"/>
      <c r="F436" s="9"/>
      <c r="G436" s="125">
        <f>SUM(K436:N436)</f>
        <v>5</v>
      </c>
      <c r="H436" s="9"/>
      <c r="I436" s="91"/>
      <c r="J436" s="9"/>
      <c r="K436" s="72">
        <f>COUNTA(K437:K438)</f>
        <v>0</v>
      </c>
      <c r="L436" s="72">
        <f>COUNTA(L437:L438)</f>
        <v>2</v>
      </c>
      <c r="M436" s="72">
        <f>COUNTA(M437:M438)</f>
        <v>2</v>
      </c>
      <c r="N436" s="72">
        <f>COUNTA(N437:N438)</f>
        <v>1</v>
      </c>
      <c r="O436" s="9"/>
      <c r="P436" s="91"/>
      <c r="Q436" s="9"/>
      <c r="R436" s="83">
        <f>SUM(V436:Y436)</f>
        <v>0.41052</v>
      </c>
      <c r="S436" s="9"/>
      <c r="T436" s="91"/>
      <c r="U436" s="9"/>
      <c r="V436" s="82">
        <f>SUM(V437:V439)</f>
        <v>0</v>
      </c>
      <c r="W436" s="82">
        <f>SUM(W437:W439)</f>
        <v>0.256575</v>
      </c>
      <c r="X436" s="82">
        <f>SUM(X437:X439)</f>
        <v>0.10263</v>
      </c>
      <c r="Y436" s="82">
        <f>SUM(Y437:Y439)</f>
        <v>5.1315E-2</v>
      </c>
      <c r="Z436" s="9"/>
      <c r="AA436" s="91"/>
      <c r="AB436" s="9"/>
      <c r="AC436" s="9"/>
    </row>
    <row r="437" spans="2:29" ht="27.6" hidden="1" outlineLevel="3">
      <c r="B437" s="29"/>
      <c r="C437" s="30"/>
      <c r="D437" s="9"/>
      <c r="E437" s="91"/>
      <c r="F437" s="9"/>
      <c r="G437" s="119" t="s">
        <v>976</v>
      </c>
      <c r="H437" s="9"/>
      <c r="I437" s="91"/>
      <c r="J437" s="9"/>
      <c r="K437" s="36"/>
      <c r="L437" s="100" t="s">
        <v>32</v>
      </c>
      <c r="M437" s="43" t="s">
        <v>842</v>
      </c>
      <c r="N437" s="43" t="s">
        <v>197</v>
      </c>
      <c r="O437" s="9"/>
      <c r="P437" s="91"/>
      <c r="Q437" s="9"/>
      <c r="R437" s="34" t="s">
        <v>976</v>
      </c>
      <c r="S437" s="9"/>
      <c r="T437" s="91"/>
      <c r="U437" s="9"/>
      <c r="V437" s="103"/>
      <c r="W437" s="101">
        <v>0.10263</v>
      </c>
      <c r="X437" s="97">
        <v>5.1315E-2</v>
      </c>
      <c r="Y437" s="97">
        <v>5.1315E-2</v>
      </c>
      <c r="Z437" s="9"/>
      <c r="AA437" s="91"/>
      <c r="AB437" s="9"/>
      <c r="AC437" s="9"/>
    </row>
    <row r="438" spans="2:29" hidden="1" outlineLevel="3">
      <c r="B438" s="29"/>
      <c r="C438" s="30"/>
      <c r="D438" s="9"/>
      <c r="E438" s="91"/>
      <c r="F438" s="9"/>
      <c r="G438" s="119" t="s">
        <v>976</v>
      </c>
      <c r="H438" s="9"/>
      <c r="I438" s="91"/>
      <c r="J438" s="9"/>
      <c r="K438" s="36"/>
      <c r="L438" s="43" t="s">
        <v>33</v>
      </c>
      <c r="M438" s="43" t="s">
        <v>335</v>
      </c>
      <c r="N438" s="4"/>
      <c r="O438" s="9"/>
      <c r="P438" s="91"/>
      <c r="Q438" s="9"/>
      <c r="R438" s="34" t="s">
        <v>976</v>
      </c>
      <c r="S438" s="9"/>
      <c r="T438" s="91"/>
      <c r="U438" s="9"/>
      <c r="V438" s="103"/>
      <c r="W438" s="97">
        <v>0.153945</v>
      </c>
      <c r="X438" s="97">
        <v>5.1315E-2</v>
      </c>
      <c r="Y438" s="98"/>
      <c r="Z438" s="9"/>
      <c r="AA438" s="91"/>
      <c r="AB438" s="9"/>
      <c r="AC438" s="9"/>
    </row>
    <row r="439" spans="2:29" ht="3" hidden="1" customHeight="1" outlineLevel="2">
      <c r="B439" s="29"/>
      <c r="C439" s="30"/>
      <c r="D439" s="9"/>
      <c r="E439" s="91"/>
      <c r="F439" s="9"/>
      <c r="G439" s="119"/>
      <c r="H439" s="9"/>
      <c r="I439" s="91"/>
      <c r="J439" s="9"/>
      <c r="K439" s="76"/>
      <c r="L439" s="43"/>
      <c r="M439" s="43"/>
      <c r="N439" s="43"/>
      <c r="O439" s="9"/>
      <c r="P439" s="91"/>
      <c r="Q439" s="9"/>
      <c r="R439" s="34"/>
      <c r="S439" s="9"/>
      <c r="T439" s="91"/>
      <c r="U439" s="9"/>
      <c r="V439" s="76"/>
      <c r="W439" s="43"/>
      <c r="X439" s="43"/>
      <c r="Y439" s="43"/>
      <c r="Z439" s="9"/>
      <c r="AA439" s="91"/>
      <c r="AB439" s="9"/>
      <c r="AC439" s="9"/>
    </row>
    <row r="440" spans="2:29" s="22" customFormat="1" hidden="1" outlineLevel="2" collapsed="1">
      <c r="B440" s="23" t="s">
        <v>313</v>
      </c>
      <c r="C440" s="23"/>
      <c r="D440" s="9"/>
      <c r="E440" s="91"/>
      <c r="F440" s="9"/>
      <c r="G440" s="125">
        <f>SUM(K440:N440)</f>
        <v>5</v>
      </c>
      <c r="H440" s="9"/>
      <c r="I440" s="91"/>
      <c r="J440" s="9"/>
      <c r="K440" s="72">
        <f>COUNTA(K441:K442)</f>
        <v>0</v>
      </c>
      <c r="L440" s="72">
        <f>COUNTA(L441:L442)</f>
        <v>2</v>
      </c>
      <c r="M440" s="72">
        <f>COUNTA(M441:M442)</f>
        <v>2</v>
      </c>
      <c r="N440" s="72">
        <f>COUNTA(N441:N442)</f>
        <v>1</v>
      </c>
      <c r="O440" s="9"/>
      <c r="P440" s="91"/>
      <c r="Q440" s="9"/>
      <c r="R440" s="83">
        <f>SUM(V440:Y440)</f>
        <v>0.12934679999999998</v>
      </c>
      <c r="S440" s="153"/>
      <c r="T440" s="155"/>
      <c r="U440" s="153"/>
      <c r="V440" s="82">
        <f>SUM(V441:V443)</f>
        <v>0</v>
      </c>
      <c r="W440" s="82">
        <f>SUM(W441:W443)</f>
        <v>8.084174999999999E-2</v>
      </c>
      <c r="X440" s="82">
        <f>SUM(X441:X443)</f>
        <v>3.2336699999999996E-2</v>
      </c>
      <c r="Y440" s="82">
        <f>SUM(Y441:Y443)</f>
        <v>1.6168349999999998E-2</v>
      </c>
      <c r="Z440" s="9"/>
      <c r="AA440" s="91"/>
      <c r="AB440" s="9"/>
      <c r="AC440" s="9"/>
    </row>
    <row r="441" spans="2:29" ht="27.6" hidden="1" outlineLevel="3">
      <c r="B441" s="29"/>
      <c r="C441" s="30"/>
      <c r="D441" s="9"/>
      <c r="E441" s="91"/>
      <c r="F441" s="9"/>
      <c r="G441" s="119" t="s">
        <v>976</v>
      </c>
      <c r="H441" s="9"/>
      <c r="I441" s="91"/>
      <c r="J441" s="9"/>
      <c r="K441" s="36"/>
      <c r="L441" s="100" t="s">
        <v>32</v>
      </c>
      <c r="M441" s="43" t="s">
        <v>842</v>
      </c>
      <c r="N441" s="43" t="s">
        <v>197</v>
      </c>
      <c r="O441" s="9"/>
      <c r="P441" s="91"/>
      <c r="Q441" s="9"/>
      <c r="R441" s="34" t="s">
        <v>976</v>
      </c>
      <c r="S441" s="9"/>
      <c r="T441" s="91"/>
      <c r="U441" s="9"/>
      <c r="V441" s="103"/>
      <c r="W441" s="101">
        <v>3.2336699999999996E-2</v>
      </c>
      <c r="X441" s="97">
        <v>1.6168349999999998E-2</v>
      </c>
      <c r="Y441" s="97">
        <v>1.6168349999999998E-2</v>
      </c>
      <c r="Z441" s="9"/>
      <c r="AA441" s="91"/>
      <c r="AB441" s="9"/>
      <c r="AC441" s="9"/>
    </row>
    <row r="442" spans="2:29" hidden="1" outlineLevel="3">
      <c r="B442" s="29"/>
      <c r="C442" s="30"/>
      <c r="D442" s="9"/>
      <c r="E442" s="91"/>
      <c r="F442" s="9"/>
      <c r="G442" s="119"/>
      <c r="H442" s="9"/>
      <c r="I442" s="91"/>
      <c r="J442" s="9"/>
      <c r="K442" s="36"/>
      <c r="L442" s="43" t="s">
        <v>33</v>
      </c>
      <c r="M442" s="43" t="s">
        <v>335</v>
      </c>
      <c r="N442" s="4"/>
      <c r="O442" s="9"/>
      <c r="P442" s="91"/>
      <c r="Q442" s="9"/>
      <c r="R442" s="34"/>
      <c r="S442" s="9"/>
      <c r="T442" s="91"/>
      <c r="U442" s="9"/>
      <c r="V442" s="103"/>
      <c r="W442" s="97">
        <v>4.8505049999999994E-2</v>
      </c>
      <c r="X442" s="97">
        <v>1.6168349999999998E-2</v>
      </c>
      <c r="Y442" s="98"/>
      <c r="Z442" s="9"/>
      <c r="AA442" s="91"/>
      <c r="AB442" s="9"/>
      <c r="AC442" s="9"/>
    </row>
    <row r="443" spans="2:29" ht="3" hidden="1" customHeight="1" outlineLevel="2">
      <c r="B443" s="29"/>
      <c r="C443" s="30"/>
      <c r="D443" s="9"/>
      <c r="E443" s="91"/>
      <c r="F443" s="9"/>
      <c r="G443" s="119"/>
      <c r="H443" s="9"/>
      <c r="I443" s="91"/>
      <c r="J443" s="9"/>
      <c r="K443" s="76"/>
      <c r="O443" s="9"/>
      <c r="P443" s="91"/>
      <c r="Q443" s="9"/>
      <c r="R443" s="34"/>
      <c r="S443" s="9"/>
      <c r="T443" s="91"/>
      <c r="U443" s="9"/>
      <c r="V443" s="76"/>
      <c r="Z443" s="9"/>
      <c r="AA443" s="91"/>
      <c r="AB443" s="9"/>
      <c r="AC443" s="9"/>
    </row>
    <row r="444" spans="2:29" s="22" customFormat="1" hidden="1" outlineLevel="2" collapsed="1">
      <c r="B444" s="23" t="s">
        <v>1007</v>
      </c>
      <c r="C444" s="23"/>
      <c r="D444" s="9"/>
      <c r="E444" s="91"/>
      <c r="F444" s="9"/>
      <c r="G444" s="125">
        <f>SUM(K444:N444)</f>
        <v>4</v>
      </c>
      <c r="H444" s="9"/>
      <c r="I444" s="91"/>
      <c r="J444" s="9"/>
      <c r="K444" s="72">
        <f>COUNTA(K445:K446)</f>
        <v>0</v>
      </c>
      <c r="L444" s="72">
        <f>COUNTA(L445:L446)</f>
        <v>0</v>
      </c>
      <c r="M444" s="72">
        <f>COUNTA(M445:M446)</f>
        <v>2</v>
      </c>
      <c r="N444" s="72">
        <f>COUNTA(N445:N446)</f>
        <v>2</v>
      </c>
      <c r="O444" s="9"/>
      <c r="P444" s="91"/>
      <c r="Q444" s="9"/>
      <c r="R444" s="83">
        <f>SUM(V444:Y444)</f>
        <v>0.69696000000000002</v>
      </c>
      <c r="S444" s="9"/>
      <c r="T444" s="91"/>
      <c r="U444" s="9"/>
      <c r="V444" s="82">
        <f>SUM(V445:V446)</f>
        <v>0</v>
      </c>
      <c r="W444" s="82">
        <f>SUM(W445:W446)</f>
        <v>0</v>
      </c>
      <c r="X444" s="82">
        <f>SUM(X445:X446)</f>
        <v>0.34848000000000001</v>
      </c>
      <c r="Y444" s="82">
        <f>SUM(Y445:Y446)</f>
        <v>0.34848000000000001</v>
      </c>
      <c r="Z444" s="9"/>
      <c r="AA444" s="91"/>
      <c r="AB444" s="9"/>
      <c r="AC444" s="9"/>
    </row>
    <row r="445" spans="2:29" hidden="1" outlineLevel="3">
      <c r="B445" s="29"/>
      <c r="C445" s="30"/>
      <c r="D445" s="9"/>
      <c r="E445" s="91"/>
      <c r="F445" s="9"/>
      <c r="G445" s="119" t="s">
        <v>976</v>
      </c>
      <c r="H445" s="9"/>
      <c r="I445" s="91"/>
      <c r="J445" s="9"/>
      <c r="K445" s="75"/>
      <c r="M445" s="37" t="s">
        <v>32</v>
      </c>
      <c r="N445" s="37" t="s">
        <v>34</v>
      </c>
      <c r="O445" s="9"/>
      <c r="P445" s="91"/>
      <c r="Q445" s="9"/>
      <c r="R445" s="34" t="s">
        <v>976</v>
      </c>
      <c r="S445" s="9"/>
      <c r="T445" s="91"/>
      <c r="U445" s="9"/>
      <c r="V445" s="103"/>
      <c r="W445" s="103"/>
      <c r="X445" s="104">
        <v>0.26135999999999998</v>
      </c>
      <c r="Y445" s="104">
        <v>0.26135999999999998</v>
      </c>
      <c r="Z445" s="9"/>
      <c r="AA445" s="91"/>
      <c r="AB445" s="9"/>
      <c r="AC445" s="9"/>
    </row>
    <row r="446" spans="2:29" hidden="1" outlineLevel="3">
      <c r="B446" s="29"/>
      <c r="C446" s="30"/>
      <c r="D446" s="9"/>
      <c r="E446" s="91"/>
      <c r="F446" s="9"/>
      <c r="G446" s="119" t="s">
        <v>976</v>
      </c>
      <c r="H446" s="9"/>
      <c r="I446" s="91"/>
      <c r="J446" s="9"/>
      <c r="K446" s="75"/>
      <c r="M446" s="74" t="s">
        <v>33</v>
      </c>
      <c r="N446" s="37" t="s">
        <v>471</v>
      </c>
      <c r="O446" s="9"/>
      <c r="P446" s="91"/>
      <c r="Q446" s="9"/>
      <c r="R446" s="34" t="s">
        <v>976</v>
      </c>
      <c r="S446" s="9"/>
      <c r="T446" s="91"/>
      <c r="U446" s="9"/>
      <c r="V446" s="98"/>
      <c r="W446" s="103"/>
      <c r="X446" s="97">
        <v>8.7120000000000003E-2</v>
      </c>
      <c r="Y446" s="104">
        <v>8.7120000000000003E-2</v>
      </c>
      <c r="Z446" s="9"/>
      <c r="AA446" s="91"/>
      <c r="AB446" s="9"/>
      <c r="AC446" s="9"/>
    </row>
    <row r="447" spans="2:29" ht="3" hidden="1" customHeight="1" outlineLevel="2">
      <c r="B447" s="3"/>
      <c r="C447" s="26"/>
      <c r="D447" s="9"/>
      <c r="E447" s="91"/>
      <c r="F447" s="9"/>
      <c r="G447" s="126"/>
      <c r="H447" s="9"/>
      <c r="I447" s="91"/>
      <c r="J447" s="9"/>
      <c r="K447" s="78"/>
      <c r="L447" s="78"/>
      <c r="M447" s="78"/>
      <c r="N447" s="78"/>
      <c r="O447" s="9"/>
      <c r="P447" s="91"/>
      <c r="Q447" s="9"/>
      <c r="R447" s="31"/>
      <c r="S447" s="9"/>
      <c r="T447" s="91"/>
      <c r="U447" s="9"/>
      <c r="V447" s="78"/>
      <c r="W447" s="78"/>
      <c r="X447" s="78"/>
      <c r="Y447" s="78"/>
      <c r="Z447" s="9"/>
      <c r="AA447" s="91"/>
      <c r="AB447" s="9"/>
      <c r="AC447" s="9"/>
    </row>
    <row r="448" spans="2:29" s="22" customFormat="1" hidden="1" outlineLevel="2" collapsed="1">
      <c r="B448" s="23" t="s">
        <v>537</v>
      </c>
      <c r="C448" s="23"/>
      <c r="D448" s="9"/>
      <c r="E448" s="91"/>
      <c r="F448" s="9"/>
      <c r="G448" s="125">
        <f>SUM(K448:N448)</f>
        <v>4</v>
      </c>
      <c r="H448" s="9"/>
      <c r="I448" s="91"/>
      <c r="J448" s="9"/>
      <c r="K448" s="72">
        <f>COUNTA(K449:K450)</f>
        <v>2</v>
      </c>
      <c r="L448" s="72">
        <f>COUNTA(L449:L450)</f>
        <v>1</v>
      </c>
      <c r="M448" s="72">
        <f>COUNTA(M449:M450)</f>
        <v>1</v>
      </c>
      <c r="N448" s="72">
        <f>COUNTA(N449:N450)</f>
        <v>0</v>
      </c>
      <c r="O448" s="9"/>
      <c r="P448" s="91"/>
      <c r="Q448" s="9"/>
      <c r="R448" s="82">
        <f>SUM(V448:Y448)</f>
        <v>1.37676</v>
      </c>
      <c r="S448" s="9"/>
      <c r="T448" s="91"/>
      <c r="U448" s="9"/>
      <c r="V448" s="82">
        <f>SUM(V449:V450)</f>
        <v>0.68837999999999999</v>
      </c>
      <c r="W448" s="82">
        <f>SUM(W449:W450)</f>
        <v>0.51628499999999999</v>
      </c>
      <c r="X448" s="82">
        <f>SUM(X449:X450)</f>
        <v>0.172095</v>
      </c>
      <c r="Y448" s="82">
        <f>SUM(Y449:Y450)</f>
        <v>0</v>
      </c>
      <c r="Z448" s="9"/>
      <c r="AA448" s="91"/>
      <c r="AB448" s="9"/>
      <c r="AC448" s="9"/>
    </row>
    <row r="449" spans="1:29" ht="27.6" hidden="1" outlineLevel="3">
      <c r="A449" s="19"/>
      <c r="B449" s="20"/>
      <c r="C449" s="21"/>
      <c r="D449" s="9"/>
      <c r="E449" s="91"/>
      <c r="F449" s="9"/>
      <c r="G449" s="119" t="s">
        <v>976</v>
      </c>
      <c r="H449" s="9"/>
      <c r="I449" s="91"/>
      <c r="J449" s="9"/>
      <c r="K449" s="37" t="s">
        <v>32</v>
      </c>
      <c r="L449" s="37" t="s">
        <v>34</v>
      </c>
      <c r="M449" s="37" t="s">
        <v>197</v>
      </c>
      <c r="N449" s="37"/>
      <c r="O449" s="9"/>
      <c r="P449" s="91"/>
      <c r="Q449" s="9"/>
      <c r="R449" s="34" t="s">
        <v>976</v>
      </c>
      <c r="S449" s="9"/>
      <c r="T449" s="91"/>
      <c r="U449" s="9"/>
      <c r="V449" s="104">
        <v>0.51628499999999999</v>
      </c>
      <c r="W449" s="104">
        <v>0.51628499999999999</v>
      </c>
      <c r="X449" s="104">
        <v>0.172095</v>
      </c>
      <c r="Y449" s="104"/>
      <c r="Z449" s="9"/>
      <c r="AA449" s="91"/>
      <c r="AB449" s="9"/>
      <c r="AC449" s="9"/>
    </row>
    <row r="450" spans="1:29" hidden="1" outlineLevel="3">
      <c r="A450" s="19"/>
      <c r="B450" s="20"/>
      <c r="C450" s="21"/>
      <c r="D450" s="9"/>
      <c r="E450" s="91"/>
      <c r="F450" s="9"/>
      <c r="G450" s="119" t="s">
        <v>976</v>
      </c>
      <c r="H450" s="9"/>
      <c r="I450" s="91"/>
      <c r="J450" s="9"/>
      <c r="K450" s="37" t="s">
        <v>33</v>
      </c>
      <c r="L450" s="37"/>
      <c r="M450" s="37"/>
      <c r="N450" s="4"/>
      <c r="O450" s="9"/>
      <c r="P450" s="91"/>
      <c r="Q450" s="9"/>
      <c r="R450" s="34" t="s">
        <v>976</v>
      </c>
      <c r="S450" s="9"/>
      <c r="T450" s="91"/>
      <c r="U450" s="9"/>
      <c r="V450" s="104">
        <v>0.172095</v>
      </c>
      <c r="W450" s="104"/>
      <c r="X450" s="104"/>
      <c r="Y450" s="98"/>
      <c r="Z450" s="9"/>
      <c r="AA450" s="91"/>
      <c r="AB450" s="9"/>
      <c r="AC450" s="9"/>
    </row>
    <row r="451" spans="1:29" ht="3" hidden="1" customHeight="1" outlineLevel="2">
      <c r="A451" s="19"/>
      <c r="B451" s="20"/>
      <c r="C451" s="21"/>
      <c r="D451" s="9"/>
      <c r="E451" s="91"/>
      <c r="F451" s="9"/>
      <c r="G451" s="124"/>
      <c r="H451" s="9"/>
      <c r="I451" s="91"/>
      <c r="J451" s="9"/>
      <c r="K451" s="71"/>
      <c r="L451" s="71"/>
      <c r="M451" s="71"/>
      <c r="N451" s="75"/>
      <c r="O451" s="9"/>
      <c r="P451" s="91"/>
      <c r="Q451" s="9"/>
      <c r="R451" s="9"/>
      <c r="S451" s="9"/>
      <c r="T451" s="91"/>
      <c r="U451" s="9"/>
      <c r="V451" s="71"/>
      <c r="W451" s="71"/>
      <c r="X451" s="71"/>
      <c r="Y451" s="75"/>
      <c r="Z451" s="9"/>
      <c r="AA451" s="91"/>
      <c r="AB451" s="9"/>
      <c r="AC451" s="9"/>
    </row>
    <row r="452" spans="1:29" s="22" customFormat="1" hidden="1" outlineLevel="2" collapsed="1">
      <c r="B452" s="23" t="s">
        <v>1324</v>
      </c>
      <c r="C452" s="23"/>
      <c r="D452" s="9"/>
      <c r="E452" s="91"/>
      <c r="F452" s="9"/>
      <c r="G452" s="125">
        <f>SUM(K452:N452)</f>
        <v>5</v>
      </c>
      <c r="H452" s="9"/>
      <c r="I452" s="91"/>
      <c r="J452" s="9"/>
      <c r="K452" s="72">
        <f>COUNTA(K453:K454)</f>
        <v>2</v>
      </c>
      <c r="L452" s="72">
        <f>COUNTA(L453:L454)</f>
        <v>1</v>
      </c>
      <c r="M452" s="72">
        <f>COUNTA(M453:M454)</f>
        <v>1</v>
      </c>
      <c r="N452" s="72">
        <f>COUNTA(N453:N454)</f>
        <v>1</v>
      </c>
      <c r="O452" s="9"/>
      <c r="P452" s="91"/>
      <c r="Q452" s="9"/>
      <c r="R452" s="82">
        <f>SUM(V452:Y452)</f>
        <v>0.99091191374999998</v>
      </c>
      <c r="S452" s="9"/>
      <c r="T452" s="91"/>
      <c r="U452" s="9"/>
      <c r="V452" s="82">
        <f>SUM(V453:V454)</f>
        <v>0.25736584499999998</v>
      </c>
      <c r="W452" s="82">
        <f>SUM(W453:W454)</f>
        <v>0.19302438375</v>
      </c>
      <c r="X452" s="82">
        <f>SUM(X453:X454)</f>
        <v>6.4341461249999995E-2</v>
      </c>
      <c r="Y452" s="82">
        <f>SUM(Y453:Y454)</f>
        <v>0.47618022375000002</v>
      </c>
      <c r="Z452" s="9"/>
      <c r="AA452" s="91"/>
      <c r="AB452" s="9"/>
      <c r="AC452" s="9"/>
    </row>
    <row r="453" spans="1:29" ht="27.6" hidden="1" outlineLevel="3">
      <c r="A453" s="19"/>
      <c r="B453" s="20"/>
      <c r="C453" s="21"/>
      <c r="D453" s="9"/>
      <c r="E453" s="91"/>
      <c r="F453" s="9"/>
      <c r="G453" s="119" t="s">
        <v>976</v>
      </c>
      <c r="H453" s="9"/>
      <c r="I453" s="91"/>
      <c r="J453" s="9"/>
      <c r="K453" s="37" t="s">
        <v>32</v>
      </c>
      <c r="L453" s="37" t="s">
        <v>34</v>
      </c>
      <c r="M453" s="37" t="s">
        <v>197</v>
      </c>
      <c r="N453" s="105" t="s">
        <v>1327</v>
      </c>
      <c r="O453" s="9"/>
      <c r="P453" s="91"/>
      <c r="Q453" s="9"/>
      <c r="R453" s="9"/>
      <c r="S453" s="9"/>
      <c r="T453" s="91"/>
      <c r="U453" s="9"/>
      <c r="V453" s="104">
        <v>0.19302438375</v>
      </c>
      <c r="W453" s="104">
        <v>0.19302438375</v>
      </c>
      <c r="X453" s="104">
        <v>6.4341461249999995E-2</v>
      </c>
      <c r="Y453" s="106">
        <v>0.47618022375000002</v>
      </c>
      <c r="Z453" s="9"/>
      <c r="AA453" s="91"/>
      <c r="AB453" s="9"/>
      <c r="AC453" s="9"/>
    </row>
    <row r="454" spans="1:29" hidden="1" outlineLevel="3">
      <c r="A454" s="19"/>
      <c r="B454" s="20"/>
      <c r="C454" s="21"/>
      <c r="D454" s="9"/>
      <c r="E454" s="91"/>
      <c r="F454" s="9"/>
      <c r="G454" s="119" t="s">
        <v>976</v>
      </c>
      <c r="H454" s="9"/>
      <c r="I454" s="91"/>
      <c r="J454" s="9"/>
      <c r="K454" s="37" t="s">
        <v>33</v>
      </c>
      <c r="L454" s="37"/>
      <c r="M454" s="75"/>
      <c r="N454" s="105"/>
      <c r="O454" s="9"/>
      <c r="P454" s="91"/>
      <c r="Q454" s="9"/>
      <c r="R454" s="9"/>
      <c r="S454" s="9"/>
      <c r="T454" s="91"/>
      <c r="U454" s="9"/>
      <c r="V454" s="104">
        <v>6.4341461249999995E-2</v>
      </c>
      <c r="W454" s="98"/>
      <c r="X454" s="109"/>
      <c r="Y454" s="106"/>
      <c r="Z454" s="9"/>
      <c r="AA454" s="91"/>
      <c r="AB454" s="9"/>
      <c r="AC454" s="9"/>
    </row>
    <row r="455" spans="1:29" ht="3" hidden="1" customHeight="1" outlineLevel="2">
      <c r="B455" s="29"/>
      <c r="C455" s="30"/>
      <c r="D455" s="9"/>
      <c r="E455" s="91"/>
      <c r="F455" s="9"/>
      <c r="G455" s="119"/>
      <c r="H455" s="9"/>
      <c r="I455" s="91"/>
      <c r="J455" s="9"/>
      <c r="K455" s="76"/>
      <c r="O455" s="9"/>
      <c r="P455" s="91"/>
      <c r="Q455" s="9"/>
      <c r="R455" s="27"/>
      <c r="S455" s="9"/>
      <c r="T455" s="91"/>
      <c r="U455" s="9"/>
      <c r="V455" s="76"/>
      <c r="Z455" s="9"/>
      <c r="AA455" s="91"/>
      <c r="AB455" s="9"/>
      <c r="AC455" s="9"/>
    </row>
    <row r="456" spans="1:29" s="22" customFormat="1" hidden="1" outlineLevel="2" collapsed="1">
      <c r="B456" s="23" t="s">
        <v>786</v>
      </c>
      <c r="C456" s="23"/>
      <c r="D456" s="9"/>
      <c r="E456" s="91"/>
      <c r="F456" s="9"/>
      <c r="G456" s="125">
        <f>SUM(K456:N456)</f>
        <v>5</v>
      </c>
      <c r="H456" s="9"/>
      <c r="I456" s="91"/>
      <c r="J456" s="9"/>
      <c r="K456" s="72">
        <f>COUNTA(K457:K460)</f>
        <v>4</v>
      </c>
      <c r="L456" s="72">
        <f>COUNTA(L457:L460)</f>
        <v>1</v>
      </c>
      <c r="M456" s="72">
        <f>COUNTA(M457:M460)</f>
        <v>0</v>
      </c>
      <c r="N456" s="72">
        <f>COUNTA(N457:N460)</f>
        <v>0</v>
      </c>
      <c r="O456" s="9"/>
      <c r="P456" s="91"/>
      <c r="Q456" s="9"/>
      <c r="R456" s="83">
        <f>SUM(V456:Y456)</f>
        <v>0.18759215546489164</v>
      </c>
      <c r="S456" s="153"/>
      <c r="T456" s="155"/>
      <c r="U456" s="153"/>
      <c r="V456" s="82">
        <f>SUM(V457:V460)</f>
        <v>0.15771667215597784</v>
      </c>
      <c r="W456" s="82">
        <f>SUM(W457:W460)</f>
        <v>2.9875483308913799E-2</v>
      </c>
      <c r="X456" s="82">
        <f>SUM(X457:X460)</f>
        <v>0</v>
      </c>
      <c r="Y456" s="82">
        <f>SUM(Y457:Y460)</f>
        <v>0</v>
      </c>
      <c r="Z456" s="9"/>
      <c r="AA456" s="91"/>
      <c r="AB456" s="9"/>
      <c r="AC456" s="9"/>
    </row>
    <row r="457" spans="1:29" hidden="1" outlineLevel="3">
      <c r="B457" s="25"/>
      <c r="C457" s="26"/>
      <c r="D457" s="9"/>
      <c r="E457" s="91"/>
      <c r="F457" s="9"/>
      <c r="G457" s="119" t="s">
        <v>976</v>
      </c>
      <c r="H457" s="9"/>
      <c r="I457" s="91"/>
      <c r="J457" s="9"/>
      <c r="K457" s="75" t="s">
        <v>34</v>
      </c>
      <c r="L457" s="43" t="s">
        <v>1241</v>
      </c>
      <c r="O457" s="9"/>
      <c r="P457" s="91"/>
      <c r="Q457" s="9"/>
      <c r="R457" s="27"/>
      <c r="S457" s="9"/>
      <c r="T457" s="91"/>
      <c r="U457" s="9"/>
      <c r="V457" s="88">
        <v>2.9875483308913799E-2</v>
      </c>
      <c r="W457" s="88"/>
      <c r="Z457" s="9"/>
      <c r="AA457" s="91"/>
      <c r="AB457" s="9"/>
      <c r="AC457" s="9"/>
    </row>
    <row r="458" spans="1:29" hidden="1" outlineLevel="3">
      <c r="B458" s="25"/>
      <c r="C458" s="26"/>
      <c r="D458" s="9"/>
      <c r="E458" s="91"/>
      <c r="F458" s="9"/>
      <c r="G458" s="119" t="s">
        <v>976</v>
      </c>
      <c r="H458" s="9"/>
      <c r="I458" s="91"/>
      <c r="J458" s="9"/>
      <c r="K458" s="75" t="s">
        <v>788</v>
      </c>
      <c r="L458" s="43"/>
      <c r="O458" s="9"/>
      <c r="P458" s="91"/>
      <c r="Q458" s="9"/>
      <c r="R458" s="27"/>
      <c r="S458" s="9"/>
      <c r="T458" s="91"/>
      <c r="U458" s="9"/>
      <c r="V458" s="88">
        <v>4.4984631294120017E-2</v>
      </c>
      <c r="W458" s="88">
        <v>2.9875483308913799E-2</v>
      </c>
      <c r="Z458" s="9"/>
      <c r="AA458" s="91"/>
      <c r="AB458" s="9"/>
      <c r="AC458" s="9"/>
    </row>
    <row r="459" spans="1:29" hidden="1" outlineLevel="3">
      <c r="B459" s="25"/>
      <c r="C459" s="26"/>
      <c r="D459" s="9"/>
      <c r="E459" s="91"/>
      <c r="F459" s="9"/>
      <c r="G459" s="119" t="s">
        <v>976</v>
      </c>
      <c r="H459" s="9"/>
      <c r="I459" s="91"/>
      <c r="J459" s="9"/>
      <c r="K459" s="43" t="s">
        <v>790</v>
      </c>
      <c r="O459" s="9"/>
      <c r="P459" s="91"/>
      <c r="Q459" s="9"/>
      <c r="R459" s="27"/>
      <c r="S459" s="9"/>
      <c r="T459" s="91"/>
      <c r="U459" s="9"/>
      <c r="V459" s="88">
        <v>5.3981557552944016E-2</v>
      </c>
      <c r="W459" s="75"/>
      <c r="Z459" s="9"/>
      <c r="AA459" s="91"/>
      <c r="AB459" s="9"/>
      <c r="AC459" s="9"/>
    </row>
    <row r="460" spans="1:29" ht="27.6" hidden="1" outlineLevel="3">
      <c r="B460" s="25"/>
      <c r="C460" s="26"/>
      <c r="D460" s="9"/>
      <c r="E460" s="91"/>
      <c r="F460" s="9"/>
      <c r="G460" s="119" t="s">
        <v>976</v>
      </c>
      <c r="H460" s="9"/>
      <c r="I460" s="91"/>
      <c r="J460" s="9"/>
      <c r="K460" s="75" t="s">
        <v>118</v>
      </c>
      <c r="O460" s="9"/>
      <c r="P460" s="91"/>
      <c r="Q460" s="9"/>
      <c r="R460" s="27"/>
      <c r="S460" s="9"/>
      <c r="T460" s="91"/>
      <c r="U460" s="9"/>
      <c r="V460" s="88">
        <v>2.8875000000000005E-2</v>
      </c>
      <c r="Z460" s="9"/>
      <c r="AA460" s="91"/>
      <c r="AB460" s="9"/>
      <c r="AC460" s="9"/>
    </row>
    <row r="461" spans="1:29" ht="3" hidden="1" customHeight="1" outlineLevel="2">
      <c r="B461" s="3"/>
      <c r="C461" s="26"/>
      <c r="D461" s="9"/>
      <c r="E461" s="91"/>
      <c r="F461" s="9"/>
      <c r="G461" s="126"/>
      <c r="H461" s="9"/>
      <c r="I461" s="91"/>
      <c r="J461" s="9"/>
      <c r="K461" s="78"/>
      <c r="L461" s="78"/>
      <c r="M461" s="78"/>
      <c r="N461" s="78"/>
      <c r="O461" s="9"/>
      <c r="P461" s="91"/>
      <c r="Q461" s="9"/>
      <c r="R461" s="31"/>
      <c r="S461" s="9"/>
      <c r="T461" s="91"/>
      <c r="U461" s="9"/>
      <c r="V461" s="78"/>
      <c r="W461" s="78"/>
      <c r="X461" s="78"/>
      <c r="Y461" s="78"/>
      <c r="Z461" s="9"/>
      <c r="AA461" s="91"/>
      <c r="AB461" s="9"/>
      <c r="AC461" s="9"/>
    </row>
    <row r="462" spans="1:29" s="22" customFormat="1" hidden="1" outlineLevel="2" collapsed="1">
      <c r="A462" s="22">
        <v>0</v>
      </c>
      <c r="B462" s="23" t="s">
        <v>905</v>
      </c>
      <c r="C462" s="23"/>
      <c r="D462" s="9"/>
      <c r="E462" s="91"/>
      <c r="F462" s="9"/>
      <c r="G462" s="125">
        <f>SUM(K462:N462)</f>
        <v>3</v>
      </c>
      <c r="H462" s="9"/>
      <c r="I462" s="91"/>
      <c r="J462" s="9"/>
      <c r="K462" s="72">
        <f>COUNTA(K463:K465)</f>
        <v>0</v>
      </c>
      <c r="L462" s="72">
        <f>COUNTA(L463:L465)</f>
        <v>3</v>
      </c>
      <c r="M462" s="72">
        <f>COUNTA(M463:M465)</f>
        <v>0</v>
      </c>
      <c r="N462" s="72">
        <f>COUNTA(N463:N465)</f>
        <v>0</v>
      </c>
      <c r="O462" s="9"/>
      <c r="P462" s="91"/>
      <c r="Q462" s="9"/>
      <c r="R462" s="24">
        <f>SUM(V462:Y462)</f>
        <v>0</v>
      </c>
      <c r="S462" s="9"/>
      <c r="T462" s="91"/>
      <c r="U462" s="9"/>
      <c r="V462" s="82">
        <f>SUM(V463:V465)</f>
        <v>0</v>
      </c>
      <c r="W462" s="82">
        <f t="shared" ref="W462:Y462" si="10">SUM(W463:W465)</f>
        <v>0</v>
      </c>
      <c r="X462" s="82">
        <f t="shared" si="10"/>
        <v>0</v>
      </c>
      <c r="Y462" s="82">
        <f t="shared" si="10"/>
        <v>0</v>
      </c>
      <c r="Z462" s="9"/>
      <c r="AA462" s="91"/>
      <c r="AB462" s="9"/>
      <c r="AC462" s="9"/>
    </row>
    <row r="463" spans="1:29" s="144" customFormat="1" ht="27.6" hidden="1" outlineLevel="3">
      <c r="A463" s="147"/>
      <c r="B463" s="20"/>
      <c r="C463" s="21"/>
      <c r="D463" s="148"/>
      <c r="E463" s="149"/>
      <c r="F463" s="148"/>
      <c r="G463" s="119" t="s">
        <v>976</v>
      </c>
      <c r="H463" s="148"/>
      <c r="I463" s="149"/>
      <c r="J463" s="148"/>
      <c r="K463" s="37"/>
      <c r="L463" s="37" t="s">
        <v>1329</v>
      </c>
      <c r="M463" s="142"/>
      <c r="N463" s="93"/>
      <c r="O463" s="148"/>
      <c r="P463" s="149"/>
      <c r="Q463" s="148"/>
      <c r="R463" s="148"/>
      <c r="S463" s="148"/>
      <c r="T463" s="149"/>
      <c r="U463" s="148"/>
      <c r="V463" s="37"/>
      <c r="W463" s="93"/>
      <c r="X463" s="142"/>
      <c r="Y463" s="93"/>
      <c r="Z463" s="148"/>
      <c r="AA463" s="149"/>
      <c r="AB463" s="148"/>
      <c r="AC463" s="148"/>
    </row>
    <row r="464" spans="1:29" s="144" customFormat="1" ht="27.6" hidden="1" outlineLevel="3">
      <c r="A464" s="147"/>
      <c r="B464" s="20"/>
      <c r="C464" s="21"/>
      <c r="D464" s="148"/>
      <c r="E464" s="149"/>
      <c r="F464" s="148"/>
      <c r="G464" s="119" t="s">
        <v>976</v>
      </c>
      <c r="H464" s="148"/>
      <c r="I464" s="149"/>
      <c r="J464" s="148"/>
      <c r="K464" s="37"/>
      <c r="L464" s="37" t="s">
        <v>1331</v>
      </c>
      <c r="M464" s="142"/>
      <c r="N464" s="93"/>
      <c r="O464" s="148"/>
      <c r="P464" s="149"/>
      <c r="Q464" s="148"/>
      <c r="R464" s="148"/>
      <c r="S464" s="148"/>
      <c r="T464" s="149"/>
      <c r="U464" s="148"/>
      <c r="V464" s="37"/>
      <c r="W464" s="93"/>
      <c r="X464" s="142"/>
      <c r="Y464" s="93"/>
      <c r="Z464" s="148"/>
      <c r="AA464" s="149"/>
      <c r="AB464" s="148"/>
      <c r="AC464" s="148"/>
    </row>
    <row r="465" spans="1:29" s="144" customFormat="1" ht="27.6" hidden="1" outlineLevel="3">
      <c r="A465" s="147"/>
      <c r="B465" s="20"/>
      <c r="C465" s="21"/>
      <c r="D465" s="148"/>
      <c r="E465" s="149"/>
      <c r="F465" s="148"/>
      <c r="G465" s="119" t="s">
        <v>976</v>
      </c>
      <c r="H465" s="148"/>
      <c r="I465" s="149"/>
      <c r="J465" s="148"/>
      <c r="K465" s="37"/>
      <c r="L465" s="37" t="s">
        <v>1333</v>
      </c>
      <c r="M465" s="142"/>
      <c r="N465" s="93"/>
      <c r="O465" s="148"/>
      <c r="P465" s="149"/>
      <c r="Q465" s="148"/>
      <c r="R465" s="148"/>
      <c r="S465" s="148"/>
      <c r="T465" s="149"/>
      <c r="U465" s="148"/>
      <c r="V465" s="37"/>
      <c r="W465" s="93"/>
      <c r="X465" s="142"/>
      <c r="Y465" s="93"/>
      <c r="Z465" s="148"/>
      <c r="AA465" s="149"/>
      <c r="AB465" s="148"/>
      <c r="AC465" s="148"/>
    </row>
    <row r="466" spans="1:29" ht="3" hidden="1" customHeight="1" outlineLevel="2">
      <c r="B466" s="3"/>
      <c r="C466" s="3"/>
      <c r="D466" s="9"/>
      <c r="E466" s="91"/>
      <c r="F466" s="9"/>
      <c r="G466" s="122"/>
      <c r="H466" s="9"/>
      <c r="I466" s="91"/>
      <c r="J466" s="9"/>
      <c r="O466" s="9"/>
      <c r="P466" s="91"/>
      <c r="Q466" s="9"/>
      <c r="R466" s="115"/>
      <c r="S466" s="9"/>
      <c r="T466" s="91"/>
      <c r="U466" s="9"/>
      <c r="Z466" s="9"/>
      <c r="AA466" s="91"/>
      <c r="AB466" s="9"/>
      <c r="AC466" s="9"/>
    </row>
    <row r="467" spans="1:29" s="22" customFormat="1" hidden="1" outlineLevel="2" collapsed="1">
      <c r="A467" s="22">
        <v>1</v>
      </c>
      <c r="B467" s="23" t="s">
        <v>1334</v>
      </c>
      <c r="C467" s="23"/>
      <c r="D467" s="9"/>
      <c r="E467" s="91"/>
      <c r="F467" s="9"/>
      <c r="G467" s="125">
        <f>SUM(K467:N467)</f>
        <v>3</v>
      </c>
      <c r="H467" s="9"/>
      <c r="I467" s="91"/>
      <c r="J467" s="9"/>
      <c r="K467" s="72">
        <f>COUNTA(K468:K468)</f>
        <v>0</v>
      </c>
      <c r="L467" s="72">
        <f>COUNTA(L468:L468)</f>
        <v>1</v>
      </c>
      <c r="M467" s="72">
        <f>COUNTA(M468:M468)</f>
        <v>1</v>
      </c>
      <c r="N467" s="72">
        <f>COUNTA(N468:N468)</f>
        <v>1</v>
      </c>
      <c r="O467" s="9"/>
      <c r="P467" s="91"/>
      <c r="Q467" s="9"/>
      <c r="R467" s="24"/>
      <c r="S467" s="9"/>
      <c r="T467" s="91"/>
      <c r="U467" s="9"/>
      <c r="V467" s="82">
        <f>SUM(V468)</f>
        <v>0</v>
      </c>
      <c r="W467" s="82">
        <f>SUM(W468)</f>
        <v>2.0625000000000001E-2</v>
      </c>
      <c r="X467" s="82">
        <f>SUM(X468)</f>
        <v>8.2500000000000004E-3</v>
      </c>
      <c r="Y467" s="82">
        <f>SUM(Y468)</f>
        <v>2.0625000000000001E-2</v>
      </c>
      <c r="Z467" s="9"/>
      <c r="AA467" s="91"/>
      <c r="AB467" s="9"/>
      <c r="AC467" s="9"/>
    </row>
    <row r="468" spans="1:29" hidden="1" outlineLevel="3">
      <c r="A468" s="19"/>
      <c r="B468" s="20"/>
      <c r="C468" s="21"/>
      <c r="D468" s="9"/>
      <c r="E468" s="91"/>
      <c r="F468" s="9"/>
      <c r="G468" s="119" t="s">
        <v>976</v>
      </c>
      <c r="H468" s="9"/>
      <c r="I468" s="91"/>
      <c r="J468" s="9"/>
      <c r="K468" s="74"/>
      <c r="L468" s="75" t="s">
        <v>841</v>
      </c>
      <c r="M468" s="36" t="s">
        <v>33</v>
      </c>
      <c r="N468" s="36" t="s">
        <v>1367</v>
      </c>
      <c r="O468" s="9"/>
      <c r="P468" s="91"/>
      <c r="Q468" s="9"/>
      <c r="R468" s="9"/>
      <c r="S468" s="9"/>
      <c r="T468" s="91"/>
      <c r="U468" s="9"/>
      <c r="V468" s="97"/>
      <c r="W468" s="109">
        <v>2.0625000000000001E-2</v>
      </c>
      <c r="X468" s="108">
        <v>8.2500000000000004E-3</v>
      </c>
      <c r="Y468" s="109">
        <v>2.0625000000000001E-2</v>
      </c>
      <c r="Z468" s="9"/>
      <c r="AA468" s="91"/>
      <c r="AB468" s="9"/>
      <c r="AC468" s="9"/>
    </row>
    <row r="469" spans="1:29" ht="3" hidden="1" customHeight="1" outlineLevel="2">
      <c r="B469" s="3"/>
      <c r="C469" s="3"/>
      <c r="D469" s="9"/>
      <c r="E469" s="91"/>
      <c r="F469" s="9"/>
      <c r="G469" s="122"/>
      <c r="H469" s="9"/>
      <c r="I469" s="91"/>
      <c r="J469" s="9"/>
      <c r="O469" s="9"/>
      <c r="P469" s="91"/>
      <c r="Q469" s="9"/>
      <c r="R469" s="115"/>
      <c r="S469" s="9"/>
      <c r="T469" s="91"/>
      <c r="U469" s="9"/>
      <c r="Z469" s="9"/>
      <c r="AA469" s="91"/>
      <c r="AB469" s="9"/>
      <c r="AC469" s="9"/>
    </row>
    <row r="470" spans="1:29" s="22" customFormat="1" hidden="1" outlineLevel="2" collapsed="1">
      <c r="A470" s="22">
        <v>1</v>
      </c>
      <c r="B470" s="23" t="s">
        <v>792</v>
      </c>
      <c r="C470" s="23"/>
      <c r="D470" s="9"/>
      <c r="E470" s="91"/>
      <c r="F470" s="9"/>
      <c r="G470" s="125">
        <f>SUM(K470:N470)</f>
        <v>4</v>
      </c>
      <c r="H470" s="9"/>
      <c r="I470" s="91"/>
      <c r="J470" s="9"/>
      <c r="K470" s="72">
        <f>COUNTA(K471:K472)</f>
        <v>0</v>
      </c>
      <c r="L470" s="72">
        <f>COUNTA(L471:L472)</f>
        <v>1</v>
      </c>
      <c r="M470" s="72">
        <f>COUNTA(M471:M472)</f>
        <v>2</v>
      </c>
      <c r="N470" s="72">
        <f>COUNTA(N471:N472)</f>
        <v>1</v>
      </c>
      <c r="O470" s="9"/>
      <c r="P470" s="91"/>
      <c r="Q470" s="9"/>
      <c r="R470" s="24">
        <f>SUM(V470:Y470)</f>
        <v>2.8499999999999998E-2</v>
      </c>
      <c r="S470" s="9"/>
      <c r="T470" s="91"/>
      <c r="U470" s="9"/>
      <c r="V470" s="82">
        <f>SUM(V471:V472)</f>
        <v>0</v>
      </c>
      <c r="W470" s="82">
        <f>SUM(W471:W472)</f>
        <v>7.4999999999999997E-3</v>
      </c>
      <c r="X470" s="82">
        <f>SUM(X471:X472)</f>
        <v>1.0499999999999999E-2</v>
      </c>
      <c r="Y470" s="82">
        <f>SUM(Y471:Y472)</f>
        <v>1.0500000000000001E-2</v>
      </c>
      <c r="Z470" s="9"/>
      <c r="AA470" s="91"/>
      <c r="AB470" s="9"/>
      <c r="AC470" s="9"/>
    </row>
    <row r="471" spans="1:29" hidden="1" outlineLevel="3">
      <c r="B471" s="25"/>
      <c r="C471" s="26"/>
      <c r="D471" s="9"/>
      <c r="E471" s="91"/>
      <c r="F471" s="9"/>
      <c r="G471" s="119" t="s">
        <v>976</v>
      </c>
      <c r="H471" s="9"/>
      <c r="I471" s="91"/>
      <c r="J471" s="9"/>
      <c r="K471" s="43"/>
      <c r="L471" s="92" t="s">
        <v>32</v>
      </c>
      <c r="M471" s="93" t="s">
        <v>842</v>
      </c>
      <c r="N471" s="93" t="s">
        <v>1336</v>
      </c>
      <c r="O471" s="9"/>
      <c r="P471" s="91"/>
      <c r="Q471" s="9"/>
      <c r="R471" s="27"/>
      <c r="S471" s="9"/>
      <c r="T471" s="91"/>
      <c r="U471" s="9"/>
      <c r="V471" s="97"/>
      <c r="W471" s="99">
        <v>7.4999999999999997E-3</v>
      </c>
      <c r="X471" s="99">
        <v>7.4999999999999997E-3</v>
      </c>
      <c r="Y471" s="99">
        <v>1.0500000000000001E-2</v>
      </c>
      <c r="Z471" s="9"/>
      <c r="AA471" s="91"/>
      <c r="AB471" s="9"/>
      <c r="AC471" s="9"/>
    </row>
    <row r="472" spans="1:29" hidden="1" outlineLevel="3">
      <c r="B472" s="25"/>
      <c r="C472" s="26"/>
      <c r="D472" s="9"/>
      <c r="E472" s="91"/>
      <c r="F472" s="9"/>
      <c r="G472" s="119" t="s">
        <v>976</v>
      </c>
      <c r="H472" s="9"/>
      <c r="I472" s="91"/>
      <c r="J472" s="9"/>
      <c r="K472" s="43"/>
      <c r="M472" s="93" t="s">
        <v>33</v>
      </c>
      <c r="N472" s="93"/>
      <c r="O472" s="9"/>
      <c r="P472" s="91"/>
      <c r="Q472" s="9"/>
      <c r="R472" s="27"/>
      <c r="S472" s="9"/>
      <c r="T472" s="91"/>
      <c r="U472" s="9"/>
      <c r="V472" s="97"/>
      <c r="W472" s="99"/>
      <c r="X472" s="99">
        <v>3.0000000000000001E-3</v>
      </c>
      <c r="Y472" s="99"/>
      <c r="Z472" s="9"/>
      <c r="AA472" s="91"/>
      <c r="AB472" s="9"/>
      <c r="AC472" s="9"/>
    </row>
    <row r="473" spans="1:29" ht="3" hidden="1" customHeight="1" outlineLevel="2">
      <c r="B473" s="3"/>
      <c r="C473" s="3"/>
      <c r="D473" s="9"/>
      <c r="E473" s="91"/>
      <c r="F473" s="9"/>
      <c r="G473" s="122"/>
      <c r="H473" s="9"/>
      <c r="I473" s="91"/>
      <c r="J473" s="9"/>
      <c r="O473" s="9"/>
      <c r="P473" s="91"/>
      <c r="Q473" s="9"/>
      <c r="R473" s="115"/>
      <c r="S473" s="9"/>
      <c r="T473" s="91"/>
      <c r="U473" s="9"/>
      <c r="Z473" s="9"/>
      <c r="AA473" s="91"/>
      <c r="AB473" s="9"/>
      <c r="AC473" s="9"/>
    </row>
    <row r="474" spans="1:29" s="22" customFormat="1" hidden="1" outlineLevel="2" collapsed="1">
      <c r="A474" s="22">
        <v>0</v>
      </c>
      <c r="B474" s="23" t="s">
        <v>1337</v>
      </c>
      <c r="C474" s="23"/>
      <c r="D474" s="9"/>
      <c r="E474" s="91"/>
      <c r="F474" s="9"/>
      <c r="G474" s="125">
        <f>SUM(K474:N474)</f>
        <v>4</v>
      </c>
      <c r="H474" s="9"/>
      <c r="I474" s="91"/>
      <c r="J474" s="9"/>
      <c r="K474" s="72">
        <f>COUNTA(K475:K476)</f>
        <v>0</v>
      </c>
      <c r="L474" s="72">
        <f>COUNTA(L475:L476)</f>
        <v>1</v>
      </c>
      <c r="M474" s="72">
        <f>COUNTA(M475:M476)</f>
        <v>2</v>
      </c>
      <c r="N474" s="72">
        <f>COUNTA(N475:N476)</f>
        <v>1</v>
      </c>
      <c r="O474" s="9"/>
      <c r="P474" s="91"/>
      <c r="Q474" s="9"/>
      <c r="R474" s="24">
        <f>SUM(V474:Y474)</f>
        <v>0</v>
      </c>
      <c r="S474" s="9"/>
      <c r="T474" s="91"/>
      <c r="U474" s="9"/>
      <c r="V474" s="72">
        <f>SUM(V475:V476)</f>
        <v>0</v>
      </c>
      <c r="W474" s="72">
        <f>SUM(W475:W476)</f>
        <v>0</v>
      </c>
      <c r="X474" s="72">
        <f>SUM(X475:X476)</f>
        <v>0</v>
      </c>
      <c r="Y474" s="72">
        <f>SUM(Y475:Y476)</f>
        <v>0</v>
      </c>
      <c r="Z474" s="9"/>
      <c r="AA474" s="91"/>
      <c r="AB474" s="9"/>
      <c r="AC474" s="9"/>
    </row>
    <row r="475" spans="1:29" hidden="1" outlineLevel="3">
      <c r="B475" s="25"/>
      <c r="C475" s="26"/>
      <c r="D475" s="9"/>
      <c r="E475" s="91"/>
      <c r="F475" s="9"/>
      <c r="G475" s="119" t="s">
        <v>976</v>
      </c>
      <c r="H475" s="9"/>
      <c r="I475" s="91"/>
      <c r="J475" s="9"/>
      <c r="L475" s="92" t="s">
        <v>32</v>
      </c>
      <c r="M475" s="93" t="s">
        <v>842</v>
      </c>
      <c r="N475" s="93" t="s">
        <v>1336</v>
      </c>
      <c r="O475" s="9"/>
      <c r="P475" s="91"/>
      <c r="Q475" s="9"/>
      <c r="R475" s="27"/>
      <c r="S475" s="9"/>
      <c r="T475" s="91"/>
      <c r="U475" s="9"/>
      <c r="V475" s="43"/>
      <c r="Z475" s="9"/>
      <c r="AA475" s="91"/>
      <c r="AB475" s="9"/>
      <c r="AC475" s="9"/>
    </row>
    <row r="476" spans="1:29" hidden="1" outlineLevel="3">
      <c r="B476" s="25"/>
      <c r="C476" s="26"/>
      <c r="D476" s="9"/>
      <c r="E476" s="91"/>
      <c r="F476" s="9"/>
      <c r="G476" s="119" t="s">
        <v>976</v>
      </c>
      <c r="H476" s="9"/>
      <c r="I476" s="91"/>
      <c r="J476" s="9"/>
      <c r="M476" s="93" t="s">
        <v>33</v>
      </c>
      <c r="N476" s="93"/>
      <c r="O476" s="9"/>
      <c r="P476" s="91"/>
      <c r="Q476" s="9"/>
      <c r="R476" s="27"/>
      <c r="S476" s="9"/>
      <c r="T476" s="91"/>
      <c r="U476" s="9"/>
      <c r="V476" s="43"/>
      <c r="Z476" s="9"/>
      <c r="AA476" s="91"/>
      <c r="AB476" s="9"/>
      <c r="AC476" s="9"/>
    </row>
    <row r="477" spans="1:29" ht="3" hidden="1" customHeight="1" outlineLevel="2">
      <c r="A477" s="19"/>
      <c r="B477" s="116"/>
      <c r="C477" s="117"/>
      <c r="D477" s="9"/>
      <c r="E477" s="91"/>
      <c r="F477" s="9"/>
      <c r="G477" s="126"/>
      <c r="H477" s="9"/>
      <c r="I477" s="91"/>
      <c r="J477" s="9"/>
      <c r="K477" s="78"/>
      <c r="L477" s="78"/>
      <c r="M477" s="78"/>
      <c r="N477" s="78"/>
      <c r="O477" s="9"/>
      <c r="P477" s="91"/>
      <c r="Q477" s="9"/>
      <c r="R477" s="31"/>
      <c r="S477" s="9"/>
      <c r="T477" s="91"/>
      <c r="U477" s="9"/>
      <c r="V477" s="78"/>
      <c r="W477" s="78"/>
      <c r="X477" s="78"/>
      <c r="Y477" s="78"/>
      <c r="Z477" s="9"/>
      <c r="AA477" s="91"/>
      <c r="AB477" s="9"/>
      <c r="AC477" s="9"/>
    </row>
    <row r="478" spans="1:29" s="22" customFormat="1" hidden="1" outlineLevel="2" collapsed="1">
      <c r="A478" s="22">
        <v>0</v>
      </c>
      <c r="B478" s="23" t="s">
        <v>1338</v>
      </c>
      <c r="C478" s="23"/>
      <c r="D478" s="9"/>
      <c r="E478" s="91"/>
      <c r="F478" s="9"/>
      <c r="G478" s="125">
        <f>SUM(K478:N478)</f>
        <v>4</v>
      </c>
      <c r="H478" s="9"/>
      <c r="I478" s="91"/>
      <c r="J478" s="9"/>
      <c r="K478" s="72">
        <f>COUNTA(K479:K480)</f>
        <v>0</v>
      </c>
      <c r="L478" s="72">
        <f>COUNTA(L479:L480)</f>
        <v>1</v>
      </c>
      <c r="M478" s="72">
        <f>COUNTA(M479:M480)</f>
        <v>2</v>
      </c>
      <c r="N478" s="72">
        <f>COUNTA(N479:N480)</f>
        <v>1</v>
      </c>
      <c r="O478" s="9"/>
      <c r="P478" s="91"/>
      <c r="Q478" s="9"/>
      <c r="R478" s="24">
        <f>SUM(V478:Y478)</f>
        <v>0</v>
      </c>
      <c r="S478" s="9"/>
      <c r="T478" s="91"/>
      <c r="U478" s="9"/>
      <c r="V478" s="72">
        <f>SUM(V479:V480)</f>
        <v>0</v>
      </c>
      <c r="W478" s="72">
        <f>SUM(W479:W480)</f>
        <v>0</v>
      </c>
      <c r="X478" s="72">
        <f>SUM(X479:X480)</f>
        <v>0</v>
      </c>
      <c r="Y478" s="72">
        <f>SUM(Y479:Y480)</f>
        <v>0</v>
      </c>
      <c r="Z478" s="9"/>
      <c r="AA478" s="91"/>
      <c r="AB478" s="9"/>
      <c r="AC478" s="9"/>
    </row>
    <row r="479" spans="1:29" hidden="1" outlineLevel="3">
      <c r="B479" s="25"/>
      <c r="C479" s="26"/>
      <c r="D479" s="9"/>
      <c r="E479" s="91"/>
      <c r="F479" s="9"/>
      <c r="G479" s="119" t="s">
        <v>976</v>
      </c>
      <c r="H479" s="9"/>
      <c r="I479" s="91"/>
      <c r="J479" s="9"/>
      <c r="L479" s="92" t="s">
        <v>32</v>
      </c>
      <c r="M479" s="93" t="s">
        <v>842</v>
      </c>
      <c r="N479" s="93" t="s">
        <v>1336</v>
      </c>
      <c r="O479" s="9"/>
      <c r="P479" s="91"/>
      <c r="Q479" s="9"/>
      <c r="R479" s="27"/>
      <c r="S479" s="9"/>
      <c r="T479" s="91"/>
      <c r="U479" s="9"/>
      <c r="V479" s="43"/>
      <c r="Z479" s="9"/>
      <c r="AA479" s="91"/>
      <c r="AB479" s="9"/>
      <c r="AC479" s="9"/>
    </row>
    <row r="480" spans="1:29" hidden="1" outlineLevel="3">
      <c r="B480" s="25"/>
      <c r="C480" s="26"/>
      <c r="D480" s="9"/>
      <c r="E480" s="91"/>
      <c r="F480" s="9"/>
      <c r="G480" s="119" t="s">
        <v>976</v>
      </c>
      <c r="H480" s="9"/>
      <c r="I480" s="91"/>
      <c r="J480" s="9"/>
      <c r="M480" s="93" t="s">
        <v>33</v>
      </c>
      <c r="N480" s="93"/>
      <c r="O480" s="9"/>
      <c r="P480" s="91"/>
      <c r="Q480" s="9"/>
      <c r="R480" s="27"/>
      <c r="S480" s="9"/>
      <c r="T480" s="91"/>
      <c r="U480" s="9"/>
      <c r="V480" s="43"/>
      <c r="Z480" s="9"/>
      <c r="AA480" s="91"/>
      <c r="AB480" s="9"/>
      <c r="AC480" s="9"/>
    </row>
    <row r="481" spans="1:29" ht="3" hidden="1" customHeight="1" outlineLevel="2">
      <c r="B481" s="3"/>
      <c r="C481" s="3"/>
      <c r="D481" s="9"/>
      <c r="E481" s="91"/>
      <c r="F481" s="9"/>
      <c r="G481" s="122"/>
      <c r="H481" s="9"/>
      <c r="I481" s="91"/>
      <c r="J481" s="9"/>
      <c r="O481" s="9"/>
      <c r="P481" s="91"/>
      <c r="Q481" s="9"/>
      <c r="R481" s="115"/>
      <c r="S481" s="9"/>
      <c r="T481" s="91"/>
      <c r="U481" s="9"/>
      <c r="Z481" s="9"/>
      <c r="AA481" s="91"/>
      <c r="AB481" s="9"/>
      <c r="AC481" s="9"/>
    </row>
    <row r="482" spans="1:29" s="22" customFormat="1" hidden="1" outlineLevel="2" collapsed="1">
      <c r="B482" s="23" t="s">
        <v>1206</v>
      </c>
      <c r="C482" s="23"/>
      <c r="D482" s="9"/>
      <c r="E482" s="91"/>
      <c r="F482" s="9"/>
      <c r="G482" s="125">
        <f>SUM(K482:N482)</f>
        <v>5</v>
      </c>
      <c r="H482" s="9"/>
      <c r="I482" s="91"/>
      <c r="J482" s="9"/>
      <c r="K482" s="72">
        <f>COUNTA(K483:K484)</f>
        <v>1</v>
      </c>
      <c r="L482" s="72">
        <f>COUNTA(L483:L484)</f>
        <v>2</v>
      </c>
      <c r="M482" s="72">
        <f>COUNTA(M483:M484)</f>
        <v>1</v>
      </c>
      <c r="N482" s="72">
        <f>COUNTA(N483:N484)</f>
        <v>1</v>
      </c>
      <c r="O482" s="9"/>
      <c r="P482" s="91"/>
      <c r="Q482" s="9"/>
      <c r="R482" s="83">
        <f>SUM(V482:Y482)</f>
        <v>0.24815999999999999</v>
      </c>
      <c r="S482" s="9"/>
      <c r="T482" s="91"/>
      <c r="U482" s="9"/>
      <c r="V482" s="82">
        <f>SUM(V483:V484)</f>
        <v>6.2039999999999998E-2</v>
      </c>
      <c r="W482" s="82">
        <f>SUM(W483:W484)</f>
        <v>0.12408</v>
      </c>
      <c r="X482" s="82">
        <f>SUM(X483:X484)</f>
        <v>3.1019999999999999E-2</v>
      </c>
      <c r="Y482" s="82">
        <f>SUM(Y483:Y484)</f>
        <v>3.1019999999999999E-2</v>
      </c>
      <c r="Z482" s="9"/>
      <c r="AA482" s="91"/>
      <c r="AB482" s="9"/>
      <c r="AC482" s="9"/>
    </row>
    <row r="483" spans="1:29" hidden="1" outlineLevel="3">
      <c r="B483" s="29"/>
      <c r="C483" s="30"/>
      <c r="D483" s="9"/>
      <c r="E483" s="91"/>
      <c r="F483" s="9"/>
      <c r="G483" s="119" t="s">
        <v>976</v>
      </c>
      <c r="H483" s="9"/>
      <c r="I483" s="91"/>
      <c r="J483" s="9"/>
      <c r="K483" s="37" t="s">
        <v>32</v>
      </c>
      <c r="L483" s="37" t="s">
        <v>335</v>
      </c>
      <c r="M483" s="37" t="s">
        <v>34</v>
      </c>
      <c r="N483" s="4"/>
      <c r="O483" s="9"/>
      <c r="P483" s="91"/>
      <c r="Q483" s="9"/>
      <c r="R483" s="34" t="s">
        <v>976</v>
      </c>
      <c r="S483" s="9"/>
      <c r="T483" s="91"/>
      <c r="U483" s="9"/>
      <c r="V483" s="104">
        <v>6.2039999999999998E-2</v>
      </c>
      <c r="W483" s="104">
        <v>3.1019999999999999E-2</v>
      </c>
      <c r="X483" s="104">
        <v>3.1019999999999999E-2</v>
      </c>
      <c r="Y483" s="98"/>
      <c r="Z483" s="9"/>
      <c r="AA483" s="91"/>
      <c r="AB483" s="9"/>
      <c r="AC483" s="9"/>
    </row>
    <row r="484" spans="1:29" hidden="1" outlineLevel="3">
      <c r="B484" s="29"/>
      <c r="C484" s="30"/>
      <c r="D484" s="9"/>
      <c r="E484" s="91"/>
      <c r="F484" s="9"/>
      <c r="G484" s="119" t="s">
        <v>976</v>
      </c>
      <c r="H484" s="9"/>
      <c r="I484" s="91"/>
      <c r="J484" s="9"/>
      <c r="L484" s="37" t="s">
        <v>33</v>
      </c>
      <c r="M484" s="4"/>
      <c r="N484" s="37" t="s">
        <v>471</v>
      </c>
      <c r="O484" s="9"/>
      <c r="P484" s="91"/>
      <c r="Q484" s="9"/>
      <c r="R484" s="34" t="s">
        <v>976</v>
      </c>
      <c r="S484" s="9"/>
      <c r="T484" s="91"/>
      <c r="U484" s="9"/>
      <c r="V484" s="99"/>
      <c r="W484" s="104">
        <v>9.305999999999999E-2</v>
      </c>
      <c r="X484" s="98"/>
      <c r="Y484" s="104">
        <v>3.1019999999999999E-2</v>
      </c>
      <c r="Z484" s="9"/>
      <c r="AA484" s="91"/>
      <c r="AB484" s="9"/>
      <c r="AC484" s="9"/>
    </row>
    <row r="485" spans="1:29" ht="3" hidden="1" customHeight="1" outlineLevel="2">
      <c r="B485" s="29"/>
      <c r="C485" s="30"/>
      <c r="D485" s="9"/>
      <c r="E485" s="91"/>
      <c r="F485" s="9"/>
      <c r="G485" s="119"/>
      <c r="H485" s="9"/>
      <c r="I485" s="91"/>
      <c r="J485" s="9"/>
      <c r="K485" s="76"/>
      <c r="O485" s="9"/>
      <c r="P485" s="91"/>
      <c r="Q485" s="9"/>
      <c r="R485" s="34"/>
      <c r="S485" s="9"/>
      <c r="T485" s="91"/>
      <c r="U485" s="9"/>
      <c r="V485" s="76"/>
      <c r="Z485" s="9"/>
      <c r="AA485" s="91"/>
      <c r="AB485" s="9"/>
      <c r="AC485" s="9"/>
    </row>
    <row r="486" spans="1:29" s="22" customFormat="1" hidden="1" outlineLevel="2" collapsed="1">
      <c r="B486" s="23" t="s">
        <v>1101</v>
      </c>
      <c r="C486" s="23"/>
      <c r="D486" s="9"/>
      <c r="E486" s="91"/>
      <c r="F486" s="9"/>
      <c r="G486" s="125">
        <f>SUM(K486:N486)</f>
        <v>5</v>
      </c>
      <c r="H486" s="9"/>
      <c r="I486" s="91"/>
      <c r="J486" s="9"/>
      <c r="K486" s="72">
        <f>COUNTA(K487:K488)</f>
        <v>1</v>
      </c>
      <c r="L486" s="72">
        <f>COUNTA(L487:L488)</f>
        <v>2</v>
      </c>
      <c r="M486" s="72">
        <f>COUNTA(M487:M488)</f>
        <v>1</v>
      </c>
      <c r="N486" s="72">
        <f>COUNTA(N487:N488)</f>
        <v>1</v>
      </c>
      <c r="O486" s="9"/>
      <c r="P486" s="91"/>
      <c r="Q486" s="9"/>
      <c r="R486" s="83">
        <f>SUM(V486:Y486)</f>
        <v>0.10560000000000001</v>
      </c>
      <c r="S486" s="9"/>
      <c r="T486" s="91"/>
      <c r="U486" s="9"/>
      <c r="V486" s="82">
        <f>SUM(V487:V488)</f>
        <v>2.6400000000000003E-2</v>
      </c>
      <c r="W486" s="82">
        <f>SUM(W487:W488)</f>
        <v>5.2800000000000007E-2</v>
      </c>
      <c r="X486" s="82">
        <f>SUM(X487:X488)</f>
        <v>1.3200000000000002E-2</v>
      </c>
      <c r="Y486" s="82">
        <f>SUM(Y487:Y488)</f>
        <v>1.3200000000000002E-2</v>
      </c>
      <c r="Z486" s="9"/>
      <c r="AA486" s="91"/>
      <c r="AB486" s="9"/>
      <c r="AC486" s="9"/>
    </row>
    <row r="487" spans="1:29" hidden="1" outlineLevel="3">
      <c r="B487" s="29"/>
      <c r="C487" s="30"/>
      <c r="D487" s="9"/>
      <c r="E487" s="91"/>
      <c r="F487" s="9"/>
      <c r="G487" s="119" t="s">
        <v>976</v>
      </c>
      <c r="H487" s="9"/>
      <c r="I487" s="91"/>
      <c r="J487" s="9"/>
      <c r="K487" s="37" t="s">
        <v>32</v>
      </c>
      <c r="L487" s="37" t="s">
        <v>335</v>
      </c>
      <c r="M487" s="37" t="s">
        <v>34</v>
      </c>
      <c r="N487" s="4"/>
      <c r="O487" s="9"/>
      <c r="P487" s="91"/>
      <c r="Q487" s="9"/>
      <c r="R487" s="34" t="s">
        <v>976</v>
      </c>
      <c r="S487" s="9"/>
      <c r="T487" s="91"/>
      <c r="U487" s="9"/>
      <c r="V487" s="104">
        <v>2.6400000000000003E-2</v>
      </c>
      <c r="W487" s="104">
        <v>1.3200000000000002E-2</v>
      </c>
      <c r="X487" s="104">
        <v>1.3200000000000002E-2</v>
      </c>
      <c r="Y487" s="98"/>
      <c r="Z487" s="9"/>
      <c r="AA487" s="91"/>
      <c r="AB487" s="9"/>
      <c r="AC487" s="9"/>
    </row>
    <row r="488" spans="1:29" hidden="1" outlineLevel="3">
      <c r="B488" s="29"/>
      <c r="C488" s="30"/>
      <c r="D488" s="9"/>
      <c r="E488" s="91"/>
      <c r="F488" s="9"/>
      <c r="G488" s="119" t="s">
        <v>976</v>
      </c>
      <c r="H488" s="9"/>
      <c r="I488" s="91"/>
      <c r="J488" s="9"/>
      <c r="L488" s="37" t="s">
        <v>33</v>
      </c>
      <c r="M488" s="4"/>
      <c r="N488" s="37" t="s">
        <v>471</v>
      </c>
      <c r="O488" s="9"/>
      <c r="P488" s="91"/>
      <c r="Q488" s="9"/>
      <c r="R488" s="34" t="s">
        <v>976</v>
      </c>
      <c r="S488" s="9"/>
      <c r="T488" s="91"/>
      <c r="U488" s="9"/>
      <c r="V488" s="99"/>
      <c r="W488" s="104">
        <v>3.9600000000000003E-2</v>
      </c>
      <c r="X488" s="98"/>
      <c r="Y488" s="104">
        <v>1.3200000000000002E-2</v>
      </c>
      <c r="Z488" s="9"/>
      <c r="AA488" s="91"/>
      <c r="AB488" s="9"/>
      <c r="AC488" s="9"/>
    </row>
    <row r="489" spans="1:29" ht="3" hidden="1" customHeight="1" outlineLevel="2">
      <c r="B489" s="29"/>
      <c r="C489" s="30"/>
      <c r="D489" s="9"/>
      <c r="E489" s="91"/>
      <c r="F489" s="9"/>
      <c r="G489" s="119"/>
      <c r="H489" s="9"/>
      <c r="I489" s="91"/>
      <c r="J489" s="9"/>
      <c r="K489" s="76"/>
      <c r="O489" s="9"/>
      <c r="P489" s="91"/>
      <c r="Q489" s="9"/>
      <c r="R489" s="34"/>
      <c r="S489" s="9"/>
      <c r="T489" s="91"/>
      <c r="U489" s="9"/>
      <c r="V489" s="76"/>
      <c r="Z489" s="9"/>
      <c r="AA489" s="91"/>
      <c r="AB489" s="9"/>
      <c r="AC489" s="9"/>
    </row>
    <row r="490" spans="1:29" s="22" customFormat="1" hidden="1" outlineLevel="2" collapsed="1">
      <c r="A490" s="22">
        <v>1</v>
      </c>
      <c r="B490" s="23" t="s">
        <v>1215</v>
      </c>
      <c r="C490" s="23"/>
      <c r="D490" s="9"/>
      <c r="E490" s="91"/>
      <c r="F490" s="9"/>
      <c r="G490" s="125">
        <f>SUM(K490:N490)</f>
        <v>4</v>
      </c>
      <c r="H490" s="9"/>
      <c r="I490" s="91"/>
      <c r="J490" s="9"/>
      <c r="K490" s="72">
        <f>COUNTA(K491:K492)</f>
        <v>0</v>
      </c>
      <c r="L490" s="72">
        <f>COUNTA(L491:L492)</f>
        <v>0</v>
      </c>
      <c r="M490" s="72">
        <f>COUNTA(M491:M492)</f>
        <v>2</v>
      </c>
      <c r="N490" s="72">
        <f>COUNTA(N491:N492)</f>
        <v>2</v>
      </c>
      <c r="O490" s="9"/>
      <c r="P490" s="91"/>
      <c r="Q490" s="9"/>
      <c r="R490" s="24">
        <f>SUM(V490:Y490)</f>
        <v>1.0190399999999999</v>
      </c>
      <c r="S490" s="9"/>
      <c r="T490" s="91"/>
      <c r="U490" s="9"/>
      <c r="V490" s="72">
        <f>SUM(V491:V492)</f>
        <v>0</v>
      </c>
      <c r="W490" s="72">
        <f>SUM(W491:W492)</f>
        <v>0</v>
      </c>
      <c r="X490" s="72">
        <f>SUM(X491:X492)</f>
        <v>0.50951999999999997</v>
      </c>
      <c r="Y490" s="72">
        <f>SUM(Y491:Y492)</f>
        <v>0.50951999999999997</v>
      </c>
      <c r="Z490" s="9"/>
      <c r="AA490" s="91"/>
      <c r="AB490" s="9"/>
      <c r="AC490" s="9"/>
    </row>
    <row r="491" spans="1:29" hidden="1" outlineLevel="3">
      <c r="B491" s="29"/>
      <c r="C491" s="30"/>
      <c r="D491" s="9"/>
      <c r="E491" s="91"/>
      <c r="F491" s="9"/>
      <c r="G491" s="119" t="s">
        <v>976</v>
      </c>
      <c r="H491" s="9"/>
      <c r="I491" s="91"/>
      <c r="J491" s="9"/>
      <c r="K491" s="4"/>
      <c r="M491" s="37" t="s">
        <v>32</v>
      </c>
      <c r="N491" s="37" t="s">
        <v>34</v>
      </c>
      <c r="O491" s="9"/>
      <c r="P491" s="91"/>
      <c r="Q491" s="9"/>
      <c r="R491" s="34"/>
      <c r="S491" s="9"/>
      <c r="T491" s="91"/>
      <c r="U491" s="9"/>
      <c r="V491" s="36"/>
      <c r="W491" s="36"/>
      <c r="X491" s="102">
        <v>0.38213999999999998</v>
      </c>
      <c r="Y491" s="102">
        <v>0.38213999999999998</v>
      </c>
      <c r="Z491" s="9"/>
      <c r="AA491" s="91"/>
      <c r="AB491" s="9"/>
      <c r="AC491" s="9"/>
    </row>
    <row r="492" spans="1:29" hidden="1" outlineLevel="3">
      <c r="B492" s="29"/>
      <c r="C492" s="30"/>
      <c r="D492" s="9"/>
      <c r="E492" s="91"/>
      <c r="F492" s="9"/>
      <c r="G492" s="119" t="s">
        <v>976</v>
      </c>
      <c r="H492" s="9"/>
      <c r="I492" s="91"/>
      <c r="J492" s="9"/>
      <c r="K492" s="4"/>
      <c r="M492" s="37" t="s">
        <v>33</v>
      </c>
      <c r="N492" s="37" t="s">
        <v>335</v>
      </c>
      <c r="O492" s="9"/>
      <c r="P492" s="91"/>
      <c r="Q492" s="9"/>
      <c r="R492" s="34"/>
      <c r="S492" s="9"/>
      <c r="T492" s="91"/>
      <c r="U492" s="9"/>
      <c r="V492" s="4"/>
      <c r="W492" s="36"/>
      <c r="X492" s="102">
        <v>0.12738000000000002</v>
      </c>
      <c r="Y492" s="102">
        <v>0.12738000000000002</v>
      </c>
      <c r="Z492" s="9"/>
      <c r="AA492" s="91"/>
      <c r="AB492" s="9"/>
      <c r="AC492" s="9"/>
    </row>
    <row r="493" spans="1:29" ht="3" hidden="1" customHeight="1" outlineLevel="2">
      <c r="B493" s="29"/>
      <c r="C493" s="30"/>
      <c r="D493" s="9"/>
      <c r="E493" s="91"/>
      <c r="F493" s="9"/>
      <c r="G493" s="119"/>
      <c r="H493" s="9"/>
      <c r="I493" s="91"/>
      <c r="J493" s="9"/>
      <c r="K493" s="76"/>
      <c r="O493" s="9"/>
      <c r="P493" s="91"/>
      <c r="Q493" s="9"/>
      <c r="R493" s="34"/>
      <c r="S493" s="9"/>
      <c r="T493" s="91"/>
      <c r="U493" s="9"/>
      <c r="V493" s="76"/>
      <c r="Z493" s="9"/>
      <c r="AA493" s="91"/>
      <c r="AB493" s="9"/>
      <c r="AC493" s="9"/>
    </row>
    <row r="494" spans="1:29" s="22" customFormat="1" hidden="1" outlineLevel="2" collapsed="1">
      <c r="B494" s="23" t="s">
        <v>581</v>
      </c>
      <c r="C494" s="23"/>
      <c r="D494" s="9"/>
      <c r="E494" s="91"/>
      <c r="F494" s="9"/>
      <c r="G494" s="125">
        <f>SUM(K494:N494)</f>
        <v>5</v>
      </c>
      <c r="H494" s="9"/>
      <c r="I494" s="91"/>
      <c r="J494" s="9"/>
      <c r="K494" s="72">
        <f>COUNTA(K495:K496)</f>
        <v>1</v>
      </c>
      <c r="L494" s="72">
        <f>COUNTA(L495:L496)</f>
        <v>1</v>
      </c>
      <c r="M494" s="72">
        <f>COUNTA(M495:M496)</f>
        <v>2</v>
      </c>
      <c r="N494" s="72">
        <f>COUNTA(N495:N496)</f>
        <v>1</v>
      </c>
      <c r="O494" s="9"/>
      <c r="P494" s="91"/>
      <c r="Q494" s="9"/>
      <c r="R494" s="83">
        <f>SUM(V494:Y494)</f>
        <v>0.38</v>
      </c>
      <c r="S494" s="9"/>
      <c r="T494" s="91"/>
      <c r="U494" s="9"/>
      <c r="V494" s="82">
        <f>SUM(V495:V496)</f>
        <v>7.0000000000000007E-2</v>
      </c>
      <c r="W494" s="82">
        <f>SUM(W495:W496)</f>
        <v>0.1</v>
      </c>
      <c r="X494" s="82">
        <f>SUM(X495:X496)</f>
        <v>0.06</v>
      </c>
      <c r="Y494" s="82">
        <f>SUM(Y495:Y496)</f>
        <v>0.15</v>
      </c>
      <c r="Z494" s="9"/>
      <c r="AA494" s="91"/>
      <c r="AB494" s="9"/>
      <c r="AC494" s="9"/>
    </row>
    <row r="495" spans="1:29" hidden="1" outlineLevel="3">
      <c r="B495" s="29"/>
      <c r="C495" s="30"/>
      <c r="D495" s="9"/>
      <c r="E495" s="91"/>
      <c r="F495" s="9"/>
      <c r="G495" s="119" t="s">
        <v>976</v>
      </c>
      <c r="H495" s="9"/>
      <c r="I495" s="91"/>
      <c r="J495" s="9"/>
      <c r="K495" s="37" t="s">
        <v>32</v>
      </c>
      <c r="L495" s="4"/>
      <c r="M495" s="37" t="s">
        <v>34</v>
      </c>
      <c r="N495" s="37" t="s">
        <v>69</v>
      </c>
      <c r="O495" s="9"/>
      <c r="P495" s="91"/>
      <c r="Q495" s="9"/>
      <c r="R495" s="34" t="s">
        <v>976</v>
      </c>
      <c r="S495" s="9"/>
      <c r="T495" s="91"/>
      <c r="U495" s="9"/>
      <c r="V495" s="37">
        <v>7.0000000000000007E-2</v>
      </c>
      <c r="W495" s="4"/>
      <c r="X495" s="37">
        <v>0.03</v>
      </c>
      <c r="Y495" s="37">
        <v>0.15</v>
      </c>
      <c r="Z495" s="9"/>
      <c r="AA495" s="91"/>
      <c r="AB495" s="9"/>
      <c r="AC495" s="9"/>
    </row>
    <row r="496" spans="1:29" hidden="1" outlineLevel="3">
      <c r="B496" s="29"/>
      <c r="C496" s="30"/>
      <c r="D496" s="9"/>
      <c r="E496" s="91"/>
      <c r="F496" s="9"/>
      <c r="G496" s="119" t="s">
        <v>976</v>
      </c>
      <c r="H496" s="9"/>
      <c r="I496" s="91"/>
      <c r="J496" s="9"/>
      <c r="K496" s="75"/>
      <c r="L496" s="37" t="s">
        <v>33</v>
      </c>
      <c r="M496" s="37" t="s">
        <v>471</v>
      </c>
      <c r="N496" s="37"/>
      <c r="O496" s="9"/>
      <c r="P496" s="91"/>
      <c r="Q496" s="9"/>
      <c r="R496" s="34" t="s">
        <v>976</v>
      </c>
      <c r="S496" s="9"/>
      <c r="T496" s="91"/>
      <c r="U496" s="9"/>
      <c r="V496" s="75"/>
      <c r="W496" s="37">
        <v>0.1</v>
      </c>
      <c r="X496" s="37">
        <v>0.03</v>
      </c>
      <c r="Y496" s="37"/>
      <c r="Z496" s="9"/>
      <c r="AA496" s="91"/>
      <c r="AB496" s="9"/>
      <c r="AC496" s="9"/>
    </row>
    <row r="497" spans="1:29" ht="3" hidden="1" customHeight="1" outlineLevel="2">
      <c r="B497" s="29"/>
      <c r="C497" s="30"/>
      <c r="D497" s="9"/>
      <c r="E497" s="91"/>
      <c r="F497" s="9"/>
      <c r="G497" s="119"/>
      <c r="H497" s="9"/>
      <c r="I497" s="91"/>
      <c r="J497" s="9"/>
      <c r="K497" s="76"/>
      <c r="O497" s="9"/>
      <c r="P497" s="91"/>
      <c r="Q497" s="9"/>
      <c r="R497" s="34"/>
      <c r="S497" s="9"/>
      <c r="T497" s="91"/>
      <c r="U497" s="9"/>
      <c r="V497" s="76"/>
      <c r="Z497" s="9"/>
      <c r="AA497" s="91"/>
      <c r="AB497" s="9"/>
      <c r="AC497" s="9"/>
    </row>
    <row r="498" spans="1:29" s="22" customFormat="1" hidden="1" outlineLevel="2" collapsed="1">
      <c r="B498" s="23" t="s">
        <v>1216</v>
      </c>
      <c r="C498" s="23"/>
      <c r="D498" s="9"/>
      <c r="E498" s="91"/>
      <c r="F498" s="9"/>
      <c r="G498" s="125">
        <f>SUM(K498:N498)</f>
        <v>3</v>
      </c>
      <c r="H498" s="9"/>
      <c r="I498" s="91"/>
      <c r="J498" s="9"/>
      <c r="K498" s="72">
        <f>COUNTA(K499:K499)</f>
        <v>0</v>
      </c>
      <c r="L498" s="72">
        <f>COUNTA(L499:L499)</f>
        <v>1</v>
      </c>
      <c r="M498" s="72">
        <f>COUNTA(M499:M499)</f>
        <v>1</v>
      </c>
      <c r="N498" s="72">
        <f>COUNTA(N499:N499)</f>
        <v>1</v>
      </c>
      <c r="O498" s="9"/>
      <c r="P498" s="91"/>
      <c r="Q498" s="9"/>
      <c r="R498" s="83">
        <f>SUM(V498:Y498)</f>
        <v>0.24947999999999998</v>
      </c>
      <c r="S498" s="9"/>
      <c r="T498" s="91"/>
      <c r="U498" s="9"/>
      <c r="V498" s="82">
        <f>SUM(V499:V499)</f>
        <v>0</v>
      </c>
      <c r="W498" s="82">
        <f>SUM(W499:W499)</f>
        <v>0.10692</v>
      </c>
      <c r="X498" s="82">
        <f>SUM(X499:X499)</f>
        <v>3.5639999999999998E-2</v>
      </c>
      <c r="Y498" s="82">
        <f>SUM(Y499:Y499)</f>
        <v>0.10692</v>
      </c>
      <c r="Z498" s="9"/>
      <c r="AA498" s="91"/>
      <c r="AB498" s="9"/>
      <c r="AC498" s="9"/>
    </row>
    <row r="499" spans="1:29" hidden="1" outlineLevel="3">
      <c r="B499" s="29"/>
      <c r="C499" s="30"/>
      <c r="D499" s="9"/>
      <c r="E499" s="91"/>
      <c r="F499" s="9"/>
      <c r="G499" s="119" t="s">
        <v>976</v>
      </c>
      <c r="H499" s="9"/>
      <c r="I499" s="91"/>
      <c r="J499" s="9"/>
      <c r="K499" s="75"/>
      <c r="L499" s="37" t="s">
        <v>32</v>
      </c>
      <c r="M499" s="37" t="s">
        <v>33</v>
      </c>
      <c r="N499" s="37" t="s">
        <v>34</v>
      </c>
      <c r="O499" s="9"/>
      <c r="P499" s="91"/>
      <c r="Q499" s="9"/>
      <c r="R499" s="34" t="s">
        <v>976</v>
      </c>
      <c r="S499" s="9"/>
      <c r="T499" s="91"/>
      <c r="U499" s="9"/>
      <c r="V499" s="109"/>
      <c r="W499" s="104">
        <v>0.10692</v>
      </c>
      <c r="X499" s="104">
        <v>3.5639999999999998E-2</v>
      </c>
      <c r="Y499" s="104">
        <v>0.10692</v>
      </c>
      <c r="Z499" s="9"/>
      <c r="AA499" s="91"/>
      <c r="AB499" s="9"/>
      <c r="AC499" s="9"/>
    </row>
    <row r="500" spans="1:29" ht="3" hidden="1" customHeight="1" outlineLevel="2">
      <c r="B500" s="29"/>
      <c r="C500" s="30"/>
      <c r="D500" s="9"/>
      <c r="E500" s="91"/>
      <c r="F500" s="9"/>
      <c r="G500" s="119"/>
      <c r="H500" s="9"/>
      <c r="I500" s="91"/>
      <c r="J500" s="9"/>
      <c r="K500" s="76"/>
      <c r="O500" s="9"/>
      <c r="P500" s="91"/>
      <c r="Q500" s="9"/>
      <c r="R500" s="34"/>
      <c r="S500" s="9"/>
      <c r="T500" s="91"/>
      <c r="U500" s="9"/>
      <c r="V500" s="76"/>
      <c r="Z500" s="9"/>
      <c r="AA500" s="91"/>
      <c r="AB500" s="9"/>
      <c r="AC500" s="9"/>
    </row>
    <row r="501" spans="1:29" s="22" customFormat="1" hidden="1" outlineLevel="2" collapsed="1">
      <c r="B501" s="23" t="s">
        <v>1217</v>
      </c>
      <c r="C501" s="23"/>
      <c r="D501" s="9"/>
      <c r="E501" s="91"/>
      <c r="F501" s="9"/>
      <c r="G501" s="125">
        <f>SUM(K501:N501)</f>
        <v>3</v>
      </c>
      <c r="H501" s="9"/>
      <c r="I501" s="91"/>
      <c r="J501" s="9"/>
      <c r="K501" s="72">
        <f>COUNTA(K502:K502)</f>
        <v>0</v>
      </c>
      <c r="L501" s="72">
        <f>COUNTA(L502:L502)</f>
        <v>1</v>
      </c>
      <c r="M501" s="72">
        <f>COUNTA(M502:M502)</f>
        <v>1</v>
      </c>
      <c r="N501" s="72">
        <f>COUNTA(N502:N502)</f>
        <v>1</v>
      </c>
      <c r="O501" s="9"/>
      <c r="P501" s="91"/>
      <c r="Q501" s="9"/>
      <c r="R501" s="83">
        <f>SUM(V501:Y501)</f>
        <v>0.460845</v>
      </c>
      <c r="S501" s="9"/>
      <c r="T501" s="91"/>
      <c r="U501" s="9"/>
      <c r="V501" s="82">
        <f>SUM(V502:V502)</f>
        <v>0</v>
      </c>
      <c r="W501" s="82">
        <f>SUM(W502:W502)</f>
        <v>0.19750499999999999</v>
      </c>
      <c r="X501" s="82">
        <f>SUM(X502:X502)</f>
        <v>6.5835000000000005E-2</v>
      </c>
      <c r="Y501" s="82">
        <f>SUM(Y502:Y502)</f>
        <v>0.19750499999999999</v>
      </c>
      <c r="Z501" s="9"/>
      <c r="AA501" s="91"/>
      <c r="AB501" s="9"/>
      <c r="AC501" s="9"/>
    </row>
    <row r="502" spans="1:29" hidden="1" outlineLevel="3">
      <c r="B502" s="29"/>
      <c r="C502" s="30"/>
      <c r="D502" s="9"/>
      <c r="E502" s="91"/>
      <c r="F502" s="9"/>
      <c r="G502" s="119" t="s">
        <v>976</v>
      </c>
      <c r="H502" s="9"/>
      <c r="I502" s="91"/>
      <c r="J502" s="9"/>
      <c r="K502" s="75"/>
      <c r="L502" s="37" t="s">
        <v>32</v>
      </c>
      <c r="M502" s="37" t="s">
        <v>33</v>
      </c>
      <c r="N502" s="37" t="s">
        <v>34</v>
      </c>
      <c r="O502" s="9"/>
      <c r="P502" s="91"/>
      <c r="Q502" s="9"/>
      <c r="R502" s="34" t="s">
        <v>976</v>
      </c>
      <c r="S502" s="9"/>
      <c r="T502" s="91"/>
      <c r="U502" s="9"/>
      <c r="V502" s="109"/>
      <c r="W502" s="104">
        <v>0.19750499999999999</v>
      </c>
      <c r="X502" s="104">
        <v>6.5835000000000005E-2</v>
      </c>
      <c r="Y502" s="104">
        <v>0.19750499999999999</v>
      </c>
      <c r="Z502" s="9"/>
      <c r="AA502" s="91"/>
      <c r="AB502" s="9"/>
      <c r="AC502" s="9"/>
    </row>
    <row r="503" spans="1:29" ht="3" hidden="1" customHeight="1" outlineLevel="2">
      <c r="B503" s="29"/>
      <c r="C503" s="30"/>
      <c r="D503" s="9"/>
      <c r="E503" s="91"/>
      <c r="F503" s="9"/>
      <c r="G503" s="119"/>
      <c r="H503" s="9"/>
      <c r="I503" s="91"/>
      <c r="J503" s="9"/>
      <c r="K503" s="76"/>
      <c r="O503" s="9"/>
      <c r="P503" s="91"/>
      <c r="Q503" s="9"/>
      <c r="R503" s="34"/>
      <c r="S503" s="9"/>
      <c r="T503" s="91"/>
      <c r="U503" s="9"/>
      <c r="V503" s="76"/>
      <c r="Z503" s="9"/>
      <c r="AA503" s="91"/>
      <c r="AB503" s="9"/>
      <c r="AC503" s="9"/>
    </row>
    <row r="504" spans="1:29" s="22" customFormat="1" hidden="1" outlineLevel="2" collapsed="1">
      <c r="B504" s="23" t="s">
        <v>1218</v>
      </c>
      <c r="C504" s="23"/>
      <c r="D504" s="9"/>
      <c r="E504" s="91"/>
      <c r="F504" s="9"/>
      <c r="G504" s="125">
        <f>SUM(K504:N504)</f>
        <v>4</v>
      </c>
      <c r="H504" s="9"/>
      <c r="I504" s="91"/>
      <c r="J504" s="9"/>
      <c r="K504" s="72">
        <f>COUNTA(K505:K506)</f>
        <v>0</v>
      </c>
      <c r="L504" s="72">
        <f>COUNTA(L505:L506)</f>
        <v>2</v>
      </c>
      <c r="M504" s="72">
        <f>COUNTA(M505:M506)</f>
        <v>1</v>
      </c>
      <c r="N504" s="72">
        <f>COUNTA(N505:N506)</f>
        <v>1</v>
      </c>
      <c r="O504" s="9"/>
      <c r="P504" s="91"/>
      <c r="Q504" s="9"/>
      <c r="R504" s="83">
        <f>SUM(V504:Y504)</f>
        <v>0.80784000000000011</v>
      </c>
      <c r="S504" s="9"/>
      <c r="T504" s="91"/>
      <c r="U504" s="9"/>
      <c r="V504" s="82">
        <f>SUM(V505:V506)</f>
        <v>0</v>
      </c>
      <c r="W504" s="82">
        <f>SUM(W505:W506)</f>
        <v>0.40392</v>
      </c>
      <c r="X504" s="82">
        <f>SUM(X505:X505)</f>
        <v>0.30293999999999999</v>
      </c>
      <c r="Y504" s="82">
        <f>SUM(Y505:Y505)</f>
        <v>0.10098000000000001</v>
      </c>
      <c r="Z504" s="9"/>
      <c r="AA504" s="91"/>
      <c r="AB504" s="9"/>
      <c r="AC504" s="9"/>
    </row>
    <row r="505" spans="1:29" ht="27.6" hidden="1" outlineLevel="3">
      <c r="B505" s="29"/>
      <c r="C505" s="30"/>
      <c r="D505" s="9"/>
      <c r="E505" s="91"/>
      <c r="F505" s="9"/>
      <c r="G505" s="119" t="s">
        <v>976</v>
      </c>
      <c r="H505" s="9"/>
      <c r="I505" s="91"/>
      <c r="J505" s="9"/>
      <c r="K505" s="75"/>
      <c r="L505" s="37" t="s">
        <v>32</v>
      </c>
      <c r="M505" s="37" t="s">
        <v>34</v>
      </c>
      <c r="N505" s="37" t="s">
        <v>197</v>
      </c>
      <c r="O505" s="9"/>
      <c r="P505" s="91"/>
      <c r="Q505" s="9"/>
      <c r="R505" s="34" t="s">
        <v>976</v>
      </c>
      <c r="S505" s="9"/>
      <c r="T505" s="91"/>
      <c r="U505" s="9"/>
      <c r="V505" s="109"/>
      <c r="W505" s="104">
        <v>0.30293999999999999</v>
      </c>
      <c r="X505" s="104">
        <v>0.30293999999999999</v>
      </c>
      <c r="Y505" s="104">
        <v>0.10098000000000001</v>
      </c>
      <c r="Z505" s="9"/>
      <c r="AA505" s="91"/>
      <c r="AB505" s="9"/>
      <c r="AC505" s="9"/>
    </row>
    <row r="506" spans="1:29" hidden="1" outlineLevel="3">
      <c r="B506" s="29"/>
      <c r="C506" s="30"/>
      <c r="D506" s="9"/>
      <c r="E506" s="91"/>
      <c r="F506" s="9"/>
      <c r="G506" s="119" t="s">
        <v>976</v>
      </c>
      <c r="H506" s="9"/>
      <c r="I506" s="91"/>
      <c r="J506" s="9"/>
      <c r="K506" s="75"/>
      <c r="L506" s="37" t="s">
        <v>33</v>
      </c>
      <c r="M506" s="4"/>
      <c r="N506" s="4"/>
      <c r="O506" s="9"/>
      <c r="P506" s="91"/>
      <c r="Q506" s="9"/>
      <c r="R506" s="34" t="s">
        <v>976</v>
      </c>
      <c r="S506" s="9"/>
      <c r="T506" s="91"/>
      <c r="U506" s="9"/>
      <c r="V506" s="109"/>
      <c r="W506" s="104">
        <v>0.10098000000000001</v>
      </c>
      <c r="X506" s="98"/>
      <c r="Y506" s="98"/>
      <c r="Z506" s="9"/>
      <c r="AA506" s="91"/>
      <c r="AB506" s="9"/>
      <c r="AC506" s="9"/>
    </row>
    <row r="507" spans="1:29" ht="3" hidden="1" customHeight="1" outlineLevel="2">
      <c r="B507" s="29"/>
      <c r="C507" s="30"/>
      <c r="D507" s="9"/>
      <c r="E507" s="91"/>
      <c r="F507" s="9"/>
      <c r="G507" s="119"/>
      <c r="H507" s="9"/>
      <c r="I507" s="91"/>
      <c r="J507" s="9"/>
      <c r="K507" s="76"/>
      <c r="O507" s="9"/>
      <c r="P507" s="91"/>
      <c r="Q507" s="9"/>
      <c r="R507" s="34"/>
      <c r="S507" s="9"/>
      <c r="T507" s="91"/>
      <c r="U507" s="9"/>
      <c r="V507" s="76"/>
      <c r="Z507" s="9"/>
      <c r="AA507" s="91"/>
      <c r="AB507" s="9"/>
      <c r="AC507" s="9"/>
    </row>
    <row r="508" spans="1:29" s="22" customFormat="1" hidden="1" outlineLevel="2" collapsed="1">
      <c r="A508" s="22">
        <v>1</v>
      </c>
      <c r="B508" s="23" t="s">
        <v>526</v>
      </c>
      <c r="C508" s="23"/>
      <c r="D508" s="9"/>
      <c r="E508" s="91"/>
      <c r="F508" s="9"/>
      <c r="G508" s="125">
        <f>SUM(K508:N508)</f>
        <v>5</v>
      </c>
      <c r="H508" s="9"/>
      <c r="I508" s="91"/>
      <c r="J508" s="9"/>
      <c r="K508" s="72">
        <f>COUNTA(K509:K510)</f>
        <v>0</v>
      </c>
      <c r="L508" s="72">
        <f>COUNTA(L509:L510)</f>
        <v>2</v>
      </c>
      <c r="M508" s="72">
        <f>COUNTA(M509:M510)</f>
        <v>1</v>
      </c>
      <c r="N508" s="72">
        <f>COUNTA(N509:N510)</f>
        <v>2</v>
      </c>
      <c r="O508" s="9"/>
      <c r="P508" s="91"/>
      <c r="Q508" s="9"/>
      <c r="R508" s="24">
        <f>SUM(V508:Y508)</f>
        <v>4.0787999999999993</v>
      </c>
      <c r="S508" s="9"/>
      <c r="T508" s="91"/>
      <c r="U508" s="9"/>
      <c r="V508" s="72">
        <f>SUM(V509:V510)</f>
        <v>0</v>
      </c>
      <c r="W508" s="72">
        <f>SUM(W509:W510)</f>
        <v>2.0393999999999997</v>
      </c>
      <c r="X508" s="72">
        <f>SUM(X509:X510)</f>
        <v>0.50985000000000003</v>
      </c>
      <c r="Y508" s="72">
        <f>SUM(Y509:Y510)</f>
        <v>1.5295499999999997</v>
      </c>
      <c r="Z508" s="9"/>
      <c r="AA508" s="91"/>
      <c r="AB508" s="9"/>
      <c r="AC508" s="9"/>
    </row>
    <row r="509" spans="1:29" hidden="1" outlineLevel="3">
      <c r="B509" s="29"/>
      <c r="C509" s="30"/>
      <c r="D509" s="9"/>
      <c r="E509" s="91"/>
      <c r="F509" s="9"/>
      <c r="G509" s="119" t="s">
        <v>976</v>
      </c>
      <c r="H509" s="9"/>
      <c r="I509" s="91"/>
      <c r="J509" s="9"/>
      <c r="K509" s="75"/>
      <c r="L509" s="37" t="s">
        <v>32</v>
      </c>
      <c r="M509" s="4" t="s">
        <v>471</v>
      </c>
      <c r="N509" s="37" t="s">
        <v>34</v>
      </c>
      <c r="O509" s="9"/>
      <c r="P509" s="91"/>
      <c r="Q509" s="9"/>
      <c r="R509" s="34"/>
      <c r="S509" s="9"/>
      <c r="T509" s="91"/>
      <c r="U509" s="9"/>
      <c r="V509" s="4"/>
      <c r="W509" s="36">
        <v>1.5295499999999997</v>
      </c>
      <c r="X509" s="66">
        <v>0.50985000000000003</v>
      </c>
      <c r="Y509" s="66">
        <v>1.5295499999999997</v>
      </c>
      <c r="Z509" s="9"/>
      <c r="AA509" s="91"/>
      <c r="AB509" s="9"/>
      <c r="AC509" s="9"/>
    </row>
    <row r="510" spans="1:29" hidden="1" outlineLevel="3">
      <c r="B510" s="29"/>
      <c r="C510" s="30"/>
      <c r="D510" s="9"/>
      <c r="E510" s="91"/>
      <c r="F510" s="9"/>
      <c r="G510" s="119" t="s">
        <v>976</v>
      </c>
      <c r="H510" s="9"/>
      <c r="I510" s="91"/>
      <c r="J510" s="9"/>
      <c r="K510" s="75"/>
      <c r="L510" s="37" t="s">
        <v>33</v>
      </c>
      <c r="M510" s="4"/>
      <c r="N510" s="37" t="s">
        <v>335</v>
      </c>
      <c r="O510" s="9"/>
      <c r="P510" s="91"/>
      <c r="Q510" s="9"/>
      <c r="R510" s="34"/>
      <c r="S510" s="9"/>
      <c r="T510" s="91"/>
      <c r="U510" s="9"/>
      <c r="V510" s="37"/>
      <c r="W510" s="36">
        <v>0.50985000000000003</v>
      </c>
      <c r="Z510" s="9"/>
      <c r="AA510" s="91"/>
      <c r="AB510" s="9"/>
      <c r="AC510" s="9"/>
    </row>
    <row r="511" spans="1:29" ht="3" hidden="1" customHeight="1" outlineLevel="2">
      <c r="B511" s="29"/>
      <c r="C511" s="30"/>
      <c r="D511" s="9"/>
      <c r="E511" s="91"/>
      <c r="F511" s="9"/>
      <c r="G511" s="119"/>
      <c r="H511" s="9"/>
      <c r="I511" s="91"/>
      <c r="J511" s="9"/>
      <c r="K511" s="76"/>
      <c r="O511" s="9"/>
      <c r="P511" s="91"/>
      <c r="Q511" s="9"/>
      <c r="R511" s="34"/>
      <c r="S511" s="9"/>
      <c r="T511" s="91"/>
      <c r="U511" s="9"/>
      <c r="V511" s="76"/>
      <c r="Z511" s="9"/>
      <c r="AA511" s="91"/>
      <c r="AB511" s="9"/>
      <c r="AC511" s="9"/>
    </row>
    <row r="512" spans="1:29" ht="3" customHeight="1">
      <c r="B512" s="3"/>
      <c r="C512" s="26"/>
      <c r="D512" s="31"/>
      <c r="E512" s="7"/>
      <c r="F512" s="31"/>
      <c r="G512" s="126"/>
      <c r="H512" s="31"/>
      <c r="I512" s="7"/>
      <c r="J512" s="31"/>
      <c r="K512" s="78"/>
      <c r="L512" s="78"/>
      <c r="M512" s="78"/>
      <c r="N512" s="78"/>
      <c r="O512" s="31"/>
      <c r="P512" s="7"/>
      <c r="Q512" s="31"/>
      <c r="R512" s="31"/>
      <c r="S512" s="31"/>
      <c r="T512" s="7"/>
      <c r="U512" s="31"/>
      <c r="V512" s="78"/>
      <c r="W512" s="78"/>
      <c r="X512" s="78"/>
      <c r="Y512" s="78"/>
      <c r="Z512" s="31"/>
      <c r="AA512" s="7"/>
      <c r="AB512" s="31"/>
    </row>
    <row r="513" spans="1:35" s="66" customFormat="1">
      <c r="A513" s="4"/>
      <c r="B513" s="5"/>
      <c r="C513" s="4"/>
      <c r="D513" s="6"/>
      <c r="E513" s="28"/>
      <c r="F513" s="6"/>
      <c r="G513" s="8"/>
      <c r="H513" s="6"/>
      <c r="I513" s="28"/>
      <c r="J513" s="6"/>
      <c r="O513" s="6"/>
      <c r="P513" s="28"/>
      <c r="Q513" s="6"/>
      <c r="R513" s="8"/>
      <c r="S513" s="6"/>
      <c r="T513" s="27"/>
      <c r="U513" s="6"/>
      <c r="Z513" s="6"/>
      <c r="AA513" s="28"/>
      <c r="AB513" s="6"/>
      <c r="AC513" s="4"/>
      <c r="AD513" s="4"/>
      <c r="AE513" s="4"/>
      <c r="AF513" s="4"/>
      <c r="AG513" s="4"/>
      <c r="AH513" s="4"/>
      <c r="AI513" s="4"/>
    </row>
    <row r="514" spans="1:35" s="66" customFormat="1">
      <c r="A514" s="4"/>
      <c r="B514" s="5"/>
      <c r="C514" s="4"/>
      <c r="D514" s="6"/>
      <c r="E514" s="28"/>
      <c r="F514" s="6"/>
      <c r="G514" s="8"/>
      <c r="H514" s="6"/>
      <c r="I514" s="28"/>
      <c r="J514" s="6"/>
      <c r="O514" s="6"/>
      <c r="P514" s="28"/>
      <c r="Q514" s="6"/>
      <c r="R514" s="8"/>
      <c r="S514" s="6"/>
      <c r="T514" s="27"/>
      <c r="U514" s="6"/>
      <c r="Z514" s="6"/>
      <c r="AA514" s="28"/>
      <c r="AB514" s="6"/>
      <c r="AC514" s="4"/>
      <c r="AD514" s="4"/>
      <c r="AE514" s="4"/>
      <c r="AF514" s="4"/>
      <c r="AG514" s="4"/>
      <c r="AH514" s="4"/>
      <c r="AI514" s="4"/>
    </row>
    <row r="515" spans="1:35" s="66" customFormat="1">
      <c r="A515" s="4"/>
      <c r="B515" s="5"/>
      <c r="C515" s="4"/>
      <c r="D515" s="6"/>
      <c r="E515" s="28"/>
      <c r="F515" s="6"/>
      <c r="G515" s="8"/>
      <c r="H515" s="6"/>
      <c r="I515" s="28"/>
      <c r="J515" s="6"/>
      <c r="O515" s="6"/>
      <c r="P515" s="28"/>
      <c r="Q515" s="6"/>
      <c r="R515" s="8"/>
      <c r="S515" s="6"/>
      <c r="T515" s="27"/>
      <c r="U515" s="6"/>
      <c r="Z515" s="6"/>
      <c r="AA515" s="28"/>
      <c r="AB515" s="6"/>
      <c r="AC515" s="4"/>
      <c r="AD515" s="4"/>
      <c r="AE515" s="4"/>
      <c r="AF515" s="4"/>
      <c r="AG515" s="4"/>
      <c r="AH515" s="4"/>
      <c r="AI515" s="4"/>
    </row>
    <row r="516" spans="1:35" s="66" customFormat="1">
      <c r="A516" s="4"/>
      <c r="B516" s="5"/>
      <c r="C516" s="4"/>
      <c r="D516" s="6"/>
      <c r="E516" s="28"/>
      <c r="F516" s="6"/>
      <c r="G516" s="8"/>
      <c r="H516" s="6"/>
      <c r="I516" s="28"/>
      <c r="J516" s="6"/>
      <c r="O516" s="6"/>
      <c r="P516" s="28"/>
      <c r="Q516" s="6"/>
      <c r="R516" s="8"/>
      <c r="S516" s="6"/>
      <c r="T516" s="27"/>
      <c r="U516" s="6"/>
      <c r="Z516" s="6"/>
      <c r="AA516" s="28"/>
      <c r="AB516" s="6"/>
      <c r="AC516" s="4"/>
      <c r="AD516" s="4"/>
      <c r="AE516" s="4"/>
      <c r="AF516" s="4"/>
      <c r="AG516" s="4"/>
      <c r="AH516" s="4"/>
      <c r="AI516" s="4"/>
    </row>
    <row r="517" spans="1:35" s="66" customFormat="1">
      <c r="A517" s="4"/>
      <c r="B517" s="5"/>
      <c r="C517" s="4"/>
      <c r="D517" s="6"/>
      <c r="E517" s="28"/>
      <c r="F517" s="6"/>
      <c r="G517" s="8"/>
      <c r="H517" s="6"/>
      <c r="I517" s="28"/>
      <c r="J517" s="6"/>
      <c r="O517" s="6"/>
      <c r="P517" s="28"/>
      <c r="Q517" s="6"/>
      <c r="R517" s="8"/>
      <c r="S517" s="6"/>
      <c r="T517" s="27"/>
      <c r="U517" s="6"/>
      <c r="Z517" s="6"/>
      <c r="AA517" s="28"/>
      <c r="AB517" s="6"/>
      <c r="AC517" s="4"/>
      <c r="AD517" s="4"/>
      <c r="AE517" s="4"/>
      <c r="AF517" s="4"/>
      <c r="AG517" s="4"/>
      <c r="AH517" s="4"/>
      <c r="AI517" s="4"/>
    </row>
    <row r="518" spans="1:35" s="66" customFormat="1">
      <c r="A518" s="4"/>
      <c r="B518" s="5"/>
      <c r="C518" s="4"/>
      <c r="D518" s="6"/>
      <c r="E518" s="28"/>
      <c r="F518" s="6"/>
      <c r="G518" s="8"/>
      <c r="H518" s="6"/>
      <c r="I518" s="28"/>
      <c r="J518" s="6"/>
      <c r="O518" s="6"/>
      <c r="P518" s="28"/>
      <c r="Q518" s="6"/>
      <c r="R518" s="8"/>
      <c r="S518" s="6"/>
      <c r="T518" s="27"/>
      <c r="U518" s="6"/>
      <c r="Z518" s="6"/>
      <c r="AA518" s="28"/>
      <c r="AB518" s="6"/>
      <c r="AC518" s="4"/>
      <c r="AD518" s="4"/>
      <c r="AE518" s="4"/>
      <c r="AF518" s="4"/>
      <c r="AG518" s="4"/>
      <c r="AH518" s="4"/>
      <c r="AI518" s="4"/>
    </row>
    <row r="519" spans="1:35" s="66" customFormat="1">
      <c r="A519" s="4"/>
      <c r="B519" s="5"/>
      <c r="C519" s="4"/>
      <c r="D519" s="6"/>
      <c r="E519" s="28"/>
      <c r="F519" s="6"/>
      <c r="G519" s="8"/>
      <c r="H519" s="6"/>
      <c r="I519" s="28"/>
      <c r="J519" s="6"/>
      <c r="O519" s="6"/>
      <c r="P519" s="28"/>
      <c r="Q519" s="6"/>
      <c r="R519" s="8"/>
      <c r="S519" s="6"/>
      <c r="T519" s="27"/>
      <c r="U519" s="6"/>
      <c r="Z519" s="6"/>
      <c r="AA519" s="28"/>
      <c r="AB519" s="6"/>
      <c r="AC519" s="4"/>
      <c r="AD519" s="4"/>
      <c r="AE519" s="4"/>
      <c r="AF519" s="4"/>
      <c r="AG519" s="4"/>
      <c r="AH519" s="4"/>
      <c r="AI519" s="4"/>
    </row>
    <row r="520" spans="1:35" s="66" customFormat="1">
      <c r="A520" s="4"/>
      <c r="B520" s="5"/>
      <c r="C520" s="4"/>
      <c r="D520" s="6"/>
      <c r="E520" s="28"/>
      <c r="F520" s="6"/>
      <c r="G520" s="8"/>
      <c r="H520" s="6"/>
      <c r="I520" s="28"/>
      <c r="J520" s="6"/>
      <c r="O520" s="6"/>
      <c r="P520" s="28"/>
      <c r="Q520" s="6"/>
      <c r="R520" s="8"/>
      <c r="S520" s="6"/>
      <c r="T520" s="27"/>
      <c r="U520" s="6"/>
      <c r="Z520" s="6"/>
      <c r="AA520" s="28"/>
      <c r="AB520" s="6"/>
      <c r="AC520" s="4"/>
      <c r="AD520" s="4"/>
      <c r="AE520" s="4"/>
      <c r="AF520" s="4"/>
      <c r="AG520" s="4"/>
      <c r="AH520" s="4"/>
      <c r="AI520" s="4"/>
    </row>
    <row r="521" spans="1:35" s="66" customFormat="1">
      <c r="A521" s="4"/>
      <c r="B521" s="5"/>
      <c r="C521" s="4"/>
      <c r="D521" s="6"/>
      <c r="E521" s="28"/>
      <c r="F521" s="6"/>
      <c r="G521" s="8"/>
      <c r="H521" s="6"/>
      <c r="I521" s="28"/>
      <c r="J521" s="6"/>
      <c r="O521" s="6"/>
      <c r="P521" s="28"/>
      <c r="Q521" s="6"/>
      <c r="R521" s="8"/>
      <c r="S521" s="6"/>
      <c r="T521" s="27"/>
      <c r="U521" s="6"/>
      <c r="Z521" s="6"/>
      <c r="AA521" s="28"/>
      <c r="AB521" s="6"/>
      <c r="AC521" s="4"/>
      <c r="AD521" s="4"/>
      <c r="AE521" s="4"/>
      <c r="AF521" s="4"/>
      <c r="AG521" s="4"/>
      <c r="AH521" s="4"/>
      <c r="AI521" s="4"/>
    </row>
    <row r="522" spans="1:35" s="66" customFormat="1">
      <c r="A522" s="4"/>
      <c r="B522" s="5"/>
      <c r="C522" s="4"/>
      <c r="D522" s="6"/>
      <c r="E522" s="28"/>
      <c r="F522" s="6"/>
      <c r="G522" s="8"/>
      <c r="H522" s="6"/>
      <c r="I522" s="28"/>
      <c r="J522" s="6"/>
      <c r="O522" s="6"/>
      <c r="P522" s="28"/>
      <c r="Q522" s="6"/>
      <c r="R522" s="8"/>
      <c r="S522" s="6"/>
      <c r="T522" s="27"/>
      <c r="U522" s="6"/>
      <c r="Z522" s="6"/>
      <c r="AA522" s="28"/>
      <c r="AB522" s="6"/>
      <c r="AC522" s="4"/>
      <c r="AD522" s="4"/>
      <c r="AE522" s="4"/>
      <c r="AF522" s="4"/>
      <c r="AG522" s="4"/>
      <c r="AH522" s="4"/>
      <c r="AI522" s="4"/>
    </row>
    <row r="523" spans="1:35" s="66" customFormat="1">
      <c r="A523" s="4"/>
      <c r="B523" s="5"/>
      <c r="C523" s="4"/>
      <c r="D523" s="6"/>
      <c r="E523" s="28"/>
      <c r="F523" s="6"/>
      <c r="G523" s="8"/>
      <c r="H523" s="6"/>
      <c r="I523" s="28"/>
      <c r="J523" s="6"/>
      <c r="O523" s="6"/>
      <c r="P523" s="28"/>
      <c r="Q523" s="6"/>
      <c r="R523" s="8"/>
      <c r="S523" s="6"/>
      <c r="T523" s="27"/>
      <c r="U523" s="6"/>
      <c r="Z523" s="6"/>
      <c r="AA523" s="28"/>
      <c r="AB523" s="6"/>
      <c r="AC523" s="4"/>
      <c r="AD523" s="4"/>
      <c r="AE523" s="4"/>
      <c r="AF523" s="4"/>
      <c r="AG523" s="4"/>
      <c r="AH523" s="4"/>
      <c r="AI523" s="4"/>
    </row>
    <row r="524" spans="1:35" s="66" customFormat="1">
      <c r="A524" s="4"/>
      <c r="B524" s="5"/>
      <c r="C524" s="4"/>
      <c r="D524" s="6"/>
      <c r="E524" s="28"/>
      <c r="F524" s="6"/>
      <c r="G524" s="8"/>
      <c r="H524" s="6"/>
      <c r="I524" s="28"/>
      <c r="J524" s="6"/>
      <c r="O524" s="6"/>
      <c r="P524" s="28"/>
      <c r="Q524" s="6"/>
      <c r="R524" s="8"/>
      <c r="S524" s="6"/>
      <c r="T524" s="27"/>
      <c r="U524" s="6"/>
      <c r="Z524" s="6"/>
      <c r="AA524" s="28"/>
      <c r="AB524" s="6"/>
      <c r="AC524" s="4"/>
      <c r="AD524" s="4"/>
      <c r="AE524" s="4"/>
      <c r="AF524" s="4"/>
      <c r="AG524" s="4"/>
      <c r="AH524" s="4"/>
      <c r="AI524" s="4"/>
    </row>
    <row r="525" spans="1:35" s="66" customFormat="1">
      <c r="A525" s="4"/>
      <c r="B525" s="5"/>
      <c r="C525" s="4"/>
      <c r="D525" s="6"/>
      <c r="E525" s="28"/>
      <c r="F525" s="6"/>
      <c r="G525" s="8"/>
      <c r="H525" s="6"/>
      <c r="I525" s="28"/>
      <c r="J525" s="6"/>
      <c r="O525" s="6"/>
      <c r="P525" s="28"/>
      <c r="Q525" s="6"/>
      <c r="R525" s="8"/>
      <c r="S525" s="6"/>
      <c r="T525" s="27"/>
      <c r="U525" s="6"/>
      <c r="Z525" s="6"/>
      <c r="AA525" s="28"/>
      <c r="AB525" s="6"/>
      <c r="AC525" s="4"/>
      <c r="AD525" s="4"/>
      <c r="AE525" s="4"/>
      <c r="AF525" s="4"/>
      <c r="AG525" s="4"/>
      <c r="AH525" s="4"/>
      <c r="AI525" s="4"/>
    </row>
    <row r="526" spans="1:35" s="66" customFormat="1">
      <c r="A526" s="4"/>
      <c r="B526" s="5"/>
      <c r="C526" s="4"/>
      <c r="D526" s="6"/>
      <c r="E526" s="28"/>
      <c r="F526" s="6"/>
      <c r="G526" s="8"/>
      <c r="H526" s="6"/>
      <c r="I526" s="28"/>
      <c r="J526" s="6"/>
      <c r="O526" s="6"/>
      <c r="P526" s="28"/>
      <c r="Q526" s="6"/>
      <c r="R526" s="8"/>
      <c r="S526" s="6"/>
      <c r="T526" s="27"/>
      <c r="U526" s="6"/>
      <c r="Z526" s="6"/>
      <c r="AA526" s="28"/>
      <c r="AB526" s="6"/>
      <c r="AC526" s="4"/>
      <c r="AD526" s="4"/>
      <c r="AE526" s="4"/>
      <c r="AF526" s="4"/>
      <c r="AG526" s="4"/>
      <c r="AH526" s="4"/>
      <c r="AI526" s="4"/>
    </row>
    <row r="527" spans="1:35" s="66" customFormat="1">
      <c r="A527" s="4"/>
      <c r="B527" s="5"/>
      <c r="C527" s="4"/>
      <c r="D527" s="6"/>
      <c r="E527" s="28"/>
      <c r="F527" s="6"/>
      <c r="G527" s="8"/>
      <c r="H527" s="6"/>
      <c r="I527" s="28"/>
      <c r="J527" s="6"/>
      <c r="O527" s="6"/>
      <c r="P527" s="28"/>
      <c r="Q527" s="6"/>
      <c r="R527" s="8"/>
      <c r="S527" s="6"/>
      <c r="T527" s="27"/>
      <c r="U527" s="6"/>
      <c r="Z527" s="6"/>
      <c r="AA527" s="28"/>
      <c r="AB527" s="6"/>
      <c r="AC527" s="4"/>
      <c r="AD527" s="4"/>
      <c r="AE527" s="4"/>
      <c r="AF527" s="4"/>
      <c r="AG527" s="4"/>
      <c r="AH527" s="4"/>
      <c r="AI527" s="4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79"/>
    <col min="2" max="2" width="22.5703125" style="379" bestFit="1" customWidth="1"/>
    <col min="3" max="3" width="8.5703125" style="414"/>
    <col min="4" max="16384" width="8.5703125" style="379"/>
  </cols>
  <sheetData>
    <row r="2" spans="1:3">
      <c r="B2" s="379">
        <f>COUNTA(B3:B103)</f>
        <v>62</v>
      </c>
      <c r="C2" s="379">
        <f>COUNTA(C3:C103)</f>
        <v>53</v>
      </c>
    </row>
    <row r="3" spans="1:3">
      <c r="A3" s="379" t="s">
        <v>1368</v>
      </c>
      <c r="B3" s="379" t="s">
        <v>15</v>
      </c>
      <c r="C3" s="414">
        <v>1</v>
      </c>
    </row>
    <row r="4" spans="1:3">
      <c r="B4" s="379" t="s">
        <v>1369</v>
      </c>
      <c r="C4" s="414">
        <v>1</v>
      </c>
    </row>
    <row r="5" spans="1:3">
      <c r="B5" s="379" t="s">
        <v>70</v>
      </c>
      <c r="C5" s="414">
        <v>1</v>
      </c>
    </row>
    <row r="6" spans="1:3">
      <c r="B6" s="379" t="s">
        <v>84</v>
      </c>
      <c r="C6" s="414">
        <v>1</v>
      </c>
    </row>
    <row r="7" spans="1:3">
      <c r="B7" s="379" t="s">
        <v>101</v>
      </c>
      <c r="C7" s="414">
        <v>1</v>
      </c>
    </row>
    <row r="8" spans="1:3">
      <c r="B8" s="379" t="s">
        <v>1370</v>
      </c>
    </row>
    <row r="9" spans="1:3">
      <c r="B9" s="379" t="s">
        <v>1371</v>
      </c>
      <c r="C9" s="414">
        <v>1</v>
      </c>
    </row>
    <row r="10" spans="1:3">
      <c r="B10" s="379" t="s">
        <v>135</v>
      </c>
      <c r="C10" s="414">
        <v>1</v>
      </c>
    </row>
    <row r="11" spans="1:3">
      <c r="B11" s="379" t="s">
        <v>142</v>
      </c>
      <c r="C11" s="414">
        <v>1</v>
      </c>
    </row>
    <row r="12" spans="1:3">
      <c r="B12" s="379" t="s">
        <v>147</v>
      </c>
      <c r="C12" s="414">
        <v>1</v>
      </c>
    </row>
    <row r="13" spans="1:3">
      <c r="B13" s="379" t="s">
        <v>1372</v>
      </c>
      <c r="C13" s="414">
        <v>1</v>
      </c>
    </row>
    <row r="14" spans="1:3">
      <c r="B14" s="379" t="s">
        <v>194</v>
      </c>
      <c r="C14" s="414">
        <v>1</v>
      </c>
    </row>
    <row r="15" spans="1:3">
      <c r="B15" s="379" t="s">
        <v>330</v>
      </c>
      <c r="C15" s="414">
        <v>1</v>
      </c>
    </row>
    <row r="16" spans="1:3">
      <c r="B16" s="379" t="s">
        <v>1045</v>
      </c>
      <c r="C16" s="414">
        <v>1</v>
      </c>
    </row>
    <row r="17" spans="1:4">
      <c r="B17" s="379" t="s">
        <v>212</v>
      </c>
      <c r="C17" s="414">
        <v>1</v>
      </c>
    </row>
    <row r="18" spans="1:4">
      <c r="B18" s="379" t="s">
        <v>1112</v>
      </c>
      <c r="C18" s="414">
        <v>1</v>
      </c>
    </row>
    <row r="19" spans="1:4">
      <c r="B19" s="379" t="s">
        <v>1111</v>
      </c>
      <c r="C19" s="414">
        <v>1</v>
      </c>
    </row>
    <row r="20" spans="1:4">
      <c r="B20" s="379" t="s">
        <v>263</v>
      </c>
      <c r="C20" s="414">
        <v>1</v>
      </c>
    </row>
    <row r="21" spans="1:4">
      <c r="B21" s="379" t="s">
        <v>1373</v>
      </c>
      <c r="C21" s="414">
        <v>1</v>
      </c>
    </row>
    <row r="22" spans="1:4">
      <c r="B22" s="379" t="s">
        <v>536</v>
      </c>
    </row>
    <row r="23" spans="1:4">
      <c r="B23" s="379" t="s">
        <v>1374</v>
      </c>
    </row>
    <row r="24" spans="1:4">
      <c r="B24" s="379" t="s">
        <v>1375</v>
      </c>
    </row>
    <row r="26" spans="1:4">
      <c r="A26" s="379" t="s">
        <v>1376</v>
      </c>
      <c r="B26" s="379" t="s">
        <v>526</v>
      </c>
      <c r="C26" s="414">
        <v>1</v>
      </c>
    </row>
    <row r="27" spans="1:4">
      <c r="B27" s="379" t="s">
        <v>1377</v>
      </c>
      <c r="C27" s="414">
        <v>1</v>
      </c>
    </row>
    <row r="28" spans="1:4">
      <c r="B28" s="379" t="s">
        <v>1378</v>
      </c>
    </row>
    <row r="29" spans="1:4">
      <c r="B29" s="379" t="s">
        <v>1379</v>
      </c>
    </row>
    <row r="30" spans="1:4">
      <c r="B30" s="379" t="s">
        <v>200</v>
      </c>
      <c r="C30" s="414">
        <v>1</v>
      </c>
    </row>
    <row r="31" spans="1:4">
      <c r="B31" s="379" t="s">
        <v>321</v>
      </c>
      <c r="C31" s="414">
        <v>1</v>
      </c>
      <c r="D31" s="379" t="s">
        <v>596</v>
      </c>
    </row>
    <row r="32" spans="1:4">
      <c r="B32" s="379" t="s">
        <v>313</v>
      </c>
      <c r="C32" s="414">
        <v>1</v>
      </c>
    </row>
    <row r="33" spans="1:3">
      <c r="B33" s="379" t="s">
        <v>490</v>
      </c>
      <c r="C33" s="414">
        <v>1</v>
      </c>
    </row>
    <row r="34" spans="1:3">
      <c r="B34" s="379" t="s">
        <v>581</v>
      </c>
      <c r="C34" s="414">
        <v>1</v>
      </c>
    </row>
    <row r="35" spans="1:3">
      <c r="B35" s="379" t="s">
        <v>498</v>
      </c>
      <c r="C35" s="414">
        <v>1</v>
      </c>
    </row>
    <row r="36" spans="1:3">
      <c r="B36" s="379" t="s">
        <v>583</v>
      </c>
      <c r="C36" s="414">
        <v>1</v>
      </c>
    </row>
    <row r="37" spans="1:3">
      <c r="B37" s="379" t="s">
        <v>586</v>
      </c>
      <c r="C37" s="414">
        <v>1</v>
      </c>
    </row>
    <row r="38" spans="1:3">
      <c r="B38" s="379" t="s">
        <v>317</v>
      </c>
      <c r="C38" s="414">
        <v>1</v>
      </c>
    </row>
    <row r="39" spans="1:3">
      <c r="B39" s="379" t="s">
        <v>589</v>
      </c>
      <c r="C39" s="414">
        <v>1</v>
      </c>
    </row>
    <row r="40" spans="1:3">
      <c r="B40" s="379" t="s">
        <v>580</v>
      </c>
    </row>
    <row r="41" spans="1:3">
      <c r="B41" s="379" t="s">
        <v>508</v>
      </c>
      <c r="C41" s="414">
        <v>1</v>
      </c>
    </row>
    <row r="42" spans="1:3">
      <c r="B42" s="379" t="s">
        <v>590</v>
      </c>
      <c r="C42" s="414">
        <v>1</v>
      </c>
    </row>
    <row r="43" spans="1:3">
      <c r="B43" s="379" t="s">
        <v>591</v>
      </c>
      <c r="C43" s="414">
        <v>1</v>
      </c>
    </row>
    <row r="44" spans="1:3">
      <c r="B44" s="379" t="s">
        <v>1380</v>
      </c>
      <c r="C44" s="414">
        <v>1</v>
      </c>
    </row>
    <row r="45" spans="1:3">
      <c r="B45" s="379" t="s">
        <v>594</v>
      </c>
      <c r="C45" s="414">
        <v>1</v>
      </c>
    </row>
    <row r="46" spans="1:3">
      <c r="B46" s="379" t="s">
        <v>503</v>
      </c>
      <c r="C46" s="414">
        <v>1</v>
      </c>
    </row>
    <row r="48" spans="1:3">
      <c r="A48" s="379" t="s">
        <v>1381</v>
      </c>
      <c r="B48" s="379" t="s">
        <v>290</v>
      </c>
      <c r="C48" s="414">
        <v>1</v>
      </c>
    </row>
    <row r="49" spans="1:5">
      <c r="B49" s="379" t="s">
        <v>293</v>
      </c>
      <c r="C49" s="414">
        <v>1</v>
      </c>
    </row>
    <row r="50" spans="1:5">
      <c r="B50" s="379" t="s">
        <v>305</v>
      </c>
      <c r="C50" s="414">
        <v>1</v>
      </c>
    </row>
    <row r="51" spans="1:5">
      <c r="B51" s="379" t="s">
        <v>297</v>
      </c>
      <c r="C51" s="414">
        <v>1</v>
      </c>
    </row>
    <row r="52" spans="1:5">
      <c r="B52" s="454" t="s">
        <v>1382</v>
      </c>
      <c r="C52" s="414">
        <v>1</v>
      </c>
      <c r="D52" s="379" t="s">
        <v>596</v>
      </c>
    </row>
    <row r="53" spans="1:5">
      <c r="B53" s="379" t="s">
        <v>913</v>
      </c>
      <c r="C53" s="414">
        <v>1</v>
      </c>
    </row>
    <row r="54" spans="1:5">
      <c r="B54" s="379" t="s">
        <v>840</v>
      </c>
      <c r="C54" s="414">
        <v>1</v>
      </c>
    </row>
    <row r="55" spans="1:5">
      <c r="B55" s="379" t="s">
        <v>285</v>
      </c>
      <c r="C55" s="414">
        <v>1</v>
      </c>
    </row>
    <row r="56" spans="1:5">
      <c r="B56" s="379" t="s">
        <v>288</v>
      </c>
      <c r="C56" s="414">
        <v>1</v>
      </c>
    </row>
    <row r="57" spans="1:5">
      <c r="B57" s="379" t="s">
        <v>600</v>
      </c>
      <c r="C57" s="414">
        <v>1</v>
      </c>
      <c r="E57" s="379" t="s">
        <v>1383</v>
      </c>
    </row>
    <row r="58" spans="1:5">
      <c r="B58" s="379" t="s">
        <v>605</v>
      </c>
      <c r="C58" s="414">
        <v>1</v>
      </c>
      <c r="E58" s="379" t="s">
        <v>1383</v>
      </c>
    </row>
    <row r="60" spans="1:5">
      <c r="A60" s="379" t="s">
        <v>1384</v>
      </c>
      <c r="B60" s="379" t="s">
        <v>949</v>
      </c>
    </row>
    <row r="61" spans="1:5">
      <c r="B61" s="379" t="s">
        <v>1385</v>
      </c>
      <c r="C61" s="414">
        <v>1</v>
      </c>
    </row>
    <row r="62" spans="1:5">
      <c r="B62" s="379" t="s">
        <v>599</v>
      </c>
    </row>
    <row r="63" spans="1:5">
      <c r="B63" s="379" t="s">
        <v>1386</v>
      </c>
      <c r="C63" s="414">
        <v>1</v>
      </c>
    </row>
    <row r="65" spans="1:3">
      <c r="A65" s="379" t="s">
        <v>1387</v>
      </c>
      <c r="B65" s="379" t="s">
        <v>1388</v>
      </c>
      <c r="C65" s="414">
        <v>1</v>
      </c>
    </row>
    <row r="66" spans="1:3">
      <c r="B66" s="379" t="s">
        <v>1389</v>
      </c>
      <c r="C66" s="414">
        <v>1</v>
      </c>
    </row>
    <row r="67" spans="1:3">
      <c r="B67" s="379" t="s">
        <v>1390</v>
      </c>
      <c r="C67" s="414">
        <v>1</v>
      </c>
    </row>
    <row r="68" spans="1:3">
      <c r="B68" s="379" t="s">
        <v>1391</v>
      </c>
      <c r="C68" s="414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G39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6">
      <c r="B2" t="s">
        <v>1392</v>
      </c>
    </row>
    <row r="5" spans="2:6">
      <c r="B5" t="s">
        <v>1393</v>
      </c>
    </row>
    <row r="9" spans="2:6">
      <c r="C9" s="524"/>
      <c r="D9" s="523"/>
      <c r="E9" s="444"/>
      <c r="F9" s="522"/>
    </row>
    <row r="10" spans="2:6">
      <c r="C10" s="524"/>
      <c r="D10" s="523"/>
      <c r="E10" s="444"/>
      <c r="F10" s="525"/>
    </row>
    <row r="11" spans="2:6">
      <c r="C11" s="524"/>
      <c r="D11" s="523"/>
      <c r="E11" s="444"/>
      <c r="F11" s="525"/>
    </row>
    <row r="12" spans="2:6">
      <c r="C12" s="524"/>
      <c r="D12" s="523"/>
      <c r="E12" s="444"/>
      <c r="F12" s="525"/>
    </row>
    <row r="13" spans="2:6">
      <c r="C13" s="524"/>
      <c r="D13" s="523"/>
      <c r="E13" s="444"/>
      <c r="F13" s="525"/>
    </row>
    <row r="14" spans="2:6">
      <c r="C14" s="524"/>
      <c r="D14" s="523"/>
      <c r="E14" s="444"/>
      <c r="F14" s="525"/>
    </row>
    <row r="15" spans="2:6">
      <c r="C15" s="524"/>
      <c r="D15" s="523"/>
      <c r="E15" s="444"/>
      <c r="F15" s="525"/>
    </row>
    <row r="16" spans="2:6">
      <c r="C16" s="524"/>
      <c r="D16" s="523"/>
      <c r="E16" s="444"/>
      <c r="F16" s="525"/>
    </row>
    <row r="17" spans="3:6">
      <c r="C17" s="524"/>
      <c r="D17" s="523"/>
      <c r="E17" s="444"/>
      <c r="F17" s="525"/>
    </row>
    <row r="18" spans="3:6">
      <c r="C18" s="524"/>
      <c r="D18" s="524"/>
      <c r="E18" s="444"/>
      <c r="F18" s="522"/>
    </row>
    <row r="19" spans="3:6">
      <c r="C19" s="524"/>
      <c r="D19" s="524"/>
      <c r="E19" s="444"/>
      <c r="F19" s="525"/>
    </row>
    <row r="20" spans="3:6">
      <c r="C20" s="524"/>
      <c r="D20" s="524"/>
      <c r="E20" s="444"/>
      <c r="F20" s="525"/>
    </row>
    <row r="21" spans="3:6">
      <c r="C21" s="524"/>
      <c r="D21" s="524"/>
      <c r="E21" s="444"/>
      <c r="F21" s="525"/>
    </row>
    <row r="22" spans="3:6">
      <c r="C22" s="524"/>
      <c r="D22" s="524"/>
      <c r="E22" s="444"/>
      <c r="F22" s="525"/>
    </row>
    <row r="23" spans="3:6">
      <c r="C23" s="524"/>
      <c r="D23" s="524"/>
      <c r="E23" s="444"/>
      <c r="F23" s="525"/>
    </row>
    <row r="24" spans="3:6">
      <c r="C24" s="524"/>
      <c r="D24" s="524"/>
      <c r="E24" s="444"/>
      <c r="F24" s="522"/>
    </row>
    <row r="25" spans="3:6">
      <c r="C25" s="524"/>
      <c r="D25" s="524"/>
      <c r="E25" s="444"/>
      <c r="F25" s="525"/>
    </row>
    <row r="26" spans="3:6">
      <c r="C26" s="524"/>
      <c r="D26" s="524"/>
      <c r="E26" s="444"/>
      <c r="F26" s="525"/>
    </row>
    <row r="27" spans="3:6">
      <c r="C27" s="524"/>
      <c r="D27" s="524"/>
      <c r="E27" s="444"/>
      <c r="F27" s="525"/>
    </row>
    <row r="28" spans="3:6">
      <c r="C28" s="524"/>
      <c r="D28" s="524"/>
      <c r="E28" s="444"/>
      <c r="F28" s="525"/>
    </row>
    <row r="29" spans="3:6">
      <c r="C29" s="524"/>
      <c r="D29" s="524"/>
      <c r="E29" s="444"/>
      <c r="F29" s="525"/>
    </row>
    <row r="30" spans="3:6">
      <c r="C30" s="524"/>
      <c r="D30" s="524"/>
      <c r="E30" s="444"/>
      <c r="F30" s="525"/>
    </row>
    <row r="31" spans="3:6">
      <c r="C31" s="524"/>
      <c r="D31" s="524"/>
      <c r="E31" s="444"/>
      <c r="F31" s="525"/>
    </row>
    <row r="32" spans="3:6">
      <c r="C32" s="524"/>
      <c r="D32" s="524"/>
      <c r="E32" s="444"/>
      <c r="F32" s="522"/>
    </row>
    <row r="33" spans="3:7">
      <c r="C33" s="524"/>
      <c r="D33" s="524"/>
      <c r="E33" s="444"/>
      <c r="F33" s="525"/>
    </row>
    <row r="34" spans="3:7">
      <c r="C34" s="524"/>
      <c r="D34" s="524"/>
      <c r="E34" s="444"/>
      <c r="F34" s="525"/>
    </row>
    <row r="35" spans="3:7">
      <c r="C35" s="524"/>
      <c r="D35" s="524"/>
      <c r="E35" s="444"/>
      <c r="F35" s="525"/>
    </row>
    <row r="36" spans="3:7">
      <c r="C36" s="524"/>
      <c r="D36" s="524"/>
      <c r="E36" s="444"/>
      <c r="F36" s="525"/>
    </row>
    <row r="37" spans="3:7">
      <c r="C37" s="524"/>
      <c r="D37" s="524"/>
      <c r="E37" s="444"/>
      <c r="F37" s="525"/>
    </row>
    <row r="38" spans="3:7">
      <c r="E38" s="541"/>
      <c r="G38" s="446"/>
    </row>
    <row r="39" spans="3:7">
      <c r="E39" s="541"/>
      <c r="G39" s="44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3A59-DF67-4B80-8248-D3CE8B4DB264}">
  <sheetPr>
    <outlinePr summaryBelow="0" summaryRight="0"/>
    <pageSetUpPr fitToPage="1"/>
  </sheetPr>
  <dimension ref="A2:AA160"/>
  <sheetViews>
    <sheetView tabSelected="1" zoomScale="110" zoomScaleNormal="110" workbookViewId="0">
      <pane xSplit="2" ySplit="4" topLeftCell="C5" activePane="bottomRight" state="frozen"/>
      <selection pane="bottomRight" activeCell="E153" sqref="E153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34" customWidth="1"/>
    <col min="2" max="2" width="22.7109375" style="434" customWidth="1"/>
    <col min="3" max="3" width="72.85546875" style="748" customWidth="1"/>
    <col min="4" max="4" width="17.7109375" style="760" customWidth="1"/>
    <col min="5" max="5" width="23.28515625" style="760" customWidth="1"/>
    <col min="6" max="6" width="41.5703125" style="434" customWidth="1"/>
    <col min="7" max="9" width="0.5703125" style="434" customWidth="1" outlineLevel="1"/>
    <col min="10" max="10" width="13.28515625" style="434" customWidth="1" outlineLevel="1"/>
    <col min="11" max="11" width="9.5703125" style="434" customWidth="1" outlineLevel="1"/>
    <col min="12" max="12" width="16.28515625" style="434" customWidth="1" outlineLevel="1"/>
    <col min="13" max="13" width="14.28515625" style="434" customWidth="1" outlineLevel="1"/>
    <col min="14" max="16" width="0.5703125" style="434" customWidth="1" outlineLevel="1"/>
    <col min="17" max="22" width="14.42578125" style="434" customWidth="1" outlineLevel="1"/>
    <col min="23" max="25" width="0.5703125" style="434" customWidth="1"/>
    <col min="26" max="26" width="9.42578125" style="434"/>
    <col min="27" max="27" width="9.42578125" style="434" bestFit="1" customWidth="1"/>
    <col min="28" max="16384" width="9.42578125" style="434"/>
  </cols>
  <sheetData>
    <row r="2" spans="1:27" ht="17.45">
      <c r="A2" s="386"/>
      <c r="B2" s="436" t="s">
        <v>1394</v>
      </c>
      <c r="C2" s="441"/>
      <c r="D2" s="438"/>
      <c r="E2" s="438"/>
      <c r="F2" s="436"/>
      <c r="G2" s="726"/>
      <c r="H2" s="749"/>
      <c r="J2" s="733"/>
      <c r="K2" s="734"/>
      <c r="L2" s="733">
        <f>SUBTOTAL(9,L7:L87)</f>
        <v>0</v>
      </c>
      <c r="M2" s="752">
        <f>SUBTOTAL(9,M7:M87)</f>
        <v>0</v>
      </c>
      <c r="N2" s="726"/>
      <c r="O2" s="749"/>
      <c r="Q2" s="436"/>
      <c r="R2" s="436"/>
      <c r="S2" s="436"/>
      <c r="T2" s="436"/>
      <c r="U2" s="436"/>
      <c r="V2" s="436"/>
      <c r="X2" s="749"/>
    </row>
    <row r="3" spans="1:27" ht="3" customHeight="1">
      <c r="A3" s="386"/>
      <c r="B3" s="386"/>
      <c r="C3" s="714"/>
      <c r="D3" s="754"/>
      <c r="E3" s="754"/>
      <c r="F3" s="386"/>
      <c r="G3" s="726"/>
      <c r="H3" s="749"/>
      <c r="J3" s="386"/>
      <c r="K3" s="386"/>
      <c r="L3" s="386"/>
      <c r="M3" s="386"/>
      <c r="N3" s="726"/>
      <c r="O3" s="749"/>
      <c r="Q3" s="386"/>
      <c r="R3" s="386"/>
      <c r="S3" s="386"/>
      <c r="T3" s="386"/>
      <c r="U3" s="386"/>
      <c r="V3" s="386"/>
      <c r="X3" s="749"/>
    </row>
    <row r="4" spans="1:27" s="477" customFormat="1" ht="30">
      <c r="A4" s="624"/>
      <c r="B4" s="725" t="s">
        <v>8</v>
      </c>
      <c r="C4" s="736" t="s">
        <v>12</v>
      </c>
      <c r="D4" s="736" t="s">
        <v>1395</v>
      </c>
      <c r="E4" s="736" t="s">
        <v>1396</v>
      </c>
      <c r="F4" s="725" t="s">
        <v>616</v>
      </c>
      <c r="G4" s="737"/>
      <c r="H4" s="750"/>
      <c r="J4" s="736" t="s">
        <v>1397</v>
      </c>
      <c r="K4" s="736" t="s">
        <v>1398</v>
      </c>
      <c r="L4" s="725" t="s">
        <v>1399</v>
      </c>
      <c r="M4" s="736" t="s">
        <v>1400</v>
      </c>
      <c r="N4" s="737"/>
      <c r="O4" s="750"/>
      <c r="Q4" s="725" t="s">
        <v>11</v>
      </c>
      <c r="R4" s="725" t="s">
        <v>1401</v>
      </c>
      <c r="S4" s="725" t="s">
        <v>1402</v>
      </c>
      <c r="T4" s="725" t="s">
        <v>1403</v>
      </c>
      <c r="U4" s="725" t="s">
        <v>1404</v>
      </c>
      <c r="V4" s="725" t="s">
        <v>1405</v>
      </c>
      <c r="X4" s="750"/>
      <c r="Z4" s="434"/>
    </row>
    <row r="5" spans="1:27" ht="3" customHeight="1">
      <c r="A5" s="386"/>
      <c r="B5" s="386"/>
      <c r="C5" s="714"/>
      <c r="D5" s="754"/>
      <c r="E5" s="754"/>
      <c r="F5" s="386"/>
      <c r="G5" s="726"/>
      <c r="H5" s="749"/>
      <c r="J5" s="738"/>
      <c r="K5" s="739"/>
      <c r="L5" s="738"/>
      <c r="M5" s="739"/>
      <c r="N5" s="726"/>
      <c r="O5" s="749"/>
      <c r="Q5" s="386"/>
      <c r="R5" s="386"/>
      <c r="S5" s="386"/>
      <c r="T5" s="386"/>
      <c r="U5" s="386"/>
      <c r="V5" s="386"/>
      <c r="X5" s="749"/>
      <c r="Z5" s="716"/>
      <c r="AA5" s="716"/>
    </row>
    <row r="6" spans="1:27" ht="15">
      <c r="A6" s="386"/>
      <c r="B6" s="449" t="s">
        <v>319</v>
      </c>
      <c r="C6" s="740" t="s">
        <v>310</v>
      </c>
      <c r="D6" s="755"/>
      <c r="E6" s="755"/>
      <c r="F6" s="449"/>
      <c r="H6" s="749"/>
      <c r="J6" s="830">
        <f>SUBTOTAL(9,J7:J87)</f>
        <v>4.5893872667009825</v>
      </c>
      <c r="K6" s="831">
        <f>SUBTOTAL(9,K7:K87)</f>
        <v>23</v>
      </c>
      <c r="L6" s="830">
        <f>SUBTOTAL(9,L7:L87)</f>
        <v>0</v>
      </c>
      <c r="M6" s="741">
        <f>SUBTOTAL(9,M7:M87)</f>
        <v>0</v>
      </c>
      <c r="N6" s="726"/>
      <c r="O6" s="749"/>
      <c r="Q6" s="449"/>
      <c r="R6" s="449"/>
      <c r="S6" s="449"/>
      <c r="T6" s="449"/>
      <c r="U6" s="449"/>
      <c r="V6" s="449"/>
      <c r="W6" s="726"/>
      <c r="X6" s="749"/>
      <c r="Z6" s="716"/>
      <c r="AA6" s="716"/>
    </row>
    <row r="7" spans="1:27" s="746" customFormat="1" outlineLevel="1" collapsed="1">
      <c r="A7" s="396"/>
      <c r="B7" s="731" t="s">
        <v>202</v>
      </c>
      <c r="C7" s="732" t="s">
        <v>1406</v>
      </c>
      <c r="D7" s="756"/>
      <c r="E7" s="756"/>
      <c r="F7" s="731"/>
      <c r="H7" s="751"/>
      <c r="J7" s="743">
        <f>SUBTOTAL(9,J8:J40)</f>
        <v>3.3861433235185974</v>
      </c>
      <c r="K7" s="744">
        <f>SUBTOTAL(9,K8:K40)</f>
        <v>8</v>
      </c>
      <c r="L7" s="743">
        <f>SUBTOTAL(9,L8:L40)</f>
        <v>0</v>
      </c>
      <c r="M7" s="744">
        <f>SUBTOTAL(9,M8:M40)</f>
        <v>0</v>
      </c>
      <c r="N7" s="745"/>
      <c r="O7" s="751"/>
      <c r="Q7" s="731"/>
      <c r="R7" s="731"/>
      <c r="S7" s="731"/>
      <c r="T7" s="731"/>
      <c r="U7" s="731"/>
      <c r="V7" s="731"/>
      <c r="W7" s="745"/>
      <c r="X7" s="751"/>
    </row>
    <row r="8" spans="1:27" hidden="1" outlineLevel="2" collapsed="1">
      <c r="A8" s="386"/>
      <c r="B8" s="386" t="s">
        <v>319</v>
      </c>
      <c r="C8" s="714" t="s">
        <v>1407</v>
      </c>
      <c r="D8" s="757">
        <v>46293</v>
      </c>
      <c r="E8" s="754" t="s">
        <v>72</v>
      </c>
      <c r="F8" s="386"/>
      <c r="G8" s="726"/>
      <c r="H8" s="749"/>
      <c r="J8" s="715">
        <v>0.33750000000000002</v>
      </c>
      <c r="K8" s="735">
        <v>1</v>
      </c>
      <c r="L8" s="715">
        <f>IF(M8=1,J8,0)</f>
        <v>0</v>
      </c>
      <c r="M8" s="735"/>
      <c r="N8" s="726"/>
      <c r="O8" s="749"/>
      <c r="Q8" s="386" t="s">
        <v>72</v>
      </c>
      <c r="R8" s="386" t="s">
        <v>72</v>
      </c>
      <c r="S8" s="386" t="s">
        <v>1408</v>
      </c>
      <c r="T8" s="386"/>
      <c r="U8" s="386"/>
      <c r="V8" s="386"/>
      <c r="X8" s="749"/>
      <c r="AA8" s="746"/>
    </row>
    <row r="9" spans="1:27" ht="13.5" hidden="1" outlineLevel="3">
      <c r="A9" s="386"/>
      <c r="B9" s="832" t="s">
        <v>1409</v>
      </c>
      <c r="C9" s="833" t="s">
        <v>1410</v>
      </c>
      <c r="D9" s="757"/>
      <c r="E9" s="834"/>
      <c r="F9" s="386" t="s">
        <v>1411</v>
      </c>
      <c r="G9" s="726"/>
      <c r="H9" s="749"/>
      <c r="J9" s="715"/>
      <c r="K9" s="735"/>
      <c r="L9" s="715"/>
      <c r="M9" s="735"/>
      <c r="N9" s="726"/>
      <c r="O9" s="749"/>
      <c r="Q9" s="386"/>
      <c r="R9" s="386"/>
      <c r="S9" s="386"/>
      <c r="T9" s="386"/>
      <c r="U9" s="386"/>
      <c r="V9" s="386"/>
      <c r="X9" s="749"/>
    </row>
    <row r="10" spans="1:27" ht="13.5" hidden="1" outlineLevel="3">
      <c r="A10" s="386"/>
      <c r="B10" s="832" t="s">
        <v>1412</v>
      </c>
      <c r="C10" s="833" t="s">
        <v>278</v>
      </c>
      <c r="D10" s="757"/>
      <c r="E10" s="834"/>
      <c r="F10" s="386" t="s">
        <v>1413</v>
      </c>
      <c r="G10" s="726"/>
      <c r="H10" s="749"/>
      <c r="J10" s="715"/>
      <c r="K10" s="735"/>
      <c r="L10" s="715"/>
      <c r="M10" s="735"/>
      <c r="N10" s="726"/>
      <c r="O10" s="749"/>
      <c r="Q10" s="386"/>
      <c r="R10" s="386"/>
      <c r="S10" s="386"/>
      <c r="T10" s="386"/>
      <c r="U10" s="386"/>
      <c r="V10" s="386"/>
      <c r="X10" s="749"/>
    </row>
    <row r="11" spans="1:27" ht="13.5" hidden="1" outlineLevel="3">
      <c r="A11" s="386"/>
      <c r="B11" s="832" t="s">
        <v>1414</v>
      </c>
      <c r="C11" s="833" t="s">
        <v>1415</v>
      </c>
      <c r="D11" s="757"/>
      <c r="E11" s="834"/>
      <c r="F11" s="386" t="s">
        <v>1413</v>
      </c>
      <c r="G11" s="726"/>
      <c r="H11" s="749"/>
      <c r="J11" s="715"/>
      <c r="K11" s="735"/>
      <c r="L11" s="715"/>
      <c r="M11" s="735"/>
      <c r="N11" s="726"/>
      <c r="O11" s="749"/>
      <c r="Q11" s="386"/>
      <c r="R11" s="386"/>
      <c r="S11" s="386"/>
      <c r="T11" s="386"/>
      <c r="U11" s="386"/>
      <c r="V11" s="386"/>
      <c r="X11" s="749"/>
    </row>
    <row r="12" spans="1:27" hidden="1" outlineLevel="2" collapsed="1">
      <c r="A12" s="386"/>
      <c r="B12" s="386" t="s">
        <v>319</v>
      </c>
      <c r="C12" s="714" t="s">
        <v>279</v>
      </c>
      <c r="D12" s="757">
        <v>46328</v>
      </c>
      <c r="E12" s="754" t="s">
        <v>72</v>
      </c>
      <c r="F12" s="386"/>
      <c r="G12" s="726"/>
      <c r="H12" s="749"/>
      <c r="J12" s="715">
        <v>0.58000000000000007</v>
      </c>
      <c r="K12" s="735">
        <v>1</v>
      </c>
      <c r="L12" s="715">
        <f>IF(M12=1,J12,0)</f>
        <v>0</v>
      </c>
      <c r="M12" s="735"/>
      <c r="N12" s="726"/>
      <c r="O12" s="749"/>
      <c r="Q12" s="386" t="s">
        <v>72</v>
      </c>
      <c r="R12" s="386" t="s">
        <v>72</v>
      </c>
      <c r="S12" s="386" t="s">
        <v>1408</v>
      </c>
      <c r="T12" s="386"/>
      <c r="U12" s="386"/>
      <c r="V12" s="386"/>
      <c r="X12" s="749"/>
    </row>
    <row r="13" spans="1:27" ht="13.5" hidden="1" outlineLevel="3">
      <c r="A13" s="386"/>
      <c r="B13" s="832" t="s">
        <v>1409</v>
      </c>
      <c r="C13" s="832" t="s">
        <v>1416</v>
      </c>
      <c r="D13" s="757"/>
      <c r="E13" s="834" t="s">
        <v>1417</v>
      </c>
      <c r="F13" s="386"/>
      <c r="G13" s="726"/>
      <c r="H13" s="749"/>
      <c r="J13" s="715"/>
      <c r="K13" s="735"/>
      <c r="L13" s="715"/>
      <c r="M13" s="735"/>
      <c r="N13" s="726"/>
      <c r="O13" s="749"/>
      <c r="Q13" s="386"/>
      <c r="R13" s="386"/>
      <c r="S13" s="386"/>
      <c r="T13" s="386"/>
      <c r="U13" s="386"/>
      <c r="V13" s="386"/>
      <c r="X13" s="749"/>
    </row>
    <row r="14" spans="1:27" ht="13.5" hidden="1" outlineLevel="3">
      <c r="A14" s="386"/>
      <c r="B14" s="832" t="s">
        <v>1412</v>
      </c>
      <c r="C14" s="832" t="s">
        <v>1418</v>
      </c>
      <c r="D14" s="757"/>
      <c r="E14" s="834" t="s">
        <v>1419</v>
      </c>
      <c r="F14" s="386"/>
      <c r="G14" s="726"/>
      <c r="H14" s="749"/>
      <c r="J14" s="715"/>
      <c r="K14" s="735"/>
      <c r="L14" s="715"/>
      <c r="M14" s="735"/>
      <c r="N14" s="726"/>
      <c r="O14" s="749"/>
      <c r="Q14" s="386"/>
      <c r="R14" s="386"/>
      <c r="S14" s="386"/>
      <c r="T14" s="386"/>
      <c r="U14" s="386"/>
      <c r="V14" s="386"/>
      <c r="X14" s="749"/>
    </row>
    <row r="15" spans="1:27" ht="13.5" hidden="1" outlineLevel="3">
      <c r="A15" s="386"/>
      <c r="B15" s="832" t="s">
        <v>1414</v>
      </c>
      <c r="C15" s="833" t="s">
        <v>1420</v>
      </c>
      <c r="D15" s="757"/>
      <c r="E15" s="834" t="s">
        <v>1408</v>
      </c>
      <c r="F15" s="386" t="s">
        <v>1421</v>
      </c>
      <c r="G15" s="726"/>
      <c r="H15" s="749"/>
      <c r="J15" s="715"/>
      <c r="K15" s="735"/>
      <c r="L15" s="715"/>
      <c r="M15" s="735"/>
      <c r="N15" s="726"/>
      <c r="O15" s="749"/>
      <c r="Q15" s="386"/>
      <c r="R15" s="386"/>
      <c r="S15" s="386"/>
      <c r="T15" s="386"/>
      <c r="U15" s="386"/>
      <c r="V15" s="386"/>
      <c r="X15" s="749"/>
    </row>
    <row r="16" spans="1:27" hidden="1" outlineLevel="2" collapsed="1">
      <c r="A16" s="386"/>
      <c r="B16" s="386" t="s">
        <v>319</v>
      </c>
      <c r="C16" s="714" t="s">
        <v>454</v>
      </c>
      <c r="D16" s="757">
        <v>46332</v>
      </c>
      <c r="E16" s="754" t="s">
        <v>72</v>
      </c>
      <c r="F16" s="386"/>
      <c r="G16" s="726"/>
      <c r="H16" s="749"/>
      <c r="J16" s="715">
        <v>0.58000000000000007</v>
      </c>
      <c r="K16" s="735">
        <v>1</v>
      </c>
      <c r="L16" s="715">
        <f>IF(M16=1,J16,0)</f>
        <v>0</v>
      </c>
      <c r="M16" s="735"/>
      <c r="N16" s="726"/>
      <c r="O16" s="749"/>
      <c r="Q16" s="386" t="s">
        <v>72</v>
      </c>
      <c r="R16" s="386" t="s">
        <v>1408</v>
      </c>
      <c r="S16" s="386" t="s">
        <v>1422</v>
      </c>
      <c r="T16" s="386"/>
      <c r="U16" s="386"/>
      <c r="V16" s="386"/>
      <c r="X16" s="749"/>
    </row>
    <row r="17" spans="1:24" ht="13.5" hidden="1" outlineLevel="3">
      <c r="A17" s="386"/>
      <c r="B17" s="832" t="s">
        <v>1409</v>
      </c>
      <c r="C17" s="833" t="s">
        <v>1423</v>
      </c>
      <c r="D17" s="757"/>
      <c r="E17" s="834" t="s">
        <v>1424</v>
      </c>
      <c r="F17" s="386"/>
      <c r="G17" s="726"/>
      <c r="H17" s="749"/>
      <c r="J17" s="715"/>
      <c r="K17" s="735"/>
      <c r="L17" s="715"/>
      <c r="M17" s="735"/>
      <c r="N17" s="726"/>
      <c r="O17" s="749"/>
      <c r="Q17" s="386"/>
      <c r="R17" s="386"/>
      <c r="S17" s="386"/>
      <c r="T17" s="386"/>
      <c r="U17" s="386"/>
      <c r="V17" s="386"/>
      <c r="X17" s="749"/>
    </row>
    <row r="18" spans="1:24" ht="13.5" hidden="1" outlineLevel="3">
      <c r="A18" s="386"/>
      <c r="B18" s="832" t="s">
        <v>1412</v>
      </c>
      <c r="C18" s="833" t="s">
        <v>1425</v>
      </c>
      <c r="D18" s="757"/>
      <c r="E18" s="834" t="s">
        <v>1426</v>
      </c>
      <c r="F18" s="386"/>
      <c r="G18" s="726"/>
      <c r="H18" s="749"/>
      <c r="J18" s="715"/>
      <c r="K18" s="735"/>
      <c r="L18" s="715"/>
      <c r="M18" s="735"/>
      <c r="N18" s="726"/>
      <c r="O18" s="749"/>
      <c r="Q18" s="386"/>
      <c r="R18" s="386"/>
      <c r="S18" s="386"/>
      <c r="T18" s="386"/>
      <c r="U18" s="386"/>
      <c r="V18" s="386"/>
      <c r="X18" s="749"/>
    </row>
    <row r="19" spans="1:24" ht="41.25" hidden="1" outlineLevel="2" collapsed="1">
      <c r="A19" s="386"/>
      <c r="B19" s="386" t="s">
        <v>319</v>
      </c>
      <c r="C19" s="714" t="s">
        <v>1427</v>
      </c>
      <c r="D19" s="757">
        <v>46364</v>
      </c>
      <c r="E19" s="754" t="s">
        <v>72</v>
      </c>
      <c r="F19" s="714" t="s">
        <v>1428</v>
      </c>
      <c r="G19" s="726"/>
      <c r="H19" s="749"/>
      <c r="J19" s="715">
        <v>0.58000000000000007</v>
      </c>
      <c r="K19" s="735">
        <v>1</v>
      </c>
      <c r="L19" s="715">
        <f>IF(M19=1,J19,0)</f>
        <v>0</v>
      </c>
      <c r="M19" s="735"/>
      <c r="N19" s="726"/>
      <c r="O19" s="749"/>
      <c r="Q19" s="386" t="s">
        <v>72</v>
      </c>
      <c r="R19" s="386" t="s">
        <v>1408</v>
      </c>
      <c r="S19" s="386" t="s">
        <v>1422</v>
      </c>
      <c r="T19" s="386"/>
      <c r="U19" s="386"/>
      <c r="V19" s="386"/>
      <c r="X19" s="749"/>
    </row>
    <row r="20" spans="1:24" ht="13.5" hidden="1" outlineLevel="3">
      <c r="A20" s="386"/>
      <c r="B20" s="832" t="s">
        <v>1409</v>
      </c>
      <c r="C20" s="833" t="s">
        <v>1429</v>
      </c>
      <c r="D20" s="757"/>
      <c r="E20" s="834" t="s">
        <v>1430</v>
      </c>
      <c r="F20" s="714"/>
      <c r="G20" s="726"/>
      <c r="H20" s="749"/>
      <c r="J20" s="715"/>
      <c r="K20" s="735"/>
      <c r="L20" s="715"/>
      <c r="M20" s="735"/>
      <c r="N20" s="726"/>
      <c r="O20" s="749"/>
      <c r="Q20" s="386"/>
      <c r="R20" s="386"/>
      <c r="S20" s="386"/>
      <c r="T20" s="386"/>
      <c r="U20" s="386"/>
      <c r="V20" s="386"/>
      <c r="X20" s="749"/>
    </row>
    <row r="21" spans="1:24" ht="41.25" hidden="1" outlineLevel="3">
      <c r="A21" s="386"/>
      <c r="B21" s="832" t="s">
        <v>1412</v>
      </c>
      <c r="C21" s="833" t="s">
        <v>1431</v>
      </c>
      <c r="D21" s="757"/>
      <c r="E21" s="834" t="s">
        <v>1417</v>
      </c>
      <c r="F21" s="714" t="s">
        <v>1432</v>
      </c>
      <c r="G21" s="726"/>
      <c r="H21" s="749"/>
      <c r="J21" s="715"/>
      <c r="K21" s="735"/>
      <c r="L21" s="715"/>
      <c r="M21" s="735"/>
      <c r="N21" s="726"/>
      <c r="O21" s="749"/>
      <c r="Q21" s="386"/>
      <c r="R21" s="386"/>
      <c r="S21" s="386"/>
      <c r="T21" s="386"/>
      <c r="U21" s="386"/>
      <c r="V21" s="386"/>
      <c r="X21" s="749"/>
    </row>
    <row r="22" spans="1:24" ht="27.75" hidden="1" outlineLevel="3">
      <c r="A22" s="386"/>
      <c r="B22" s="832" t="s">
        <v>1414</v>
      </c>
      <c r="C22" s="833" t="s">
        <v>1433</v>
      </c>
      <c r="D22" s="757"/>
      <c r="E22" s="834" t="s">
        <v>1434</v>
      </c>
      <c r="F22" s="714" t="s">
        <v>1435</v>
      </c>
      <c r="G22" s="726"/>
      <c r="H22" s="749"/>
      <c r="J22" s="715"/>
      <c r="K22" s="735"/>
      <c r="L22" s="715"/>
      <c r="M22" s="735"/>
      <c r="N22" s="726"/>
      <c r="O22" s="749"/>
      <c r="Q22" s="386"/>
      <c r="R22" s="386"/>
      <c r="S22" s="386"/>
      <c r="T22" s="386"/>
      <c r="U22" s="386"/>
      <c r="V22" s="386"/>
      <c r="X22" s="749"/>
    </row>
    <row r="23" spans="1:24" ht="13.5" hidden="1" outlineLevel="3">
      <c r="A23" s="386"/>
      <c r="B23" s="832" t="s">
        <v>1436</v>
      </c>
      <c r="C23" s="833" t="s">
        <v>1437</v>
      </c>
      <c r="D23" s="757"/>
      <c r="E23" s="834" t="s">
        <v>1408</v>
      </c>
      <c r="F23" s="714"/>
      <c r="G23" s="726"/>
      <c r="H23" s="749"/>
      <c r="J23" s="715"/>
      <c r="K23" s="735"/>
      <c r="L23" s="715"/>
      <c r="M23" s="735"/>
      <c r="N23" s="726"/>
      <c r="O23" s="749"/>
      <c r="Q23" s="386"/>
      <c r="R23" s="386"/>
      <c r="S23" s="386"/>
      <c r="T23" s="386"/>
      <c r="U23" s="386"/>
      <c r="V23" s="386"/>
      <c r="X23" s="749"/>
    </row>
    <row r="24" spans="1:24" ht="13.5" hidden="1" outlineLevel="3">
      <c r="A24" s="386"/>
      <c r="B24" s="832" t="s">
        <v>1438</v>
      </c>
      <c r="C24" s="833" t="s">
        <v>1439</v>
      </c>
      <c r="D24" s="757"/>
      <c r="E24" s="834" t="s">
        <v>1408</v>
      </c>
      <c r="F24" s="714"/>
      <c r="G24" s="726"/>
      <c r="H24" s="749"/>
      <c r="J24" s="715"/>
      <c r="K24" s="735"/>
      <c r="L24" s="715"/>
      <c r="M24" s="735"/>
      <c r="N24" s="726"/>
      <c r="O24" s="749"/>
      <c r="Q24" s="386"/>
      <c r="R24" s="386"/>
      <c r="S24" s="386"/>
      <c r="T24" s="386"/>
      <c r="U24" s="386"/>
      <c r="V24" s="386"/>
      <c r="X24" s="749"/>
    </row>
    <row r="25" spans="1:24" ht="13.5" hidden="1" outlineLevel="3">
      <c r="A25" s="386"/>
      <c r="B25" s="832" t="s">
        <v>1440</v>
      </c>
      <c r="C25" s="833" t="s">
        <v>1441</v>
      </c>
      <c r="D25" s="757"/>
      <c r="E25" s="834" t="s">
        <v>1408</v>
      </c>
      <c r="F25" s="714"/>
      <c r="G25" s="726"/>
      <c r="H25" s="749"/>
      <c r="J25" s="715"/>
      <c r="K25" s="735"/>
      <c r="L25" s="715"/>
      <c r="M25" s="735"/>
      <c r="N25" s="726"/>
      <c r="O25" s="749"/>
      <c r="Q25" s="386"/>
      <c r="R25" s="386"/>
      <c r="S25" s="386"/>
      <c r="T25" s="386"/>
      <c r="U25" s="386"/>
      <c r="V25" s="386"/>
      <c r="X25" s="749"/>
    </row>
    <row r="26" spans="1:24" ht="13.5" hidden="1" outlineLevel="3">
      <c r="A26" s="386"/>
      <c r="B26" s="832" t="s">
        <v>1442</v>
      </c>
      <c r="C26" s="833" t="s">
        <v>1443</v>
      </c>
      <c r="D26" s="757"/>
      <c r="E26" s="834" t="s">
        <v>1408</v>
      </c>
      <c r="F26" s="714"/>
      <c r="G26" s="726"/>
      <c r="H26" s="749"/>
      <c r="J26" s="715"/>
      <c r="K26" s="735"/>
      <c r="L26" s="715"/>
      <c r="M26" s="735"/>
      <c r="N26" s="726"/>
      <c r="O26" s="749"/>
      <c r="Q26" s="386"/>
      <c r="R26" s="386"/>
      <c r="S26" s="386"/>
      <c r="T26" s="386"/>
      <c r="U26" s="386"/>
      <c r="V26" s="386"/>
      <c r="X26" s="749"/>
    </row>
    <row r="27" spans="1:24" ht="13.5" hidden="1" outlineLevel="3">
      <c r="A27" s="386"/>
      <c r="B27" s="832" t="s">
        <v>1444</v>
      </c>
      <c r="C27" s="833" t="s">
        <v>1445</v>
      </c>
      <c r="D27" s="757"/>
      <c r="E27" s="834" t="s">
        <v>1408</v>
      </c>
      <c r="F27" s="714"/>
      <c r="G27" s="726"/>
      <c r="H27" s="749"/>
      <c r="J27" s="715"/>
      <c r="K27" s="735"/>
      <c r="L27" s="715"/>
      <c r="M27" s="735"/>
      <c r="N27" s="726"/>
      <c r="O27" s="749"/>
      <c r="Q27" s="386"/>
      <c r="R27" s="386"/>
      <c r="S27" s="386"/>
      <c r="T27" s="386"/>
      <c r="U27" s="386"/>
      <c r="V27" s="386"/>
      <c r="X27" s="749"/>
    </row>
    <row r="28" spans="1:24" hidden="1" outlineLevel="2" collapsed="1">
      <c r="A28" s="386"/>
      <c r="B28" s="386" t="s">
        <v>319</v>
      </c>
      <c r="C28" s="714" t="s">
        <v>1446</v>
      </c>
      <c r="D28" s="757">
        <v>46352</v>
      </c>
      <c r="E28" s="754" t="s">
        <v>72</v>
      </c>
      <c r="F28" s="386"/>
      <c r="G28" s="726"/>
      <c r="H28" s="749"/>
      <c r="J28" s="715">
        <v>0.33750000000000002</v>
      </c>
      <c r="K28" s="735">
        <v>1</v>
      </c>
      <c r="L28" s="715">
        <f>IF(M28=1,J28,0)</f>
        <v>0</v>
      </c>
      <c r="M28" s="735"/>
      <c r="N28" s="726"/>
      <c r="O28" s="749"/>
      <c r="Q28" s="386" t="s">
        <v>72</v>
      </c>
      <c r="R28" s="386" t="s">
        <v>1408</v>
      </c>
      <c r="S28" s="386" t="s">
        <v>1422</v>
      </c>
      <c r="T28" s="386"/>
      <c r="U28" s="386"/>
      <c r="V28" s="386"/>
      <c r="X28" s="749"/>
    </row>
    <row r="29" spans="1:24" ht="13.5" hidden="1" outlineLevel="3">
      <c r="A29" s="386"/>
      <c r="B29" s="832" t="s">
        <v>1409</v>
      </c>
      <c r="C29" s="833" t="s">
        <v>1447</v>
      </c>
      <c r="D29" s="757"/>
      <c r="E29" s="834" t="s">
        <v>1408</v>
      </c>
      <c r="F29" s="386"/>
      <c r="G29" s="726"/>
      <c r="H29" s="749"/>
      <c r="J29" s="715"/>
      <c r="K29" s="735"/>
      <c r="L29" s="715"/>
      <c r="M29" s="735"/>
      <c r="N29" s="726"/>
      <c r="O29" s="749"/>
      <c r="Q29" s="386"/>
      <c r="R29" s="386"/>
      <c r="S29" s="386"/>
      <c r="T29" s="386"/>
      <c r="U29" s="386"/>
      <c r="V29" s="386"/>
      <c r="X29" s="749"/>
    </row>
    <row r="30" spans="1:24" ht="27.75" hidden="1" outlineLevel="3">
      <c r="A30" s="386"/>
      <c r="B30" s="832" t="s">
        <v>1412</v>
      </c>
      <c r="C30" s="833" t="s">
        <v>1448</v>
      </c>
      <c r="D30" s="757"/>
      <c r="E30" s="834" t="s">
        <v>1449</v>
      </c>
      <c r="F30" s="714" t="s">
        <v>1450</v>
      </c>
      <c r="G30" s="726"/>
      <c r="H30" s="749"/>
      <c r="J30" s="715"/>
      <c r="K30" s="735"/>
      <c r="L30" s="715"/>
      <c r="M30" s="735"/>
      <c r="N30" s="726"/>
      <c r="O30" s="749"/>
      <c r="Q30" s="386"/>
      <c r="R30" s="386"/>
      <c r="S30" s="386"/>
      <c r="T30" s="386"/>
      <c r="U30" s="386"/>
      <c r="V30" s="386"/>
      <c r="X30" s="749"/>
    </row>
    <row r="31" spans="1:24" ht="13.5" hidden="1" outlineLevel="3">
      <c r="A31" s="386"/>
      <c r="B31" s="832"/>
      <c r="C31" s="833" t="s">
        <v>1451</v>
      </c>
      <c r="D31" s="757"/>
      <c r="E31" s="834"/>
      <c r="F31" s="386"/>
      <c r="G31" s="726"/>
      <c r="H31" s="749"/>
      <c r="J31" s="715"/>
      <c r="K31" s="735"/>
      <c r="L31" s="715"/>
      <c r="M31" s="735"/>
      <c r="N31" s="726"/>
      <c r="O31" s="749"/>
      <c r="Q31" s="386"/>
      <c r="R31" s="386"/>
      <c r="S31" s="386"/>
      <c r="T31" s="386"/>
      <c r="U31" s="386"/>
      <c r="V31" s="386"/>
      <c r="X31" s="749"/>
    </row>
    <row r="32" spans="1:24" hidden="1" outlineLevel="2" collapsed="1">
      <c r="A32" s="386"/>
      <c r="B32" s="386" t="s">
        <v>319</v>
      </c>
      <c r="C32" s="714" t="s">
        <v>1452</v>
      </c>
      <c r="D32" s="757">
        <v>46295</v>
      </c>
      <c r="E32" s="754" t="s">
        <v>72</v>
      </c>
      <c r="F32" s="386"/>
      <c r="G32" s="726"/>
      <c r="H32" s="749"/>
      <c r="J32" s="715">
        <v>0.33750000000000002</v>
      </c>
      <c r="K32" s="735">
        <v>1</v>
      </c>
      <c r="L32" s="715">
        <f>IF(M32=1,J32,0)</f>
        <v>0</v>
      </c>
      <c r="M32" s="735"/>
      <c r="N32" s="726"/>
      <c r="O32" s="749"/>
      <c r="Q32" s="386" t="s">
        <v>72</v>
      </c>
      <c r="R32" s="386" t="s">
        <v>1408</v>
      </c>
      <c r="S32" s="386" t="s">
        <v>1422</v>
      </c>
      <c r="T32" s="386"/>
      <c r="U32" s="386"/>
      <c r="V32" s="386"/>
      <c r="X32" s="749"/>
    </row>
    <row r="33" spans="1:24" ht="27.75" hidden="1" outlineLevel="3">
      <c r="A33" s="386"/>
      <c r="B33" s="832" t="s">
        <v>1409</v>
      </c>
      <c r="C33" s="833" t="s">
        <v>1453</v>
      </c>
      <c r="D33" s="757"/>
      <c r="E33" s="834" t="s">
        <v>1454</v>
      </c>
      <c r="F33" s="386"/>
      <c r="G33" s="726"/>
      <c r="H33" s="749"/>
      <c r="J33" s="715"/>
      <c r="K33" s="735"/>
      <c r="L33" s="715"/>
      <c r="M33" s="735"/>
      <c r="N33" s="726"/>
      <c r="O33" s="749"/>
      <c r="Q33" s="386"/>
      <c r="R33" s="386"/>
      <c r="S33" s="386"/>
      <c r="T33" s="386"/>
      <c r="U33" s="386"/>
      <c r="V33" s="386"/>
      <c r="X33" s="749"/>
    </row>
    <row r="34" spans="1:24" ht="27.75" hidden="1" outlineLevel="3">
      <c r="A34" s="386"/>
      <c r="B34" s="832" t="s">
        <v>1412</v>
      </c>
      <c r="C34" s="833" t="s">
        <v>1455</v>
      </c>
      <c r="D34" s="757"/>
      <c r="E34" s="834" t="s">
        <v>1456</v>
      </c>
      <c r="F34" s="386"/>
      <c r="G34" s="726"/>
      <c r="H34" s="749"/>
      <c r="J34" s="715"/>
      <c r="K34" s="735"/>
      <c r="L34" s="715"/>
      <c r="M34" s="735"/>
      <c r="N34" s="726"/>
      <c r="O34" s="749"/>
      <c r="Q34" s="386"/>
      <c r="R34" s="386"/>
      <c r="S34" s="386"/>
      <c r="T34" s="386"/>
      <c r="U34" s="386"/>
      <c r="V34" s="386"/>
      <c r="X34" s="749"/>
    </row>
    <row r="35" spans="1:24" ht="13.9" hidden="1" customHeight="1" outlineLevel="2" collapsed="1">
      <c r="A35" s="386"/>
      <c r="B35" s="386" t="s">
        <v>319</v>
      </c>
      <c r="C35" s="386" t="s">
        <v>1457</v>
      </c>
      <c r="D35" s="757">
        <v>46380</v>
      </c>
      <c r="E35" s="754" t="s">
        <v>72</v>
      </c>
      <c r="F35" s="386"/>
      <c r="G35" s="726"/>
      <c r="H35" s="749"/>
      <c r="J35" s="715">
        <v>5.3643323518597512E-2</v>
      </c>
      <c r="K35" s="735">
        <v>1</v>
      </c>
      <c r="L35" s="715">
        <f>IF(M35=1,J35,0)</f>
        <v>0</v>
      </c>
      <c r="M35" s="735"/>
      <c r="N35" s="726"/>
      <c r="O35" s="749"/>
      <c r="Q35" s="386" t="s">
        <v>72</v>
      </c>
      <c r="R35" s="386" t="s">
        <v>1408</v>
      </c>
      <c r="S35" s="386"/>
      <c r="T35" s="386"/>
      <c r="U35" s="386"/>
      <c r="V35" s="386"/>
      <c r="X35" s="749"/>
    </row>
    <row r="36" spans="1:24" ht="13.5" hidden="1" outlineLevel="3">
      <c r="A36" s="386"/>
      <c r="B36" s="832" t="s">
        <v>1409</v>
      </c>
      <c r="C36" s="833" t="s">
        <v>1458</v>
      </c>
      <c r="D36" s="757"/>
      <c r="E36" s="834" t="s">
        <v>1459</v>
      </c>
      <c r="F36" s="386"/>
      <c r="G36" s="726"/>
      <c r="H36" s="749"/>
      <c r="J36" s="715"/>
      <c r="K36" s="735"/>
      <c r="L36" s="715"/>
      <c r="M36" s="735"/>
      <c r="N36" s="726"/>
      <c r="O36" s="749"/>
      <c r="Q36" s="386"/>
      <c r="R36" s="386"/>
      <c r="S36" s="386"/>
      <c r="T36" s="386"/>
      <c r="U36" s="386"/>
      <c r="V36" s="386"/>
      <c r="X36" s="749"/>
    </row>
    <row r="37" spans="1:24" ht="13.5" hidden="1" outlineLevel="3">
      <c r="A37" s="386"/>
      <c r="B37" s="832" t="s">
        <v>1412</v>
      </c>
      <c r="C37" s="833" t="s">
        <v>1460</v>
      </c>
      <c r="D37" s="757"/>
      <c r="E37" s="834" t="s">
        <v>1461</v>
      </c>
      <c r="F37" s="386"/>
      <c r="G37" s="726"/>
      <c r="H37" s="749"/>
      <c r="J37" s="715"/>
      <c r="K37" s="735"/>
      <c r="L37" s="715"/>
      <c r="M37" s="735"/>
      <c r="N37" s="726"/>
      <c r="O37" s="749"/>
      <c r="Q37" s="386"/>
      <c r="R37" s="386"/>
      <c r="S37" s="386"/>
      <c r="T37" s="386"/>
      <c r="U37" s="386"/>
      <c r="V37" s="386"/>
      <c r="X37" s="749"/>
    </row>
    <row r="38" spans="1:24" ht="13.5" hidden="1" outlineLevel="3">
      <c r="A38" s="386"/>
      <c r="B38" s="832" t="s">
        <v>1414</v>
      </c>
      <c r="C38" s="833" t="s">
        <v>1462</v>
      </c>
      <c r="D38" s="757"/>
      <c r="E38" s="834" t="s">
        <v>1408</v>
      </c>
      <c r="F38" s="386"/>
      <c r="G38" s="726"/>
      <c r="H38" s="749"/>
      <c r="J38" s="715"/>
      <c r="K38" s="735"/>
      <c r="L38" s="715"/>
      <c r="M38" s="735"/>
      <c r="N38" s="726"/>
      <c r="O38" s="749"/>
      <c r="Q38" s="386"/>
      <c r="R38" s="386"/>
      <c r="S38" s="386"/>
      <c r="T38" s="386"/>
      <c r="U38" s="386"/>
      <c r="V38" s="386"/>
      <c r="X38" s="749"/>
    </row>
    <row r="39" spans="1:24" ht="13.5" hidden="1" outlineLevel="3">
      <c r="A39" s="386"/>
      <c r="B39" s="832" t="s">
        <v>1436</v>
      </c>
      <c r="C39" s="833" t="s">
        <v>1463</v>
      </c>
      <c r="D39" s="757"/>
      <c r="E39" s="834" t="s">
        <v>1408</v>
      </c>
      <c r="F39" s="386"/>
      <c r="G39" s="726"/>
      <c r="H39" s="749"/>
      <c r="J39" s="715"/>
      <c r="K39" s="735"/>
      <c r="L39" s="715"/>
      <c r="M39" s="735"/>
      <c r="N39" s="726"/>
      <c r="O39" s="749"/>
      <c r="Q39" s="386"/>
      <c r="R39" s="386"/>
      <c r="S39" s="386"/>
      <c r="T39" s="386"/>
      <c r="U39" s="386"/>
      <c r="V39" s="386"/>
      <c r="X39" s="749"/>
    </row>
    <row r="40" spans="1:24" hidden="1" outlineLevel="2" collapsed="1">
      <c r="A40" s="386"/>
      <c r="B40" s="386" t="s">
        <v>319</v>
      </c>
      <c r="C40" s="714" t="s">
        <v>1464</v>
      </c>
      <c r="D40" s="757">
        <v>46400</v>
      </c>
      <c r="E40" s="754" t="s">
        <v>72</v>
      </c>
      <c r="F40" s="386"/>
      <c r="G40" s="726"/>
      <c r="H40" s="749"/>
      <c r="J40" s="715">
        <v>0.57999999999999996</v>
      </c>
      <c r="K40" s="735">
        <v>1</v>
      </c>
      <c r="L40" s="715">
        <f>IF(M40=1,J40,0)</f>
        <v>0</v>
      </c>
      <c r="M40" s="735"/>
      <c r="N40" s="726"/>
      <c r="O40" s="749"/>
      <c r="Q40" s="386" t="s">
        <v>72</v>
      </c>
      <c r="R40" s="386" t="s">
        <v>1408</v>
      </c>
      <c r="S40" s="386"/>
      <c r="T40" s="386"/>
      <c r="U40" s="386"/>
      <c r="V40" s="386"/>
      <c r="X40" s="749"/>
    </row>
    <row r="41" spans="1:24" ht="13.5" hidden="1" outlineLevel="3">
      <c r="A41" s="386"/>
      <c r="B41" s="832" t="s">
        <v>1409</v>
      </c>
      <c r="C41" s="833" t="s">
        <v>1465</v>
      </c>
      <c r="D41" s="757"/>
      <c r="E41" s="834" t="s">
        <v>1417</v>
      </c>
      <c r="F41" s="386"/>
      <c r="G41" s="726"/>
      <c r="H41" s="749"/>
      <c r="J41" s="715"/>
      <c r="K41" s="735"/>
      <c r="L41" s="715"/>
      <c r="M41" s="735"/>
      <c r="N41" s="726"/>
      <c r="O41" s="749"/>
      <c r="Q41" s="386"/>
      <c r="R41" s="386"/>
      <c r="S41" s="386"/>
      <c r="T41" s="386"/>
      <c r="U41" s="386"/>
      <c r="V41" s="386"/>
      <c r="X41" s="749"/>
    </row>
    <row r="42" spans="1:24" ht="13.5" hidden="1" outlineLevel="3">
      <c r="A42" s="386"/>
      <c r="B42" s="832" t="s">
        <v>1412</v>
      </c>
      <c r="C42" s="833" t="s">
        <v>1466</v>
      </c>
      <c r="D42" s="757"/>
      <c r="E42" s="834" t="s">
        <v>1456</v>
      </c>
      <c r="F42" s="386"/>
      <c r="G42" s="726"/>
      <c r="H42" s="749"/>
      <c r="J42" s="715"/>
      <c r="K42" s="735"/>
      <c r="L42" s="715"/>
      <c r="M42" s="735"/>
      <c r="N42" s="726"/>
      <c r="O42" s="749"/>
      <c r="Q42" s="386"/>
      <c r="R42" s="386"/>
      <c r="S42" s="386"/>
      <c r="T42" s="386"/>
      <c r="U42" s="386"/>
      <c r="V42" s="386"/>
      <c r="X42" s="749"/>
    </row>
    <row r="43" spans="1:24" s="746" customFormat="1" outlineLevel="1" collapsed="1">
      <c r="A43" s="396"/>
      <c r="B43" s="731" t="s">
        <v>18</v>
      </c>
      <c r="C43" s="732" t="s">
        <v>566</v>
      </c>
      <c r="D43" s="756"/>
      <c r="E43" s="756"/>
      <c r="F43" s="731"/>
      <c r="H43" s="751"/>
      <c r="J43" s="743">
        <f>SUBTOTAL(9,J44:J50)</f>
        <v>0.28500000000000003</v>
      </c>
      <c r="K43" s="744">
        <f>SUBTOTAL(9,K44:K50)</f>
        <v>3</v>
      </c>
      <c r="L43" s="743">
        <f>SUBTOTAL(9,L44:L50)</f>
        <v>0</v>
      </c>
      <c r="M43" s="744">
        <f>SUBTOTAL(9,M44:M50)</f>
        <v>0</v>
      </c>
      <c r="N43" s="745"/>
      <c r="O43" s="751"/>
      <c r="Q43" s="731"/>
      <c r="R43" s="731"/>
      <c r="S43" s="731"/>
      <c r="T43" s="731"/>
      <c r="U43" s="731"/>
      <c r="V43" s="731"/>
      <c r="W43" s="745"/>
      <c r="X43" s="751"/>
    </row>
    <row r="44" spans="1:24" hidden="1" outlineLevel="2" collapsed="1">
      <c r="A44" s="386"/>
      <c r="B44" s="386" t="s">
        <v>319</v>
      </c>
      <c r="C44" s="727" t="s">
        <v>565</v>
      </c>
      <c r="D44" s="757">
        <v>46310</v>
      </c>
      <c r="E44" s="758" t="s">
        <v>204</v>
      </c>
      <c r="F44" s="386"/>
      <c r="G44" s="726"/>
      <c r="H44" s="749"/>
      <c r="J44" s="715">
        <v>9.5000000000000015E-2</v>
      </c>
      <c r="K44" s="735">
        <v>1</v>
      </c>
      <c r="L44" s="715">
        <f>IF(M44=1,J44,0)</f>
        <v>0</v>
      </c>
      <c r="M44" s="735"/>
      <c r="N44" s="726"/>
      <c r="O44" s="749"/>
      <c r="Q44" s="386" t="s">
        <v>204</v>
      </c>
      <c r="R44" s="386" t="s">
        <v>1467</v>
      </c>
      <c r="S44" s="386"/>
      <c r="T44" s="386"/>
      <c r="U44" s="386"/>
      <c r="V44" s="386"/>
      <c r="X44" s="749"/>
    </row>
    <row r="45" spans="1:24" hidden="1" outlineLevel="3">
      <c r="A45" s="386"/>
      <c r="B45" s="832" t="s">
        <v>1409</v>
      </c>
      <c r="C45" s="833" t="s">
        <v>1468</v>
      </c>
      <c r="D45" s="757"/>
      <c r="E45" s="834" t="s">
        <v>1469</v>
      </c>
      <c r="F45" s="386"/>
      <c r="G45" s="726"/>
      <c r="H45" s="749"/>
      <c r="J45" s="715"/>
      <c r="K45" s="735"/>
      <c r="L45" s="715"/>
      <c r="M45" s="735"/>
      <c r="N45" s="726"/>
      <c r="O45" s="749"/>
      <c r="Q45" s="386"/>
      <c r="R45" s="386"/>
      <c r="S45" s="386"/>
      <c r="T45" s="386"/>
      <c r="U45" s="386"/>
      <c r="V45" s="386"/>
      <c r="X45" s="749"/>
    </row>
    <row r="46" spans="1:24" hidden="1" outlineLevel="3">
      <c r="A46" s="386"/>
      <c r="B46" s="832" t="s">
        <v>1412</v>
      </c>
      <c r="C46" s="833" t="s">
        <v>1468</v>
      </c>
      <c r="D46" s="757"/>
      <c r="E46" s="834" t="s">
        <v>1470</v>
      </c>
      <c r="F46" s="386"/>
      <c r="G46" s="726"/>
      <c r="H46" s="749"/>
      <c r="J46" s="715"/>
      <c r="K46" s="735"/>
      <c r="L46" s="715"/>
      <c r="M46" s="735"/>
      <c r="N46" s="726"/>
      <c r="O46" s="749"/>
      <c r="Q46" s="386"/>
      <c r="R46" s="386"/>
      <c r="S46" s="386"/>
      <c r="T46" s="386"/>
      <c r="U46" s="386"/>
      <c r="V46" s="386"/>
      <c r="X46" s="749"/>
    </row>
    <row r="47" spans="1:24" hidden="1" outlineLevel="2" collapsed="1">
      <c r="A47" s="386"/>
      <c r="B47" s="386" t="s">
        <v>319</v>
      </c>
      <c r="C47" s="727" t="s">
        <v>342</v>
      </c>
      <c r="D47" s="757">
        <v>46317</v>
      </c>
      <c r="E47" s="758" t="s">
        <v>204</v>
      </c>
      <c r="F47" s="386"/>
      <c r="G47" s="726"/>
      <c r="H47" s="749"/>
      <c r="J47" s="715">
        <v>9.5000000000000015E-2</v>
      </c>
      <c r="K47" s="735">
        <v>1</v>
      </c>
      <c r="L47" s="715">
        <f>IF(M47=1,J47,0)</f>
        <v>0</v>
      </c>
      <c r="M47" s="735"/>
      <c r="N47" s="726"/>
      <c r="O47" s="749"/>
      <c r="Q47" s="386" t="s">
        <v>204</v>
      </c>
      <c r="R47" s="386" t="s">
        <v>1467</v>
      </c>
      <c r="S47" s="386"/>
      <c r="T47" s="386"/>
      <c r="U47" s="386"/>
      <c r="V47" s="386"/>
      <c r="X47" s="749"/>
    </row>
    <row r="48" spans="1:24" hidden="1" outlineLevel="3">
      <c r="A48" s="386"/>
      <c r="B48" s="832" t="s">
        <v>1409</v>
      </c>
      <c r="C48" s="833" t="s">
        <v>1468</v>
      </c>
      <c r="D48" s="757"/>
      <c r="E48" s="834" t="s">
        <v>1469</v>
      </c>
      <c r="F48" s="386"/>
      <c r="G48" s="726"/>
      <c r="H48" s="749"/>
      <c r="J48" s="715"/>
      <c r="K48" s="735"/>
      <c r="L48" s="715"/>
      <c r="M48" s="735"/>
      <c r="N48" s="726"/>
      <c r="O48" s="749"/>
      <c r="Q48" s="386"/>
      <c r="R48" s="386"/>
      <c r="S48" s="386"/>
      <c r="T48" s="386"/>
      <c r="U48" s="386"/>
      <c r="V48" s="386"/>
      <c r="X48" s="749"/>
    </row>
    <row r="49" spans="1:24" hidden="1" outlineLevel="3">
      <c r="A49" s="386"/>
      <c r="B49" s="832" t="s">
        <v>1412</v>
      </c>
      <c r="C49" s="833" t="s">
        <v>1468</v>
      </c>
      <c r="D49" s="757"/>
      <c r="E49" s="834" t="s">
        <v>1470</v>
      </c>
      <c r="F49" s="386"/>
      <c r="G49" s="726"/>
      <c r="H49" s="749"/>
      <c r="J49" s="715"/>
      <c r="K49" s="735"/>
      <c r="L49" s="715"/>
      <c r="M49" s="735"/>
      <c r="N49" s="726"/>
      <c r="O49" s="749"/>
      <c r="Q49" s="386"/>
      <c r="R49" s="386"/>
      <c r="S49" s="386"/>
      <c r="T49" s="386"/>
      <c r="U49" s="386"/>
      <c r="V49" s="386"/>
      <c r="X49" s="749"/>
    </row>
    <row r="50" spans="1:24" hidden="1" outlineLevel="2" collapsed="1">
      <c r="A50" s="386"/>
      <c r="B50" s="386" t="s">
        <v>319</v>
      </c>
      <c r="C50" s="727" t="s">
        <v>566</v>
      </c>
      <c r="D50" s="757">
        <v>46367</v>
      </c>
      <c r="E50" s="758" t="s">
        <v>204</v>
      </c>
      <c r="F50" s="386"/>
      <c r="G50" s="726"/>
      <c r="H50" s="749"/>
      <c r="J50" s="715">
        <v>9.5000000000000015E-2</v>
      </c>
      <c r="K50" s="735">
        <v>1</v>
      </c>
      <c r="L50" s="715">
        <f>IF(M50=1,J50,0)</f>
        <v>0</v>
      </c>
      <c r="M50" s="735"/>
      <c r="N50" s="726"/>
      <c r="O50" s="749"/>
      <c r="Q50" s="386" t="s">
        <v>204</v>
      </c>
      <c r="R50" s="386" t="s">
        <v>1467</v>
      </c>
      <c r="S50" s="386"/>
      <c r="T50" s="386"/>
      <c r="U50" s="386"/>
      <c r="V50" s="386"/>
      <c r="X50" s="749"/>
    </row>
    <row r="51" spans="1:24" hidden="1" outlineLevel="3">
      <c r="A51" s="386"/>
      <c r="B51" s="832" t="s">
        <v>1409</v>
      </c>
      <c r="C51" s="833" t="s">
        <v>1468</v>
      </c>
      <c r="D51" s="757"/>
      <c r="E51" s="834" t="s">
        <v>1469</v>
      </c>
      <c r="F51" s="386"/>
      <c r="G51" s="726"/>
      <c r="H51" s="749"/>
      <c r="J51" s="715"/>
      <c r="K51" s="735"/>
      <c r="L51" s="715"/>
      <c r="M51" s="735"/>
      <c r="N51" s="726"/>
      <c r="O51" s="749"/>
      <c r="Q51" s="386"/>
      <c r="R51" s="386"/>
      <c r="S51" s="386"/>
      <c r="T51" s="386"/>
      <c r="U51" s="386"/>
      <c r="V51" s="386"/>
      <c r="X51" s="749"/>
    </row>
    <row r="52" spans="1:24" hidden="1" outlineLevel="3">
      <c r="A52" s="386"/>
      <c r="B52" s="832" t="s">
        <v>1412</v>
      </c>
      <c r="C52" s="833" t="s">
        <v>1468</v>
      </c>
      <c r="D52" s="757"/>
      <c r="E52" s="834" t="s">
        <v>1470</v>
      </c>
      <c r="F52" s="386"/>
      <c r="G52" s="726"/>
      <c r="H52" s="749"/>
      <c r="J52" s="715"/>
      <c r="K52" s="735"/>
      <c r="L52" s="715"/>
      <c r="M52" s="735"/>
      <c r="N52" s="726"/>
      <c r="O52" s="749"/>
      <c r="Q52" s="386"/>
      <c r="R52" s="386"/>
      <c r="S52" s="386"/>
      <c r="T52" s="386"/>
      <c r="U52" s="386"/>
      <c r="V52" s="386"/>
      <c r="X52" s="749"/>
    </row>
    <row r="53" spans="1:24" s="746" customFormat="1" outlineLevel="1" collapsed="1">
      <c r="A53" s="396"/>
      <c r="B53" s="731" t="s">
        <v>26</v>
      </c>
      <c r="C53" s="732" t="s">
        <v>1406</v>
      </c>
      <c r="D53" s="756"/>
      <c r="E53" s="756"/>
      <c r="F53" s="731"/>
      <c r="H53" s="751"/>
      <c r="J53" s="743">
        <f>SUBTOTAL(9,J54:J60)</f>
        <v>0.57240000000000002</v>
      </c>
      <c r="K53" s="744">
        <f>SUBTOTAL(9,K54:K60)</f>
        <v>3</v>
      </c>
      <c r="L53" s="743">
        <f>SUBTOTAL(9,L54:L60)</f>
        <v>0</v>
      </c>
      <c r="M53" s="744">
        <f>SUBTOTAL(9,M54:M60)</f>
        <v>0</v>
      </c>
      <c r="N53" s="745"/>
      <c r="O53" s="751"/>
      <c r="Q53" s="731"/>
      <c r="R53" s="731"/>
      <c r="S53" s="731"/>
      <c r="T53" s="731"/>
      <c r="U53" s="731"/>
      <c r="V53" s="731"/>
      <c r="W53" s="745"/>
      <c r="X53" s="751"/>
    </row>
    <row r="54" spans="1:24" hidden="1" outlineLevel="2">
      <c r="A54" s="386"/>
      <c r="B54" s="386" t="s">
        <v>319</v>
      </c>
      <c r="C54" s="714" t="s">
        <v>279</v>
      </c>
      <c r="D54" s="757">
        <v>46329</v>
      </c>
      <c r="E54" s="754" t="s">
        <v>27</v>
      </c>
      <c r="F54" s="386"/>
      <c r="G54" s="726"/>
      <c r="H54" s="749"/>
      <c r="J54" s="715">
        <v>0.1431</v>
      </c>
      <c r="K54" s="735">
        <v>1</v>
      </c>
      <c r="L54" s="715">
        <f>IF(M54=1,J54,0)</f>
        <v>0</v>
      </c>
      <c r="M54" s="735"/>
      <c r="N54" s="726"/>
      <c r="O54" s="749"/>
      <c r="Q54" s="386" t="s">
        <v>27</v>
      </c>
      <c r="R54" s="386" t="s">
        <v>1471</v>
      </c>
      <c r="S54" s="386" t="s">
        <v>1472</v>
      </c>
      <c r="T54" s="386" t="s">
        <v>1473</v>
      </c>
      <c r="U54" s="386" t="s">
        <v>1474</v>
      </c>
      <c r="V54" s="386"/>
      <c r="X54" s="749"/>
    </row>
    <row r="55" spans="1:24" hidden="1" outlineLevel="3">
      <c r="A55" s="386"/>
      <c r="B55" s="832" t="s">
        <v>1409</v>
      </c>
      <c r="C55" s="833" t="s">
        <v>1468</v>
      </c>
      <c r="D55" s="757"/>
      <c r="E55" s="834" t="s">
        <v>1469</v>
      </c>
      <c r="F55" s="386"/>
      <c r="G55" s="726"/>
      <c r="H55" s="749"/>
      <c r="J55" s="715"/>
      <c r="K55" s="735"/>
      <c r="L55" s="715"/>
      <c r="M55" s="735"/>
      <c r="N55" s="726"/>
      <c r="O55" s="749"/>
      <c r="Q55" s="386"/>
      <c r="R55" s="386"/>
      <c r="S55" s="386"/>
      <c r="T55" s="386"/>
      <c r="U55" s="386"/>
      <c r="V55" s="386"/>
      <c r="X55" s="749"/>
    </row>
    <row r="56" spans="1:24" hidden="1" outlineLevel="3">
      <c r="A56" s="386"/>
      <c r="B56" s="832" t="s">
        <v>1412</v>
      </c>
      <c r="C56" s="833" t="s">
        <v>1468</v>
      </c>
      <c r="D56" s="757"/>
      <c r="E56" s="834" t="s">
        <v>1470</v>
      </c>
      <c r="F56" s="386"/>
      <c r="G56" s="726"/>
      <c r="H56" s="749"/>
      <c r="J56" s="715"/>
      <c r="K56" s="735"/>
      <c r="L56" s="715"/>
      <c r="M56" s="735"/>
      <c r="N56" s="726"/>
      <c r="O56" s="749"/>
      <c r="Q56" s="386"/>
      <c r="R56" s="386"/>
      <c r="S56" s="386"/>
      <c r="T56" s="386"/>
      <c r="U56" s="386"/>
      <c r="V56" s="386"/>
      <c r="X56" s="749"/>
    </row>
    <row r="57" spans="1:24" hidden="1" outlineLevel="2">
      <c r="A57" s="386"/>
      <c r="B57" s="386" t="s">
        <v>319</v>
      </c>
      <c r="C57" s="714" t="s">
        <v>1475</v>
      </c>
      <c r="D57" s="757">
        <v>46365</v>
      </c>
      <c r="E57" s="754" t="s">
        <v>27</v>
      </c>
      <c r="F57" s="386"/>
      <c r="G57" s="726"/>
      <c r="H57" s="749"/>
      <c r="J57" s="715">
        <v>0.28620000000000001</v>
      </c>
      <c r="K57" s="735">
        <v>1</v>
      </c>
      <c r="L57" s="715">
        <f>IF(M57=1,J57,0)</f>
        <v>0</v>
      </c>
      <c r="M57" s="735"/>
      <c r="N57" s="726"/>
      <c r="O57" s="749"/>
      <c r="Q57" s="386" t="s">
        <v>27</v>
      </c>
      <c r="R57" s="386" t="s">
        <v>1471</v>
      </c>
      <c r="S57" s="386" t="s">
        <v>1472</v>
      </c>
      <c r="T57" s="386" t="s">
        <v>1473</v>
      </c>
      <c r="U57" s="386" t="s">
        <v>1474</v>
      </c>
      <c r="V57" s="386"/>
      <c r="X57" s="749"/>
    </row>
    <row r="58" spans="1:24" hidden="1" outlineLevel="3">
      <c r="A58" s="386"/>
      <c r="B58" s="832" t="s">
        <v>1409</v>
      </c>
      <c r="C58" s="833" t="s">
        <v>1468</v>
      </c>
      <c r="D58" s="757"/>
      <c r="E58" s="834" t="s">
        <v>1469</v>
      </c>
      <c r="F58" s="386"/>
      <c r="G58" s="726"/>
      <c r="H58" s="749"/>
      <c r="J58" s="715"/>
      <c r="K58" s="735"/>
      <c r="L58" s="715"/>
      <c r="M58" s="735"/>
      <c r="N58" s="726"/>
      <c r="O58" s="749"/>
      <c r="Q58" s="386"/>
      <c r="R58" s="386"/>
      <c r="S58" s="386"/>
      <c r="T58" s="386"/>
      <c r="U58" s="386"/>
      <c r="V58" s="386"/>
      <c r="X58" s="749"/>
    </row>
    <row r="59" spans="1:24" hidden="1" outlineLevel="3">
      <c r="A59" s="386"/>
      <c r="B59" s="832" t="s">
        <v>1412</v>
      </c>
      <c r="C59" s="833" t="s">
        <v>1468</v>
      </c>
      <c r="D59" s="757"/>
      <c r="E59" s="834" t="s">
        <v>1470</v>
      </c>
      <c r="F59" s="386"/>
      <c r="G59" s="726"/>
      <c r="H59" s="749"/>
      <c r="J59" s="715"/>
      <c r="K59" s="735"/>
      <c r="L59" s="715"/>
      <c r="M59" s="735"/>
      <c r="N59" s="726"/>
      <c r="O59" s="749"/>
      <c r="Q59" s="386"/>
      <c r="R59" s="386"/>
      <c r="S59" s="386"/>
      <c r="T59" s="386"/>
      <c r="U59" s="386"/>
      <c r="V59" s="386"/>
      <c r="X59" s="749"/>
    </row>
    <row r="60" spans="1:24" hidden="1" outlineLevel="2">
      <c r="A60" s="386"/>
      <c r="B60" s="386" t="s">
        <v>319</v>
      </c>
      <c r="C60" s="714" t="s">
        <v>1476</v>
      </c>
      <c r="D60" s="757">
        <v>46295</v>
      </c>
      <c r="E60" s="754" t="s">
        <v>27</v>
      </c>
      <c r="F60" s="386"/>
      <c r="G60" s="726"/>
      <c r="H60" s="749"/>
      <c r="J60" s="715">
        <v>0.1431</v>
      </c>
      <c r="K60" s="735">
        <v>1</v>
      </c>
      <c r="L60" s="715">
        <f>IF(M60=1,J60,0)</f>
        <v>0</v>
      </c>
      <c r="M60" s="735"/>
      <c r="N60" s="726"/>
      <c r="O60" s="749"/>
      <c r="Q60" s="386" t="s">
        <v>27</v>
      </c>
      <c r="R60" s="386" t="s">
        <v>1477</v>
      </c>
      <c r="S60" s="386" t="s">
        <v>1478</v>
      </c>
      <c r="T60" s="386"/>
      <c r="U60" s="386"/>
      <c r="V60" s="386"/>
      <c r="X60" s="749"/>
    </row>
    <row r="61" spans="1:24" hidden="1" outlineLevel="3">
      <c r="A61" s="386"/>
      <c r="B61" s="832" t="s">
        <v>1409</v>
      </c>
      <c r="C61" s="714" t="s">
        <v>1479</v>
      </c>
      <c r="D61" s="757"/>
      <c r="E61" s="834" t="s">
        <v>1469</v>
      </c>
      <c r="F61" s="386" t="s">
        <v>1480</v>
      </c>
      <c r="G61" s="726"/>
      <c r="H61" s="749"/>
      <c r="J61" s="715"/>
      <c r="K61" s="735"/>
      <c r="L61" s="715"/>
      <c r="M61" s="735"/>
      <c r="N61" s="726"/>
      <c r="O61" s="749"/>
      <c r="Q61" s="386"/>
      <c r="R61" s="386"/>
      <c r="S61" s="386"/>
      <c r="T61" s="386"/>
      <c r="U61" s="386"/>
      <c r="V61" s="386"/>
      <c r="X61" s="749"/>
    </row>
    <row r="62" spans="1:24" hidden="1" outlineLevel="3">
      <c r="A62" s="386"/>
      <c r="B62" s="832" t="s">
        <v>1412</v>
      </c>
      <c r="C62" s="714" t="s">
        <v>1481</v>
      </c>
      <c r="D62" s="757"/>
      <c r="E62" s="834" t="s">
        <v>1470</v>
      </c>
      <c r="F62" s="386" t="s">
        <v>1482</v>
      </c>
      <c r="G62" s="726"/>
      <c r="H62" s="749"/>
      <c r="J62" s="715"/>
      <c r="K62" s="735"/>
      <c r="L62" s="715"/>
      <c r="M62" s="735"/>
      <c r="N62" s="726"/>
      <c r="O62" s="749"/>
      <c r="Q62" s="386"/>
      <c r="R62" s="386"/>
      <c r="S62" s="386"/>
      <c r="T62" s="386"/>
      <c r="U62" s="386"/>
      <c r="V62" s="386"/>
      <c r="X62" s="749"/>
    </row>
    <row r="63" spans="1:24" ht="13.9" hidden="1" customHeight="1" outlineLevel="2">
      <c r="A63" s="386"/>
      <c r="B63" s="386" t="s">
        <v>319</v>
      </c>
      <c r="C63" s="714" t="s">
        <v>1457</v>
      </c>
      <c r="D63" s="757">
        <v>46380</v>
      </c>
      <c r="E63" s="754" t="s">
        <v>27</v>
      </c>
      <c r="F63" s="386"/>
      <c r="G63" s="726"/>
      <c r="H63" s="749"/>
      <c r="J63" s="715">
        <v>3.2337545712058588E-2</v>
      </c>
      <c r="K63" s="735">
        <v>1</v>
      </c>
      <c r="L63" s="715">
        <f>IF(M63=1,J63,0)</f>
        <v>0</v>
      </c>
      <c r="M63" s="735"/>
      <c r="N63" s="726"/>
      <c r="O63" s="749"/>
      <c r="Q63" s="386" t="s">
        <v>27</v>
      </c>
      <c r="R63" s="386" t="s">
        <v>1477</v>
      </c>
      <c r="S63" s="386" t="s">
        <v>1483</v>
      </c>
      <c r="T63" s="386"/>
      <c r="U63" s="386"/>
      <c r="V63" s="386"/>
      <c r="X63" s="749"/>
    </row>
    <row r="64" spans="1:24" hidden="1" outlineLevel="3">
      <c r="A64" s="386"/>
      <c r="B64" s="832" t="s">
        <v>1409</v>
      </c>
      <c r="C64" s="714" t="s">
        <v>1484</v>
      </c>
      <c r="D64" s="754"/>
      <c r="E64" s="834" t="s">
        <v>1469</v>
      </c>
      <c r="F64" s="386" t="s">
        <v>1485</v>
      </c>
      <c r="H64" s="749"/>
      <c r="J64" s="715"/>
      <c r="K64" s="735"/>
      <c r="L64" s="715"/>
      <c r="M64" s="735"/>
      <c r="N64" s="726"/>
      <c r="O64" s="749"/>
      <c r="Q64" s="386"/>
      <c r="R64" s="386"/>
      <c r="S64" s="386"/>
      <c r="T64" s="386"/>
      <c r="U64" s="386"/>
      <c r="V64" s="386"/>
      <c r="X64" s="749"/>
    </row>
    <row r="65" spans="1:24" hidden="1" outlineLevel="3">
      <c r="A65" s="386"/>
      <c r="B65" s="832" t="s">
        <v>1412</v>
      </c>
      <c r="C65" s="714"/>
      <c r="D65" s="754"/>
      <c r="E65" s="834" t="s">
        <v>1470</v>
      </c>
      <c r="F65" s="386"/>
      <c r="H65" s="749"/>
      <c r="J65" s="715"/>
      <c r="K65" s="735"/>
      <c r="L65" s="715"/>
      <c r="M65" s="735"/>
      <c r="N65" s="726"/>
      <c r="O65" s="749"/>
      <c r="Q65" s="386"/>
      <c r="R65" s="386"/>
      <c r="S65" s="386"/>
      <c r="T65" s="386"/>
      <c r="U65" s="386"/>
      <c r="V65" s="386"/>
      <c r="X65" s="749"/>
    </row>
    <row r="66" spans="1:24" hidden="1" outlineLevel="2" collapsed="1">
      <c r="A66" s="386"/>
      <c r="B66" s="386" t="s">
        <v>319</v>
      </c>
      <c r="C66" s="714" t="s">
        <v>1464</v>
      </c>
      <c r="D66" s="757">
        <v>46400</v>
      </c>
      <c r="E66" s="754" t="s">
        <v>27</v>
      </c>
      <c r="F66" s="386"/>
      <c r="G66" s="726"/>
      <c r="H66" s="749"/>
      <c r="J66" s="715">
        <v>0.06</v>
      </c>
      <c r="K66" s="735">
        <v>1</v>
      </c>
      <c r="L66" s="715">
        <f>IF(M66=1,J66,0)</f>
        <v>0</v>
      </c>
      <c r="M66" s="735"/>
      <c r="N66" s="726"/>
      <c r="O66" s="749"/>
      <c r="Q66" s="386" t="s">
        <v>27</v>
      </c>
      <c r="R66" s="386" t="s">
        <v>1471</v>
      </c>
      <c r="S66" s="386" t="s">
        <v>1472</v>
      </c>
      <c r="T66" s="386" t="s">
        <v>1473</v>
      </c>
      <c r="U66" s="386" t="s">
        <v>1474</v>
      </c>
      <c r="V66" s="386"/>
      <c r="X66" s="749"/>
    </row>
    <row r="67" spans="1:24" hidden="1" outlineLevel="3">
      <c r="A67" s="386"/>
      <c r="B67" s="832" t="s">
        <v>1409</v>
      </c>
      <c r="C67" s="833" t="s">
        <v>1468</v>
      </c>
      <c r="D67" s="757"/>
      <c r="E67" s="834" t="s">
        <v>1469</v>
      </c>
      <c r="F67" s="386"/>
      <c r="G67" s="726"/>
      <c r="H67" s="749"/>
      <c r="J67" s="715"/>
      <c r="K67" s="735"/>
      <c r="L67" s="715"/>
      <c r="M67" s="735"/>
      <c r="N67" s="726"/>
      <c r="O67" s="749"/>
      <c r="Q67" s="386"/>
      <c r="R67" s="386"/>
      <c r="S67" s="386"/>
      <c r="T67" s="386"/>
      <c r="U67" s="386"/>
      <c r="V67" s="386"/>
      <c r="X67" s="749"/>
    </row>
    <row r="68" spans="1:24" hidden="1" outlineLevel="3">
      <c r="A68" s="386"/>
      <c r="B68" s="832" t="s">
        <v>1412</v>
      </c>
      <c r="C68" s="833" t="s">
        <v>1468</v>
      </c>
      <c r="D68" s="757"/>
      <c r="E68" s="834" t="s">
        <v>1470</v>
      </c>
      <c r="F68" s="386"/>
      <c r="G68" s="726"/>
      <c r="H68" s="749"/>
      <c r="J68" s="715"/>
      <c r="K68" s="735"/>
      <c r="L68" s="715"/>
      <c r="M68" s="735"/>
      <c r="N68" s="726"/>
      <c r="O68" s="749"/>
      <c r="Q68" s="386"/>
      <c r="R68" s="386"/>
      <c r="S68" s="386"/>
      <c r="T68" s="386"/>
      <c r="U68" s="386"/>
      <c r="V68" s="386"/>
      <c r="X68" s="749"/>
    </row>
    <row r="69" spans="1:24" s="746" customFormat="1" outlineLevel="1" collapsed="1">
      <c r="A69" s="396"/>
      <c r="B69" s="731" t="s">
        <v>28</v>
      </c>
      <c r="C69" s="732" t="s">
        <v>1486</v>
      </c>
      <c r="D69" s="756"/>
      <c r="E69" s="756"/>
      <c r="F69" s="731"/>
      <c r="H69" s="751"/>
      <c r="J69" s="743">
        <f>SUBTOTAL(9,J70:J79)</f>
        <v>0.16440639747032781</v>
      </c>
      <c r="K69" s="744">
        <f>SUBTOTAL(9,K70:K79)</f>
        <v>4</v>
      </c>
      <c r="L69" s="743">
        <f>SUBTOTAL(9,L70:L79)</f>
        <v>0</v>
      </c>
      <c r="M69" s="744">
        <f>SUBTOTAL(9,M70:M79)</f>
        <v>0</v>
      </c>
      <c r="N69" s="745"/>
      <c r="O69" s="751"/>
      <c r="Q69" s="731"/>
      <c r="R69" s="731"/>
      <c r="S69" s="731"/>
      <c r="T69" s="731"/>
      <c r="U69" s="731"/>
      <c r="V69" s="731"/>
      <c r="W69" s="745"/>
      <c r="X69" s="751"/>
    </row>
    <row r="70" spans="1:24" hidden="1" outlineLevel="2" collapsed="1">
      <c r="A70" s="386"/>
      <c r="B70" s="386" t="s">
        <v>319</v>
      </c>
      <c r="C70" s="714" t="s">
        <v>279</v>
      </c>
      <c r="D70" s="757">
        <v>46329</v>
      </c>
      <c r="E70" s="754" t="s">
        <v>29</v>
      </c>
      <c r="F70" s="386"/>
      <c r="G70" s="726"/>
      <c r="H70" s="749"/>
      <c r="J70" s="715">
        <v>3.9824999999999999E-2</v>
      </c>
      <c r="K70" s="735">
        <v>1</v>
      </c>
      <c r="L70" s="715">
        <f>IF(M70=1,J70,0)</f>
        <v>0</v>
      </c>
      <c r="M70" s="735"/>
      <c r="N70" s="726"/>
      <c r="O70" s="749"/>
      <c r="Q70" s="386" t="s">
        <v>29</v>
      </c>
      <c r="R70" s="386" t="s">
        <v>1487</v>
      </c>
      <c r="S70" s="386" t="s">
        <v>1488</v>
      </c>
      <c r="T70" s="386" t="s">
        <v>1489</v>
      </c>
      <c r="U70" s="386"/>
      <c r="V70" s="386"/>
      <c r="X70" s="749"/>
    </row>
    <row r="71" spans="1:24" ht="13.5" hidden="1" outlineLevel="3">
      <c r="A71" s="386"/>
      <c r="B71" s="832" t="s">
        <v>1409</v>
      </c>
      <c r="C71" s="833" t="s">
        <v>1468</v>
      </c>
      <c r="D71" s="757"/>
      <c r="E71" s="834" t="s">
        <v>1469</v>
      </c>
      <c r="F71" s="386"/>
      <c r="G71" s="726"/>
      <c r="H71" s="749"/>
      <c r="J71" s="715"/>
      <c r="K71" s="735"/>
      <c r="L71" s="715"/>
      <c r="M71" s="735"/>
      <c r="N71" s="726"/>
      <c r="O71" s="749"/>
      <c r="Q71" s="386"/>
      <c r="R71" s="386"/>
      <c r="S71" s="386"/>
      <c r="T71" s="386"/>
      <c r="U71" s="386"/>
      <c r="V71" s="386"/>
      <c r="X71" s="749"/>
    </row>
    <row r="72" spans="1:24" hidden="1" outlineLevel="3">
      <c r="A72" s="386"/>
      <c r="B72" s="832" t="s">
        <v>1412</v>
      </c>
      <c r="C72" s="833" t="s">
        <v>1468</v>
      </c>
      <c r="D72" s="757"/>
      <c r="E72" s="834" t="s">
        <v>1470</v>
      </c>
      <c r="F72" s="386"/>
      <c r="G72" s="726"/>
      <c r="H72" s="749"/>
      <c r="J72" s="715"/>
      <c r="K72" s="735"/>
      <c r="L72" s="715"/>
      <c r="M72" s="735"/>
      <c r="N72" s="726"/>
      <c r="O72" s="749"/>
      <c r="Q72" s="386"/>
      <c r="R72" s="386"/>
      <c r="S72" s="386"/>
      <c r="T72" s="386"/>
      <c r="U72" s="386"/>
      <c r="V72" s="386"/>
      <c r="X72" s="749"/>
    </row>
    <row r="73" spans="1:24" hidden="1" outlineLevel="2" collapsed="1">
      <c r="A73" s="386"/>
      <c r="B73" s="386" t="s">
        <v>319</v>
      </c>
      <c r="C73" s="714" t="s">
        <v>1475</v>
      </c>
      <c r="D73" s="757">
        <v>46365</v>
      </c>
      <c r="E73" s="754" t="s">
        <v>29</v>
      </c>
      <c r="F73" s="386"/>
      <c r="G73" s="726"/>
      <c r="H73" s="749"/>
      <c r="J73" s="715">
        <v>7.9649999999999999E-2</v>
      </c>
      <c r="K73" s="735">
        <v>1</v>
      </c>
      <c r="L73" s="715">
        <f>IF(M73=1,J73,0)</f>
        <v>0</v>
      </c>
      <c r="M73" s="735"/>
      <c r="N73" s="726"/>
      <c r="O73" s="749"/>
      <c r="Q73" s="386" t="s">
        <v>29</v>
      </c>
      <c r="R73" s="386" t="s">
        <v>1487</v>
      </c>
      <c r="S73" s="386" t="s">
        <v>1488</v>
      </c>
      <c r="T73" s="386" t="s">
        <v>1489</v>
      </c>
      <c r="U73" s="386"/>
      <c r="V73" s="386"/>
      <c r="X73" s="749"/>
    </row>
    <row r="74" spans="1:24" hidden="1" outlineLevel="3">
      <c r="A74" s="386"/>
      <c r="B74" s="832" t="s">
        <v>1409</v>
      </c>
      <c r="C74" s="833" t="s">
        <v>1468</v>
      </c>
      <c r="D74" s="757"/>
      <c r="E74" s="834" t="s">
        <v>1469</v>
      </c>
      <c r="F74" s="386"/>
      <c r="G74" s="726"/>
      <c r="H74" s="749"/>
      <c r="J74" s="715"/>
      <c r="K74" s="735"/>
      <c r="L74" s="715"/>
      <c r="M74" s="735"/>
      <c r="N74" s="726"/>
      <c r="O74" s="749"/>
      <c r="Q74" s="386"/>
      <c r="R74" s="386"/>
      <c r="S74" s="386"/>
      <c r="T74" s="386"/>
      <c r="U74" s="386"/>
      <c r="V74" s="386"/>
      <c r="X74" s="749"/>
    </row>
    <row r="75" spans="1:24" hidden="1" outlineLevel="3">
      <c r="A75" s="386"/>
      <c r="B75" s="832" t="s">
        <v>1412</v>
      </c>
      <c r="C75" s="833" t="s">
        <v>1468</v>
      </c>
      <c r="D75" s="757"/>
      <c r="E75" s="834" t="s">
        <v>1470</v>
      </c>
      <c r="F75" s="386"/>
      <c r="G75" s="726"/>
      <c r="H75" s="749"/>
      <c r="J75" s="715"/>
      <c r="K75" s="735"/>
      <c r="L75" s="715"/>
      <c r="M75" s="735"/>
      <c r="N75" s="726"/>
      <c r="O75" s="749"/>
      <c r="Q75" s="386"/>
      <c r="R75" s="386"/>
      <c r="S75" s="386"/>
      <c r="T75" s="386"/>
      <c r="U75" s="386"/>
      <c r="V75" s="386"/>
      <c r="X75" s="749"/>
    </row>
    <row r="76" spans="1:24" ht="13.9" hidden="1" customHeight="1" outlineLevel="2" collapsed="1">
      <c r="A76" s="386"/>
      <c r="B76" s="386" t="s">
        <v>319</v>
      </c>
      <c r="C76" s="714" t="s">
        <v>1457</v>
      </c>
      <c r="D76" s="757">
        <v>46380</v>
      </c>
      <c r="E76" s="754" t="s">
        <v>29</v>
      </c>
      <c r="F76" s="386"/>
      <c r="G76" s="726"/>
      <c r="H76" s="749"/>
      <c r="J76" s="715">
        <v>5.1063974703278291E-3</v>
      </c>
      <c r="K76" s="735">
        <v>1</v>
      </c>
      <c r="L76" s="715">
        <f>IF(M76=1,J76,0)</f>
        <v>0</v>
      </c>
      <c r="M76" s="735"/>
      <c r="N76" s="726"/>
      <c r="O76" s="749"/>
      <c r="Q76" s="386" t="s">
        <v>29</v>
      </c>
      <c r="R76" s="386" t="s">
        <v>1487</v>
      </c>
      <c r="S76" s="386" t="s">
        <v>1488</v>
      </c>
      <c r="T76" s="386" t="s">
        <v>1489</v>
      </c>
      <c r="U76" s="386"/>
      <c r="V76" s="386"/>
      <c r="X76" s="749"/>
    </row>
    <row r="77" spans="1:24" hidden="1" outlineLevel="3">
      <c r="A77" s="386"/>
      <c r="B77" s="832" t="s">
        <v>1409</v>
      </c>
      <c r="C77" s="833" t="s">
        <v>1468</v>
      </c>
      <c r="D77" s="757"/>
      <c r="E77" s="834" t="s">
        <v>1469</v>
      </c>
      <c r="F77" s="386"/>
      <c r="G77" s="726"/>
      <c r="H77" s="749"/>
      <c r="J77" s="715"/>
      <c r="K77" s="735"/>
      <c r="L77" s="715"/>
      <c r="M77" s="735"/>
      <c r="N77" s="726"/>
      <c r="O77" s="749"/>
      <c r="Q77" s="386"/>
      <c r="R77" s="386"/>
      <c r="S77" s="386"/>
      <c r="T77" s="386"/>
      <c r="U77" s="386"/>
      <c r="V77" s="386"/>
      <c r="X77" s="749"/>
    </row>
    <row r="78" spans="1:24" hidden="1" outlineLevel="3">
      <c r="A78" s="386"/>
      <c r="B78" s="832" t="s">
        <v>1412</v>
      </c>
      <c r="C78" s="833" t="s">
        <v>1468</v>
      </c>
      <c r="D78" s="757"/>
      <c r="E78" s="834" t="s">
        <v>1470</v>
      </c>
      <c r="F78" s="386"/>
      <c r="G78" s="726"/>
      <c r="H78" s="749"/>
      <c r="J78" s="715"/>
      <c r="K78" s="735"/>
      <c r="L78" s="715"/>
      <c r="M78" s="735"/>
      <c r="N78" s="726"/>
      <c r="O78" s="749"/>
      <c r="Q78" s="386"/>
      <c r="R78" s="386"/>
      <c r="S78" s="386"/>
      <c r="T78" s="386"/>
      <c r="U78" s="386"/>
      <c r="V78" s="386"/>
      <c r="X78" s="749"/>
    </row>
    <row r="79" spans="1:24" hidden="1" outlineLevel="2" collapsed="1">
      <c r="A79" s="386"/>
      <c r="B79" s="386" t="s">
        <v>319</v>
      </c>
      <c r="C79" s="714" t="s">
        <v>1476</v>
      </c>
      <c r="D79" s="757">
        <v>46295</v>
      </c>
      <c r="E79" s="754" t="s">
        <v>29</v>
      </c>
      <c r="F79" s="386"/>
      <c r="G79" s="726"/>
      <c r="H79" s="749"/>
      <c r="J79" s="715">
        <v>3.9824999999999999E-2</v>
      </c>
      <c r="K79" s="735">
        <v>1</v>
      </c>
      <c r="L79" s="715">
        <f>IF(M79=1,J79,0)</f>
        <v>0</v>
      </c>
      <c r="M79" s="735"/>
      <c r="N79" s="726"/>
      <c r="O79" s="749"/>
      <c r="Q79" s="386" t="s">
        <v>29</v>
      </c>
      <c r="R79" s="386" t="s">
        <v>1487</v>
      </c>
      <c r="S79" s="386" t="s">
        <v>1488</v>
      </c>
      <c r="T79" s="386" t="s">
        <v>1489</v>
      </c>
      <c r="U79" s="386"/>
      <c r="V79" s="386"/>
      <c r="X79" s="749"/>
    </row>
    <row r="80" spans="1:24" hidden="1" outlineLevel="3">
      <c r="A80" s="386"/>
      <c r="B80" s="832" t="s">
        <v>1409</v>
      </c>
      <c r="C80" s="833" t="s">
        <v>1468</v>
      </c>
      <c r="D80" s="757"/>
      <c r="E80" s="834" t="s">
        <v>1469</v>
      </c>
      <c r="F80" s="386"/>
      <c r="G80" s="726"/>
      <c r="H80" s="749"/>
      <c r="J80" s="715"/>
      <c r="K80" s="735"/>
      <c r="L80" s="715"/>
      <c r="M80" s="735"/>
      <c r="N80" s="726"/>
      <c r="O80" s="749"/>
      <c r="Q80" s="386"/>
      <c r="R80" s="386"/>
      <c r="S80" s="386"/>
      <c r="T80" s="386"/>
      <c r="U80" s="386"/>
      <c r="V80" s="386"/>
      <c r="X80" s="749"/>
    </row>
    <row r="81" spans="1:24" hidden="1" outlineLevel="3">
      <c r="A81" s="386"/>
      <c r="B81" s="832" t="s">
        <v>1412</v>
      </c>
      <c r="C81" s="833" t="s">
        <v>1468</v>
      </c>
      <c r="D81" s="757"/>
      <c r="E81" s="834" t="s">
        <v>1470</v>
      </c>
      <c r="F81" s="386"/>
      <c r="G81" s="726"/>
      <c r="H81" s="749"/>
      <c r="J81" s="715"/>
      <c r="K81" s="735"/>
      <c r="L81" s="715"/>
      <c r="M81" s="735"/>
      <c r="N81" s="726"/>
      <c r="O81" s="749"/>
      <c r="Q81" s="386"/>
      <c r="R81" s="386"/>
      <c r="S81" s="386"/>
      <c r="T81" s="386"/>
      <c r="U81" s="386"/>
      <c r="V81" s="386"/>
      <c r="X81" s="749"/>
    </row>
    <row r="82" spans="1:24" s="746" customFormat="1" outlineLevel="1">
      <c r="A82" s="396"/>
      <c r="B82" s="731" t="s">
        <v>64</v>
      </c>
      <c r="C82" s="732" t="s">
        <v>1476</v>
      </c>
      <c r="D82" s="756"/>
      <c r="E82" s="756"/>
      <c r="F82" s="731"/>
      <c r="H82" s="751"/>
      <c r="J82" s="743">
        <f>SUBTOTAL(9,J83:J87)</f>
        <v>8.9100000000000013E-2</v>
      </c>
      <c r="K82" s="744">
        <f>SUBTOTAL(9,K83:K87)</f>
        <v>3</v>
      </c>
      <c r="L82" s="743">
        <f>SUBTOTAL(9,L83:L87)</f>
        <v>0</v>
      </c>
      <c r="M82" s="744">
        <f>SUBTOTAL(9,M83:M87)</f>
        <v>0</v>
      </c>
      <c r="N82" s="745"/>
      <c r="O82" s="751"/>
      <c r="Q82" s="731"/>
      <c r="R82" s="731"/>
      <c r="S82" s="731"/>
      <c r="T82" s="731"/>
      <c r="U82" s="731"/>
      <c r="V82" s="731"/>
      <c r="W82" s="745"/>
      <c r="X82" s="751"/>
    </row>
    <row r="83" spans="1:24" outlineLevel="2">
      <c r="A83" s="386"/>
      <c r="B83" s="386" t="s">
        <v>319</v>
      </c>
      <c r="C83" s="728" t="s">
        <v>279</v>
      </c>
      <c r="D83" s="757">
        <v>46329</v>
      </c>
      <c r="E83" s="761" t="s">
        <v>29</v>
      </c>
      <c r="F83" s="386"/>
      <c r="G83" s="726"/>
      <c r="H83" s="749"/>
      <c r="J83" s="715">
        <v>4.4550000000000006E-2</v>
      </c>
      <c r="K83" s="735">
        <v>1</v>
      </c>
      <c r="L83" s="715">
        <f>IF(M83=1,J83,0)</f>
        <v>0</v>
      </c>
      <c r="M83" s="735"/>
      <c r="N83" s="726"/>
      <c r="O83" s="749"/>
      <c r="Q83" s="386" t="s">
        <v>29</v>
      </c>
      <c r="R83" s="386" t="s">
        <v>1419</v>
      </c>
      <c r="S83" s="386" t="s">
        <v>1490</v>
      </c>
      <c r="T83" s="386" t="s">
        <v>1491</v>
      </c>
      <c r="U83" s="386"/>
      <c r="V83" s="386"/>
      <c r="X83" s="749"/>
    </row>
    <row r="84" spans="1:24" ht="13.5" outlineLevel="3">
      <c r="A84" s="386"/>
      <c r="B84" s="832" t="s">
        <v>1409</v>
      </c>
      <c r="C84" s="833" t="s">
        <v>841</v>
      </c>
      <c r="D84" s="757"/>
      <c r="E84" s="834" t="s">
        <v>1492</v>
      </c>
      <c r="F84" s="386"/>
      <c r="G84" s="726"/>
      <c r="H84" s="749"/>
      <c r="J84" s="715"/>
      <c r="K84" s="735"/>
      <c r="L84" s="715"/>
      <c r="M84" s="735"/>
      <c r="N84" s="726"/>
      <c r="O84" s="749"/>
      <c r="Q84" s="386"/>
      <c r="R84" s="386"/>
      <c r="S84" s="386"/>
      <c r="T84" s="386"/>
      <c r="U84" s="386"/>
      <c r="V84" s="386"/>
      <c r="X84" s="749"/>
    </row>
    <row r="85" spans="1:24" outlineLevel="2">
      <c r="A85" s="386"/>
      <c r="B85" s="386" t="s">
        <v>319</v>
      </c>
      <c r="C85" s="714" t="s">
        <v>1475</v>
      </c>
      <c r="D85" s="757">
        <v>46365</v>
      </c>
      <c r="E85" s="754" t="s">
        <v>29</v>
      </c>
      <c r="F85" s="386"/>
      <c r="G85" s="726"/>
      <c r="H85" s="749"/>
      <c r="J85" s="715">
        <v>2.2275000000000003E-2</v>
      </c>
      <c r="K85" s="735">
        <v>1</v>
      </c>
      <c r="L85" s="715">
        <f>IF(M85=1,J85,0)</f>
        <v>0</v>
      </c>
      <c r="M85" s="735"/>
      <c r="N85" s="726"/>
      <c r="O85" s="749"/>
      <c r="Q85" s="386" t="s">
        <v>29</v>
      </c>
      <c r="R85" s="386" t="s">
        <v>1419</v>
      </c>
      <c r="S85" s="386" t="s">
        <v>1490</v>
      </c>
      <c r="T85" s="386" t="s">
        <v>1491</v>
      </c>
      <c r="U85" s="386"/>
      <c r="V85" s="386"/>
      <c r="X85" s="749"/>
    </row>
    <row r="86" spans="1:24" ht="13.5" outlineLevel="3">
      <c r="A86" s="386"/>
      <c r="B86" s="832" t="s">
        <v>1409</v>
      </c>
      <c r="C86" s="833" t="s">
        <v>1493</v>
      </c>
      <c r="D86" s="757"/>
      <c r="E86" s="834" t="s">
        <v>1492</v>
      </c>
      <c r="F86" s="386"/>
      <c r="G86" s="726"/>
      <c r="H86" s="749"/>
      <c r="J86" s="715"/>
      <c r="K86" s="735"/>
      <c r="L86" s="715"/>
      <c r="M86" s="735"/>
      <c r="N86" s="726"/>
      <c r="O86" s="749"/>
      <c r="Q86" s="386"/>
      <c r="R86" s="386"/>
      <c r="S86" s="386"/>
      <c r="T86" s="386"/>
      <c r="U86" s="386"/>
      <c r="V86" s="386"/>
      <c r="X86" s="749"/>
    </row>
    <row r="87" spans="1:24" ht="13.5" outlineLevel="2">
      <c r="A87" s="386"/>
      <c r="B87" s="386" t="s">
        <v>319</v>
      </c>
      <c r="C87" s="714" t="s">
        <v>1476</v>
      </c>
      <c r="D87" s="757">
        <v>46295</v>
      </c>
      <c r="E87" s="754" t="s">
        <v>29</v>
      </c>
      <c r="F87" s="386"/>
      <c r="G87" s="726"/>
      <c r="H87" s="749"/>
      <c r="J87" s="715">
        <v>2.2275000000000003E-2</v>
      </c>
      <c r="K87" s="735">
        <v>1</v>
      </c>
      <c r="L87" s="715">
        <f>IF(M87=1,J87,0)</f>
        <v>0</v>
      </c>
      <c r="M87" s="735"/>
      <c r="N87" s="726"/>
      <c r="O87" s="749"/>
      <c r="Q87" s="386" t="s">
        <v>29</v>
      </c>
      <c r="R87" s="386" t="s">
        <v>1419</v>
      </c>
      <c r="S87" s="386" t="s">
        <v>1490</v>
      </c>
      <c r="T87" s="386" t="s">
        <v>1491</v>
      </c>
      <c r="U87" s="386"/>
      <c r="V87" s="386"/>
      <c r="X87" s="749"/>
    </row>
    <row r="88" spans="1:24" ht="13.5" outlineLevel="3">
      <c r="A88" s="386"/>
      <c r="B88" s="832" t="s">
        <v>1409</v>
      </c>
      <c r="C88" s="833" t="s">
        <v>354</v>
      </c>
      <c r="D88" s="757"/>
      <c r="E88" s="834" t="s">
        <v>1492</v>
      </c>
      <c r="F88" s="386"/>
      <c r="G88" s="726"/>
      <c r="H88" s="749"/>
      <c r="J88" s="715"/>
      <c r="K88" s="735"/>
      <c r="L88" s="715"/>
      <c r="M88" s="735"/>
      <c r="N88" s="726"/>
      <c r="O88" s="749"/>
      <c r="Q88" s="386"/>
      <c r="R88" s="386"/>
      <c r="S88" s="386"/>
      <c r="T88" s="386"/>
      <c r="U88" s="386"/>
      <c r="V88" s="386"/>
      <c r="X88" s="749"/>
    </row>
    <row r="89" spans="1:24" s="746" customFormat="1" outlineLevel="1" collapsed="1">
      <c r="A89" s="396"/>
      <c r="B89" s="731" t="s">
        <v>1494</v>
      </c>
      <c r="C89" s="732" t="s">
        <v>1494</v>
      </c>
      <c r="D89" s="756"/>
      <c r="E89" s="756"/>
      <c r="F89" s="731"/>
      <c r="H89" s="751"/>
      <c r="J89" s="743"/>
      <c r="K89" s="744">
        <f>SUBTOTAL(9,K90:K96)</f>
        <v>3</v>
      </c>
      <c r="L89" s="743"/>
      <c r="M89" s="744">
        <f>SUBTOTAL(9,M90:M96)</f>
        <v>0</v>
      </c>
      <c r="N89" s="745"/>
      <c r="O89" s="751"/>
      <c r="Q89" s="731"/>
      <c r="R89" s="731"/>
      <c r="S89" s="731"/>
      <c r="T89" s="731"/>
      <c r="U89" s="731"/>
      <c r="V89" s="731"/>
      <c r="W89" s="745"/>
      <c r="X89" s="751"/>
    </row>
    <row r="90" spans="1:24" hidden="1" outlineLevel="2" collapsed="1">
      <c r="A90" s="386"/>
      <c r="B90" s="386" t="s">
        <v>319</v>
      </c>
      <c r="C90" s="742" t="s">
        <v>1495</v>
      </c>
      <c r="D90" s="757">
        <v>46295</v>
      </c>
      <c r="E90" s="759" t="s">
        <v>311</v>
      </c>
      <c r="F90" s="386"/>
      <c r="G90" s="726"/>
      <c r="H90" s="749"/>
      <c r="J90" s="715"/>
      <c r="K90" s="753">
        <v>1</v>
      </c>
      <c r="L90" s="715"/>
      <c r="M90" s="747"/>
      <c r="N90" s="726"/>
      <c r="O90" s="749"/>
      <c r="Q90" s="386" t="s">
        <v>311</v>
      </c>
      <c r="R90" s="386"/>
      <c r="S90" s="386"/>
      <c r="T90" s="386"/>
      <c r="U90" s="386"/>
      <c r="V90" s="386"/>
      <c r="X90" s="749"/>
    </row>
    <row r="91" spans="1:24" hidden="1" outlineLevel="3">
      <c r="A91" s="386"/>
      <c r="B91" s="832" t="s">
        <v>1409</v>
      </c>
      <c r="C91" s="833" t="s">
        <v>1468</v>
      </c>
      <c r="D91" s="757"/>
      <c r="E91" s="834" t="s">
        <v>1469</v>
      </c>
      <c r="F91" s="386"/>
      <c r="G91" s="726"/>
      <c r="H91" s="749"/>
      <c r="J91" s="715"/>
      <c r="K91" s="735"/>
      <c r="L91" s="715"/>
      <c r="M91" s="735"/>
      <c r="N91" s="726"/>
      <c r="O91" s="749"/>
      <c r="Q91" s="386"/>
      <c r="R91" s="386"/>
      <c r="S91" s="386"/>
      <c r="T91" s="386"/>
      <c r="U91" s="386"/>
      <c r="V91" s="386"/>
      <c r="X91" s="749"/>
    </row>
    <row r="92" spans="1:24" hidden="1" outlineLevel="3">
      <c r="A92" s="386"/>
      <c r="B92" s="832" t="s">
        <v>1412</v>
      </c>
      <c r="C92" s="833" t="s">
        <v>1468</v>
      </c>
      <c r="D92" s="757"/>
      <c r="E92" s="834" t="s">
        <v>1470</v>
      </c>
      <c r="F92" s="386"/>
      <c r="G92" s="726"/>
      <c r="H92" s="749"/>
      <c r="J92" s="715"/>
      <c r="K92" s="735"/>
      <c r="L92" s="715"/>
      <c r="M92" s="735"/>
      <c r="N92" s="726"/>
      <c r="O92" s="749"/>
      <c r="Q92" s="386"/>
      <c r="R92" s="386"/>
      <c r="S92" s="386"/>
      <c r="T92" s="386"/>
      <c r="U92" s="386"/>
      <c r="V92" s="386"/>
      <c r="X92" s="749"/>
    </row>
    <row r="93" spans="1:24" hidden="1" outlineLevel="2" collapsed="1">
      <c r="A93" s="386"/>
      <c r="B93" s="386" t="s">
        <v>319</v>
      </c>
      <c r="C93" s="742" t="s">
        <v>1496</v>
      </c>
      <c r="D93" s="757">
        <v>46326</v>
      </c>
      <c r="E93" s="759" t="s">
        <v>311</v>
      </c>
      <c r="F93" s="386"/>
      <c r="G93" s="726"/>
      <c r="H93" s="749"/>
      <c r="J93" s="715"/>
      <c r="K93" s="753">
        <v>1</v>
      </c>
      <c r="L93" s="715"/>
      <c r="M93" s="747"/>
      <c r="N93" s="726"/>
      <c r="O93" s="749"/>
      <c r="Q93" s="386" t="s">
        <v>311</v>
      </c>
      <c r="R93" s="386"/>
      <c r="S93" s="386"/>
      <c r="T93" s="386"/>
      <c r="U93" s="386"/>
      <c r="V93" s="386"/>
      <c r="X93" s="749"/>
    </row>
    <row r="94" spans="1:24" hidden="1" outlineLevel="3">
      <c r="A94" s="386"/>
      <c r="B94" s="832" t="s">
        <v>1409</v>
      </c>
      <c r="C94" s="833" t="s">
        <v>1468</v>
      </c>
      <c r="D94" s="757"/>
      <c r="E94" s="834" t="s">
        <v>1469</v>
      </c>
      <c r="F94" s="386"/>
      <c r="G94" s="726"/>
      <c r="H94" s="749"/>
      <c r="J94" s="715"/>
      <c r="K94" s="735"/>
      <c r="L94" s="715"/>
      <c r="M94" s="735"/>
      <c r="N94" s="726"/>
      <c r="O94" s="749"/>
      <c r="Q94" s="386"/>
      <c r="R94" s="386"/>
      <c r="S94" s="386"/>
      <c r="T94" s="386"/>
      <c r="U94" s="386"/>
      <c r="V94" s="386"/>
      <c r="X94" s="749"/>
    </row>
    <row r="95" spans="1:24" hidden="1" outlineLevel="3">
      <c r="A95" s="386"/>
      <c r="B95" s="832" t="s">
        <v>1412</v>
      </c>
      <c r="C95" s="833" t="s">
        <v>1468</v>
      </c>
      <c r="D95" s="757"/>
      <c r="E95" s="834" t="s">
        <v>1470</v>
      </c>
      <c r="F95" s="386"/>
      <c r="G95" s="726"/>
      <c r="H95" s="749"/>
      <c r="J95" s="715"/>
      <c r="K95" s="735"/>
      <c r="L95" s="715"/>
      <c r="M95" s="735"/>
      <c r="N95" s="726"/>
      <c r="O95" s="749"/>
      <c r="Q95" s="386"/>
      <c r="R95" s="386"/>
      <c r="S95" s="386"/>
      <c r="T95" s="386"/>
      <c r="U95" s="386"/>
      <c r="V95" s="386"/>
      <c r="X95" s="749"/>
    </row>
    <row r="96" spans="1:24" hidden="1" outlineLevel="2" collapsed="1">
      <c r="A96" s="386"/>
      <c r="B96" s="386" t="s">
        <v>319</v>
      </c>
      <c r="C96" s="742" t="s">
        <v>1497</v>
      </c>
      <c r="D96" s="757">
        <v>46326</v>
      </c>
      <c r="E96" s="759" t="s">
        <v>311</v>
      </c>
      <c r="F96" s="386"/>
      <c r="G96" s="726"/>
      <c r="H96" s="749"/>
      <c r="J96" s="715"/>
      <c r="K96" s="753">
        <v>1</v>
      </c>
      <c r="L96" s="715"/>
      <c r="M96" s="747"/>
      <c r="N96" s="726"/>
      <c r="O96" s="749"/>
      <c r="Q96" s="386" t="s">
        <v>311</v>
      </c>
      <c r="R96" s="386"/>
      <c r="S96" s="386"/>
      <c r="T96" s="386"/>
      <c r="U96" s="386"/>
      <c r="V96" s="386"/>
      <c r="X96" s="749"/>
    </row>
    <row r="97" spans="1:24" hidden="1" outlineLevel="3">
      <c r="A97" s="386"/>
      <c r="B97" s="832" t="s">
        <v>1409</v>
      </c>
      <c r="C97" s="833" t="s">
        <v>1468</v>
      </c>
      <c r="D97" s="757"/>
      <c r="E97" s="834" t="s">
        <v>1469</v>
      </c>
      <c r="F97" s="386"/>
      <c r="G97" s="726"/>
      <c r="H97" s="749"/>
      <c r="J97" s="715"/>
      <c r="K97" s="735"/>
      <c r="L97" s="715"/>
      <c r="M97" s="735"/>
      <c r="N97" s="726"/>
      <c r="O97" s="749"/>
      <c r="Q97" s="386"/>
      <c r="R97" s="386"/>
      <c r="S97" s="386"/>
      <c r="T97" s="386"/>
      <c r="U97" s="386"/>
      <c r="V97" s="386"/>
      <c r="X97" s="749"/>
    </row>
    <row r="98" spans="1:24" hidden="1" outlineLevel="3">
      <c r="A98" s="386"/>
      <c r="B98" s="832" t="s">
        <v>1412</v>
      </c>
      <c r="C98" s="833" t="s">
        <v>1468</v>
      </c>
      <c r="D98" s="757"/>
      <c r="E98" s="834" t="s">
        <v>1470</v>
      </c>
      <c r="F98" s="386"/>
      <c r="G98" s="726"/>
      <c r="H98" s="749"/>
      <c r="J98" s="715"/>
      <c r="K98" s="735"/>
      <c r="L98" s="715"/>
      <c r="M98" s="735"/>
      <c r="N98" s="726"/>
      <c r="O98" s="749"/>
      <c r="Q98" s="386"/>
      <c r="R98" s="386"/>
      <c r="S98" s="386"/>
      <c r="T98" s="386"/>
      <c r="U98" s="386"/>
      <c r="V98" s="386"/>
      <c r="X98" s="749"/>
    </row>
    <row r="99" spans="1:24" s="746" customFormat="1" outlineLevel="1" collapsed="1">
      <c r="A99" s="396"/>
      <c r="B99" s="731" t="s">
        <v>1498</v>
      </c>
      <c r="C99" s="732" t="s">
        <v>1498</v>
      </c>
      <c r="D99" s="756"/>
      <c r="E99" s="756"/>
      <c r="F99" s="731"/>
      <c r="H99" s="751"/>
      <c r="J99" s="743"/>
      <c r="K99" s="744">
        <v>2</v>
      </c>
      <c r="L99" s="743"/>
      <c r="M99" s="744">
        <f>SUBTOTAL(9,M100:M106)</f>
        <v>0</v>
      </c>
      <c r="N99" s="745"/>
      <c r="O99" s="751"/>
      <c r="Q99" s="731"/>
      <c r="R99" s="731"/>
      <c r="S99" s="731"/>
      <c r="T99" s="731"/>
      <c r="U99" s="731"/>
      <c r="V99" s="731"/>
      <c r="W99" s="745"/>
      <c r="X99" s="751"/>
    </row>
    <row r="100" spans="1:24" hidden="1" outlineLevel="2" collapsed="1">
      <c r="A100" s="386"/>
      <c r="B100" s="386" t="s">
        <v>319</v>
      </c>
      <c r="C100" s="742" t="s">
        <v>1495</v>
      </c>
      <c r="D100" s="757">
        <v>46295</v>
      </c>
      <c r="E100" s="759" t="s">
        <v>311</v>
      </c>
      <c r="F100" s="747"/>
      <c r="G100" s="726"/>
      <c r="H100" s="749"/>
      <c r="J100" s="715"/>
      <c r="K100" s="753">
        <v>1</v>
      </c>
      <c r="N100" s="726"/>
      <c r="O100" s="749"/>
      <c r="Q100" s="386" t="s">
        <v>311</v>
      </c>
      <c r="R100" s="386"/>
      <c r="S100" s="386"/>
      <c r="T100" s="386"/>
      <c r="V100" s="715"/>
      <c r="X100" s="749"/>
    </row>
    <row r="101" spans="1:24" hidden="1" outlineLevel="3">
      <c r="A101" s="386"/>
      <c r="B101" s="832" t="s">
        <v>1409</v>
      </c>
      <c r="C101" s="833" t="s">
        <v>1468</v>
      </c>
      <c r="D101" s="757"/>
      <c r="E101" s="834" t="s">
        <v>1469</v>
      </c>
      <c r="F101" s="386"/>
      <c r="G101" s="726"/>
      <c r="H101" s="749"/>
      <c r="J101" s="715"/>
      <c r="K101" s="735"/>
      <c r="L101" s="715"/>
      <c r="M101" s="735"/>
      <c r="N101" s="726"/>
      <c r="O101" s="749"/>
      <c r="Q101" s="386"/>
      <c r="R101" s="386"/>
      <c r="S101" s="386"/>
      <c r="T101" s="386"/>
      <c r="U101" s="386"/>
      <c r="V101" s="386"/>
      <c r="X101" s="749"/>
    </row>
    <row r="102" spans="1:24" hidden="1" outlineLevel="3">
      <c r="A102" s="386"/>
      <c r="B102" s="832" t="s">
        <v>1412</v>
      </c>
      <c r="C102" s="833" t="s">
        <v>1468</v>
      </c>
      <c r="D102" s="757"/>
      <c r="E102" s="834" t="s">
        <v>1470</v>
      </c>
      <c r="F102" s="386"/>
      <c r="G102" s="726"/>
      <c r="H102" s="749"/>
      <c r="J102" s="715"/>
      <c r="K102" s="735"/>
      <c r="L102" s="715"/>
      <c r="M102" s="735"/>
      <c r="N102" s="726"/>
      <c r="O102" s="749"/>
      <c r="Q102" s="386"/>
      <c r="R102" s="386"/>
      <c r="S102" s="386"/>
      <c r="T102" s="386"/>
      <c r="U102" s="386"/>
      <c r="V102" s="386"/>
      <c r="X102" s="749"/>
    </row>
    <row r="103" spans="1:24" hidden="1" outlineLevel="2" collapsed="1">
      <c r="A103" s="386"/>
      <c r="B103" s="386" t="s">
        <v>319</v>
      </c>
      <c r="C103" s="742" t="s">
        <v>1496</v>
      </c>
      <c r="D103" s="757">
        <v>46326</v>
      </c>
      <c r="E103" s="759" t="s">
        <v>311</v>
      </c>
      <c r="F103" s="747"/>
      <c r="G103" s="726"/>
      <c r="H103" s="749"/>
      <c r="J103" s="715"/>
      <c r="K103" s="753">
        <v>1</v>
      </c>
      <c r="N103" s="726"/>
      <c r="O103" s="749"/>
      <c r="Q103" s="386" t="s">
        <v>311</v>
      </c>
      <c r="R103" s="386"/>
      <c r="S103" s="386"/>
      <c r="T103" s="386"/>
      <c r="V103" s="715"/>
      <c r="X103" s="749"/>
    </row>
    <row r="104" spans="1:24" hidden="1" outlineLevel="3">
      <c r="A104" s="386"/>
      <c r="B104" s="832" t="s">
        <v>1409</v>
      </c>
      <c r="C104" s="833" t="s">
        <v>1468</v>
      </c>
      <c r="D104" s="757"/>
      <c r="E104" s="834" t="s">
        <v>1469</v>
      </c>
      <c r="F104" s="386"/>
      <c r="G104" s="726"/>
      <c r="H104" s="749"/>
      <c r="J104" s="715"/>
      <c r="K104" s="735"/>
      <c r="L104" s="715"/>
      <c r="M104" s="735"/>
      <c r="N104" s="726"/>
      <c r="O104" s="749"/>
      <c r="Q104" s="386"/>
      <c r="R104" s="386"/>
      <c r="S104" s="386"/>
      <c r="T104" s="386"/>
      <c r="U104" s="386"/>
      <c r="V104" s="386"/>
      <c r="X104" s="749"/>
    </row>
    <row r="105" spans="1:24" hidden="1" outlineLevel="3">
      <c r="A105" s="386"/>
      <c r="B105" s="832" t="s">
        <v>1412</v>
      </c>
      <c r="C105" s="833" t="s">
        <v>1468</v>
      </c>
      <c r="D105" s="757"/>
      <c r="E105" s="834" t="s">
        <v>1470</v>
      </c>
      <c r="F105" s="386"/>
      <c r="G105" s="726"/>
      <c r="H105" s="749"/>
      <c r="J105" s="715"/>
      <c r="K105" s="735"/>
      <c r="L105" s="715"/>
      <c r="M105" s="735"/>
      <c r="N105" s="726"/>
      <c r="O105" s="749"/>
      <c r="Q105" s="386"/>
      <c r="R105" s="386"/>
      <c r="S105" s="386"/>
      <c r="T105" s="386"/>
      <c r="U105" s="386"/>
      <c r="V105" s="386"/>
      <c r="X105" s="749"/>
    </row>
    <row r="106" spans="1:24" hidden="1" outlineLevel="2" collapsed="1">
      <c r="A106" s="386"/>
      <c r="B106" s="386" t="s">
        <v>319</v>
      </c>
      <c r="C106" s="742" t="s">
        <v>1497</v>
      </c>
      <c r="D106" s="757">
        <v>46326</v>
      </c>
      <c r="E106" s="759" t="s">
        <v>311</v>
      </c>
      <c r="F106" s="747"/>
      <c r="G106" s="726"/>
      <c r="H106" s="749"/>
      <c r="J106" s="715"/>
      <c r="K106" s="753">
        <v>1</v>
      </c>
      <c r="N106" s="726"/>
      <c r="O106" s="749"/>
      <c r="Q106" s="386" t="s">
        <v>311</v>
      </c>
      <c r="R106" s="386"/>
      <c r="S106" s="386"/>
      <c r="T106" s="386"/>
      <c r="V106" s="715"/>
      <c r="X106" s="749"/>
    </row>
    <row r="107" spans="1:24" hidden="1" outlineLevel="3">
      <c r="A107" s="386"/>
      <c r="B107" s="832" t="s">
        <v>1409</v>
      </c>
      <c r="C107" s="833" t="s">
        <v>1468</v>
      </c>
      <c r="D107" s="757"/>
      <c r="E107" s="834" t="s">
        <v>1469</v>
      </c>
      <c r="F107" s="386"/>
      <c r="G107" s="726"/>
      <c r="H107" s="749"/>
      <c r="J107" s="715"/>
      <c r="K107" s="735"/>
      <c r="L107" s="715"/>
      <c r="M107" s="735"/>
      <c r="N107" s="726"/>
      <c r="O107" s="749"/>
      <c r="Q107" s="386"/>
      <c r="R107" s="386"/>
      <c r="S107" s="386"/>
      <c r="T107" s="386"/>
      <c r="U107" s="386"/>
      <c r="V107" s="386"/>
      <c r="X107" s="749"/>
    </row>
    <row r="108" spans="1:24" hidden="1" outlineLevel="3">
      <c r="A108" s="386"/>
      <c r="B108" s="832" t="s">
        <v>1412</v>
      </c>
      <c r="C108" s="833" t="s">
        <v>1468</v>
      </c>
      <c r="D108" s="757"/>
      <c r="E108" s="834" t="s">
        <v>1470</v>
      </c>
      <c r="F108" s="386"/>
      <c r="G108" s="726"/>
      <c r="H108" s="749"/>
      <c r="J108" s="715"/>
      <c r="K108" s="735"/>
      <c r="L108" s="715"/>
      <c r="M108" s="735"/>
      <c r="N108" s="726"/>
      <c r="O108" s="749"/>
      <c r="Q108" s="386"/>
      <c r="R108" s="386"/>
      <c r="S108" s="386"/>
      <c r="T108" s="386"/>
      <c r="U108" s="386"/>
      <c r="V108" s="386"/>
      <c r="X108" s="749"/>
    </row>
    <row r="109" spans="1:24" ht="3" customHeight="1"/>
    <row r="110" spans="1:24" ht="15">
      <c r="A110" s="386"/>
      <c r="B110" s="449" t="s">
        <v>1499</v>
      </c>
      <c r="C110" s="740" t="s">
        <v>310</v>
      </c>
      <c r="D110" s="740"/>
      <c r="E110" s="835"/>
      <c r="F110" s="449"/>
      <c r="H110" s="749"/>
      <c r="J110" s="830">
        <f>SUBTOTAL(9,J111:J148)</f>
        <v>12.768245199999997</v>
      </c>
      <c r="K110" s="831">
        <f>SUBTOTAL(9,K111:K148)</f>
        <v>13</v>
      </c>
      <c r="L110" s="830">
        <f>SUBTOTAL(9,L111:L148)</f>
        <v>0</v>
      </c>
      <c r="M110" s="823">
        <f>SUBTOTAL(9,M111:M148)</f>
        <v>0</v>
      </c>
      <c r="N110" s="726"/>
      <c r="O110" s="749"/>
      <c r="Q110" s="449"/>
      <c r="R110" s="449"/>
      <c r="S110" s="449"/>
      <c r="T110" s="449"/>
      <c r="U110" s="449"/>
      <c r="V110" s="449"/>
      <c r="W110" s="726"/>
      <c r="X110" s="749"/>
    </row>
    <row r="111" spans="1:24" s="825" customFormat="1" outlineLevel="1" collapsed="1">
      <c r="A111" s="523"/>
      <c r="B111" s="824" t="s">
        <v>18</v>
      </c>
      <c r="C111" s="732" t="s">
        <v>280</v>
      </c>
      <c r="D111" s="732"/>
      <c r="E111" s="836"/>
      <c r="F111" s="824"/>
      <c r="H111" s="826"/>
      <c r="J111" s="827">
        <f>SUBTOTAL(9,J112:J124)</f>
        <v>8.4362499999999994</v>
      </c>
      <c r="K111" s="828">
        <f>SUBTOTAL(9,K112:K124)</f>
        <v>5</v>
      </c>
      <c r="L111" s="827">
        <f>SUBTOTAL(9,L112:L124)</f>
        <v>0</v>
      </c>
      <c r="M111" s="828">
        <f>SUBTOTAL(9,M112:M124)</f>
        <v>0</v>
      </c>
      <c r="N111" s="829"/>
      <c r="O111" s="826"/>
      <c r="Q111" s="824"/>
      <c r="R111" s="824" t="s">
        <v>1500</v>
      </c>
      <c r="S111" s="824"/>
      <c r="T111" s="824"/>
      <c r="U111" s="824"/>
      <c r="V111" s="824"/>
      <c r="W111" s="829"/>
      <c r="X111" s="826"/>
    </row>
    <row r="112" spans="1:24" hidden="1" outlineLevel="2" collapsed="1">
      <c r="A112" s="386"/>
      <c r="B112" s="386" t="s">
        <v>1501</v>
      </c>
      <c r="C112" s="714" t="s">
        <v>1502</v>
      </c>
      <c r="D112" s="757">
        <v>46363</v>
      </c>
      <c r="E112" s="624" t="s">
        <v>72</v>
      </c>
      <c r="F112" s="386"/>
      <c r="H112" s="749"/>
      <c r="J112" s="715">
        <v>3.3116500000000002</v>
      </c>
      <c r="K112" s="735">
        <v>1</v>
      </c>
      <c r="L112" s="715">
        <f>IF(M112=1,J112,0)</f>
        <v>0</v>
      </c>
      <c r="M112" s="735"/>
      <c r="N112" s="726"/>
      <c r="O112" s="749"/>
      <c r="Q112" s="386" t="s">
        <v>72</v>
      </c>
      <c r="R112" s="386" t="s">
        <v>1503</v>
      </c>
      <c r="S112" s="386" t="s">
        <v>1408</v>
      </c>
      <c r="T112" s="386"/>
      <c r="U112" s="386"/>
      <c r="V112" s="386"/>
      <c r="W112" s="726"/>
      <c r="X112" s="749"/>
    </row>
    <row r="113" spans="1:24" ht="13.5" hidden="1" outlineLevel="3">
      <c r="A113" s="386"/>
      <c r="B113" s="832" t="s">
        <v>1409</v>
      </c>
      <c r="C113" s="833" t="s">
        <v>1504</v>
      </c>
      <c r="D113" s="757"/>
      <c r="E113" s="834" t="s">
        <v>1469</v>
      </c>
      <c r="F113" s="386" t="s">
        <v>1505</v>
      </c>
      <c r="G113" s="726"/>
      <c r="H113" s="749"/>
      <c r="J113" s="715"/>
      <c r="K113" s="735"/>
      <c r="L113" s="715"/>
      <c r="M113" s="735"/>
      <c r="N113" s="726"/>
      <c r="O113" s="749"/>
      <c r="Q113" s="386"/>
      <c r="R113" s="386"/>
      <c r="S113" s="386"/>
      <c r="T113" s="386"/>
      <c r="U113" s="386"/>
      <c r="V113" s="386"/>
      <c r="X113" s="749"/>
    </row>
    <row r="114" spans="1:24" hidden="1" outlineLevel="3">
      <c r="A114" s="386"/>
      <c r="B114" s="832" t="s">
        <v>1412</v>
      </c>
      <c r="C114" s="833" t="s">
        <v>1468</v>
      </c>
      <c r="D114" s="757"/>
      <c r="E114" s="834" t="s">
        <v>1470</v>
      </c>
      <c r="F114" s="386"/>
      <c r="G114" s="726"/>
      <c r="H114" s="749"/>
      <c r="J114" s="715"/>
      <c r="K114" s="735"/>
      <c r="L114" s="715"/>
      <c r="M114" s="735"/>
      <c r="N114" s="726"/>
      <c r="O114" s="749"/>
      <c r="Q114" s="386"/>
      <c r="R114" s="386"/>
      <c r="S114" s="386"/>
      <c r="T114" s="386"/>
      <c r="U114" s="386"/>
      <c r="V114" s="386"/>
      <c r="X114" s="749"/>
    </row>
    <row r="115" spans="1:24" hidden="1" outlineLevel="2" collapsed="1">
      <c r="A115" s="386"/>
      <c r="B115" s="386" t="s">
        <v>1501</v>
      </c>
      <c r="C115" s="714" t="s">
        <v>33</v>
      </c>
      <c r="D115" s="757">
        <v>46372</v>
      </c>
      <c r="E115" s="624" t="s">
        <v>72</v>
      </c>
      <c r="F115" s="386"/>
      <c r="H115" s="749"/>
      <c r="J115" s="715">
        <v>1.6558250000000001</v>
      </c>
      <c r="K115" s="735">
        <v>1</v>
      </c>
      <c r="L115" s="715">
        <f>IF(M115=1,J115,0)</f>
        <v>0</v>
      </c>
      <c r="M115" s="735"/>
      <c r="N115" s="726"/>
      <c r="O115" s="749"/>
      <c r="Q115" s="386" t="s">
        <v>72</v>
      </c>
      <c r="R115" s="386" t="s">
        <v>1503</v>
      </c>
      <c r="S115" s="386" t="s">
        <v>1408</v>
      </c>
      <c r="T115" s="386"/>
      <c r="U115" s="386"/>
      <c r="V115" s="386"/>
      <c r="W115" s="726"/>
      <c r="X115" s="749"/>
    </row>
    <row r="116" spans="1:24" hidden="1" outlineLevel="3">
      <c r="A116" s="386"/>
      <c r="B116" s="832" t="s">
        <v>1409</v>
      </c>
      <c r="C116" s="833" t="s">
        <v>1468</v>
      </c>
      <c r="D116" s="757"/>
      <c r="E116" s="834" t="s">
        <v>1469</v>
      </c>
      <c r="F116" s="386"/>
      <c r="G116" s="726"/>
      <c r="H116" s="749"/>
      <c r="J116" s="715"/>
      <c r="K116" s="735"/>
      <c r="L116" s="715"/>
      <c r="M116" s="735"/>
      <c r="N116" s="726"/>
      <c r="O116" s="749"/>
      <c r="Q116" s="386"/>
      <c r="R116" s="386"/>
      <c r="S116" s="386"/>
      <c r="T116" s="386"/>
      <c r="U116" s="386"/>
      <c r="V116" s="386"/>
      <c r="X116" s="749"/>
    </row>
    <row r="117" spans="1:24" hidden="1" outlineLevel="3">
      <c r="A117" s="386"/>
      <c r="B117" s="832" t="s">
        <v>1412</v>
      </c>
      <c r="C117" s="833" t="s">
        <v>1468</v>
      </c>
      <c r="D117" s="757"/>
      <c r="E117" s="834" t="s">
        <v>1470</v>
      </c>
      <c r="F117" s="386"/>
      <c r="G117" s="726"/>
      <c r="H117" s="749"/>
      <c r="J117" s="715"/>
      <c r="K117" s="735"/>
      <c r="L117" s="715"/>
      <c r="M117" s="735"/>
      <c r="N117" s="726"/>
      <c r="O117" s="749"/>
      <c r="Q117" s="386"/>
      <c r="R117" s="386"/>
      <c r="S117" s="386"/>
      <c r="T117" s="386"/>
      <c r="U117" s="386"/>
      <c r="V117" s="386"/>
      <c r="X117" s="749"/>
    </row>
    <row r="118" spans="1:24" hidden="1" outlineLevel="2" collapsed="1">
      <c r="A118" s="386"/>
      <c r="B118" s="386" t="s">
        <v>1501</v>
      </c>
      <c r="C118" s="714" t="s">
        <v>1475</v>
      </c>
      <c r="D118" s="757">
        <v>46387</v>
      </c>
      <c r="E118" s="624" t="s">
        <v>72</v>
      </c>
      <c r="F118" s="386"/>
      <c r="H118" s="749"/>
      <c r="J118" s="715">
        <v>3.3116500000000002</v>
      </c>
      <c r="K118" s="735">
        <v>1</v>
      </c>
      <c r="L118" s="715">
        <f>IF(M118=1,J118,0)</f>
        <v>0</v>
      </c>
      <c r="M118" s="735"/>
      <c r="N118" s="726"/>
      <c r="O118" s="749"/>
      <c r="Q118" s="386" t="s">
        <v>72</v>
      </c>
      <c r="R118" s="386" t="s">
        <v>1503</v>
      </c>
      <c r="S118" s="386" t="s">
        <v>1408</v>
      </c>
      <c r="T118" s="386"/>
      <c r="U118" s="386"/>
      <c r="V118" s="386"/>
      <c r="W118" s="726"/>
      <c r="X118" s="749"/>
    </row>
    <row r="119" spans="1:24" hidden="1" outlineLevel="3">
      <c r="A119" s="386"/>
      <c r="B119" s="832" t="s">
        <v>1409</v>
      </c>
      <c r="C119" s="833" t="s">
        <v>1468</v>
      </c>
      <c r="D119" s="757"/>
      <c r="E119" s="834" t="s">
        <v>1469</v>
      </c>
      <c r="F119" s="386"/>
      <c r="G119" s="726"/>
      <c r="H119" s="749"/>
      <c r="J119" s="715"/>
      <c r="K119" s="735"/>
      <c r="L119" s="715"/>
      <c r="M119" s="735"/>
      <c r="N119" s="726"/>
      <c r="O119" s="749"/>
      <c r="Q119" s="386"/>
      <c r="R119" s="386"/>
      <c r="S119" s="386"/>
      <c r="T119" s="386"/>
      <c r="U119" s="386"/>
      <c r="V119" s="386"/>
      <c r="X119" s="749"/>
    </row>
    <row r="120" spans="1:24" hidden="1" outlineLevel="3">
      <c r="A120" s="386"/>
      <c r="B120" s="832" t="s">
        <v>1412</v>
      </c>
      <c r="C120" s="833" t="s">
        <v>1468</v>
      </c>
      <c r="D120" s="757"/>
      <c r="E120" s="834" t="s">
        <v>1470</v>
      </c>
      <c r="F120" s="386"/>
      <c r="G120" s="726"/>
      <c r="H120" s="749"/>
      <c r="J120" s="715"/>
      <c r="K120" s="735"/>
      <c r="L120" s="715"/>
      <c r="M120" s="735"/>
      <c r="N120" s="726"/>
      <c r="O120" s="749"/>
      <c r="Q120" s="386"/>
      <c r="R120" s="386"/>
      <c r="S120" s="386"/>
      <c r="T120" s="386"/>
      <c r="U120" s="386"/>
      <c r="V120" s="386"/>
      <c r="X120" s="749"/>
    </row>
    <row r="121" spans="1:24" hidden="1" outlineLevel="2" collapsed="1">
      <c r="A121" s="386"/>
      <c r="B121" s="386" t="s">
        <v>1501</v>
      </c>
      <c r="C121" s="727" t="s">
        <v>565</v>
      </c>
      <c r="D121" s="757">
        <v>46386</v>
      </c>
      <c r="E121" s="624" t="s">
        <v>204</v>
      </c>
      <c r="F121" s="386"/>
      <c r="H121" s="749"/>
      <c r="J121" s="715">
        <v>0.10475000000000001</v>
      </c>
      <c r="K121" s="735">
        <v>1</v>
      </c>
      <c r="L121" s="715">
        <f>IF(M121=1,J121,0)</f>
        <v>0</v>
      </c>
      <c r="M121" s="735"/>
      <c r="N121" s="726"/>
      <c r="O121" s="749"/>
      <c r="Q121" s="386" t="s">
        <v>204</v>
      </c>
      <c r="R121" s="386"/>
      <c r="S121" s="386"/>
      <c r="T121" s="386"/>
      <c r="U121" s="386"/>
      <c r="V121" s="386"/>
      <c r="W121" s="726"/>
      <c r="X121" s="749"/>
    </row>
    <row r="122" spans="1:24" hidden="1" outlineLevel="3">
      <c r="A122" s="386"/>
      <c r="B122" s="832" t="s">
        <v>1409</v>
      </c>
      <c r="C122" s="833" t="s">
        <v>1468</v>
      </c>
      <c r="D122" s="757"/>
      <c r="E122" s="834" t="s">
        <v>1469</v>
      </c>
      <c r="F122" s="386"/>
      <c r="G122" s="726"/>
      <c r="H122" s="749"/>
      <c r="J122" s="715"/>
      <c r="K122" s="735"/>
      <c r="L122" s="715"/>
      <c r="M122" s="735"/>
      <c r="N122" s="726"/>
      <c r="O122" s="749"/>
      <c r="Q122" s="386"/>
      <c r="R122" s="386"/>
      <c r="S122" s="386"/>
      <c r="T122" s="386"/>
      <c r="U122" s="386"/>
      <c r="V122" s="386"/>
      <c r="X122" s="749"/>
    </row>
    <row r="123" spans="1:24" hidden="1" outlineLevel="3">
      <c r="A123" s="386"/>
      <c r="B123" s="832" t="s">
        <v>1412</v>
      </c>
      <c r="C123" s="833" t="s">
        <v>1468</v>
      </c>
      <c r="D123" s="757"/>
      <c r="E123" s="834" t="s">
        <v>1470</v>
      </c>
      <c r="F123" s="386"/>
      <c r="G123" s="726"/>
      <c r="H123" s="749"/>
      <c r="J123" s="715"/>
      <c r="K123" s="735"/>
      <c r="L123" s="715"/>
      <c r="M123" s="735"/>
      <c r="N123" s="726"/>
      <c r="O123" s="749"/>
      <c r="Q123" s="386"/>
      <c r="R123" s="386"/>
      <c r="S123" s="386"/>
      <c r="T123" s="386"/>
      <c r="U123" s="386"/>
      <c r="V123" s="386"/>
      <c r="X123" s="749"/>
    </row>
    <row r="124" spans="1:24" hidden="1" outlineLevel="2" collapsed="1">
      <c r="A124" s="386"/>
      <c r="B124" s="386" t="s">
        <v>1501</v>
      </c>
      <c r="C124" s="727" t="s">
        <v>342</v>
      </c>
      <c r="D124" s="757">
        <v>46393</v>
      </c>
      <c r="E124" s="624" t="s">
        <v>204</v>
      </c>
      <c r="F124" s="386"/>
      <c r="H124" s="749"/>
      <c r="J124" s="715">
        <v>5.2375000000000005E-2</v>
      </c>
      <c r="K124" s="735">
        <v>1</v>
      </c>
      <c r="L124" s="715">
        <f>IF(M124=1,J124,0)</f>
        <v>0</v>
      </c>
      <c r="M124" s="735"/>
      <c r="N124" s="726"/>
      <c r="O124" s="749"/>
      <c r="Q124" s="386" t="s">
        <v>204</v>
      </c>
      <c r="R124" s="386"/>
      <c r="S124" s="386"/>
      <c r="T124" s="386"/>
      <c r="U124" s="386"/>
      <c r="V124" s="386"/>
      <c r="W124" s="726"/>
      <c r="X124" s="749"/>
    </row>
    <row r="125" spans="1:24" hidden="1" outlineLevel="3">
      <c r="A125" s="386"/>
      <c r="B125" s="832" t="s">
        <v>1409</v>
      </c>
      <c r="C125" s="833" t="s">
        <v>1468</v>
      </c>
      <c r="D125" s="757"/>
      <c r="E125" s="834" t="s">
        <v>1469</v>
      </c>
      <c r="F125" s="386"/>
      <c r="G125" s="726"/>
      <c r="H125" s="749"/>
      <c r="J125" s="715"/>
      <c r="K125" s="735"/>
      <c r="L125" s="715"/>
      <c r="M125" s="735"/>
      <c r="N125" s="726"/>
      <c r="O125" s="749"/>
      <c r="Q125" s="386"/>
      <c r="R125" s="386"/>
      <c r="S125" s="386"/>
      <c r="T125" s="386"/>
      <c r="U125" s="386"/>
      <c r="V125" s="386"/>
      <c r="X125" s="749"/>
    </row>
    <row r="126" spans="1:24" hidden="1" outlineLevel="3">
      <c r="A126" s="386"/>
      <c r="B126" s="832" t="s">
        <v>1412</v>
      </c>
      <c r="C126" s="833" t="s">
        <v>1468</v>
      </c>
      <c r="D126" s="757"/>
      <c r="E126" s="834" t="s">
        <v>1470</v>
      </c>
      <c r="F126" s="386"/>
      <c r="G126" s="726"/>
      <c r="H126" s="749"/>
      <c r="J126" s="715"/>
      <c r="K126" s="735"/>
      <c r="L126" s="715"/>
      <c r="M126" s="735"/>
      <c r="N126" s="726"/>
      <c r="O126" s="749"/>
      <c r="Q126" s="386"/>
      <c r="R126" s="386"/>
      <c r="S126" s="386"/>
      <c r="T126" s="386"/>
      <c r="U126" s="386"/>
      <c r="V126" s="386"/>
      <c r="X126" s="749"/>
    </row>
    <row r="127" spans="1:24" s="825" customFormat="1" outlineLevel="1" collapsed="1">
      <c r="A127" s="523"/>
      <c r="B127" s="824" t="s">
        <v>26</v>
      </c>
      <c r="C127" s="732" t="s">
        <v>280</v>
      </c>
      <c r="D127" s="732"/>
      <c r="E127" s="837"/>
      <c r="F127" s="824"/>
      <c r="H127" s="826"/>
      <c r="J127" s="827">
        <f>SUBTOTAL(9,J130:J130)</f>
        <v>1.4485536000000001</v>
      </c>
      <c r="K127" s="828">
        <f>SUBTOTAL(9,K130:K130)</f>
        <v>1</v>
      </c>
      <c r="L127" s="827">
        <f>SUBTOTAL(9,L130:L130)</f>
        <v>0</v>
      </c>
      <c r="M127" s="828">
        <f>SUBTOTAL(9,M130:M130)</f>
        <v>0</v>
      </c>
      <c r="N127" s="829"/>
      <c r="O127" s="826"/>
      <c r="Q127" s="824"/>
      <c r="R127" s="824"/>
      <c r="S127" s="824"/>
      <c r="T127" s="824"/>
      <c r="U127" s="824"/>
      <c r="V127" s="824"/>
      <c r="W127" s="829"/>
      <c r="X127" s="826"/>
    </row>
    <row r="128" spans="1:24" hidden="1" outlineLevel="2">
      <c r="A128" s="386"/>
      <c r="B128" s="386" t="s">
        <v>1501</v>
      </c>
      <c r="C128" s="714" t="s">
        <v>1502</v>
      </c>
      <c r="D128" s="757">
        <v>46363</v>
      </c>
      <c r="E128" s="624" t="s">
        <v>27</v>
      </c>
      <c r="F128" s="386"/>
      <c r="H128" s="749"/>
      <c r="J128" s="715">
        <v>1.0864152</v>
      </c>
      <c r="K128" s="735">
        <v>1</v>
      </c>
      <c r="L128" s="715">
        <f>IF(M128=1,J128,0)</f>
        <v>0</v>
      </c>
      <c r="M128" s="735"/>
      <c r="N128" s="726"/>
      <c r="O128" s="749"/>
      <c r="Q128" s="386" t="s">
        <v>27</v>
      </c>
      <c r="R128" s="386" t="s">
        <v>1477</v>
      </c>
      <c r="S128" s="386" t="s">
        <v>1483</v>
      </c>
      <c r="T128" s="386" t="s">
        <v>82</v>
      </c>
      <c r="U128" s="386" t="s">
        <v>1474</v>
      </c>
      <c r="V128" s="386"/>
      <c r="W128" s="726"/>
      <c r="X128" s="749"/>
    </row>
    <row r="129" spans="1:24" hidden="1" outlineLevel="3">
      <c r="A129" s="386"/>
      <c r="B129" s="386"/>
      <c r="C129" s="714" t="s">
        <v>1506</v>
      </c>
      <c r="D129" s="757"/>
      <c r="E129" s="624"/>
      <c r="F129" s="386" t="s">
        <v>1507</v>
      </c>
      <c r="H129" s="749"/>
      <c r="J129" s="715"/>
      <c r="K129" s="735"/>
      <c r="L129" s="715"/>
      <c r="M129" s="735"/>
      <c r="N129" s="726"/>
      <c r="O129" s="749"/>
      <c r="Q129" s="386"/>
      <c r="R129" s="386"/>
      <c r="S129" s="386"/>
      <c r="T129" s="386"/>
      <c r="U129" s="386"/>
      <c r="V129" s="386"/>
      <c r="W129" s="726"/>
      <c r="X129" s="749"/>
    </row>
    <row r="130" spans="1:24" hidden="1" outlineLevel="2" collapsed="1">
      <c r="A130" s="386"/>
      <c r="B130" s="386" t="s">
        <v>1501</v>
      </c>
      <c r="C130" s="714" t="s">
        <v>1475</v>
      </c>
      <c r="D130" s="757">
        <v>46387</v>
      </c>
      <c r="E130" s="624" t="s">
        <v>27</v>
      </c>
      <c r="F130" s="386"/>
      <c r="H130" s="749"/>
      <c r="J130" s="715">
        <v>1.4485536000000001</v>
      </c>
      <c r="K130" s="735">
        <v>1</v>
      </c>
      <c r="L130" s="715">
        <f>IF(M130=1,J130,0)</f>
        <v>0</v>
      </c>
      <c r="M130" s="735"/>
      <c r="N130" s="726"/>
      <c r="O130" s="749"/>
      <c r="Q130" s="386" t="s">
        <v>27</v>
      </c>
      <c r="R130" s="386" t="s">
        <v>1477</v>
      </c>
      <c r="S130" s="386" t="s">
        <v>1483</v>
      </c>
      <c r="T130" s="386" t="s">
        <v>82</v>
      </c>
      <c r="U130" s="386" t="s">
        <v>1474</v>
      </c>
      <c r="V130" s="386"/>
      <c r="W130" s="726"/>
      <c r="X130" s="749"/>
    </row>
    <row r="131" spans="1:24" hidden="1" outlineLevel="3">
      <c r="A131" s="386"/>
      <c r="B131" s="832" t="s">
        <v>1409</v>
      </c>
      <c r="C131" s="833" t="s">
        <v>1468</v>
      </c>
      <c r="D131" s="757"/>
      <c r="E131" s="834" t="s">
        <v>1469</v>
      </c>
      <c r="F131" s="386"/>
      <c r="G131" s="726"/>
      <c r="H131" s="749"/>
      <c r="J131" s="715"/>
      <c r="K131" s="735"/>
      <c r="L131" s="715"/>
      <c r="M131" s="735"/>
      <c r="N131" s="726"/>
      <c r="O131" s="749"/>
      <c r="Q131" s="386"/>
      <c r="R131" s="386"/>
      <c r="S131" s="386"/>
      <c r="T131" s="386"/>
      <c r="U131" s="386"/>
      <c r="V131" s="386"/>
      <c r="X131" s="749"/>
    </row>
    <row r="132" spans="1:24" hidden="1" outlineLevel="3">
      <c r="A132" s="386"/>
      <c r="B132" s="832" t="s">
        <v>1412</v>
      </c>
      <c r="C132" s="833" t="s">
        <v>1468</v>
      </c>
      <c r="D132" s="757"/>
      <c r="E132" s="834" t="s">
        <v>1470</v>
      </c>
      <c r="F132" s="386"/>
      <c r="G132" s="726"/>
      <c r="H132" s="749"/>
      <c r="J132" s="715"/>
      <c r="K132" s="735"/>
      <c r="L132" s="715"/>
      <c r="M132" s="735"/>
      <c r="N132" s="726"/>
      <c r="O132" s="749"/>
      <c r="Q132" s="386"/>
      <c r="R132" s="386"/>
      <c r="S132" s="386"/>
      <c r="T132" s="386"/>
      <c r="U132" s="386"/>
      <c r="V132" s="386"/>
      <c r="X132" s="749"/>
    </row>
    <row r="133" spans="1:24" s="825" customFormat="1" outlineLevel="1" collapsed="1">
      <c r="A133" s="523"/>
      <c r="B133" s="824" t="s">
        <v>28</v>
      </c>
      <c r="C133" s="732" t="s">
        <v>280</v>
      </c>
      <c r="D133" s="732"/>
      <c r="E133" s="837"/>
      <c r="F133" s="824"/>
      <c r="H133" s="826"/>
      <c r="J133" s="827">
        <f>SUBTOTAL(9,J134:J140)</f>
        <v>1.007838</v>
      </c>
      <c r="K133" s="828">
        <f>SUBTOTAL(9,K134:K140)</f>
        <v>3</v>
      </c>
      <c r="L133" s="827">
        <f>SUBTOTAL(9,L134:L140)</f>
        <v>0</v>
      </c>
      <c r="M133" s="828">
        <f>SUBTOTAL(9,M134:M140)</f>
        <v>0</v>
      </c>
      <c r="N133" s="829"/>
      <c r="O133" s="826"/>
      <c r="Q133" s="824"/>
      <c r="R133" s="824"/>
      <c r="S133" s="824"/>
      <c r="T133" s="824"/>
      <c r="U133" s="824"/>
      <c r="V133" s="824"/>
      <c r="W133" s="829"/>
      <c r="X133" s="826"/>
    </row>
    <row r="134" spans="1:24" hidden="1" outlineLevel="2" collapsed="1">
      <c r="A134" s="386"/>
      <c r="B134" s="386" t="s">
        <v>1501</v>
      </c>
      <c r="C134" s="714" t="s">
        <v>279</v>
      </c>
      <c r="D134" s="757">
        <v>46363</v>
      </c>
      <c r="E134" s="624" t="s">
        <v>29</v>
      </c>
      <c r="F134" s="386"/>
      <c r="H134" s="749"/>
      <c r="J134" s="715">
        <v>0.40313520000000003</v>
      </c>
      <c r="K134" s="735">
        <v>1</v>
      </c>
      <c r="L134" s="715">
        <f>IF(M134=1,J134,0)</f>
        <v>0</v>
      </c>
      <c r="M134" s="735"/>
      <c r="N134" s="726"/>
      <c r="O134" s="749"/>
      <c r="Q134" s="386" t="s">
        <v>29</v>
      </c>
      <c r="R134" s="386"/>
      <c r="S134" s="386"/>
      <c r="T134" s="386"/>
      <c r="U134" s="386"/>
      <c r="V134" s="386"/>
      <c r="W134" s="726"/>
      <c r="X134" s="749"/>
    </row>
    <row r="135" spans="1:24" hidden="1" outlineLevel="3">
      <c r="A135" s="386"/>
      <c r="B135" s="832" t="s">
        <v>1409</v>
      </c>
      <c r="C135" s="833" t="s">
        <v>1468</v>
      </c>
      <c r="D135" s="757"/>
      <c r="E135" s="834" t="s">
        <v>1469</v>
      </c>
      <c r="F135" s="386"/>
      <c r="G135" s="726"/>
      <c r="H135" s="749"/>
      <c r="J135" s="715"/>
      <c r="K135" s="735"/>
      <c r="L135" s="715"/>
      <c r="M135" s="735"/>
      <c r="N135" s="726"/>
      <c r="O135" s="749"/>
      <c r="Q135" s="386"/>
      <c r="R135" s="386"/>
      <c r="S135" s="386"/>
      <c r="T135" s="386"/>
      <c r="U135" s="386"/>
      <c r="V135" s="386"/>
      <c r="X135" s="749"/>
    </row>
    <row r="136" spans="1:24" hidden="1" outlineLevel="3">
      <c r="A136" s="386"/>
      <c r="B136" s="832" t="s">
        <v>1412</v>
      </c>
      <c r="C136" s="833" t="s">
        <v>1468</v>
      </c>
      <c r="D136" s="757"/>
      <c r="E136" s="834" t="s">
        <v>1470</v>
      </c>
      <c r="F136" s="386"/>
      <c r="G136" s="726"/>
      <c r="H136" s="749"/>
      <c r="J136" s="715"/>
      <c r="K136" s="735"/>
      <c r="L136" s="715"/>
      <c r="M136" s="735"/>
      <c r="N136" s="726"/>
      <c r="O136" s="749"/>
      <c r="Q136" s="386"/>
      <c r="R136" s="386"/>
      <c r="S136" s="386"/>
      <c r="T136" s="386"/>
      <c r="U136" s="386"/>
      <c r="V136" s="386"/>
      <c r="X136" s="749"/>
    </row>
    <row r="137" spans="1:24" hidden="1" outlineLevel="2" collapsed="1">
      <c r="A137" s="386"/>
      <c r="B137" s="386" t="s">
        <v>1501</v>
      </c>
      <c r="C137" s="714" t="s">
        <v>33</v>
      </c>
      <c r="D137" s="757">
        <v>46372</v>
      </c>
      <c r="E137" s="624" t="s">
        <v>29</v>
      </c>
      <c r="F137" s="386"/>
      <c r="H137" s="749"/>
      <c r="J137" s="715">
        <v>0.20156760000000001</v>
      </c>
      <c r="K137" s="735">
        <v>1</v>
      </c>
      <c r="L137" s="715">
        <f>IF(M137=1,J137,0)</f>
        <v>0</v>
      </c>
      <c r="M137" s="735"/>
      <c r="N137" s="726"/>
      <c r="O137" s="749"/>
      <c r="Q137" s="386" t="s">
        <v>29</v>
      </c>
      <c r="R137" s="386"/>
      <c r="S137" s="386"/>
      <c r="T137" s="386"/>
      <c r="U137" s="386"/>
      <c r="V137" s="386"/>
      <c r="W137" s="726"/>
      <c r="X137" s="749"/>
    </row>
    <row r="138" spans="1:24" hidden="1" outlineLevel="3">
      <c r="A138" s="386"/>
      <c r="B138" s="832" t="s">
        <v>1409</v>
      </c>
      <c r="C138" s="833" t="s">
        <v>1468</v>
      </c>
      <c r="D138" s="757"/>
      <c r="E138" s="834" t="s">
        <v>1469</v>
      </c>
      <c r="F138" s="386"/>
      <c r="G138" s="726"/>
      <c r="H138" s="749"/>
      <c r="J138" s="715"/>
      <c r="K138" s="735"/>
      <c r="L138" s="715"/>
      <c r="M138" s="735"/>
      <c r="N138" s="726"/>
      <c r="O138" s="749"/>
      <c r="Q138" s="386"/>
      <c r="R138" s="386"/>
      <c r="S138" s="386"/>
      <c r="T138" s="386"/>
      <c r="U138" s="386"/>
      <c r="V138" s="386"/>
      <c r="X138" s="749"/>
    </row>
    <row r="139" spans="1:24" hidden="1" outlineLevel="3">
      <c r="A139" s="386"/>
      <c r="B139" s="832" t="s">
        <v>1412</v>
      </c>
      <c r="C139" s="833" t="s">
        <v>1468</v>
      </c>
      <c r="D139" s="757"/>
      <c r="E139" s="834" t="s">
        <v>1470</v>
      </c>
      <c r="F139" s="386"/>
      <c r="G139" s="726"/>
      <c r="H139" s="749"/>
      <c r="J139" s="715"/>
      <c r="K139" s="735"/>
      <c r="L139" s="715"/>
      <c r="M139" s="735"/>
      <c r="N139" s="726"/>
      <c r="O139" s="749"/>
      <c r="Q139" s="386"/>
      <c r="R139" s="386"/>
      <c r="S139" s="386"/>
      <c r="T139" s="386"/>
      <c r="U139" s="386"/>
      <c r="V139" s="386"/>
      <c r="X139" s="749"/>
    </row>
    <row r="140" spans="1:24" hidden="1" outlineLevel="2" collapsed="1">
      <c r="A140" s="386"/>
      <c r="B140" s="386" t="s">
        <v>1501</v>
      </c>
      <c r="C140" s="714" t="s">
        <v>1475</v>
      </c>
      <c r="D140" s="757">
        <v>46387</v>
      </c>
      <c r="E140" s="624" t="s">
        <v>29</v>
      </c>
      <c r="F140" s="386"/>
      <c r="H140" s="749"/>
      <c r="J140" s="715">
        <v>0.40313520000000003</v>
      </c>
      <c r="K140" s="735">
        <v>1</v>
      </c>
      <c r="L140" s="715">
        <f>IF(M140=1,J140,0)</f>
        <v>0</v>
      </c>
      <c r="M140" s="735"/>
      <c r="N140" s="726"/>
      <c r="O140" s="749"/>
      <c r="Q140" s="386" t="s">
        <v>29</v>
      </c>
      <c r="R140" s="386"/>
      <c r="S140" s="386"/>
      <c r="T140" s="386"/>
      <c r="U140" s="386"/>
      <c r="V140" s="386"/>
      <c r="W140" s="726"/>
      <c r="X140" s="749"/>
    </row>
    <row r="141" spans="1:24" hidden="1" outlineLevel="3">
      <c r="A141" s="386"/>
      <c r="B141" s="832" t="s">
        <v>1409</v>
      </c>
      <c r="C141" s="833" t="s">
        <v>1468</v>
      </c>
      <c r="D141" s="757"/>
      <c r="E141" s="834" t="s">
        <v>1469</v>
      </c>
      <c r="F141" s="386"/>
      <c r="G141" s="726"/>
      <c r="H141" s="749"/>
      <c r="J141" s="715"/>
      <c r="K141" s="735"/>
      <c r="L141" s="715"/>
      <c r="M141" s="735"/>
      <c r="N141" s="726"/>
      <c r="O141" s="749"/>
      <c r="Q141" s="386"/>
      <c r="R141" s="386"/>
      <c r="S141" s="386"/>
      <c r="T141" s="386"/>
      <c r="U141" s="386"/>
      <c r="V141" s="386"/>
      <c r="X141" s="749"/>
    </row>
    <row r="142" spans="1:24" hidden="1" outlineLevel="3">
      <c r="A142" s="386"/>
      <c r="B142" s="832" t="s">
        <v>1412</v>
      </c>
      <c r="C142" s="833" t="s">
        <v>1468</v>
      </c>
      <c r="D142" s="757"/>
      <c r="E142" s="834" t="s">
        <v>1470</v>
      </c>
      <c r="F142" s="386"/>
      <c r="G142" s="726"/>
      <c r="H142" s="749"/>
      <c r="J142" s="715"/>
      <c r="K142" s="735"/>
      <c r="L142" s="715"/>
      <c r="M142" s="735"/>
      <c r="N142" s="726"/>
      <c r="O142" s="749"/>
      <c r="Q142" s="386"/>
      <c r="R142" s="386"/>
      <c r="S142" s="386"/>
      <c r="T142" s="386"/>
      <c r="U142" s="386"/>
      <c r="V142" s="386"/>
      <c r="X142" s="749"/>
    </row>
    <row r="143" spans="1:24" s="825" customFormat="1" outlineLevel="1" collapsed="1">
      <c r="A143" s="523"/>
      <c r="B143" s="824" t="s">
        <v>64</v>
      </c>
      <c r="C143" s="732" t="s">
        <v>280</v>
      </c>
      <c r="D143" s="732"/>
      <c r="E143" s="837"/>
      <c r="F143" s="824"/>
      <c r="H143" s="826"/>
      <c r="J143" s="827">
        <f>SUBTOTAL(9,J144:J148)</f>
        <v>0.7891883999999999</v>
      </c>
      <c r="K143" s="828">
        <f>SUBTOTAL(9,K144:K148)</f>
        <v>3</v>
      </c>
      <c r="L143" s="827">
        <f>SUBTOTAL(9,L144:L148)</f>
        <v>0</v>
      </c>
      <c r="M143" s="828">
        <f>SUBTOTAL(9,M144:M148)</f>
        <v>0</v>
      </c>
      <c r="N143" s="829"/>
      <c r="O143" s="826"/>
      <c r="Q143" s="824"/>
      <c r="R143" s="824"/>
      <c r="S143" s="824"/>
      <c r="T143" s="824"/>
      <c r="U143" s="824"/>
      <c r="V143" s="824"/>
      <c r="W143" s="829"/>
      <c r="X143" s="826"/>
    </row>
    <row r="144" spans="1:24" hidden="1" outlineLevel="2" collapsed="1">
      <c r="A144" s="386"/>
      <c r="B144" s="386" t="s">
        <v>1501</v>
      </c>
      <c r="C144" s="714" t="s">
        <v>279</v>
      </c>
      <c r="D144" s="757">
        <v>46363</v>
      </c>
      <c r="E144" s="624" t="s">
        <v>29</v>
      </c>
      <c r="F144" s="386"/>
      <c r="H144" s="749"/>
      <c r="J144" s="715">
        <v>0.33822359999999996</v>
      </c>
      <c r="K144" s="735">
        <v>1</v>
      </c>
      <c r="L144" s="715">
        <f>IF(M144=1,J144,0)</f>
        <v>0</v>
      </c>
      <c r="M144" s="735"/>
      <c r="N144" s="726"/>
      <c r="O144" s="749"/>
      <c r="Q144" s="386" t="s">
        <v>29</v>
      </c>
      <c r="R144" s="386"/>
      <c r="S144" s="386"/>
      <c r="T144" s="386"/>
      <c r="U144" s="386"/>
      <c r="V144" s="386"/>
      <c r="W144" s="726"/>
      <c r="X144" s="749"/>
    </row>
    <row r="145" spans="1:24" ht="13.5" hidden="1" outlineLevel="3">
      <c r="A145" s="386"/>
      <c r="B145" s="832" t="s">
        <v>1409</v>
      </c>
      <c r="C145" s="833" t="s">
        <v>841</v>
      </c>
      <c r="D145" s="757"/>
      <c r="E145" s="834" t="s">
        <v>1419</v>
      </c>
      <c r="F145" s="386" t="s">
        <v>1508</v>
      </c>
      <c r="G145" s="726"/>
      <c r="H145" s="749"/>
      <c r="J145" s="715"/>
      <c r="K145" s="735"/>
      <c r="L145" s="715"/>
      <c r="M145" s="735"/>
      <c r="N145" s="726"/>
      <c r="O145" s="749"/>
      <c r="Q145" s="386"/>
      <c r="R145" s="386"/>
      <c r="S145" s="386"/>
      <c r="T145" s="386"/>
      <c r="U145" s="386"/>
      <c r="V145" s="386"/>
      <c r="X145" s="749"/>
    </row>
    <row r="146" spans="1:24" hidden="1" outlineLevel="2" collapsed="1">
      <c r="A146" s="386"/>
      <c r="B146" s="386" t="s">
        <v>1501</v>
      </c>
      <c r="C146" s="714" t="s">
        <v>33</v>
      </c>
      <c r="D146" s="757">
        <v>46372</v>
      </c>
      <c r="E146" s="624" t="s">
        <v>29</v>
      </c>
      <c r="F146" s="386"/>
      <c r="H146" s="749"/>
      <c r="J146" s="715">
        <v>0.11274119999999999</v>
      </c>
      <c r="K146" s="735">
        <v>1</v>
      </c>
      <c r="L146" s="715">
        <f>IF(M146=1,J146,0)</f>
        <v>0</v>
      </c>
      <c r="M146" s="735"/>
      <c r="N146" s="726"/>
      <c r="O146" s="749"/>
      <c r="Q146" s="386" t="s">
        <v>29</v>
      </c>
      <c r="R146" s="386"/>
      <c r="S146" s="386"/>
      <c r="T146" s="386"/>
      <c r="U146" s="386"/>
      <c r="V146" s="386"/>
      <c r="W146" s="726"/>
      <c r="X146" s="749"/>
    </row>
    <row r="147" spans="1:24" ht="13.5" hidden="1" outlineLevel="3">
      <c r="A147" s="386"/>
      <c r="B147" s="832" t="s">
        <v>1409</v>
      </c>
      <c r="C147" s="833" t="s">
        <v>33</v>
      </c>
      <c r="D147" s="757"/>
      <c r="E147" s="834" t="s">
        <v>1419</v>
      </c>
      <c r="F147" s="386"/>
      <c r="G147" s="726"/>
      <c r="H147" s="749"/>
      <c r="J147" s="715"/>
      <c r="K147" s="735"/>
      <c r="L147" s="715"/>
      <c r="M147" s="735"/>
      <c r="N147" s="726"/>
      <c r="O147" s="749"/>
      <c r="Q147" s="386"/>
      <c r="R147" s="386"/>
      <c r="S147" s="386"/>
      <c r="T147" s="386"/>
      <c r="U147" s="386"/>
      <c r="V147" s="386"/>
      <c r="X147" s="749"/>
    </row>
    <row r="148" spans="1:24" hidden="1" outlineLevel="2" collapsed="1">
      <c r="A148" s="386"/>
      <c r="B148" s="386" t="s">
        <v>1501</v>
      </c>
      <c r="C148" s="714" t="s">
        <v>1475</v>
      </c>
      <c r="D148" s="757">
        <v>46387</v>
      </c>
      <c r="E148" s="624" t="s">
        <v>29</v>
      </c>
      <c r="F148" s="386"/>
      <c r="H148" s="749"/>
      <c r="J148" s="715">
        <v>0.33822359999999996</v>
      </c>
      <c r="K148" s="735">
        <v>1</v>
      </c>
      <c r="L148" s="715">
        <f>IF(M148=1,J148,0)</f>
        <v>0</v>
      </c>
      <c r="M148" s="735"/>
      <c r="N148" s="726"/>
      <c r="O148" s="749"/>
      <c r="Q148" s="386" t="s">
        <v>29</v>
      </c>
      <c r="R148" s="386"/>
      <c r="S148" s="386"/>
      <c r="T148" s="386"/>
      <c r="U148" s="386"/>
      <c r="V148" s="386"/>
      <c r="W148" s="726"/>
      <c r="X148" s="749"/>
    </row>
    <row r="149" spans="1:24" ht="13.5" hidden="1" outlineLevel="3">
      <c r="A149" s="386"/>
      <c r="B149" s="832" t="s">
        <v>1409</v>
      </c>
      <c r="C149" s="833" t="s">
        <v>1509</v>
      </c>
      <c r="D149" s="757"/>
      <c r="E149" s="834" t="s">
        <v>1419</v>
      </c>
      <c r="F149" s="386" t="s">
        <v>1508</v>
      </c>
      <c r="G149" s="726"/>
      <c r="H149" s="749"/>
      <c r="J149" s="715"/>
      <c r="K149" s="735"/>
      <c r="L149" s="715"/>
      <c r="M149" s="735"/>
      <c r="N149" s="726"/>
      <c r="O149" s="749"/>
      <c r="Q149" s="386"/>
      <c r="R149" s="386"/>
      <c r="S149" s="386"/>
      <c r="T149" s="386"/>
      <c r="U149" s="386"/>
      <c r="V149" s="386"/>
      <c r="X149" s="749"/>
    </row>
    <row r="151" spans="1:24" ht="12.75"/>
    <row r="152" spans="1:24" ht="12.75"/>
    <row r="153" spans="1:24" ht="12.75"/>
    <row r="154" spans="1:24" ht="12.75"/>
    <row r="155" spans="1:24" ht="12.75"/>
    <row r="156" spans="1:24" ht="12.75"/>
    <row r="157" spans="1:24" ht="12.75"/>
    <row r="158" spans="1:24" ht="12.75"/>
    <row r="159" spans="1:24" ht="12.75"/>
    <row r="160" spans="1:24" ht="12.75"/>
  </sheetData>
  <autoFilter ref="B4:Y8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57A5-FAFF-46D1-A924-F5376D71B512}">
  <sheetPr>
    <outlinePr summaryBelow="0" summaryRight="0"/>
    <pageSetUpPr fitToPage="1"/>
  </sheetPr>
  <dimension ref="A1:Z70"/>
  <sheetViews>
    <sheetView zoomScale="80" zoomScaleNormal="80" zoomScaleSheetLayoutView="35" workbookViewId="0">
      <pane xSplit="5" ySplit="7" topLeftCell="F8" activePane="bottomRight" state="frozen"/>
      <selection pane="bottomRight" activeCell="R23" sqref="R23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768" customWidth="1"/>
    <col min="2" max="2" width="9.28515625" style="804" customWidth="1"/>
    <col min="3" max="3" width="5.42578125" style="818" bestFit="1" customWidth="1"/>
    <col min="4" max="4" width="62.28515625" style="819" customWidth="1"/>
    <col min="5" max="5" width="0.42578125" style="768" customWidth="1"/>
    <col min="6" max="6" width="7.5703125" style="806" customWidth="1"/>
    <col min="7" max="7" width="0.42578125" style="807" customWidth="1"/>
    <col min="8" max="8" width="7.5703125" style="806" customWidth="1"/>
    <col min="9" max="9" width="0.42578125" style="807" customWidth="1"/>
    <col min="10" max="10" width="7.5703125" style="806" customWidth="1"/>
    <col min="11" max="11" width="0.42578125" style="807" customWidth="1"/>
    <col min="12" max="12" width="7.5703125" style="806" customWidth="1"/>
    <col min="13" max="13" width="0.42578125" style="807" customWidth="1"/>
    <col min="14" max="16384" width="11.42578125" style="768"/>
  </cols>
  <sheetData>
    <row r="1" spans="1:16" ht="3" customHeight="1">
      <c r="A1" s="762"/>
      <c r="B1" s="763"/>
      <c r="C1" s="764"/>
      <c r="D1" s="765"/>
      <c r="E1" s="762"/>
      <c r="F1" s="766"/>
      <c r="G1" s="767"/>
      <c r="H1" s="766"/>
      <c r="I1" s="767"/>
      <c r="J1" s="766"/>
      <c r="K1" s="767"/>
      <c r="L1" s="766"/>
      <c r="M1" s="767"/>
    </row>
    <row r="2" spans="1:16" s="774" customFormat="1" ht="17.45">
      <c r="A2" s="769"/>
      <c r="B2" s="770"/>
      <c r="C2" s="839" t="s">
        <v>1510</v>
      </c>
      <c r="D2" s="839"/>
      <c r="E2" s="771"/>
      <c r="F2" s="772" t="s">
        <v>1511</v>
      </c>
      <c r="G2" s="773"/>
      <c r="H2" s="772" t="s">
        <v>1512</v>
      </c>
      <c r="I2" s="773"/>
      <c r="J2" s="772" t="s">
        <v>28</v>
      </c>
      <c r="K2" s="773"/>
      <c r="L2" s="772" t="s">
        <v>976</v>
      </c>
      <c r="M2" s="773"/>
      <c r="O2" s="775">
        <v>1</v>
      </c>
      <c r="P2" s="770" t="s">
        <v>1513</v>
      </c>
    </row>
    <row r="3" spans="1:16" s="780" customFormat="1" ht="15.6">
      <c r="A3" s="776"/>
      <c r="B3" s="777"/>
      <c r="C3" s="778"/>
      <c r="D3" s="779" t="s">
        <v>1514</v>
      </c>
      <c r="E3" s="776"/>
      <c r="F3" s="776">
        <f>COUNTA(F$8:F$54)</f>
        <v>29</v>
      </c>
      <c r="G3" s="776"/>
      <c r="H3" s="776">
        <f>COUNTA(H$8:H$54)</f>
        <v>22</v>
      </c>
      <c r="I3" s="776"/>
      <c r="J3" s="776">
        <f>COUNTA(J$8:J$54)</f>
        <v>25</v>
      </c>
      <c r="K3" s="776"/>
      <c r="L3" s="776">
        <f>COUNTA(L$8:L$54)</f>
        <v>21</v>
      </c>
      <c r="M3" s="776"/>
      <c r="O3" s="775">
        <v>-1</v>
      </c>
      <c r="P3" s="770" t="s">
        <v>1515</v>
      </c>
    </row>
    <row r="4" spans="1:16" s="780" customFormat="1" ht="15.6">
      <c r="A4" s="776"/>
      <c r="B4" s="777"/>
      <c r="C4" s="778"/>
      <c r="D4" s="779" t="s">
        <v>614</v>
      </c>
      <c r="E4" s="776"/>
      <c r="F4" s="776">
        <f>COUNTIF(F$8:F$54,1)</f>
        <v>0</v>
      </c>
      <c r="G4" s="776"/>
      <c r="H4" s="776">
        <f>COUNTIF(H$8:H$54,1)</f>
        <v>0</v>
      </c>
      <c r="I4" s="776"/>
      <c r="J4" s="776">
        <f>COUNTIF(J$8:J$54,1)</f>
        <v>1</v>
      </c>
      <c r="K4" s="776"/>
      <c r="L4" s="776">
        <f>COUNTIF(L$8:L$54,1)</f>
        <v>1</v>
      </c>
      <c r="M4" s="776"/>
      <c r="O4" s="770"/>
      <c r="P4" s="770" t="s">
        <v>611</v>
      </c>
    </row>
    <row r="5" spans="1:16" ht="3" customHeight="1">
      <c r="A5" s="762"/>
      <c r="B5" s="763"/>
      <c r="C5" s="764"/>
      <c r="D5" s="781"/>
      <c r="E5" s="782"/>
      <c r="F5" s="766"/>
      <c r="G5" s="783"/>
      <c r="H5" s="766"/>
      <c r="I5" s="783"/>
      <c r="J5" s="766"/>
      <c r="K5" s="783"/>
      <c r="L5" s="766"/>
      <c r="M5" s="783"/>
    </row>
    <row r="6" spans="1:16" ht="3" customHeight="1">
      <c r="A6" s="762"/>
      <c r="B6" s="784"/>
      <c r="C6" s="785"/>
      <c r="D6" s="786"/>
      <c r="E6" s="787"/>
      <c r="F6" s="788"/>
      <c r="G6" s="788"/>
      <c r="H6" s="788"/>
      <c r="I6" s="788"/>
      <c r="J6" s="788"/>
      <c r="K6" s="788"/>
      <c r="L6" s="788"/>
      <c r="M6" s="788"/>
    </row>
    <row r="7" spans="1:16" ht="3.6" customHeight="1">
      <c r="A7" s="762"/>
      <c r="B7" s="763"/>
      <c r="C7" s="764"/>
      <c r="D7" s="781"/>
      <c r="E7" s="782"/>
      <c r="F7" s="789"/>
      <c r="G7" s="783"/>
      <c r="H7" s="789"/>
      <c r="I7" s="783"/>
      <c r="J7" s="789"/>
      <c r="K7" s="783"/>
      <c r="L7" s="789"/>
      <c r="M7" s="783"/>
    </row>
    <row r="8" spans="1:16" ht="17.45">
      <c r="A8" s="762"/>
      <c r="B8" s="790"/>
      <c r="C8" s="840" t="s">
        <v>1516</v>
      </c>
      <c r="D8" s="840"/>
      <c r="E8" s="782"/>
      <c r="F8" s="791"/>
      <c r="G8" s="792"/>
      <c r="H8" s="791"/>
      <c r="I8" s="792"/>
      <c r="J8" s="791"/>
      <c r="K8" s="792"/>
      <c r="L8" s="791"/>
      <c r="M8" s="792"/>
    </row>
    <row r="9" spans="1:16" ht="3" customHeight="1" outlineLevel="1">
      <c r="A9" s="762"/>
      <c r="B9" s="763"/>
      <c r="C9" s="763"/>
      <c r="D9" s="793"/>
      <c r="E9" s="782"/>
      <c r="F9" s="789"/>
      <c r="G9" s="794"/>
      <c r="H9" s="789"/>
      <c r="I9" s="794"/>
      <c r="J9" s="789"/>
      <c r="K9" s="794"/>
      <c r="L9" s="789"/>
      <c r="M9" s="794"/>
    </row>
    <row r="10" spans="1:16" ht="13.15" outlineLevel="1">
      <c r="A10" s="762"/>
      <c r="B10" s="795">
        <v>1</v>
      </c>
      <c r="C10" s="796">
        <v>1</v>
      </c>
      <c r="D10" s="797" t="s">
        <v>334</v>
      </c>
      <c r="E10" s="798"/>
      <c r="F10" s="799">
        <v>-1</v>
      </c>
      <c r="G10" s="800"/>
      <c r="H10" s="820"/>
      <c r="I10" s="821"/>
      <c r="J10" s="820"/>
      <c r="K10" s="821"/>
      <c r="L10" s="820"/>
      <c r="M10" s="801"/>
    </row>
    <row r="11" spans="1:16" ht="13.15" outlineLevel="1">
      <c r="A11" s="762"/>
      <c r="B11" s="795">
        <v>2</v>
      </c>
      <c r="C11" s="796">
        <v>2</v>
      </c>
      <c r="D11" s="797" t="s">
        <v>32</v>
      </c>
      <c r="E11" s="798"/>
      <c r="F11" s="799">
        <v>-1</v>
      </c>
      <c r="G11" s="800"/>
      <c r="H11" s="799">
        <v>-1</v>
      </c>
      <c r="I11" s="800"/>
      <c r="J11" s="799">
        <v>-1</v>
      </c>
      <c r="K11" s="800"/>
      <c r="L11" s="799">
        <v>-1</v>
      </c>
      <c r="M11" s="801"/>
    </row>
    <row r="12" spans="1:16" ht="13.9" outlineLevel="1">
      <c r="B12" s="795">
        <v>3</v>
      </c>
      <c r="C12" s="796">
        <v>3</v>
      </c>
      <c r="D12" s="797" t="s">
        <v>34</v>
      </c>
      <c r="E12" s="798"/>
      <c r="F12" s="799">
        <v>-1</v>
      </c>
      <c r="G12" s="802"/>
      <c r="H12" s="799">
        <v>-1</v>
      </c>
      <c r="I12" s="802"/>
      <c r="J12" s="799">
        <v>-1</v>
      </c>
      <c r="K12" s="802"/>
      <c r="L12" s="799">
        <v>-1</v>
      </c>
      <c r="M12" s="803"/>
    </row>
    <row r="13" spans="1:16" ht="13.9" outlineLevel="1">
      <c r="B13" s="795">
        <v>4</v>
      </c>
      <c r="C13" s="796">
        <v>4</v>
      </c>
      <c r="D13" s="797" t="s">
        <v>33</v>
      </c>
      <c r="E13" s="798"/>
      <c r="F13" s="799">
        <v>-1</v>
      </c>
      <c r="G13" s="802"/>
      <c r="H13" s="820"/>
      <c r="I13" s="802"/>
      <c r="J13" s="799">
        <v>1</v>
      </c>
      <c r="K13" s="802"/>
      <c r="L13" s="799">
        <v>1</v>
      </c>
      <c r="M13" s="803"/>
    </row>
    <row r="14" spans="1:16" ht="13.9" outlineLevel="1">
      <c r="B14" s="795">
        <v>5</v>
      </c>
      <c r="C14" s="796">
        <v>5</v>
      </c>
      <c r="D14" s="797" t="s">
        <v>197</v>
      </c>
      <c r="E14" s="798"/>
      <c r="F14" s="799">
        <v>-1</v>
      </c>
      <c r="G14" s="802"/>
      <c r="H14" s="820">
        <v>-1</v>
      </c>
      <c r="I14" s="802"/>
      <c r="J14" s="799">
        <v>-1</v>
      </c>
      <c r="K14" s="802"/>
      <c r="L14" s="799">
        <v>-1</v>
      </c>
      <c r="M14" s="803"/>
    </row>
    <row r="15" spans="1:16" ht="13.9" outlineLevel="1">
      <c r="B15" s="795">
        <v>6</v>
      </c>
      <c r="C15" s="796">
        <v>6</v>
      </c>
      <c r="D15" s="797" t="s">
        <v>335</v>
      </c>
      <c r="E15" s="798"/>
      <c r="F15" s="799">
        <v>-1</v>
      </c>
      <c r="G15" s="802"/>
      <c r="H15" s="820"/>
      <c r="I15" s="802"/>
      <c r="J15" s="820"/>
      <c r="K15" s="802"/>
      <c r="L15" s="820"/>
      <c r="M15" s="803"/>
    </row>
    <row r="16" spans="1:16" ht="17.45">
      <c r="B16" s="790"/>
      <c r="C16" s="840" t="s">
        <v>1517</v>
      </c>
      <c r="D16" s="840"/>
      <c r="E16" s="782"/>
      <c r="F16" s="791"/>
      <c r="G16" s="792"/>
      <c r="H16" s="791"/>
      <c r="I16" s="792"/>
      <c r="J16" s="791"/>
      <c r="K16" s="792"/>
      <c r="L16" s="791"/>
      <c r="M16" s="792"/>
    </row>
    <row r="17" spans="1:13" ht="3" customHeight="1" outlineLevel="1">
      <c r="C17" s="804"/>
      <c r="D17" s="805"/>
    </row>
    <row r="18" spans="1:13" ht="13.15" outlineLevel="1">
      <c r="A18" s="762"/>
      <c r="B18" s="796">
        <v>7</v>
      </c>
      <c r="C18" s="796">
        <v>1</v>
      </c>
      <c r="D18" s="797" t="s">
        <v>1518</v>
      </c>
      <c r="E18" s="798"/>
      <c r="F18" s="801"/>
      <c r="G18" s="801"/>
      <c r="H18" s="801"/>
      <c r="I18" s="801"/>
      <c r="J18" s="801"/>
      <c r="K18" s="801"/>
      <c r="L18" s="801"/>
      <c r="M18" s="801"/>
    </row>
    <row r="19" spans="1:13" ht="13.15" outlineLevel="2">
      <c r="A19" s="762"/>
      <c r="B19" s="822" t="s">
        <v>1519</v>
      </c>
      <c r="C19" s="808">
        <v>1</v>
      </c>
      <c r="D19" s="790" t="s">
        <v>457</v>
      </c>
      <c r="E19" s="762"/>
      <c r="F19" s="799">
        <v>-1</v>
      </c>
      <c r="G19" s="809"/>
      <c r="H19" s="799">
        <v>-1</v>
      </c>
      <c r="I19" s="809"/>
      <c r="J19" s="820"/>
      <c r="K19" s="809"/>
      <c r="L19" s="799"/>
      <c r="M19" s="809"/>
    </row>
    <row r="20" spans="1:13" ht="13.15" outlineLevel="2">
      <c r="A20" s="762"/>
      <c r="B20" s="822" t="s">
        <v>1520</v>
      </c>
      <c r="C20" s="808">
        <v>2</v>
      </c>
      <c r="D20" s="790" t="s">
        <v>458</v>
      </c>
      <c r="E20" s="762"/>
      <c r="F20" s="799">
        <v>-1</v>
      </c>
      <c r="G20" s="809"/>
      <c r="H20" s="799">
        <v>-1</v>
      </c>
      <c r="I20" s="809"/>
      <c r="J20" s="799">
        <v>-1</v>
      </c>
      <c r="K20" s="809"/>
      <c r="L20" s="799">
        <v>-1</v>
      </c>
      <c r="M20" s="809"/>
    </row>
    <row r="21" spans="1:13" ht="13.15" outlineLevel="2">
      <c r="A21" s="762"/>
      <c r="B21" s="822" t="s">
        <v>1521</v>
      </c>
      <c r="C21" s="808">
        <v>3</v>
      </c>
      <c r="D21" s="790" t="s">
        <v>459</v>
      </c>
      <c r="E21" s="762"/>
      <c r="F21" s="799">
        <v>-1</v>
      </c>
      <c r="G21" s="809"/>
      <c r="H21" s="820"/>
      <c r="I21" s="809"/>
      <c r="J21" s="799">
        <v>-1</v>
      </c>
      <c r="K21" s="809"/>
      <c r="L21" s="799">
        <v>-1</v>
      </c>
      <c r="M21" s="809"/>
    </row>
    <row r="22" spans="1:13" ht="13.15" outlineLevel="2">
      <c r="A22" s="762"/>
      <c r="B22" s="822" t="s">
        <v>1522</v>
      </c>
      <c r="C22" s="808">
        <v>4</v>
      </c>
      <c r="D22" s="790" t="s">
        <v>473</v>
      </c>
      <c r="E22" s="762"/>
      <c r="F22" s="820"/>
      <c r="G22" s="809"/>
      <c r="H22" s="820"/>
      <c r="I22" s="809"/>
      <c r="J22" s="799">
        <v>-1</v>
      </c>
      <c r="K22" s="809"/>
      <c r="L22" s="799">
        <v>-1</v>
      </c>
      <c r="M22" s="809"/>
    </row>
    <row r="23" spans="1:13" ht="13.15" outlineLevel="2">
      <c r="A23" s="762"/>
      <c r="B23" s="822" t="s">
        <v>1523</v>
      </c>
      <c r="C23" s="808">
        <v>5</v>
      </c>
      <c r="D23" s="790" t="s">
        <v>460</v>
      </c>
      <c r="E23" s="762"/>
      <c r="F23" s="799">
        <v>-1</v>
      </c>
      <c r="G23" s="809"/>
      <c r="H23" s="799">
        <v>-1</v>
      </c>
      <c r="I23" s="809"/>
      <c r="J23" s="799">
        <v>-1</v>
      </c>
      <c r="K23" s="809"/>
      <c r="L23" s="799">
        <v>-1</v>
      </c>
      <c r="M23" s="809"/>
    </row>
    <row r="24" spans="1:13" ht="13.15" outlineLevel="2">
      <c r="A24" s="762"/>
      <c r="B24" s="822" t="s">
        <v>1524</v>
      </c>
      <c r="C24" s="808">
        <v>6</v>
      </c>
      <c r="D24" s="790" t="s">
        <v>461</v>
      </c>
      <c r="E24" s="762"/>
      <c r="F24" s="799">
        <v>-1</v>
      </c>
      <c r="G24" s="809"/>
      <c r="H24" s="799">
        <v>-1</v>
      </c>
      <c r="I24" s="809"/>
      <c r="J24" s="820"/>
      <c r="K24" s="809"/>
      <c r="L24" s="799">
        <v>-1</v>
      </c>
      <c r="M24" s="809"/>
    </row>
    <row r="25" spans="1:13" ht="13.15" outlineLevel="2">
      <c r="A25" s="762"/>
      <c r="B25" s="822" t="s">
        <v>1525</v>
      </c>
      <c r="C25" s="808">
        <v>7</v>
      </c>
      <c r="D25" s="790" t="s">
        <v>462</v>
      </c>
      <c r="E25" s="762"/>
      <c r="F25" s="799">
        <v>-1</v>
      </c>
      <c r="G25" s="809"/>
      <c r="H25" s="799">
        <v>-1</v>
      </c>
      <c r="I25" s="809"/>
      <c r="J25" s="799">
        <v>-1</v>
      </c>
      <c r="K25" s="809"/>
      <c r="L25" s="799">
        <v>-1</v>
      </c>
      <c r="M25" s="809"/>
    </row>
    <row r="26" spans="1:13" ht="13.15" outlineLevel="2">
      <c r="A26" s="762"/>
      <c r="B26" s="822" t="s">
        <v>1526</v>
      </c>
      <c r="C26" s="808">
        <v>8</v>
      </c>
      <c r="D26" s="790" t="s">
        <v>463</v>
      </c>
      <c r="E26" s="762"/>
      <c r="F26" s="799">
        <v>-1</v>
      </c>
      <c r="G26" s="809"/>
      <c r="H26" s="799">
        <v>-1</v>
      </c>
      <c r="I26" s="809"/>
      <c r="J26" s="799">
        <v>-1</v>
      </c>
      <c r="K26" s="809"/>
      <c r="L26" s="799">
        <v>-1</v>
      </c>
      <c r="M26" s="809"/>
    </row>
    <row r="27" spans="1:13" ht="13.15" outlineLevel="2">
      <c r="A27" s="762"/>
      <c r="B27" s="822" t="s">
        <v>1527</v>
      </c>
      <c r="C27" s="808">
        <v>9</v>
      </c>
      <c r="D27" s="790" t="s">
        <v>464</v>
      </c>
      <c r="E27" s="762"/>
      <c r="F27" s="799">
        <v>-1</v>
      </c>
      <c r="G27" s="809"/>
      <c r="H27" s="799">
        <v>-1</v>
      </c>
      <c r="I27" s="809"/>
      <c r="J27" s="799">
        <v>-1</v>
      </c>
      <c r="K27" s="809"/>
      <c r="L27" s="799">
        <v>-1</v>
      </c>
      <c r="M27" s="809"/>
    </row>
    <row r="28" spans="1:13" ht="13.15" outlineLevel="2">
      <c r="A28" s="762"/>
      <c r="B28" s="822" t="s">
        <v>1528</v>
      </c>
      <c r="C28" s="808">
        <v>10</v>
      </c>
      <c r="D28" s="790" t="s">
        <v>465</v>
      </c>
      <c r="E28" s="762"/>
      <c r="F28" s="799">
        <v>-1</v>
      </c>
      <c r="G28" s="809"/>
      <c r="H28" s="799">
        <v>-1</v>
      </c>
      <c r="I28" s="809"/>
      <c r="J28" s="799">
        <v>-1</v>
      </c>
      <c r="K28" s="809"/>
      <c r="L28" s="799">
        <v>-1</v>
      </c>
      <c r="M28" s="809"/>
    </row>
    <row r="29" spans="1:13" ht="13.15" outlineLevel="2">
      <c r="A29" s="762"/>
      <c r="B29" s="822" t="s">
        <v>1529</v>
      </c>
      <c r="C29" s="808">
        <v>11</v>
      </c>
      <c r="D29" s="790" t="s">
        <v>466</v>
      </c>
      <c r="E29" s="762"/>
      <c r="F29" s="799">
        <v>-1</v>
      </c>
      <c r="G29" s="809"/>
      <c r="H29" s="799">
        <v>-1</v>
      </c>
      <c r="I29" s="809"/>
      <c r="J29" s="799">
        <v>-1</v>
      </c>
      <c r="K29" s="809"/>
      <c r="L29" s="799">
        <v>-1</v>
      </c>
      <c r="M29" s="809"/>
    </row>
    <row r="30" spans="1:13" ht="13.15" outlineLevel="2">
      <c r="A30" s="762"/>
      <c r="B30" s="822" t="s">
        <v>1530</v>
      </c>
      <c r="C30" s="808">
        <v>12</v>
      </c>
      <c r="D30" s="790" t="s">
        <v>467</v>
      </c>
      <c r="E30" s="762"/>
      <c r="F30" s="799">
        <v>-1</v>
      </c>
      <c r="G30" s="809"/>
      <c r="H30" s="799">
        <v>-1</v>
      </c>
      <c r="I30" s="809"/>
      <c r="J30" s="799">
        <v>-1</v>
      </c>
      <c r="K30" s="809"/>
      <c r="L30" s="799">
        <v>-1</v>
      </c>
      <c r="M30" s="809"/>
    </row>
    <row r="31" spans="1:13" ht="13.15" outlineLevel="1">
      <c r="A31" s="762"/>
      <c r="B31" s="796">
        <v>8</v>
      </c>
      <c r="C31" s="796">
        <v>2</v>
      </c>
      <c r="D31" s="797" t="s">
        <v>1531</v>
      </c>
      <c r="E31" s="798"/>
      <c r="F31" s="801"/>
      <c r="G31" s="801"/>
      <c r="H31" s="801"/>
      <c r="I31" s="801"/>
      <c r="J31" s="801"/>
      <c r="K31" s="801"/>
      <c r="L31" s="801"/>
      <c r="M31" s="801"/>
    </row>
    <row r="32" spans="1:13" ht="13.15" outlineLevel="2">
      <c r="A32" s="762" t="str">
        <f>"Amenities &amp; Facilities - "&amp;D32</f>
        <v>Amenities &amp; Facilities - V35 - Product Package [FKH]</v>
      </c>
      <c r="B32" s="822" t="s">
        <v>1532</v>
      </c>
      <c r="C32" s="808">
        <v>1</v>
      </c>
      <c r="D32" s="811" t="s">
        <v>1533</v>
      </c>
      <c r="E32" s="762"/>
      <c r="F32" s="799"/>
      <c r="G32" s="809"/>
      <c r="H32" s="799"/>
      <c r="I32" s="809"/>
      <c r="J32" s="799"/>
      <c r="K32" s="809"/>
      <c r="L32" s="820"/>
      <c r="M32" s="809"/>
    </row>
    <row r="33" spans="1:13" ht="13.15" outlineLevel="2">
      <c r="A33" s="762" t="str">
        <f t="shared" ref="A33" si="0">"Amenities &amp; Facilities - "&amp;D33</f>
        <v>Amenities &amp; Facilities - V60 - Product Package [FKH]</v>
      </c>
      <c r="B33" s="822" t="s">
        <v>1534</v>
      </c>
      <c r="C33" s="808">
        <v>2</v>
      </c>
      <c r="D33" s="811" t="s">
        <v>1535</v>
      </c>
      <c r="E33" s="762"/>
      <c r="F33" s="799"/>
      <c r="G33" s="809"/>
      <c r="H33" s="820"/>
      <c r="I33" s="809"/>
      <c r="J33" s="799"/>
      <c r="K33" s="809"/>
      <c r="L33" s="799"/>
      <c r="M33" s="809"/>
    </row>
    <row r="34" spans="1:13" ht="13.15" outlineLevel="1">
      <c r="A34" s="762"/>
      <c r="B34" s="796">
        <v>9</v>
      </c>
      <c r="C34" s="796">
        <v>3</v>
      </c>
      <c r="D34" s="797" t="s">
        <v>1536</v>
      </c>
      <c r="E34" s="798"/>
      <c r="F34" s="801"/>
      <c r="G34" s="801"/>
      <c r="H34" s="801"/>
      <c r="I34" s="801"/>
      <c r="J34" s="801"/>
      <c r="K34" s="801"/>
      <c r="L34" s="801"/>
      <c r="M34" s="801"/>
    </row>
    <row r="35" spans="1:13" ht="13.15" outlineLevel="2">
      <c r="A35" s="762" t="str">
        <f>"Amenities &amp; Facilities - "&amp;D35</f>
        <v>Amenities &amp; Facilities - Foundation and Structure</v>
      </c>
      <c r="B35" s="822" t="s">
        <v>1537</v>
      </c>
      <c r="C35" s="808">
        <v>1</v>
      </c>
      <c r="D35" s="811" t="s">
        <v>1538</v>
      </c>
      <c r="E35" s="762"/>
      <c r="F35" s="799">
        <v>-1</v>
      </c>
      <c r="G35" s="809"/>
      <c r="H35" s="799">
        <v>-1</v>
      </c>
      <c r="I35" s="809"/>
      <c r="J35" s="799">
        <v>-1</v>
      </c>
      <c r="K35" s="809"/>
      <c r="L35" s="820"/>
      <c r="M35" s="809"/>
    </row>
    <row r="36" spans="1:13" ht="13.15" outlineLevel="2">
      <c r="A36" s="762" t="str">
        <f t="shared" ref="A36:A37" si="1">"Amenities &amp; Facilities - "&amp;D36</f>
        <v>Amenities &amp; Facilities - Building Envelope + MEP</v>
      </c>
      <c r="B36" s="822" t="s">
        <v>1539</v>
      </c>
      <c r="C36" s="808">
        <v>2</v>
      </c>
      <c r="D36" s="811" t="s">
        <v>1540</v>
      </c>
      <c r="E36" s="762"/>
      <c r="F36" s="799">
        <v>-1</v>
      </c>
      <c r="G36" s="809"/>
      <c r="H36" s="799">
        <v>-1</v>
      </c>
      <c r="I36" s="809"/>
      <c r="J36" s="799">
        <v>-1</v>
      </c>
      <c r="K36" s="809"/>
      <c r="L36" s="799">
        <v>-1</v>
      </c>
      <c r="M36" s="809"/>
    </row>
    <row r="37" spans="1:13" s="814" customFormat="1" ht="13.15" outlineLevel="2">
      <c r="A37" s="762" t="str">
        <f t="shared" si="1"/>
        <v>Amenities &amp; Facilities - Interiors</v>
      </c>
      <c r="B37" s="822" t="s">
        <v>1541</v>
      </c>
      <c r="C37" s="808">
        <v>3</v>
      </c>
      <c r="D37" s="811" t="s">
        <v>797</v>
      </c>
      <c r="E37" s="812"/>
      <c r="F37" s="799">
        <v>-1</v>
      </c>
      <c r="G37" s="813"/>
      <c r="H37" s="799"/>
      <c r="I37" s="813"/>
      <c r="J37" s="799">
        <v>-1</v>
      </c>
      <c r="K37" s="813"/>
      <c r="L37" s="799"/>
      <c r="M37" s="813"/>
    </row>
    <row r="38" spans="1:13" ht="13.15" outlineLevel="1">
      <c r="A38" s="762"/>
      <c r="B38" s="796">
        <v>10</v>
      </c>
      <c r="C38" s="796">
        <v>4</v>
      </c>
      <c r="D38" s="797" t="s">
        <v>1542</v>
      </c>
      <c r="E38" s="798"/>
      <c r="F38" s="801"/>
      <c r="G38" s="801"/>
      <c r="H38" s="801"/>
      <c r="I38" s="801"/>
      <c r="J38" s="801"/>
      <c r="K38" s="801"/>
      <c r="L38" s="801"/>
      <c r="M38" s="801"/>
    </row>
    <row r="39" spans="1:13" ht="13.15" outlineLevel="2">
      <c r="A39" s="762" t="str">
        <f>"Amenities &amp; Facilities - "&amp;D39</f>
        <v>Amenities &amp; Facilities - Foundation and Structure</v>
      </c>
      <c r="B39" s="822" t="s">
        <v>1543</v>
      </c>
      <c r="C39" s="808">
        <v>1</v>
      </c>
      <c r="D39" s="811" t="s">
        <v>1538</v>
      </c>
      <c r="E39" s="762"/>
      <c r="F39" s="799">
        <v>-1</v>
      </c>
      <c r="G39" s="809"/>
      <c r="H39" s="799">
        <v>-1</v>
      </c>
      <c r="I39" s="809"/>
      <c r="J39" s="799">
        <v>-1</v>
      </c>
      <c r="K39" s="809"/>
      <c r="L39" s="820"/>
      <c r="M39" s="809"/>
    </row>
    <row r="40" spans="1:13" ht="13.15" outlineLevel="2">
      <c r="A40" s="762" t="str">
        <f t="shared" ref="A40:A41" si="2">"Amenities &amp; Facilities - "&amp;D40</f>
        <v>Amenities &amp; Facilities - Building Envelope + MEP</v>
      </c>
      <c r="B40" s="822" t="s">
        <v>1544</v>
      </c>
      <c r="C40" s="808">
        <v>2</v>
      </c>
      <c r="D40" s="811" t="s">
        <v>1540</v>
      </c>
      <c r="E40" s="762"/>
      <c r="F40" s="799">
        <v>-1</v>
      </c>
      <c r="G40" s="809"/>
      <c r="H40" s="799">
        <v>-1</v>
      </c>
      <c r="I40" s="809"/>
      <c r="J40" s="799">
        <v>-1</v>
      </c>
      <c r="K40" s="809"/>
      <c r="L40" s="799">
        <v>-1</v>
      </c>
      <c r="M40" s="809"/>
    </row>
    <row r="41" spans="1:13" s="814" customFormat="1" ht="13.15" outlineLevel="2">
      <c r="A41" s="762" t="str">
        <f t="shared" si="2"/>
        <v>Amenities &amp; Facilities - Interiors</v>
      </c>
      <c r="B41" s="822" t="s">
        <v>1545</v>
      </c>
      <c r="C41" s="808">
        <v>3</v>
      </c>
      <c r="D41" s="811" t="s">
        <v>797</v>
      </c>
      <c r="E41" s="812"/>
      <c r="F41" s="799">
        <v>-1</v>
      </c>
      <c r="G41" s="813"/>
      <c r="H41" s="799"/>
      <c r="I41" s="813"/>
      <c r="J41" s="799">
        <v>-1</v>
      </c>
      <c r="K41" s="813"/>
      <c r="L41" s="799"/>
      <c r="M41" s="813"/>
    </row>
    <row r="42" spans="1:13" ht="13.15" outlineLevel="1">
      <c r="A42" s="762"/>
      <c r="B42" s="796">
        <v>11</v>
      </c>
      <c r="C42" s="796">
        <v>5</v>
      </c>
      <c r="D42" s="797" t="s">
        <v>1546</v>
      </c>
      <c r="E42" s="798"/>
      <c r="F42" s="801"/>
      <c r="G42" s="801"/>
      <c r="H42" s="801"/>
      <c r="I42" s="801"/>
      <c r="J42" s="801"/>
      <c r="K42" s="801"/>
      <c r="L42" s="801"/>
      <c r="M42" s="801"/>
    </row>
    <row r="43" spans="1:13" ht="13.15" outlineLevel="2">
      <c r="A43" s="762" t="str">
        <f>"Amenities &amp; Facilities - "&amp;D43</f>
        <v>Amenities &amp; Facilities - Clubhouse—Structure and Envelope</v>
      </c>
      <c r="B43" s="822" t="s">
        <v>1547</v>
      </c>
      <c r="C43" s="808">
        <v>1</v>
      </c>
      <c r="D43" s="811" t="s">
        <v>205</v>
      </c>
      <c r="E43" s="762"/>
      <c r="F43" s="799">
        <v>-1</v>
      </c>
      <c r="G43" s="809"/>
      <c r="H43" s="799">
        <v>-1</v>
      </c>
      <c r="I43" s="809"/>
      <c r="J43" s="799">
        <v>-1</v>
      </c>
      <c r="K43" s="809"/>
      <c r="L43" s="820"/>
      <c r="M43" s="809"/>
    </row>
    <row r="44" spans="1:13" ht="13.15" outlineLevel="2">
      <c r="A44" s="762" t="str">
        <f t="shared" ref="A44:A47" si="3">"Amenities &amp; Facilities - "&amp;D44</f>
        <v>Amenities &amp; Facilities - Clubhouse—Interiors and Facilities</v>
      </c>
      <c r="B44" s="822" t="s">
        <v>1548</v>
      </c>
      <c r="C44" s="808">
        <v>2</v>
      </c>
      <c r="D44" s="811" t="s">
        <v>116</v>
      </c>
      <c r="E44" s="762"/>
      <c r="F44" s="799">
        <v>-1</v>
      </c>
      <c r="G44" s="809"/>
      <c r="H44" s="820"/>
      <c r="I44" s="809"/>
      <c r="J44" s="799">
        <v>-1</v>
      </c>
      <c r="K44" s="809"/>
      <c r="L44" s="799">
        <v>-1</v>
      </c>
      <c r="M44" s="809"/>
    </row>
    <row r="45" spans="1:13" s="814" customFormat="1" ht="13.15" outlineLevel="2">
      <c r="A45" s="762" t="str">
        <f t="shared" si="3"/>
        <v>Amenities &amp; Facilities - Clubhouse—Outdoor Spaces and pool</v>
      </c>
      <c r="B45" s="822" t="s">
        <v>1549</v>
      </c>
      <c r="C45" s="808">
        <v>3</v>
      </c>
      <c r="D45" s="811" t="s">
        <v>495</v>
      </c>
      <c r="E45" s="812"/>
      <c r="F45" s="799">
        <v>-1</v>
      </c>
      <c r="G45" s="813"/>
      <c r="H45" s="799">
        <v>-1</v>
      </c>
      <c r="I45" s="813"/>
      <c r="J45" s="799">
        <v>-1</v>
      </c>
      <c r="K45" s="813"/>
      <c r="L45" s="799">
        <v>-1</v>
      </c>
      <c r="M45" s="813"/>
    </row>
    <row r="46" spans="1:13" ht="13.15" outlineLevel="2">
      <c r="A46" s="762" t="str">
        <f t="shared" si="3"/>
        <v>Amenities &amp; Facilities - Community spaces [Children play area, Open Park space]</v>
      </c>
      <c r="B46" s="822" t="s">
        <v>1550</v>
      </c>
      <c r="C46" s="808">
        <v>4</v>
      </c>
      <c r="D46" s="811" t="s">
        <v>496</v>
      </c>
      <c r="E46" s="762"/>
      <c r="F46" s="799">
        <v>-1</v>
      </c>
      <c r="G46" s="809"/>
      <c r="H46" s="799">
        <v>-1</v>
      </c>
      <c r="I46" s="809"/>
      <c r="J46" s="820"/>
      <c r="K46" s="809"/>
      <c r="L46" s="799">
        <v>-1</v>
      </c>
      <c r="M46" s="809"/>
    </row>
    <row r="47" spans="1:13" ht="13.15" outlineLevel="2">
      <c r="A47" s="762" t="str">
        <f t="shared" si="3"/>
        <v>Amenities &amp; Facilities - Sporting Facilities</v>
      </c>
      <c r="B47" s="822" t="s">
        <v>1551</v>
      </c>
      <c r="C47" s="808">
        <v>5</v>
      </c>
      <c r="D47" s="811" t="s">
        <v>98</v>
      </c>
      <c r="E47" s="762"/>
      <c r="F47" s="799">
        <v>-1</v>
      </c>
      <c r="G47" s="809"/>
      <c r="H47" s="799">
        <v>-1</v>
      </c>
      <c r="I47" s="809"/>
      <c r="J47" s="799">
        <v>-1</v>
      </c>
      <c r="K47" s="809"/>
      <c r="L47" s="820"/>
      <c r="M47" s="809"/>
    </row>
    <row r="48" spans="1:13" ht="3" customHeight="1" outlineLevel="1">
      <c r="A48" s="762"/>
      <c r="B48" s="763"/>
      <c r="C48" s="763"/>
      <c r="D48" s="790"/>
      <c r="E48" s="762"/>
      <c r="F48" s="810"/>
      <c r="G48" s="809"/>
      <c r="H48" s="810"/>
      <c r="I48" s="809"/>
      <c r="J48" s="810"/>
      <c r="K48" s="809"/>
      <c r="L48" s="810"/>
      <c r="M48" s="809"/>
    </row>
    <row r="49" spans="1:13" ht="17.45">
      <c r="A49" s="762"/>
      <c r="B49" s="790"/>
      <c r="C49" s="841" t="s">
        <v>1552</v>
      </c>
      <c r="D49" s="841"/>
      <c r="E49" s="782"/>
      <c r="F49" s="791"/>
      <c r="G49" s="792"/>
      <c r="H49" s="791"/>
      <c r="I49" s="792"/>
      <c r="J49" s="791"/>
      <c r="K49" s="792"/>
      <c r="L49" s="791"/>
      <c r="M49" s="792"/>
    </row>
    <row r="50" spans="1:13" ht="3" customHeight="1" outlineLevel="1">
      <c r="A50" s="762"/>
      <c r="B50" s="763"/>
      <c r="C50" s="763"/>
      <c r="D50" s="815"/>
      <c r="E50" s="782"/>
      <c r="F50" s="789"/>
      <c r="G50" s="794"/>
      <c r="H50" s="789"/>
      <c r="I50" s="794"/>
      <c r="J50" s="789"/>
      <c r="K50" s="794"/>
      <c r="L50" s="789"/>
      <c r="M50" s="794"/>
    </row>
    <row r="51" spans="1:13" ht="13.15" outlineLevel="1">
      <c r="A51" s="762"/>
      <c r="B51" s="796">
        <v>12</v>
      </c>
      <c r="C51" s="796">
        <v>1</v>
      </c>
      <c r="D51" s="797" t="s">
        <v>1355</v>
      </c>
      <c r="E51" s="798"/>
      <c r="F51" s="801"/>
      <c r="G51" s="801"/>
      <c r="H51" s="801"/>
      <c r="I51" s="801"/>
      <c r="J51" s="801"/>
      <c r="K51" s="801"/>
      <c r="L51" s="801"/>
      <c r="M51" s="801"/>
    </row>
    <row r="52" spans="1:13" ht="13.15" outlineLevel="2">
      <c r="A52" s="762"/>
      <c r="B52" s="822" t="s">
        <v>1553</v>
      </c>
      <c r="C52" s="808">
        <v>1</v>
      </c>
      <c r="D52" s="816" t="s">
        <v>1554</v>
      </c>
      <c r="E52" s="765"/>
      <c r="F52" s="799">
        <v>-1</v>
      </c>
      <c r="G52" s="809"/>
      <c r="H52" s="799">
        <v>-1</v>
      </c>
      <c r="I52" s="809"/>
      <c r="J52" s="799">
        <v>-1</v>
      </c>
      <c r="K52" s="809"/>
      <c r="L52" s="799">
        <v>-1</v>
      </c>
      <c r="M52" s="817"/>
    </row>
    <row r="53" spans="1:13" ht="3" customHeight="1">
      <c r="A53" s="762"/>
      <c r="B53" s="808"/>
      <c r="C53" s="808"/>
      <c r="D53" s="816"/>
      <c r="E53" s="765"/>
      <c r="F53" s="810"/>
      <c r="G53" s="817"/>
      <c r="H53" s="810"/>
      <c r="I53" s="817"/>
      <c r="J53" s="810"/>
      <c r="K53" s="817"/>
      <c r="L53" s="810"/>
      <c r="M53" s="817"/>
    </row>
    <row r="54" spans="1:13" ht="17.45" hidden="1">
      <c r="A54" s="762"/>
      <c r="B54" s="790"/>
      <c r="C54" s="841" t="s">
        <v>1555</v>
      </c>
      <c r="D54" s="841"/>
      <c r="E54" s="782"/>
      <c r="F54" s="791"/>
      <c r="G54" s="792"/>
      <c r="H54" s="791"/>
      <c r="I54" s="792"/>
      <c r="J54" s="791"/>
      <c r="K54" s="792"/>
      <c r="L54" s="791"/>
      <c r="M54" s="792"/>
    </row>
    <row r="67" spans="1:26" s="806" customFormat="1" ht="11.85" customHeight="1">
      <c r="A67" s="768"/>
      <c r="B67" s="768"/>
      <c r="C67" s="768"/>
      <c r="D67" s="768"/>
      <c r="E67" s="768"/>
      <c r="F67" s="768"/>
      <c r="G67" s="768"/>
      <c r="H67" s="768"/>
      <c r="I67" s="768"/>
      <c r="K67" s="807"/>
      <c r="M67" s="807"/>
      <c r="N67" s="768"/>
      <c r="O67" s="768"/>
      <c r="P67" s="768"/>
      <c r="Q67" s="768"/>
      <c r="R67" s="768"/>
      <c r="S67" s="768"/>
      <c r="T67" s="768"/>
      <c r="U67" s="768"/>
      <c r="V67" s="768"/>
      <c r="W67" s="768"/>
      <c r="X67" s="768"/>
      <c r="Y67" s="768"/>
      <c r="Z67" s="768"/>
    </row>
    <row r="68" spans="1:26" s="806" customFormat="1" ht="11.85" customHeight="1">
      <c r="A68" s="768"/>
      <c r="B68" s="768"/>
      <c r="C68" s="768"/>
      <c r="D68" s="768"/>
      <c r="E68" s="768"/>
      <c r="F68" s="768"/>
      <c r="G68" s="768"/>
      <c r="H68" s="768"/>
      <c r="I68" s="768"/>
      <c r="K68" s="807"/>
      <c r="M68" s="807"/>
      <c r="N68" s="768"/>
      <c r="O68" s="768"/>
      <c r="P68" s="768"/>
      <c r="Q68" s="768"/>
      <c r="R68" s="768"/>
      <c r="S68" s="768"/>
      <c r="T68" s="768"/>
      <c r="U68" s="768"/>
      <c r="V68" s="768"/>
      <c r="W68" s="768"/>
      <c r="X68" s="768"/>
      <c r="Y68" s="768"/>
      <c r="Z68" s="768"/>
    </row>
    <row r="70" spans="1:26" s="806" customFormat="1" ht="11.85" customHeight="1">
      <c r="A70" s="768"/>
      <c r="B70" s="768"/>
      <c r="C70" s="768"/>
      <c r="D70" s="768"/>
      <c r="E70" s="768"/>
      <c r="F70" s="768"/>
      <c r="G70" s="768"/>
      <c r="H70" s="768"/>
      <c r="I70" s="768"/>
      <c r="K70" s="807"/>
      <c r="M70" s="807"/>
      <c r="N70" s="768"/>
      <c r="O70" s="768"/>
      <c r="P70" s="768"/>
      <c r="Q70" s="768"/>
      <c r="R70" s="768"/>
      <c r="S70" s="768"/>
      <c r="T70" s="768"/>
      <c r="U70" s="768"/>
      <c r="V70" s="768"/>
      <c r="W70" s="768"/>
      <c r="X70" s="768"/>
      <c r="Y70" s="768"/>
      <c r="Z70" s="768"/>
    </row>
  </sheetData>
  <mergeCells count="5">
    <mergeCell ref="C2:D2"/>
    <mergeCell ref="C8:D8"/>
    <mergeCell ref="C16:D16"/>
    <mergeCell ref="C49:D49"/>
    <mergeCell ref="C54:D54"/>
  </mergeCells>
  <conditionalFormatting sqref="F10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F13:F14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F19:F21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F22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F23:F30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F32:F33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F35:F37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F39:F41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F43:F47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F52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H13:H15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H19:H20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H23:H30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H32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3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35:H36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37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H39:H4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H41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H43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H44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H45:H47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H52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J13:J14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J19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J20:J23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J24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J25:J30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32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J3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J35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J36:J37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J3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J40:J41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43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J44:J45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J46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J47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J52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L13:L14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L19:L22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L23:L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L32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L33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L35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L36:L37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L39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L40:L41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L43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L44:L46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L47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L52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62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F8B7-D3A3-4760-86E2-74878CFEE770}">
  <sheetPr>
    <outlinePr summaryBelow="0" summaryRight="0"/>
    <pageSetUpPr fitToPage="1"/>
  </sheetPr>
  <dimension ref="A1:Z136"/>
  <sheetViews>
    <sheetView zoomScale="80" zoomScaleNormal="80" zoomScaleSheetLayoutView="35" workbookViewId="0">
      <pane xSplit="5" ySplit="7" topLeftCell="F8" activePane="bottomRight" state="frozen"/>
      <selection pane="bottomRight" activeCell="Q114" sqref="Q114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768" customWidth="1"/>
    <col min="2" max="2" width="9.28515625" style="804" customWidth="1"/>
    <col min="3" max="3" width="5.42578125" style="818" bestFit="1" customWidth="1"/>
    <col min="4" max="4" width="62.28515625" style="819" customWidth="1"/>
    <col min="5" max="5" width="0.42578125" style="768" customWidth="1"/>
    <col min="6" max="6" width="7.5703125" style="806" customWidth="1"/>
    <col min="7" max="7" width="0.42578125" style="807" customWidth="1"/>
    <col min="8" max="8" width="7.5703125" style="806" customWidth="1"/>
    <col min="9" max="9" width="0.42578125" style="807" customWidth="1"/>
    <col min="10" max="10" width="7.5703125" style="806" customWidth="1"/>
    <col min="11" max="11" width="0.42578125" style="807" customWidth="1"/>
    <col min="12" max="12" width="7.5703125" style="806" customWidth="1"/>
    <col min="13" max="13" width="0.42578125" style="807" customWidth="1"/>
    <col min="14" max="16384" width="11.42578125" style="768"/>
  </cols>
  <sheetData>
    <row r="1" spans="1:16" ht="3" customHeight="1">
      <c r="A1" s="762"/>
      <c r="B1" s="763"/>
      <c r="C1" s="764"/>
      <c r="D1" s="765"/>
      <c r="E1" s="762"/>
      <c r="F1" s="766"/>
      <c r="G1" s="767"/>
      <c r="H1" s="766"/>
      <c r="I1" s="767"/>
      <c r="J1" s="766"/>
      <c r="K1" s="767"/>
      <c r="L1" s="766"/>
      <c r="M1" s="767"/>
    </row>
    <row r="2" spans="1:16" s="774" customFormat="1" ht="17.45">
      <c r="A2" s="769"/>
      <c r="B2" s="770"/>
      <c r="C2" s="839" t="s">
        <v>1556</v>
      </c>
      <c r="D2" s="839"/>
      <c r="E2" s="771"/>
      <c r="F2" s="772" t="s">
        <v>1511</v>
      </c>
      <c r="G2" s="773"/>
      <c r="H2" s="772" t="s">
        <v>1512</v>
      </c>
      <c r="I2" s="773"/>
      <c r="J2" s="772" t="s">
        <v>28</v>
      </c>
      <c r="K2" s="773"/>
      <c r="L2" s="772" t="s">
        <v>976</v>
      </c>
      <c r="M2" s="773"/>
      <c r="O2" s="775">
        <v>1</v>
      </c>
      <c r="P2" s="770" t="s">
        <v>1513</v>
      </c>
    </row>
    <row r="3" spans="1:16" s="780" customFormat="1" ht="15.6">
      <c r="A3" s="776"/>
      <c r="B3" s="777"/>
      <c r="C3" s="778"/>
      <c r="D3" s="779" t="s">
        <v>1514</v>
      </c>
      <c r="E3" s="776"/>
      <c r="F3" s="776">
        <f>COUNTA(F$8:F$120)</f>
        <v>90</v>
      </c>
      <c r="G3" s="776"/>
      <c r="H3" s="776">
        <f>COUNTA(H$8:H$120)</f>
        <v>62</v>
      </c>
      <c r="I3" s="776"/>
      <c r="J3" s="776">
        <f>COUNTA(J$8:J$120)</f>
        <v>53</v>
      </c>
      <c r="K3" s="776"/>
      <c r="L3" s="776">
        <f>COUNTA(L$8:L$120)</f>
        <v>14</v>
      </c>
      <c r="M3" s="776"/>
      <c r="O3" s="775">
        <v>-1</v>
      </c>
      <c r="P3" s="770" t="s">
        <v>1515</v>
      </c>
    </row>
    <row r="4" spans="1:16" s="780" customFormat="1" ht="15.6">
      <c r="A4" s="776"/>
      <c r="B4" s="777"/>
      <c r="C4" s="778"/>
      <c r="D4" s="779" t="s">
        <v>614</v>
      </c>
      <c r="E4" s="776"/>
      <c r="F4" s="776">
        <f>COUNTIF(F$8:F$120,1)</f>
        <v>1</v>
      </c>
      <c r="G4" s="776"/>
      <c r="H4" s="776">
        <f>COUNTIF(H$8:H$120,1)</f>
        <v>0</v>
      </c>
      <c r="I4" s="776"/>
      <c r="J4" s="776">
        <f>COUNTIF(J$8:J$120,1)</f>
        <v>0</v>
      </c>
      <c r="K4" s="776"/>
      <c r="L4" s="776">
        <f>COUNTIF(L$8:L$120,1)</f>
        <v>0</v>
      </c>
      <c r="M4" s="776"/>
      <c r="O4" s="770"/>
      <c r="P4" s="770" t="s">
        <v>611</v>
      </c>
    </row>
    <row r="5" spans="1:16" ht="3" customHeight="1">
      <c r="A5" s="762"/>
      <c r="B5" s="763"/>
      <c r="C5" s="764"/>
      <c r="D5" s="781"/>
      <c r="E5" s="782"/>
      <c r="F5" s="766"/>
      <c r="G5" s="783"/>
      <c r="H5" s="766"/>
      <c r="I5" s="783"/>
      <c r="J5" s="766"/>
      <c r="K5" s="783"/>
      <c r="L5" s="766"/>
      <c r="M5" s="783"/>
    </row>
    <row r="6" spans="1:16" ht="3" customHeight="1">
      <c r="A6" s="762"/>
      <c r="B6" s="784"/>
      <c r="C6" s="785"/>
      <c r="D6" s="786"/>
      <c r="E6" s="787"/>
      <c r="F6" s="788"/>
      <c r="G6" s="788"/>
      <c r="H6" s="788"/>
      <c r="I6" s="788"/>
      <c r="J6" s="788"/>
      <c r="K6" s="788"/>
      <c r="L6" s="788"/>
      <c r="M6" s="788"/>
    </row>
    <row r="7" spans="1:16" ht="3.6" customHeight="1">
      <c r="A7" s="762"/>
      <c r="B7" s="763"/>
      <c r="C7" s="764"/>
      <c r="D7" s="781"/>
      <c r="E7" s="782"/>
      <c r="F7" s="789"/>
      <c r="G7" s="783"/>
      <c r="H7" s="789"/>
      <c r="I7" s="783"/>
      <c r="J7" s="789"/>
      <c r="K7" s="783"/>
      <c r="L7" s="789"/>
      <c r="M7" s="783"/>
    </row>
    <row r="8" spans="1:16" ht="17.45">
      <c r="A8" s="762"/>
      <c r="B8" s="790"/>
      <c r="C8" s="840" t="s">
        <v>1516</v>
      </c>
      <c r="D8" s="840"/>
      <c r="E8" s="782"/>
      <c r="F8" s="791"/>
      <c r="G8" s="792"/>
      <c r="H8" s="791"/>
      <c r="I8" s="792"/>
      <c r="J8" s="791"/>
      <c r="K8" s="792"/>
      <c r="L8" s="791"/>
      <c r="M8" s="792"/>
    </row>
    <row r="9" spans="1:16" ht="3" customHeight="1" outlineLevel="1">
      <c r="A9" s="762"/>
      <c r="B9" s="763"/>
      <c r="C9" s="763"/>
      <c r="D9" s="793"/>
      <c r="E9" s="782"/>
      <c r="F9" s="789"/>
      <c r="G9" s="794"/>
      <c r="H9" s="789"/>
      <c r="I9" s="794"/>
      <c r="J9" s="789"/>
      <c r="K9" s="794"/>
      <c r="L9" s="789"/>
      <c r="M9" s="794"/>
    </row>
    <row r="10" spans="1:16" ht="13.15" outlineLevel="1">
      <c r="A10" s="762"/>
      <c r="B10" s="795">
        <v>1</v>
      </c>
      <c r="C10" s="796">
        <v>1</v>
      </c>
      <c r="D10" s="797" t="s">
        <v>334</v>
      </c>
      <c r="E10" s="798"/>
      <c r="F10" s="799">
        <v>1</v>
      </c>
      <c r="G10" s="800"/>
      <c r="H10" s="820"/>
      <c r="I10" s="821"/>
      <c r="J10" s="820"/>
      <c r="K10" s="821"/>
      <c r="L10" s="820"/>
      <c r="M10" s="801"/>
    </row>
    <row r="11" spans="1:16" ht="13.15" outlineLevel="1">
      <c r="A11" s="762"/>
      <c r="B11" s="795">
        <v>2</v>
      </c>
      <c r="C11" s="796">
        <v>2</v>
      </c>
      <c r="D11" s="797" t="s">
        <v>32</v>
      </c>
      <c r="E11" s="798"/>
      <c r="F11" s="799">
        <v>-1</v>
      </c>
      <c r="G11" s="800"/>
      <c r="H11" s="799">
        <v>-1</v>
      </c>
      <c r="I11" s="800"/>
      <c r="J11" s="799">
        <v>-1</v>
      </c>
      <c r="K11" s="800"/>
      <c r="L11" s="799">
        <v>-1</v>
      </c>
      <c r="M11" s="801"/>
    </row>
    <row r="12" spans="1:16" ht="13.9" outlineLevel="1">
      <c r="B12" s="795">
        <v>3</v>
      </c>
      <c r="C12" s="796">
        <v>3</v>
      </c>
      <c r="D12" s="797" t="s">
        <v>34</v>
      </c>
      <c r="E12" s="798"/>
      <c r="F12" s="799">
        <v>-1</v>
      </c>
      <c r="G12" s="802"/>
      <c r="H12" s="799">
        <v>-1</v>
      </c>
      <c r="I12" s="802"/>
      <c r="J12" s="799">
        <v>-1</v>
      </c>
      <c r="K12" s="802"/>
      <c r="L12" s="799">
        <v>-1</v>
      </c>
      <c r="M12" s="803"/>
    </row>
    <row r="13" spans="1:16" ht="13.9" outlineLevel="1">
      <c r="B13" s="795">
        <v>4</v>
      </c>
      <c r="C13" s="796">
        <v>4</v>
      </c>
      <c r="D13" s="797" t="s">
        <v>33</v>
      </c>
      <c r="E13" s="798"/>
      <c r="F13" s="799">
        <v>-1</v>
      </c>
      <c r="G13" s="802"/>
      <c r="H13" s="820"/>
      <c r="I13" s="802"/>
      <c r="J13" s="799">
        <v>-1</v>
      </c>
      <c r="K13" s="802"/>
      <c r="L13" s="799">
        <v>-1</v>
      </c>
      <c r="M13" s="803"/>
    </row>
    <row r="14" spans="1:16" ht="13.9" outlineLevel="1">
      <c r="B14" s="795">
        <v>5</v>
      </c>
      <c r="C14" s="796">
        <v>5</v>
      </c>
      <c r="D14" s="797" t="s">
        <v>197</v>
      </c>
      <c r="E14" s="798"/>
      <c r="F14" s="799">
        <v>-1</v>
      </c>
      <c r="G14" s="802"/>
      <c r="H14" s="820">
        <v>-1</v>
      </c>
      <c r="I14" s="802"/>
      <c r="J14" s="799">
        <v>-1</v>
      </c>
      <c r="K14" s="802"/>
      <c r="L14" s="799">
        <v>-1</v>
      </c>
      <c r="M14" s="803"/>
    </row>
    <row r="15" spans="1:16" ht="13.9" outlineLevel="1">
      <c r="B15" s="795">
        <v>6</v>
      </c>
      <c r="C15" s="796">
        <v>6</v>
      </c>
      <c r="D15" s="797" t="s">
        <v>335</v>
      </c>
      <c r="E15" s="798"/>
      <c r="F15" s="799">
        <v>-1</v>
      </c>
      <c r="G15" s="802"/>
      <c r="H15" s="820"/>
      <c r="I15" s="802"/>
      <c r="J15" s="820"/>
      <c r="K15" s="802"/>
      <c r="L15" s="820"/>
      <c r="M15" s="803"/>
    </row>
    <row r="16" spans="1:16" ht="17.45">
      <c r="B16" s="790"/>
      <c r="C16" s="840" t="s">
        <v>1517</v>
      </c>
      <c r="D16" s="840"/>
      <c r="E16" s="782"/>
      <c r="F16" s="791"/>
      <c r="G16" s="792"/>
      <c r="H16" s="791"/>
      <c r="I16" s="792"/>
      <c r="J16" s="791"/>
      <c r="K16" s="792"/>
      <c r="L16" s="791"/>
      <c r="M16" s="792"/>
    </row>
    <row r="17" spans="1:13" ht="3" customHeight="1" outlineLevel="1">
      <c r="C17" s="804"/>
      <c r="D17" s="805"/>
    </row>
    <row r="18" spans="1:13" ht="13.15" outlineLevel="1">
      <c r="A18" s="762"/>
      <c r="B18" s="796">
        <v>7</v>
      </c>
      <c r="C18" s="796">
        <v>1</v>
      </c>
      <c r="D18" s="797" t="s">
        <v>1557</v>
      </c>
      <c r="E18" s="798"/>
      <c r="F18" s="801"/>
      <c r="G18" s="801"/>
      <c r="H18" s="801"/>
      <c r="I18" s="801"/>
      <c r="J18" s="801"/>
      <c r="K18" s="801"/>
      <c r="L18" s="801"/>
      <c r="M18" s="801"/>
    </row>
    <row r="19" spans="1:13" ht="13.15" outlineLevel="2">
      <c r="A19" s="762"/>
      <c r="B19" s="822" t="s">
        <v>1558</v>
      </c>
      <c r="C19" s="808">
        <v>1</v>
      </c>
      <c r="D19" s="790" t="s">
        <v>355</v>
      </c>
      <c r="E19" s="762"/>
      <c r="F19" s="799">
        <v>-1</v>
      </c>
      <c r="G19" s="809"/>
      <c r="H19" s="799">
        <v>-1</v>
      </c>
      <c r="I19" s="809"/>
      <c r="J19" s="820">
        <v>-1</v>
      </c>
      <c r="K19" s="809"/>
      <c r="L19" s="799"/>
      <c r="M19" s="809"/>
    </row>
    <row r="20" spans="1:13" ht="13.15" outlineLevel="2">
      <c r="A20" s="762"/>
      <c r="B20" s="822" t="s">
        <v>1559</v>
      </c>
      <c r="C20" s="808">
        <v>2</v>
      </c>
      <c r="D20" s="790" t="s">
        <v>356</v>
      </c>
      <c r="E20" s="762"/>
      <c r="F20" s="799">
        <v>-1</v>
      </c>
      <c r="G20" s="809"/>
      <c r="H20" s="799">
        <v>-1</v>
      </c>
      <c r="I20" s="809"/>
      <c r="J20" s="799"/>
      <c r="K20" s="809"/>
      <c r="L20" s="799"/>
      <c r="M20" s="809"/>
    </row>
    <row r="21" spans="1:13" ht="13.15" outlineLevel="2">
      <c r="A21" s="762"/>
      <c r="B21" s="822" t="s">
        <v>1560</v>
      </c>
      <c r="C21" s="808">
        <v>3</v>
      </c>
      <c r="D21" s="790" t="s">
        <v>357</v>
      </c>
      <c r="E21" s="762"/>
      <c r="F21" s="799">
        <v>-1</v>
      </c>
      <c r="G21" s="809"/>
      <c r="H21" s="820"/>
      <c r="I21" s="809"/>
      <c r="J21" s="799"/>
      <c r="K21" s="809"/>
      <c r="L21" s="799"/>
      <c r="M21" s="809"/>
    </row>
    <row r="22" spans="1:13" ht="13.15" outlineLevel="2">
      <c r="A22" s="762"/>
      <c r="B22" s="822" t="s">
        <v>1561</v>
      </c>
      <c r="C22" s="808">
        <v>4</v>
      </c>
      <c r="D22" s="790" t="s">
        <v>445</v>
      </c>
      <c r="E22" s="762"/>
      <c r="F22" s="799">
        <v>-1</v>
      </c>
      <c r="G22" s="809"/>
      <c r="H22" s="820">
        <v>-1</v>
      </c>
      <c r="I22" s="809"/>
      <c r="J22" s="799">
        <v>-1</v>
      </c>
      <c r="K22" s="809"/>
      <c r="L22" s="799"/>
      <c r="M22" s="809"/>
    </row>
    <row r="23" spans="1:13" ht="13.15" outlineLevel="2">
      <c r="A23" s="762"/>
      <c r="B23" s="822" t="s">
        <v>1562</v>
      </c>
      <c r="C23" s="808">
        <v>5</v>
      </c>
      <c r="D23" s="790" t="s">
        <v>444</v>
      </c>
      <c r="E23" s="762"/>
      <c r="F23" s="799">
        <v>-1</v>
      </c>
      <c r="G23" s="809"/>
      <c r="H23" s="799">
        <v>-1</v>
      </c>
      <c r="I23" s="809"/>
      <c r="J23" s="799"/>
      <c r="K23" s="809"/>
      <c r="L23" s="799"/>
      <c r="M23" s="809"/>
    </row>
    <row r="24" spans="1:13" ht="13.15" outlineLevel="2">
      <c r="A24" s="762"/>
      <c r="B24" s="822" t="s">
        <v>1563</v>
      </c>
      <c r="C24" s="808">
        <v>6</v>
      </c>
      <c r="D24" s="790" t="s">
        <v>1564</v>
      </c>
      <c r="E24" s="762"/>
      <c r="F24" s="799">
        <v>-1</v>
      </c>
      <c r="G24" s="809"/>
      <c r="H24" s="799">
        <v>-1</v>
      </c>
      <c r="I24" s="809"/>
      <c r="J24" s="820"/>
      <c r="K24" s="809"/>
      <c r="L24" s="799"/>
      <c r="M24" s="809"/>
    </row>
    <row r="25" spans="1:13" ht="13.15" outlineLevel="2">
      <c r="A25" s="762"/>
      <c r="B25" s="822" t="s">
        <v>1565</v>
      </c>
      <c r="C25" s="808">
        <v>7</v>
      </c>
      <c r="D25" s="790" t="s">
        <v>109</v>
      </c>
      <c r="E25" s="762"/>
      <c r="F25" s="799">
        <v>-1</v>
      </c>
      <c r="G25" s="809"/>
      <c r="H25" s="799"/>
      <c r="I25" s="809"/>
      <c r="J25" s="799">
        <v>-1</v>
      </c>
      <c r="K25" s="809"/>
      <c r="L25" s="799"/>
      <c r="M25" s="809"/>
    </row>
    <row r="26" spans="1:13" ht="13.15" outlineLevel="2">
      <c r="A26" s="762"/>
      <c r="B26" s="822" t="s">
        <v>1566</v>
      </c>
      <c r="C26" s="808">
        <v>8</v>
      </c>
      <c r="D26" s="790" t="s">
        <v>113</v>
      </c>
      <c r="E26" s="762"/>
      <c r="F26" s="799">
        <v>-1</v>
      </c>
      <c r="G26" s="809"/>
      <c r="H26" s="799">
        <v>-1</v>
      </c>
      <c r="I26" s="809"/>
      <c r="J26" s="799">
        <v>-1</v>
      </c>
      <c r="K26" s="809"/>
      <c r="L26" s="799"/>
      <c r="M26" s="809"/>
    </row>
    <row r="27" spans="1:13" ht="13.15" outlineLevel="2">
      <c r="A27" s="762"/>
      <c r="B27" s="822" t="s">
        <v>1567</v>
      </c>
      <c r="C27" s="808">
        <v>9</v>
      </c>
      <c r="D27" s="790" t="s">
        <v>114</v>
      </c>
      <c r="E27" s="762"/>
      <c r="F27" s="799">
        <v>-1</v>
      </c>
      <c r="G27" s="809"/>
      <c r="H27" s="799">
        <v>-1</v>
      </c>
      <c r="I27" s="809"/>
      <c r="J27" s="799">
        <v>-1</v>
      </c>
      <c r="K27" s="809"/>
      <c r="L27" s="799"/>
      <c r="M27" s="809"/>
    </row>
    <row r="28" spans="1:13" ht="13.15" outlineLevel="2">
      <c r="A28" s="762"/>
      <c r="B28" s="822" t="s">
        <v>1568</v>
      </c>
      <c r="C28" s="808">
        <v>10</v>
      </c>
      <c r="D28" s="790" t="s">
        <v>115</v>
      </c>
      <c r="E28" s="762"/>
      <c r="F28" s="799">
        <v>-1</v>
      </c>
      <c r="G28" s="809"/>
      <c r="H28" s="799"/>
      <c r="I28" s="809"/>
      <c r="J28" s="799"/>
      <c r="K28" s="809"/>
      <c r="L28" s="799"/>
      <c r="M28" s="809"/>
    </row>
    <row r="29" spans="1:13" ht="13.15" outlineLevel="1">
      <c r="A29" s="762"/>
      <c r="B29" s="796">
        <v>8</v>
      </c>
      <c r="C29" s="796">
        <v>2</v>
      </c>
      <c r="D29" s="797" t="s">
        <v>1569</v>
      </c>
      <c r="E29" s="798"/>
      <c r="F29" s="801"/>
      <c r="G29" s="801"/>
      <c r="H29" s="801"/>
      <c r="I29" s="801"/>
      <c r="J29" s="801"/>
      <c r="K29" s="801"/>
      <c r="L29" s="801"/>
      <c r="M29" s="801"/>
    </row>
    <row r="30" spans="1:13" ht="13.15" outlineLevel="2">
      <c r="A30" s="762"/>
      <c r="B30" s="822" t="s">
        <v>1570</v>
      </c>
      <c r="C30" s="808">
        <v>1</v>
      </c>
      <c r="D30" s="790" t="s">
        <v>355</v>
      </c>
      <c r="E30" s="762"/>
      <c r="F30" s="799">
        <v>-1</v>
      </c>
      <c r="G30" s="809"/>
      <c r="H30" s="799">
        <v>-1</v>
      </c>
      <c r="I30" s="809"/>
      <c r="J30" s="820">
        <v>-1</v>
      </c>
      <c r="K30" s="809"/>
      <c r="L30" s="799"/>
      <c r="M30" s="809"/>
    </row>
    <row r="31" spans="1:13" ht="13.15" outlineLevel="2">
      <c r="A31" s="762"/>
      <c r="B31" s="822" t="s">
        <v>1571</v>
      </c>
      <c r="C31" s="808">
        <v>2</v>
      </c>
      <c r="D31" s="790" t="s">
        <v>356</v>
      </c>
      <c r="E31" s="762"/>
      <c r="F31" s="799">
        <v>-1</v>
      </c>
      <c r="G31" s="809"/>
      <c r="H31" s="799">
        <v>-1</v>
      </c>
      <c r="I31" s="809"/>
      <c r="J31" s="799"/>
      <c r="K31" s="809"/>
      <c r="L31" s="799"/>
      <c r="M31" s="809"/>
    </row>
    <row r="32" spans="1:13" ht="13.15" outlineLevel="2">
      <c r="A32" s="762"/>
      <c r="B32" s="822" t="s">
        <v>1572</v>
      </c>
      <c r="C32" s="808">
        <v>3</v>
      </c>
      <c r="D32" s="790" t="s">
        <v>357</v>
      </c>
      <c r="E32" s="762"/>
      <c r="F32" s="799">
        <v>-1</v>
      </c>
      <c r="G32" s="809"/>
      <c r="H32" s="820"/>
      <c r="I32" s="809"/>
      <c r="J32" s="799"/>
      <c r="K32" s="809"/>
      <c r="L32" s="799"/>
      <c r="M32" s="809"/>
    </row>
    <row r="33" spans="1:13" ht="13.15" outlineLevel="2">
      <c r="A33" s="762"/>
      <c r="B33" s="822" t="s">
        <v>1573</v>
      </c>
      <c r="C33" s="808">
        <v>4</v>
      </c>
      <c r="D33" s="790" t="s">
        <v>445</v>
      </c>
      <c r="E33" s="762"/>
      <c r="F33" s="799">
        <v>-1</v>
      </c>
      <c r="G33" s="809"/>
      <c r="H33" s="820">
        <v>-1</v>
      </c>
      <c r="I33" s="809"/>
      <c r="J33" s="799">
        <v>-1</v>
      </c>
      <c r="K33" s="809"/>
      <c r="L33" s="799"/>
      <c r="M33" s="809"/>
    </row>
    <row r="34" spans="1:13" ht="13.15" outlineLevel="2">
      <c r="A34" s="762"/>
      <c r="B34" s="822" t="s">
        <v>1574</v>
      </c>
      <c r="C34" s="808">
        <v>5</v>
      </c>
      <c r="D34" s="790" t="s">
        <v>444</v>
      </c>
      <c r="E34" s="762"/>
      <c r="F34" s="799">
        <v>-1</v>
      </c>
      <c r="G34" s="809"/>
      <c r="H34" s="799">
        <v>-1</v>
      </c>
      <c r="I34" s="809"/>
      <c r="J34" s="799"/>
      <c r="K34" s="809"/>
      <c r="L34" s="799"/>
      <c r="M34" s="809"/>
    </row>
    <row r="35" spans="1:13" ht="13.15" outlineLevel="2">
      <c r="A35" s="762"/>
      <c r="B35" s="822" t="s">
        <v>1575</v>
      </c>
      <c r="C35" s="808">
        <v>6</v>
      </c>
      <c r="D35" s="790" t="s">
        <v>1564</v>
      </c>
      <c r="E35" s="762"/>
      <c r="F35" s="799">
        <v>-1</v>
      </c>
      <c r="G35" s="809"/>
      <c r="H35" s="799">
        <v>-1</v>
      </c>
      <c r="I35" s="809"/>
      <c r="J35" s="820"/>
      <c r="K35" s="809"/>
      <c r="L35" s="799"/>
      <c r="M35" s="809"/>
    </row>
    <row r="36" spans="1:13" ht="13.15" outlineLevel="2">
      <c r="A36" s="762"/>
      <c r="B36" s="822" t="s">
        <v>1576</v>
      </c>
      <c r="C36" s="808">
        <v>7</v>
      </c>
      <c r="D36" s="790" t="s">
        <v>109</v>
      </c>
      <c r="E36" s="762"/>
      <c r="F36" s="799">
        <v>-1</v>
      </c>
      <c r="G36" s="809"/>
      <c r="H36" s="799"/>
      <c r="I36" s="809"/>
      <c r="J36" s="799">
        <v>-1</v>
      </c>
      <c r="K36" s="809"/>
      <c r="L36" s="799"/>
      <c r="M36" s="809"/>
    </row>
    <row r="37" spans="1:13" ht="13.15" outlineLevel="2">
      <c r="A37" s="762"/>
      <c r="B37" s="822" t="s">
        <v>1577</v>
      </c>
      <c r="C37" s="808">
        <v>8</v>
      </c>
      <c r="D37" s="790" t="s">
        <v>113</v>
      </c>
      <c r="E37" s="762"/>
      <c r="F37" s="799">
        <v>-1</v>
      </c>
      <c r="G37" s="809"/>
      <c r="H37" s="799">
        <v>-1</v>
      </c>
      <c r="I37" s="809"/>
      <c r="J37" s="799">
        <v>-1</v>
      </c>
      <c r="K37" s="809"/>
      <c r="L37" s="799"/>
      <c r="M37" s="809"/>
    </row>
    <row r="38" spans="1:13" ht="13.15" outlineLevel="2">
      <c r="A38" s="762"/>
      <c r="B38" s="822" t="s">
        <v>1578</v>
      </c>
      <c r="C38" s="808">
        <v>9</v>
      </c>
      <c r="D38" s="790" t="s">
        <v>114</v>
      </c>
      <c r="E38" s="762"/>
      <c r="F38" s="799">
        <v>-1</v>
      </c>
      <c r="G38" s="809"/>
      <c r="H38" s="799">
        <v>-1</v>
      </c>
      <c r="I38" s="809"/>
      <c r="J38" s="799">
        <v>-1</v>
      </c>
      <c r="K38" s="809"/>
      <c r="L38" s="799"/>
      <c r="M38" s="809"/>
    </row>
    <row r="39" spans="1:13" ht="13.15" outlineLevel="2">
      <c r="A39" s="762"/>
      <c r="B39" s="822" t="s">
        <v>1579</v>
      </c>
      <c r="C39" s="808">
        <v>10</v>
      </c>
      <c r="D39" s="790" t="s">
        <v>115</v>
      </c>
      <c r="E39" s="762"/>
      <c r="F39" s="799">
        <v>-1</v>
      </c>
      <c r="G39" s="809"/>
      <c r="H39" s="799"/>
      <c r="I39" s="809"/>
      <c r="J39" s="799"/>
      <c r="K39" s="809"/>
      <c r="L39" s="799"/>
      <c r="M39" s="809"/>
    </row>
    <row r="40" spans="1:13" ht="13.15" outlineLevel="1">
      <c r="A40" s="762"/>
      <c r="B40" s="796">
        <v>9</v>
      </c>
      <c r="C40" s="796">
        <v>3</v>
      </c>
      <c r="D40" s="797" t="s">
        <v>1580</v>
      </c>
      <c r="E40" s="798"/>
      <c r="F40" s="801"/>
      <c r="G40" s="801"/>
      <c r="H40" s="801"/>
      <c r="I40" s="801"/>
      <c r="J40" s="801"/>
      <c r="K40" s="801"/>
      <c r="L40" s="801"/>
      <c r="M40" s="801"/>
    </row>
    <row r="41" spans="1:13" ht="13.15" outlineLevel="2">
      <c r="A41" s="762"/>
      <c r="B41" s="822" t="s">
        <v>1581</v>
      </c>
      <c r="C41" s="808">
        <v>1</v>
      </c>
      <c r="D41" s="790" t="s">
        <v>355</v>
      </c>
      <c r="E41" s="762"/>
      <c r="F41" s="799">
        <v>-1</v>
      </c>
      <c r="G41" s="809"/>
      <c r="H41" s="799">
        <v>-1</v>
      </c>
      <c r="I41" s="809"/>
      <c r="J41" s="820">
        <v>-1</v>
      </c>
      <c r="K41" s="809"/>
      <c r="L41" s="799"/>
      <c r="M41" s="809"/>
    </row>
    <row r="42" spans="1:13" ht="13.15" outlineLevel="2">
      <c r="A42" s="762"/>
      <c r="B42" s="822" t="s">
        <v>1582</v>
      </c>
      <c r="C42" s="808">
        <v>2</v>
      </c>
      <c r="D42" s="790" t="s">
        <v>356</v>
      </c>
      <c r="E42" s="762"/>
      <c r="F42" s="799">
        <v>-1</v>
      </c>
      <c r="G42" s="809"/>
      <c r="H42" s="799">
        <v>-1</v>
      </c>
      <c r="I42" s="809"/>
      <c r="J42" s="799"/>
      <c r="K42" s="809"/>
      <c r="L42" s="799"/>
      <c r="M42" s="809"/>
    </row>
    <row r="43" spans="1:13" ht="13.15" outlineLevel="2">
      <c r="A43" s="762"/>
      <c r="B43" s="822" t="s">
        <v>1583</v>
      </c>
      <c r="C43" s="808">
        <v>3</v>
      </c>
      <c r="D43" s="790" t="s">
        <v>357</v>
      </c>
      <c r="E43" s="762"/>
      <c r="F43" s="799">
        <v>-1</v>
      </c>
      <c r="G43" s="809"/>
      <c r="H43" s="820"/>
      <c r="I43" s="809"/>
      <c r="J43" s="799"/>
      <c r="K43" s="809"/>
      <c r="L43" s="799"/>
      <c r="M43" s="809"/>
    </row>
    <row r="44" spans="1:13" ht="13.15" outlineLevel="2">
      <c r="A44" s="762"/>
      <c r="B44" s="822" t="s">
        <v>1584</v>
      </c>
      <c r="C44" s="808">
        <v>4</v>
      </c>
      <c r="D44" s="790" t="s">
        <v>445</v>
      </c>
      <c r="E44" s="762"/>
      <c r="F44" s="799">
        <v>-1</v>
      </c>
      <c r="G44" s="809"/>
      <c r="H44" s="820">
        <v>-1</v>
      </c>
      <c r="I44" s="809"/>
      <c r="J44" s="799">
        <v>-1</v>
      </c>
      <c r="K44" s="809"/>
      <c r="L44" s="799"/>
      <c r="M44" s="809"/>
    </row>
    <row r="45" spans="1:13" ht="13.15" outlineLevel="2">
      <c r="A45" s="762"/>
      <c r="B45" s="822" t="s">
        <v>1585</v>
      </c>
      <c r="C45" s="808">
        <v>5</v>
      </c>
      <c r="D45" s="790" t="s">
        <v>444</v>
      </c>
      <c r="E45" s="762"/>
      <c r="F45" s="799">
        <v>-1</v>
      </c>
      <c r="G45" s="809"/>
      <c r="H45" s="799">
        <v>-1</v>
      </c>
      <c r="I45" s="809"/>
      <c r="J45" s="799"/>
      <c r="K45" s="809"/>
      <c r="L45" s="799"/>
      <c r="M45" s="809"/>
    </row>
    <row r="46" spans="1:13" ht="13.15" outlineLevel="2">
      <c r="A46" s="762"/>
      <c r="B46" s="822" t="s">
        <v>1586</v>
      </c>
      <c r="C46" s="808">
        <v>6</v>
      </c>
      <c r="D46" s="790" t="s">
        <v>1564</v>
      </c>
      <c r="E46" s="762"/>
      <c r="F46" s="799">
        <v>-1</v>
      </c>
      <c r="G46" s="809"/>
      <c r="H46" s="799">
        <v>-1</v>
      </c>
      <c r="I46" s="809"/>
      <c r="J46" s="820"/>
      <c r="K46" s="809"/>
      <c r="L46" s="799"/>
      <c r="M46" s="809"/>
    </row>
    <row r="47" spans="1:13" ht="13.15" outlineLevel="2">
      <c r="A47" s="762"/>
      <c r="B47" s="822" t="s">
        <v>1587</v>
      </c>
      <c r="C47" s="808">
        <v>7</v>
      </c>
      <c r="D47" s="790" t="s">
        <v>109</v>
      </c>
      <c r="E47" s="762"/>
      <c r="F47" s="799">
        <v>-1</v>
      </c>
      <c r="G47" s="809"/>
      <c r="H47" s="799"/>
      <c r="I47" s="809"/>
      <c r="J47" s="799">
        <v>-1</v>
      </c>
      <c r="K47" s="809"/>
      <c r="L47" s="799"/>
      <c r="M47" s="809"/>
    </row>
    <row r="48" spans="1:13" ht="13.15" outlineLevel="2">
      <c r="A48" s="762"/>
      <c r="B48" s="822" t="s">
        <v>1588</v>
      </c>
      <c r="C48" s="808">
        <v>8</v>
      </c>
      <c r="D48" s="790" t="s">
        <v>113</v>
      </c>
      <c r="E48" s="762"/>
      <c r="F48" s="799">
        <v>-1</v>
      </c>
      <c r="G48" s="809"/>
      <c r="H48" s="799">
        <v>-1</v>
      </c>
      <c r="I48" s="809"/>
      <c r="J48" s="799">
        <v>-1</v>
      </c>
      <c r="K48" s="809"/>
      <c r="L48" s="799"/>
      <c r="M48" s="809"/>
    </row>
    <row r="49" spans="1:13" ht="13.15" outlineLevel="2">
      <c r="A49" s="762"/>
      <c r="B49" s="822" t="s">
        <v>1589</v>
      </c>
      <c r="C49" s="808">
        <v>9</v>
      </c>
      <c r="D49" s="790" t="s">
        <v>114</v>
      </c>
      <c r="E49" s="762"/>
      <c r="F49" s="799">
        <v>-1</v>
      </c>
      <c r="G49" s="809"/>
      <c r="H49" s="799">
        <v>-1</v>
      </c>
      <c r="I49" s="809"/>
      <c r="J49" s="799">
        <v>-1</v>
      </c>
      <c r="K49" s="809"/>
      <c r="L49" s="799"/>
      <c r="M49" s="809"/>
    </row>
    <row r="50" spans="1:13" ht="13.15" outlineLevel="2">
      <c r="A50" s="762"/>
      <c r="B50" s="822" t="s">
        <v>1590</v>
      </c>
      <c r="C50" s="808">
        <v>10</v>
      </c>
      <c r="D50" s="790" t="s">
        <v>115</v>
      </c>
      <c r="E50" s="762"/>
      <c r="F50" s="799">
        <v>-1</v>
      </c>
      <c r="G50" s="809"/>
      <c r="H50" s="799"/>
      <c r="I50" s="809"/>
      <c r="J50" s="799"/>
      <c r="K50" s="809"/>
      <c r="L50" s="799"/>
      <c r="M50" s="809"/>
    </row>
    <row r="51" spans="1:13" ht="13.15" outlineLevel="1">
      <c r="A51" s="762"/>
      <c r="B51" s="796">
        <v>10</v>
      </c>
      <c r="C51" s="796">
        <v>4</v>
      </c>
      <c r="D51" s="797" t="s">
        <v>1591</v>
      </c>
      <c r="E51" s="798"/>
      <c r="F51" s="801"/>
      <c r="G51" s="801"/>
      <c r="H51" s="801"/>
      <c r="I51" s="801"/>
      <c r="J51" s="801"/>
      <c r="K51" s="801"/>
      <c r="L51" s="801"/>
      <c r="M51" s="801"/>
    </row>
    <row r="52" spans="1:13" ht="13.15" outlineLevel="2">
      <c r="A52" s="762"/>
      <c r="B52" s="822" t="s">
        <v>1592</v>
      </c>
      <c r="C52" s="808">
        <v>1</v>
      </c>
      <c r="D52" s="790" t="s">
        <v>355</v>
      </c>
      <c r="E52" s="762"/>
      <c r="F52" s="799">
        <v>-1</v>
      </c>
      <c r="G52" s="809"/>
      <c r="H52" s="799">
        <v>-1</v>
      </c>
      <c r="I52" s="809"/>
      <c r="J52" s="820">
        <v>-1</v>
      </c>
      <c r="K52" s="809"/>
      <c r="L52" s="799"/>
      <c r="M52" s="809"/>
    </row>
    <row r="53" spans="1:13" ht="13.15" outlineLevel="2">
      <c r="A53" s="762"/>
      <c r="B53" s="822" t="s">
        <v>1593</v>
      </c>
      <c r="C53" s="808">
        <v>2</v>
      </c>
      <c r="D53" s="790" t="s">
        <v>356</v>
      </c>
      <c r="E53" s="762"/>
      <c r="F53" s="799">
        <v>-1</v>
      </c>
      <c r="G53" s="809"/>
      <c r="H53" s="799">
        <v>-1</v>
      </c>
      <c r="I53" s="809"/>
      <c r="J53" s="799"/>
      <c r="K53" s="809"/>
      <c r="L53" s="799"/>
      <c r="M53" s="809"/>
    </row>
    <row r="54" spans="1:13" ht="13.15" outlineLevel="2">
      <c r="A54" s="762"/>
      <c r="B54" s="822" t="s">
        <v>1594</v>
      </c>
      <c r="C54" s="808">
        <v>3</v>
      </c>
      <c r="D54" s="790" t="s">
        <v>357</v>
      </c>
      <c r="E54" s="762"/>
      <c r="F54" s="799">
        <v>-1</v>
      </c>
      <c r="G54" s="809"/>
      <c r="H54" s="820"/>
      <c r="I54" s="809"/>
      <c r="J54" s="799"/>
      <c r="K54" s="809"/>
      <c r="L54" s="799"/>
      <c r="M54" s="809"/>
    </row>
    <row r="55" spans="1:13" ht="13.15" outlineLevel="2">
      <c r="A55" s="762"/>
      <c r="B55" s="822" t="s">
        <v>1595</v>
      </c>
      <c r="C55" s="808">
        <v>4</v>
      </c>
      <c r="D55" s="790" t="s">
        <v>445</v>
      </c>
      <c r="E55" s="762"/>
      <c r="F55" s="799">
        <v>-1</v>
      </c>
      <c r="G55" s="809"/>
      <c r="H55" s="820">
        <v>-1</v>
      </c>
      <c r="I55" s="809"/>
      <c r="J55" s="799">
        <v>-1</v>
      </c>
      <c r="K55" s="809"/>
      <c r="L55" s="799"/>
      <c r="M55" s="809"/>
    </row>
    <row r="56" spans="1:13" ht="13.15" outlineLevel="2">
      <c r="A56" s="762"/>
      <c r="B56" s="822" t="s">
        <v>1596</v>
      </c>
      <c r="C56" s="808">
        <v>5</v>
      </c>
      <c r="D56" s="790" t="s">
        <v>444</v>
      </c>
      <c r="E56" s="762"/>
      <c r="F56" s="799">
        <v>-1</v>
      </c>
      <c r="G56" s="809"/>
      <c r="H56" s="799">
        <v>-1</v>
      </c>
      <c r="I56" s="809"/>
      <c r="J56" s="799"/>
      <c r="K56" s="809"/>
      <c r="L56" s="799"/>
      <c r="M56" s="809"/>
    </row>
    <row r="57" spans="1:13" ht="13.15" outlineLevel="2">
      <c r="A57" s="762"/>
      <c r="B57" s="822" t="s">
        <v>1597</v>
      </c>
      <c r="C57" s="808">
        <v>6</v>
      </c>
      <c r="D57" s="790" t="s">
        <v>1564</v>
      </c>
      <c r="E57" s="762"/>
      <c r="F57" s="799">
        <v>-1</v>
      </c>
      <c r="G57" s="809"/>
      <c r="H57" s="799">
        <v>-1</v>
      </c>
      <c r="I57" s="809"/>
      <c r="J57" s="820"/>
      <c r="K57" s="809"/>
      <c r="L57" s="799"/>
      <c r="M57" s="809"/>
    </row>
    <row r="58" spans="1:13" ht="13.15" outlineLevel="2">
      <c r="A58" s="762"/>
      <c r="B58" s="822" t="s">
        <v>1598</v>
      </c>
      <c r="C58" s="808">
        <v>7</v>
      </c>
      <c r="D58" s="790" t="s">
        <v>109</v>
      </c>
      <c r="E58" s="762"/>
      <c r="F58" s="799">
        <v>-1</v>
      </c>
      <c r="G58" s="809"/>
      <c r="H58" s="799"/>
      <c r="I58" s="809"/>
      <c r="J58" s="799">
        <v>-1</v>
      </c>
      <c r="K58" s="809"/>
      <c r="L58" s="799"/>
      <c r="M58" s="809"/>
    </row>
    <row r="59" spans="1:13" ht="13.15" outlineLevel="2">
      <c r="A59" s="762"/>
      <c r="B59" s="822" t="s">
        <v>1599</v>
      </c>
      <c r="C59" s="808">
        <v>8</v>
      </c>
      <c r="D59" s="790" t="s">
        <v>113</v>
      </c>
      <c r="E59" s="762"/>
      <c r="F59" s="799">
        <v>-1</v>
      </c>
      <c r="G59" s="809"/>
      <c r="H59" s="799">
        <v>-1</v>
      </c>
      <c r="I59" s="809"/>
      <c r="J59" s="799">
        <v>-1</v>
      </c>
      <c r="K59" s="809"/>
      <c r="L59" s="799"/>
      <c r="M59" s="809"/>
    </row>
    <row r="60" spans="1:13" ht="13.15" outlineLevel="2">
      <c r="A60" s="762"/>
      <c r="B60" s="822" t="s">
        <v>1600</v>
      </c>
      <c r="C60" s="808">
        <v>9</v>
      </c>
      <c r="D60" s="790" t="s">
        <v>114</v>
      </c>
      <c r="E60" s="762"/>
      <c r="F60" s="799">
        <v>-1</v>
      </c>
      <c r="G60" s="809"/>
      <c r="H60" s="799">
        <v>-1</v>
      </c>
      <c r="I60" s="809"/>
      <c r="J60" s="799">
        <v>-1</v>
      </c>
      <c r="K60" s="809"/>
      <c r="L60" s="799"/>
      <c r="M60" s="809"/>
    </row>
    <row r="61" spans="1:13" ht="13.15" outlineLevel="2">
      <c r="A61" s="762"/>
      <c r="B61" s="822" t="s">
        <v>1601</v>
      </c>
      <c r="C61" s="808">
        <v>10</v>
      </c>
      <c r="D61" s="790" t="s">
        <v>115</v>
      </c>
      <c r="E61" s="762"/>
      <c r="F61" s="799">
        <v>-1</v>
      </c>
      <c r="G61" s="809"/>
      <c r="H61" s="799"/>
      <c r="I61" s="809"/>
      <c r="J61" s="799"/>
      <c r="K61" s="809"/>
      <c r="L61" s="799"/>
      <c r="M61" s="809"/>
    </row>
    <row r="62" spans="1:13" ht="13.15" outlineLevel="1">
      <c r="A62" s="762"/>
      <c r="B62" s="796">
        <v>11</v>
      </c>
      <c r="C62" s="796">
        <v>5</v>
      </c>
      <c r="D62" s="797" t="s">
        <v>1602</v>
      </c>
      <c r="E62" s="798"/>
      <c r="F62" s="801"/>
      <c r="G62" s="801"/>
      <c r="H62" s="801"/>
      <c r="I62" s="801"/>
      <c r="J62" s="801"/>
      <c r="K62" s="801"/>
      <c r="L62" s="801"/>
      <c r="M62" s="801"/>
    </row>
    <row r="63" spans="1:13" ht="13.15" outlineLevel="2">
      <c r="A63" s="762"/>
      <c r="B63" s="822" t="s">
        <v>1603</v>
      </c>
      <c r="C63" s="808">
        <v>1</v>
      </c>
      <c r="D63" s="790" t="s">
        <v>355</v>
      </c>
      <c r="E63" s="762"/>
      <c r="F63" s="799">
        <v>-1</v>
      </c>
      <c r="G63" s="809"/>
      <c r="H63" s="799">
        <v>-1</v>
      </c>
      <c r="I63" s="809"/>
      <c r="J63" s="820">
        <v>-1</v>
      </c>
      <c r="K63" s="809"/>
      <c r="L63" s="799"/>
      <c r="M63" s="809"/>
    </row>
    <row r="64" spans="1:13" ht="13.15" outlineLevel="2">
      <c r="A64" s="762"/>
      <c r="B64" s="822" t="s">
        <v>1604</v>
      </c>
      <c r="C64" s="808">
        <v>2</v>
      </c>
      <c r="D64" s="790" t="s">
        <v>356</v>
      </c>
      <c r="E64" s="762"/>
      <c r="F64" s="799">
        <v>-1</v>
      </c>
      <c r="G64" s="809"/>
      <c r="H64" s="799">
        <v>-1</v>
      </c>
      <c r="I64" s="809"/>
      <c r="J64" s="799"/>
      <c r="K64" s="809"/>
      <c r="L64" s="799"/>
      <c r="M64" s="809"/>
    </row>
    <row r="65" spans="1:13" ht="13.15" outlineLevel="2">
      <c r="A65" s="762"/>
      <c r="B65" s="822" t="s">
        <v>1605</v>
      </c>
      <c r="C65" s="808">
        <v>3</v>
      </c>
      <c r="D65" s="790" t="s">
        <v>357</v>
      </c>
      <c r="E65" s="762"/>
      <c r="F65" s="799">
        <v>-1</v>
      </c>
      <c r="G65" s="809"/>
      <c r="H65" s="820"/>
      <c r="I65" s="809"/>
      <c r="J65" s="799"/>
      <c r="K65" s="809"/>
      <c r="L65" s="799"/>
      <c r="M65" s="809"/>
    </row>
    <row r="66" spans="1:13" ht="13.15" outlineLevel="2">
      <c r="A66" s="762"/>
      <c r="B66" s="822" t="s">
        <v>1606</v>
      </c>
      <c r="C66" s="808">
        <v>4</v>
      </c>
      <c r="D66" s="790" t="s">
        <v>445</v>
      </c>
      <c r="E66" s="762"/>
      <c r="F66" s="799">
        <v>-1</v>
      </c>
      <c r="G66" s="809"/>
      <c r="H66" s="820">
        <v>-1</v>
      </c>
      <c r="I66" s="809"/>
      <c r="J66" s="799">
        <v>-1</v>
      </c>
      <c r="K66" s="809"/>
      <c r="L66" s="799"/>
      <c r="M66" s="809"/>
    </row>
    <row r="67" spans="1:13" ht="13.15" outlineLevel="2">
      <c r="A67" s="762"/>
      <c r="B67" s="822" t="s">
        <v>1607</v>
      </c>
      <c r="C67" s="808">
        <v>5</v>
      </c>
      <c r="D67" s="790" t="s">
        <v>444</v>
      </c>
      <c r="E67" s="762"/>
      <c r="F67" s="799">
        <v>-1</v>
      </c>
      <c r="G67" s="809"/>
      <c r="H67" s="799">
        <v>-1</v>
      </c>
      <c r="I67" s="809"/>
      <c r="J67" s="799"/>
      <c r="K67" s="809"/>
      <c r="L67" s="799"/>
      <c r="M67" s="809"/>
    </row>
    <row r="68" spans="1:13" ht="13.15" outlineLevel="2">
      <c r="A68" s="762"/>
      <c r="B68" s="822" t="s">
        <v>1608</v>
      </c>
      <c r="C68" s="808">
        <v>6</v>
      </c>
      <c r="D68" s="790" t="s">
        <v>1564</v>
      </c>
      <c r="E68" s="762"/>
      <c r="F68" s="799">
        <v>-1</v>
      </c>
      <c r="G68" s="809"/>
      <c r="H68" s="799">
        <v>-1</v>
      </c>
      <c r="I68" s="809"/>
      <c r="J68" s="820"/>
      <c r="K68" s="809"/>
      <c r="L68" s="799"/>
      <c r="M68" s="809"/>
    </row>
    <row r="69" spans="1:13" ht="13.15" outlineLevel="2">
      <c r="A69" s="762"/>
      <c r="B69" s="822" t="s">
        <v>1609</v>
      </c>
      <c r="C69" s="808">
        <v>7</v>
      </c>
      <c r="D69" s="790" t="s">
        <v>109</v>
      </c>
      <c r="E69" s="762"/>
      <c r="F69" s="799">
        <v>-1</v>
      </c>
      <c r="G69" s="809"/>
      <c r="H69" s="799"/>
      <c r="I69" s="809"/>
      <c r="J69" s="799">
        <v>-1</v>
      </c>
      <c r="K69" s="809"/>
      <c r="L69" s="799"/>
      <c r="M69" s="809"/>
    </row>
    <row r="70" spans="1:13" ht="13.15" outlineLevel="2">
      <c r="A70" s="762"/>
      <c r="B70" s="822" t="s">
        <v>1610</v>
      </c>
      <c r="C70" s="808">
        <v>8</v>
      </c>
      <c r="D70" s="790" t="s">
        <v>113</v>
      </c>
      <c r="E70" s="762"/>
      <c r="F70" s="799">
        <v>-1</v>
      </c>
      <c r="G70" s="809"/>
      <c r="H70" s="799">
        <v>-1</v>
      </c>
      <c r="I70" s="809"/>
      <c r="J70" s="799">
        <v>-1</v>
      </c>
      <c r="K70" s="809"/>
      <c r="L70" s="799"/>
      <c r="M70" s="809"/>
    </row>
    <row r="71" spans="1:13" ht="13.15" outlineLevel="2">
      <c r="A71" s="762"/>
      <c r="B71" s="822" t="s">
        <v>1611</v>
      </c>
      <c r="C71" s="808">
        <v>9</v>
      </c>
      <c r="D71" s="790" t="s">
        <v>114</v>
      </c>
      <c r="E71" s="762"/>
      <c r="F71" s="799">
        <v>-1</v>
      </c>
      <c r="G71" s="809"/>
      <c r="H71" s="799">
        <v>-1</v>
      </c>
      <c r="I71" s="809"/>
      <c r="J71" s="799">
        <v>-1</v>
      </c>
      <c r="K71" s="809"/>
      <c r="L71" s="799"/>
      <c r="M71" s="809"/>
    </row>
    <row r="72" spans="1:13" ht="13.15" outlineLevel="2">
      <c r="A72" s="762"/>
      <c r="B72" s="822" t="s">
        <v>1612</v>
      </c>
      <c r="C72" s="808">
        <v>10</v>
      </c>
      <c r="D72" s="790" t="s">
        <v>115</v>
      </c>
      <c r="E72" s="762"/>
      <c r="F72" s="799">
        <v>-1</v>
      </c>
      <c r="G72" s="809"/>
      <c r="H72" s="799"/>
      <c r="I72" s="809"/>
      <c r="J72" s="799"/>
      <c r="K72" s="809"/>
      <c r="L72" s="799"/>
      <c r="M72" s="809"/>
    </row>
    <row r="73" spans="1:13" ht="13.15" outlineLevel="1">
      <c r="A73" s="762"/>
      <c r="B73" s="796">
        <v>12</v>
      </c>
      <c r="C73" s="796">
        <v>6</v>
      </c>
      <c r="D73" s="797" t="s">
        <v>1613</v>
      </c>
      <c r="E73" s="798"/>
      <c r="F73" s="801"/>
      <c r="G73" s="801"/>
      <c r="H73" s="801"/>
      <c r="I73" s="801"/>
      <c r="J73" s="801"/>
      <c r="K73" s="801"/>
      <c r="L73" s="801"/>
      <c r="M73" s="801"/>
    </row>
    <row r="74" spans="1:13" ht="13.15" outlineLevel="2">
      <c r="A74" s="762"/>
      <c r="B74" s="822" t="s">
        <v>1614</v>
      </c>
      <c r="C74" s="808">
        <v>1</v>
      </c>
      <c r="D74" s="790" t="s">
        <v>355</v>
      </c>
      <c r="E74" s="762"/>
      <c r="F74" s="799">
        <v>-1</v>
      </c>
      <c r="G74" s="809"/>
      <c r="H74" s="799">
        <v>-1</v>
      </c>
      <c r="I74" s="809"/>
      <c r="J74" s="820">
        <v>-1</v>
      </c>
      <c r="K74" s="809"/>
      <c r="L74" s="799"/>
      <c r="M74" s="809"/>
    </row>
    <row r="75" spans="1:13" ht="13.15" outlineLevel="2">
      <c r="A75" s="762"/>
      <c r="B75" s="822" t="s">
        <v>1615</v>
      </c>
      <c r="C75" s="808">
        <v>2</v>
      </c>
      <c r="D75" s="790" t="s">
        <v>356</v>
      </c>
      <c r="E75" s="762"/>
      <c r="F75" s="799">
        <v>-1</v>
      </c>
      <c r="G75" s="809"/>
      <c r="H75" s="799">
        <v>-1</v>
      </c>
      <c r="I75" s="809"/>
      <c r="J75" s="799"/>
      <c r="K75" s="809"/>
      <c r="L75" s="799"/>
      <c r="M75" s="809"/>
    </row>
    <row r="76" spans="1:13" ht="13.15" outlineLevel="2">
      <c r="A76" s="762"/>
      <c r="B76" s="822" t="s">
        <v>1616</v>
      </c>
      <c r="C76" s="808">
        <v>3</v>
      </c>
      <c r="D76" s="790" t="s">
        <v>357</v>
      </c>
      <c r="E76" s="762"/>
      <c r="F76" s="799">
        <v>-1</v>
      </c>
      <c r="G76" s="809"/>
      <c r="H76" s="820"/>
      <c r="I76" s="809"/>
      <c r="J76" s="799"/>
      <c r="K76" s="809"/>
      <c r="L76" s="799"/>
      <c r="M76" s="809"/>
    </row>
    <row r="77" spans="1:13" ht="13.15" outlineLevel="2">
      <c r="A77" s="762"/>
      <c r="B77" s="822" t="s">
        <v>1617</v>
      </c>
      <c r="C77" s="808">
        <v>4</v>
      </c>
      <c r="D77" s="790" t="s">
        <v>445</v>
      </c>
      <c r="E77" s="762"/>
      <c r="F77" s="799">
        <v>-1</v>
      </c>
      <c r="G77" s="809"/>
      <c r="H77" s="820">
        <v>-1</v>
      </c>
      <c r="I77" s="809"/>
      <c r="J77" s="799">
        <v>-1</v>
      </c>
      <c r="K77" s="809"/>
      <c r="L77" s="799"/>
      <c r="M77" s="809"/>
    </row>
    <row r="78" spans="1:13" ht="13.15" outlineLevel="2">
      <c r="A78" s="762"/>
      <c r="B78" s="822" t="s">
        <v>1618</v>
      </c>
      <c r="C78" s="808">
        <v>5</v>
      </c>
      <c r="D78" s="790" t="s">
        <v>444</v>
      </c>
      <c r="E78" s="762"/>
      <c r="F78" s="799">
        <v>-1</v>
      </c>
      <c r="G78" s="809"/>
      <c r="H78" s="799">
        <v>-1</v>
      </c>
      <c r="I78" s="809"/>
      <c r="J78" s="799"/>
      <c r="K78" s="809"/>
      <c r="L78" s="799"/>
      <c r="M78" s="809"/>
    </row>
    <row r="79" spans="1:13" ht="13.15" outlineLevel="2">
      <c r="A79" s="762"/>
      <c r="B79" s="822" t="s">
        <v>1619</v>
      </c>
      <c r="C79" s="808">
        <v>6</v>
      </c>
      <c r="D79" s="790" t="s">
        <v>1564</v>
      </c>
      <c r="E79" s="762"/>
      <c r="F79" s="799">
        <v>-1</v>
      </c>
      <c r="G79" s="809"/>
      <c r="H79" s="799">
        <v>-1</v>
      </c>
      <c r="I79" s="809"/>
      <c r="J79" s="820"/>
      <c r="K79" s="809"/>
      <c r="L79" s="799"/>
      <c r="M79" s="809"/>
    </row>
    <row r="80" spans="1:13" ht="13.15" outlineLevel="2">
      <c r="A80" s="762"/>
      <c r="B80" s="822" t="s">
        <v>1620</v>
      </c>
      <c r="C80" s="808">
        <v>7</v>
      </c>
      <c r="D80" s="790" t="s">
        <v>109</v>
      </c>
      <c r="E80" s="762"/>
      <c r="F80" s="799">
        <v>-1</v>
      </c>
      <c r="G80" s="809"/>
      <c r="H80" s="799"/>
      <c r="I80" s="809"/>
      <c r="J80" s="799">
        <v>-1</v>
      </c>
      <c r="K80" s="809"/>
      <c r="L80" s="799"/>
      <c r="M80" s="809"/>
    </row>
    <row r="81" spans="1:13" ht="13.15" outlineLevel="2">
      <c r="A81" s="762"/>
      <c r="B81" s="822" t="s">
        <v>1621</v>
      </c>
      <c r="C81" s="808">
        <v>8</v>
      </c>
      <c r="D81" s="790" t="s">
        <v>113</v>
      </c>
      <c r="E81" s="762"/>
      <c r="F81" s="799">
        <v>-1</v>
      </c>
      <c r="G81" s="809"/>
      <c r="H81" s="799">
        <v>-1</v>
      </c>
      <c r="I81" s="809"/>
      <c r="J81" s="799">
        <v>-1</v>
      </c>
      <c r="K81" s="809"/>
      <c r="L81" s="799"/>
      <c r="M81" s="809"/>
    </row>
    <row r="82" spans="1:13" ht="13.15" outlineLevel="2">
      <c r="A82" s="762"/>
      <c r="B82" s="822" t="s">
        <v>1622</v>
      </c>
      <c r="C82" s="808">
        <v>9</v>
      </c>
      <c r="D82" s="790" t="s">
        <v>114</v>
      </c>
      <c r="E82" s="762"/>
      <c r="F82" s="799">
        <v>-1</v>
      </c>
      <c r="G82" s="809"/>
      <c r="H82" s="799">
        <v>-1</v>
      </c>
      <c r="I82" s="809"/>
      <c r="J82" s="799">
        <v>-1</v>
      </c>
      <c r="K82" s="809"/>
      <c r="L82" s="799"/>
      <c r="M82" s="809"/>
    </row>
    <row r="83" spans="1:13" ht="13.15" outlineLevel="2">
      <c r="A83" s="762"/>
      <c r="B83" s="822" t="s">
        <v>1623</v>
      </c>
      <c r="C83" s="808">
        <v>10</v>
      </c>
      <c r="D83" s="790" t="s">
        <v>115</v>
      </c>
      <c r="E83" s="762"/>
      <c r="F83" s="799">
        <v>-1</v>
      </c>
      <c r="G83" s="809"/>
      <c r="H83" s="799"/>
      <c r="I83" s="809"/>
      <c r="J83" s="799"/>
      <c r="K83" s="809"/>
      <c r="L83" s="799"/>
      <c r="M83" s="809"/>
    </row>
    <row r="84" spans="1:13" ht="13.15" outlineLevel="1">
      <c r="A84" s="762"/>
      <c r="B84" s="796">
        <v>13</v>
      </c>
      <c r="C84" s="796">
        <v>7</v>
      </c>
      <c r="D84" s="797" t="s">
        <v>1624</v>
      </c>
      <c r="E84" s="798"/>
      <c r="F84" s="801"/>
      <c r="G84" s="801"/>
      <c r="H84" s="801"/>
      <c r="I84" s="801"/>
      <c r="J84" s="801"/>
      <c r="K84" s="801"/>
      <c r="L84" s="801"/>
      <c r="M84" s="801"/>
    </row>
    <row r="85" spans="1:13" ht="13.15" outlineLevel="2">
      <c r="A85" s="762" t="str">
        <f>"Amenities &amp; Facilities - "&amp;D85</f>
        <v>Amenities &amp; Facilities - Earthwork</v>
      </c>
      <c r="B85" s="822" t="s">
        <v>1625</v>
      </c>
      <c r="C85" s="808">
        <v>1</v>
      </c>
      <c r="D85" s="811" t="s">
        <v>1626</v>
      </c>
      <c r="E85" s="762"/>
      <c r="F85" s="799"/>
      <c r="G85" s="809"/>
      <c r="H85" s="799">
        <v>-1</v>
      </c>
      <c r="I85" s="809"/>
      <c r="J85" s="799"/>
      <c r="K85" s="809"/>
      <c r="L85" s="820"/>
      <c r="M85" s="809"/>
    </row>
    <row r="86" spans="1:13" ht="13.15" outlineLevel="2">
      <c r="A86" s="762" t="str">
        <f t="shared" ref="A86:A89" si="0">"Amenities &amp; Facilities - "&amp;D86</f>
        <v>Amenities &amp; Facilities - Foundations &amp; Grade Slab</v>
      </c>
      <c r="B86" s="822" t="s">
        <v>1627</v>
      </c>
      <c r="C86" s="808">
        <v>2</v>
      </c>
      <c r="D86" s="811" t="s">
        <v>1068</v>
      </c>
      <c r="E86" s="762"/>
      <c r="F86" s="799">
        <v>-1</v>
      </c>
      <c r="G86" s="809"/>
      <c r="H86" s="799">
        <v>-1</v>
      </c>
      <c r="I86" s="809"/>
      <c r="J86" s="799">
        <v>-1</v>
      </c>
      <c r="K86" s="809"/>
      <c r="L86" s="799"/>
      <c r="M86" s="809"/>
    </row>
    <row r="87" spans="1:13" s="814" customFormat="1" ht="13.15" outlineLevel="2">
      <c r="A87" s="762" t="str">
        <f t="shared" si="0"/>
        <v xml:space="preserve">Amenities &amp; Facilities - Parking Level Slab - Sub grade </v>
      </c>
      <c r="B87" s="822" t="s">
        <v>1628</v>
      </c>
      <c r="C87" s="808">
        <v>3</v>
      </c>
      <c r="D87" s="811" t="s">
        <v>1629</v>
      </c>
      <c r="E87" s="812"/>
      <c r="F87" s="799">
        <v>-1</v>
      </c>
      <c r="G87" s="813"/>
      <c r="H87" s="799">
        <v>-1</v>
      </c>
      <c r="I87" s="813"/>
      <c r="J87" s="799">
        <v>-1</v>
      </c>
      <c r="K87" s="813"/>
      <c r="L87" s="799"/>
      <c r="M87" s="813"/>
    </row>
    <row r="88" spans="1:13" ht="13.15" outlineLevel="2">
      <c r="A88" s="762" t="str">
        <f t="shared" si="0"/>
        <v>Amenities &amp; Facilities - Podium Slab</v>
      </c>
      <c r="B88" s="822" t="s">
        <v>1630</v>
      </c>
      <c r="C88" s="808">
        <v>4</v>
      </c>
      <c r="D88" s="811" t="s">
        <v>1070</v>
      </c>
      <c r="E88" s="762"/>
      <c r="F88" s="799">
        <v>-1</v>
      </c>
      <c r="G88" s="809"/>
      <c r="H88" s="799">
        <v>-1</v>
      </c>
      <c r="I88" s="809"/>
      <c r="J88" s="799">
        <v>-1</v>
      </c>
      <c r="K88" s="809"/>
      <c r="L88" s="799"/>
      <c r="M88" s="809"/>
    </row>
    <row r="89" spans="1:13" s="814" customFormat="1" ht="13.15" outlineLevel="2">
      <c r="A89" s="762" t="str">
        <f t="shared" si="0"/>
        <v>Amenities &amp; Facilities - Building Envelope and Common Areas</v>
      </c>
      <c r="B89" s="822" t="s">
        <v>1631</v>
      </c>
      <c r="C89" s="808">
        <v>5</v>
      </c>
      <c r="D89" s="811" t="s">
        <v>1632</v>
      </c>
      <c r="E89" s="812"/>
      <c r="F89" s="799">
        <v>-1</v>
      </c>
      <c r="G89" s="813"/>
      <c r="H89" s="799"/>
      <c r="I89" s="813"/>
      <c r="J89" s="799">
        <v>-1</v>
      </c>
      <c r="K89" s="813"/>
      <c r="L89" s="799"/>
      <c r="M89" s="813"/>
    </row>
    <row r="90" spans="1:13" ht="13.15" outlineLevel="1">
      <c r="A90" s="762"/>
      <c r="B90" s="796">
        <v>14</v>
      </c>
      <c r="C90" s="796">
        <v>8</v>
      </c>
      <c r="D90" s="797" t="s">
        <v>1633</v>
      </c>
      <c r="E90" s="798"/>
      <c r="F90" s="801"/>
      <c r="G90" s="801"/>
      <c r="H90" s="801"/>
      <c r="I90" s="801"/>
      <c r="J90" s="801"/>
      <c r="K90" s="801"/>
      <c r="L90" s="801"/>
      <c r="M90" s="801"/>
    </row>
    <row r="91" spans="1:13" ht="13.15" outlineLevel="2">
      <c r="A91" s="762" t="str">
        <f>"Amenities &amp; Facilities - "&amp;D91</f>
        <v>Amenities &amp; Facilities - Earthwork</v>
      </c>
      <c r="B91" s="822" t="s">
        <v>1634</v>
      </c>
      <c r="C91" s="808">
        <v>1</v>
      </c>
      <c r="D91" s="811" t="s">
        <v>1626</v>
      </c>
      <c r="E91" s="762"/>
      <c r="F91" s="799"/>
      <c r="G91" s="809"/>
      <c r="H91" s="799">
        <v>-1</v>
      </c>
      <c r="I91" s="809"/>
      <c r="J91" s="799"/>
      <c r="K91" s="809"/>
      <c r="L91" s="820"/>
      <c r="M91" s="809"/>
    </row>
    <row r="92" spans="1:13" ht="13.15" outlineLevel="2">
      <c r="A92" s="762" t="str">
        <f t="shared" ref="A92:A93" si="1">"Amenities &amp; Facilities - "&amp;D92</f>
        <v>Amenities &amp; Facilities - Foundations &amp; Grade Slab</v>
      </c>
      <c r="B92" s="822" t="s">
        <v>1635</v>
      </c>
      <c r="C92" s="808">
        <v>2</v>
      </c>
      <c r="D92" s="811" t="s">
        <v>1068</v>
      </c>
      <c r="E92" s="762"/>
      <c r="F92" s="799">
        <v>-1</v>
      </c>
      <c r="G92" s="809"/>
      <c r="H92" s="799">
        <v>-1</v>
      </c>
      <c r="I92" s="809"/>
      <c r="J92" s="799">
        <v>-1</v>
      </c>
      <c r="K92" s="809"/>
      <c r="L92" s="799"/>
      <c r="M92" s="809"/>
    </row>
    <row r="93" spans="1:13" s="814" customFormat="1" ht="13.15" outlineLevel="2">
      <c r="A93" s="762" t="str">
        <f t="shared" si="1"/>
        <v xml:space="preserve">Amenities &amp; Facilities - Parking Level Slab - Sub grade </v>
      </c>
      <c r="B93" s="822" t="s">
        <v>1636</v>
      </c>
      <c r="C93" s="808">
        <v>3</v>
      </c>
      <c r="D93" s="811" t="s">
        <v>1629</v>
      </c>
      <c r="E93" s="812"/>
      <c r="F93" s="799">
        <v>-1</v>
      </c>
      <c r="G93" s="813"/>
      <c r="H93" s="799">
        <v>-1</v>
      </c>
      <c r="I93" s="813"/>
      <c r="J93" s="799">
        <v>-1</v>
      </c>
      <c r="K93" s="813"/>
      <c r="L93" s="799"/>
      <c r="M93" s="813"/>
    </row>
    <row r="94" spans="1:13" ht="13.15" outlineLevel="2">
      <c r="A94" s="762" t="str">
        <f t="shared" ref="A94:A95" si="2">"Amenities &amp; Facilities - "&amp;D94</f>
        <v>Amenities &amp; Facilities - Podium Slab</v>
      </c>
      <c r="B94" s="822" t="s">
        <v>1637</v>
      </c>
      <c r="C94" s="808">
        <v>4</v>
      </c>
      <c r="D94" s="811" t="s">
        <v>1070</v>
      </c>
      <c r="E94" s="762"/>
      <c r="F94" s="799">
        <v>-1</v>
      </c>
      <c r="G94" s="809"/>
      <c r="H94" s="799">
        <v>-1</v>
      </c>
      <c r="I94" s="809"/>
      <c r="J94" s="799">
        <v>-1</v>
      </c>
      <c r="K94" s="809"/>
      <c r="L94" s="799"/>
      <c r="M94" s="809"/>
    </row>
    <row r="95" spans="1:13" s="814" customFormat="1" ht="13.15" outlineLevel="2">
      <c r="A95" s="762" t="str">
        <f t="shared" si="2"/>
        <v>Amenities &amp; Facilities - Building Envelope and Common Areas</v>
      </c>
      <c r="B95" s="822" t="s">
        <v>1638</v>
      </c>
      <c r="C95" s="808">
        <v>5</v>
      </c>
      <c r="D95" s="811" t="s">
        <v>1632</v>
      </c>
      <c r="E95" s="812"/>
      <c r="F95" s="799">
        <v>-1</v>
      </c>
      <c r="G95" s="813"/>
      <c r="H95" s="799"/>
      <c r="I95" s="813"/>
      <c r="J95" s="799">
        <v>-1</v>
      </c>
      <c r="K95" s="813"/>
      <c r="L95" s="799"/>
      <c r="M95" s="813"/>
    </row>
    <row r="96" spans="1:13" ht="13.15" outlineLevel="1">
      <c r="A96" s="762"/>
      <c r="B96" s="796">
        <v>15</v>
      </c>
      <c r="C96" s="796">
        <v>9</v>
      </c>
      <c r="D96" s="797" t="s">
        <v>1518</v>
      </c>
      <c r="E96" s="798"/>
      <c r="F96" s="801"/>
      <c r="G96" s="801"/>
      <c r="H96" s="801"/>
      <c r="I96" s="801"/>
      <c r="J96" s="801"/>
      <c r="K96" s="801"/>
      <c r="L96" s="801"/>
      <c r="M96" s="801"/>
    </row>
    <row r="97" spans="1:13" ht="13.15" outlineLevel="2">
      <c r="A97" s="762" t="str">
        <f>"Amenities &amp; Facilities - "&amp;D97</f>
        <v>Amenities &amp; Facilities - Master Plan</v>
      </c>
      <c r="B97" s="822" t="s">
        <v>1519</v>
      </c>
      <c r="C97" s="808">
        <v>1</v>
      </c>
      <c r="D97" s="811" t="s">
        <v>69</v>
      </c>
      <c r="E97" s="762"/>
      <c r="F97" s="799">
        <v>-1</v>
      </c>
      <c r="G97" s="809"/>
      <c r="H97" s="799"/>
      <c r="I97" s="809"/>
      <c r="J97" s="799">
        <v>-1</v>
      </c>
      <c r="K97" s="809"/>
      <c r="L97" s="820">
        <v>-1</v>
      </c>
      <c r="M97" s="809"/>
    </row>
    <row r="98" spans="1:13" ht="13.15" outlineLevel="2">
      <c r="A98" s="762" t="str">
        <f t="shared" ref="A98:A102" si="3">"Amenities &amp; Facilities - "&amp;D98</f>
        <v>Amenities &amp; Facilities - Site Development- 02 Road works</v>
      </c>
      <c r="B98" s="822" t="s">
        <v>1520</v>
      </c>
      <c r="C98" s="808">
        <v>2</v>
      </c>
      <c r="D98" s="811" t="s">
        <v>359</v>
      </c>
      <c r="E98" s="762"/>
      <c r="F98" s="799">
        <v>-1</v>
      </c>
      <c r="G98" s="809"/>
      <c r="H98" s="820">
        <v>-1</v>
      </c>
      <c r="I98" s="809"/>
      <c r="J98" s="799"/>
      <c r="K98" s="809"/>
      <c r="L98" s="799"/>
      <c r="M98" s="809"/>
    </row>
    <row r="99" spans="1:13" s="814" customFormat="1" ht="13.15" outlineLevel="2">
      <c r="A99" s="762" t="str">
        <f t="shared" si="3"/>
        <v>Amenities &amp; Facilities - Site MEP- 03 Utilities</v>
      </c>
      <c r="B99" s="822" t="s">
        <v>1521</v>
      </c>
      <c r="C99" s="808">
        <v>3</v>
      </c>
      <c r="D99" s="811" t="s">
        <v>563</v>
      </c>
      <c r="E99" s="812"/>
      <c r="F99" s="799">
        <v>-1</v>
      </c>
      <c r="G99" s="813"/>
      <c r="H99" s="799">
        <v>-1</v>
      </c>
      <c r="I99" s="813"/>
      <c r="J99" s="799">
        <v>-1</v>
      </c>
      <c r="K99" s="813"/>
      <c r="L99" s="799"/>
      <c r="M99" s="813"/>
    </row>
    <row r="100" spans="1:13" ht="13.15" outlineLevel="2">
      <c r="A100" s="762" t="str">
        <f t="shared" si="3"/>
        <v>Amenities &amp; Facilities - Site Development- 04 Site Structures</v>
      </c>
      <c r="B100" s="822" t="s">
        <v>1522</v>
      </c>
      <c r="C100" s="808">
        <v>4</v>
      </c>
      <c r="D100" s="811" t="s">
        <v>564</v>
      </c>
      <c r="E100" s="762"/>
      <c r="F100" s="799">
        <v>-1</v>
      </c>
      <c r="G100" s="809"/>
      <c r="H100" s="799">
        <v>-1</v>
      </c>
      <c r="I100" s="809"/>
      <c r="J100" s="820">
        <v>-1</v>
      </c>
      <c r="K100" s="809"/>
      <c r="L100" s="799"/>
      <c r="M100" s="809"/>
    </row>
    <row r="101" spans="1:13" ht="13.15" outlineLevel="2">
      <c r="A101" s="762" t="str">
        <f t="shared" ref="A101" si="4">"Amenities &amp; Facilities - "&amp;D101</f>
        <v>Amenities &amp; Facilities - Site Development- 05 Signages</v>
      </c>
      <c r="B101" s="822" t="s">
        <v>1523</v>
      </c>
      <c r="C101" s="808">
        <v>5</v>
      </c>
      <c r="D101" s="811" t="s">
        <v>569</v>
      </c>
      <c r="E101" s="762"/>
      <c r="F101" s="799">
        <v>-1</v>
      </c>
      <c r="G101" s="809"/>
      <c r="H101" s="799">
        <v>-1</v>
      </c>
      <c r="I101" s="809"/>
      <c r="J101" s="799"/>
      <c r="K101" s="809"/>
      <c r="L101" s="820"/>
      <c r="M101" s="809"/>
    </row>
    <row r="102" spans="1:13" ht="13.15" outlineLevel="2">
      <c r="A102" s="762" t="str">
        <f t="shared" si="3"/>
        <v>Amenities &amp; Facilities - Site Development- 06 Landscape</v>
      </c>
      <c r="B102" s="822" t="s">
        <v>1524</v>
      </c>
      <c r="C102" s="808">
        <v>6</v>
      </c>
      <c r="D102" s="811" t="s">
        <v>1639</v>
      </c>
      <c r="E102" s="762"/>
      <c r="F102" s="799">
        <v>-1</v>
      </c>
      <c r="G102" s="809"/>
      <c r="H102" s="799"/>
      <c r="I102" s="809"/>
      <c r="J102" s="799"/>
      <c r="K102" s="809"/>
      <c r="L102" s="820">
        <v>-1</v>
      </c>
      <c r="M102" s="809"/>
    </row>
    <row r="103" spans="1:13" ht="13.15" outlineLevel="1">
      <c r="A103" s="762"/>
      <c r="B103" s="796">
        <v>16</v>
      </c>
      <c r="C103" s="796">
        <v>10</v>
      </c>
      <c r="D103" s="797" t="s">
        <v>1546</v>
      </c>
      <c r="E103" s="798"/>
      <c r="F103" s="801"/>
      <c r="G103" s="801"/>
      <c r="H103" s="801"/>
      <c r="I103" s="801"/>
      <c r="J103" s="801"/>
      <c r="K103" s="801"/>
      <c r="L103" s="801"/>
      <c r="M103" s="801"/>
    </row>
    <row r="104" spans="1:13" ht="13.15" outlineLevel="2">
      <c r="A104" s="762" t="str">
        <f>"Amenities &amp; Facilities - "&amp;D104</f>
        <v>Amenities &amp; Facilities - Clubhouse—Structure and Envelope</v>
      </c>
      <c r="B104" s="822" t="s">
        <v>1547</v>
      </c>
      <c r="C104" s="808">
        <v>1</v>
      </c>
      <c r="D104" s="811" t="s">
        <v>205</v>
      </c>
      <c r="E104" s="762"/>
      <c r="F104" s="799">
        <v>-1</v>
      </c>
      <c r="G104" s="809"/>
      <c r="H104" s="799">
        <v>-1</v>
      </c>
      <c r="I104" s="809"/>
      <c r="J104" s="799">
        <v>-1</v>
      </c>
      <c r="K104" s="809"/>
      <c r="L104" s="820"/>
      <c r="M104" s="809"/>
    </row>
    <row r="105" spans="1:13" ht="13.15" outlineLevel="2">
      <c r="A105" s="762" t="str">
        <f t="shared" ref="A105:A108" si="5">"Amenities &amp; Facilities - "&amp;D105</f>
        <v>Amenities &amp; Facilities - Clubhouse—Interiors and Facilities</v>
      </c>
      <c r="B105" s="822" t="s">
        <v>1548</v>
      </c>
      <c r="C105" s="808">
        <v>2</v>
      </c>
      <c r="D105" s="811" t="s">
        <v>116</v>
      </c>
      <c r="E105" s="762"/>
      <c r="F105" s="799">
        <v>-1</v>
      </c>
      <c r="G105" s="809"/>
      <c r="H105" s="820"/>
      <c r="I105" s="809"/>
      <c r="J105" s="799">
        <v>-1</v>
      </c>
      <c r="K105" s="809"/>
      <c r="L105" s="799">
        <v>-1</v>
      </c>
      <c r="M105" s="809"/>
    </row>
    <row r="106" spans="1:13" s="814" customFormat="1" ht="13.15" outlineLevel="2">
      <c r="A106" s="762" t="str">
        <f t="shared" si="5"/>
        <v>Amenities &amp; Facilities - Clubhouse—Outdoor Spaces and pool</v>
      </c>
      <c r="B106" s="822" t="s">
        <v>1549</v>
      </c>
      <c r="C106" s="808">
        <v>3</v>
      </c>
      <c r="D106" s="811" t="s">
        <v>495</v>
      </c>
      <c r="E106" s="812"/>
      <c r="F106" s="799">
        <v>-1</v>
      </c>
      <c r="G106" s="813"/>
      <c r="H106" s="799">
        <v>-1</v>
      </c>
      <c r="I106" s="813"/>
      <c r="J106" s="799"/>
      <c r="K106" s="813"/>
      <c r="L106" s="799">
        <v>-1</v>
      </c>
      <c r="M106" s="813"/>
    </row>
    <row r="107" spans="1:13" ht="13.15" outlineLevel="2">
      <c r="A107" s="762" t="str">
        <f t="shared" si="5"/>
        <v>Amenities &amp; Facilities - Community spaces [Children play area, Open Park space]</v>
      </c>
      <c r="B107" s="822" t="s">
        <v>1550</v>
      </c>
      <c r="C107" s="808">
        <v>4</v>
      </c>
      <c r="D107" s="811" t="s">
        <v>496</v>
      </c>
      <c r="E107" s="762"/>
      <c r="F107" s="799">
        <v>-1</v>
      </c>
      <c r="G107" s="809"/>
      <c r="H107" s="799">
        <v>-1</v>
      </c>
      <c r="I107" s="809"/>
      <c r="J107" s="820"/>
      <c r="K107" s="809"/>
      <c r="L107" s="799">
        <v>-1</v>
      </c>
      <c r="M107" s="809"/>
    </row>
    <row r="108" spans="1:13" ht="13.15" outlineLevel="2">
      <c r="A108" s="762" t="str">
        <f t="shared" si="5"/>
        <v>Amenities &amp; Facilities - Sporting Facilities</v>
      </c>
      <c r="B108" s="822" t="s">
        <v>1551</v>
      </c>
      <c r="C108" s="808">
        <v>5</v>
      </c>
      <c r="D108" s="811" t="s">
        <v>98</v>
      </c>
      <c r="E108" s="762"/>
      <c r="F108" s="799">
        <v>-1</v>
      </c>
      <c r="G108" s="809"/>
      <c r="H108" s="799">
        <v>-1</v>
      </c>
      <c r="I108" s="809"/>
      <c r="J108" s="799">
        <v>-1</v>
      </c>
      <c r="K108" s="809"/>
      <c r="L108" s="820"/>
      <c r="M108" s="809"/>
    </row>
    <row r="109" spans="1:13" ht="3" customHeight="1" outlineLevel="1">
      <c r="A109" s="762"/>
      <c r="B109" s="763"/>
      <c r="C109" s="763"/>
      <c r="D109" s="790"/>
      <c r="E109" s="762"/>
      <c r="F109" s="810"/>
      <c r="G109" s="809"/>
      <c r="H109" s="810"/>
      <c r="I109" s="809"/>
      <c r="J109" s="810"/>
      <c r="K109" s="809"/>
      <c r="L109" s="810"/>
      <c r="M109" s="809"/>
    </row>
    <row r="110" spans="1:13" ht="13.15" outlineLevel="1">
      <c r="A110" s="762"/>
      <c r="B110" s="796">
        <v>17</v>
      </c>
      <c r="C110" s="796">
        <v>11</v>
      </c>
      <c r="D110" s="797" t="s">
        <v>1640</v>
      </c>
      <c r="E110" s="798"/>
      <c r="F110" s="801"/>
      <c r="G110" s="801"/>
      <c r="H110" s="801"/>
      <c r="I110" s="801"/>
      <c r="J110" s="801"/>
      <c r="K110" s="801"/>
      <c r="L110" s="801"/>
      <c r="M110" s="801"/>
    </row>
    <row r="111" spans="1:13" ht="13.15" outlineLevel="2">
      <c r="A111" s="762" t="str">
        <f>"Amenities &amp; Facilities - "&amp;D111</f>
        <v>Amenities &amp; Facilities - D45 Default and it's variants</v>
      </c>
      <c r="B111" s="822" t="s">
        <v>1641</v>
      </c>
      <c r="C111" s="808">
        <v>1</v>
      </c>
      <c r="D111" s="811" t="s">
        <v>1642</v>
      </c>
      <c r="E111" s="762"/>
      <c r="F111" s="799">
        <v>-1</v>
      </c>
      <c r="G111" s="809"/>
      <c r="H111" s="799"/>
      <c r="I111" s="809"/>
      <c r="J111" s="799">
        <v>-1</v>
      </c>
      <c r="K111" s="809"/>
      <c r="L111" s="799">
        <v>-1</v>
      </c>
      <c r="M111" s="809"/>
    </row>
    <row r="112" spans="1:13" ht="13.15" outlineLevel="2">
      <c r="A112" s="762" t="str">
        <f t="shared" ref="A112" si="6">"Amenities &amp; Facilities - "&amp;D112</f>
        <v>Amenities &amp; Facilities - R5 Default and it's variants</v>
      </c>
      <c r="B112" s="822" t="s">
        <v>1643</v>
      </c>
      <c r="C112" s="808">
        <v>2</v>
      </c>
      <c r="D112" s="811" t="s">
        <v>1644</v>
      </c>
      <c r="E112" s="762"/>
      <c r="F112" s="799">
        <v>-1</v>
      </c>
      <c r="G112" s="809"/>
      <c r="H112" s="820"/>
      <c r="I112" s="809"/>
      <c r="J112" s="799">
        <v>-1</v>
      </c>
      <c r="K112" s="809"/>
      <c r="L112" s="799">
        <v>-1</v>
      </c>
      <c r="M112" s="809"/>
    </row>
    <row r="113" spans="1:13" ht="13.15" outlineLevel="2">
      <c r="A113" s="762" t="str">
        <f>"Amenities &amp; Facilities - "&amp;D113</f>
        <v>Amenities &amp; Facilities - R20 Default and it's variants</v>
      </c>
      <c r="B113" s="822" t="s">
        <v>1645</v>
      </c>
      <c r="C113" s="808">
        <v>3</v>
      </c>
      <c r="D113" s="811" t="s">
        <v>560</v>
      </c>
      <c r="E113" s="762"/>
      <c r="F113" s="799">
        <v>-1</v>
      </c>
      <c r="G113" s="809"/>
      <c r="H113" s="799"/>
      <c r="I113" s="809"/>
      <c r="J113" s="799">
        <v>-1</v>
      </c>
      <c r="K113" s="809"/>
      <c r="L113" s="799">
        <v>-1</v>
      </c>
      <c r="M113" s="809"/>
    </row>
    <row r="114" spans="1:13" ht="13.15" outlineLevel="2">
      <c r="A114" s="762" t="str">
        <f t="shared" ref="A114" si="7">"Amenities &amp; Facilities - "&amp;D114</f>
        <v>Amenities &amp; Facilities - D45P Default and it's variants</v>
      </c>
      <c r="B114" s="822" t="s">
        <v>1646</v>
      </c>
      <c r="C114" s="808">
        <v>4</v>
      </c>
      <c r="D114" s="811" t="s">
        <v>1647</v>
      </c>
      <c r="E114" s="762"/>
      <c r="F114" s="799">
        <v>-1</v>
      </c>
      <c r="G114" s="809"/>
      <c r="H114" s="820"/>
      <c r="I114" s="809"/>
      <c r="J114" s="799">
        <v>-1</v>
      </c>
      <c r="K114" s="809"/>
      <c r="L114" s="799">
        <v>-1</v>
      </c>
      <c r="M114" s="809"/>
    </row>
    <row r="115" spans="1:13" ht="17.45">
      <c r="A115" s="762"/>
      <c r="B115" s="790"/>
      <c r="C115" s="841" t="s">
        <v>1552</v>
      </c>
      <c r="D115" s="841"/>
      <c r="E115" s="782"/>
      <c r="F115" s="791"/>
      <c r="G115" s="792"/>
      <c r="H115" s="791"/>
      <c r="I115" s="792"/>
      <c r="J115" s="791"/>
      <c r="K115" s="792"/>
      <c r="L115" s="791"/>
      <c r="M115" s="792"/>
    </row>
    <row r="116" spans="1:13" ht="3" customHeight="1" outlineLevel="1">
      <c r="A116" s="762"/>
      <c r="B116" s="763"/>
      <c r="C116" s="763"/>
      <c r="D116" s="815"/>
      <c r="E116" s="782"/>
      <c r="F116" s="789"/>
      <c r="G116" s="794"/>
      <c r="H116" s="789"/>
      <c r="I116" s="794"/>
      <c r="J116" s="789"/>
      <c r="K116" s="794"/>
      <c r="L116" s="789"/>
      <c r="M116" s="794"/>
    </row>
    <row r="117" spans="1:13" ht="13.15" outlineLevel="1">
      <c r="A117" s="762"/>
      <c r="B117" s="796">
        <v>18</v>
      </c>
      <c r="C117" s="796">
        <v>1</v>
      </c>
      <c r="D117" s="797" t="s">
        <v>1355</v>
      </c>
      <c r="E117" s="798"/>
      <c r="F117" s="801"/>
      <c r="G117" s="801"/>
      <c r="H117" s="801"/>
      <c r="I117" s="801"/>
      <c r="J117" s="801"/>
      <c r="K117" s="801"/>
      <c r="L117" s="801"/>
      <c r="M117" s="801"/>
    </row>
    <row r="118" spans="1:13" ht="13.15" outlineLevel="2">
      <c r="A118" s="762"/>
      <c r="B118" s="822" t="s">
        <v>1553</v>
      </c>
      <c r="C118" s="808">
        <v>1</v>
      </c>
      <c r="D118" s="816" t="s">
        <v>1554</v>
      </c>
      <c r="E118" s="765"/>
      <c r="F118" s="799">
        <v>-1</v>
      </c>
      <c r="G118" s="809"/>
      <c r="H118" s="799">
        <v>-1</v>
      </c>
      <c r="I118" s="809"/>
      <c r="J118" s="799">
        <v>-1</v>
      </c>
      <c r="K118" s="809"/>
      <c r="L118" s="799">
        <v>-1</v>
      </c>
      <c r="M118" s="817"/>
    </row>
    <row r="119" spans="1:13" ht="3" customHeight="1">
      <c r="A119" s="762"/>
      <c r="B119" s="808"/>
      <c r="C119" s="808"/>
      <c r="D119" s="816"/>
      <c r="E119" s="765"/>
      <c r="F119" s="810"/>
      <c r="G119" s="817"/>
      <c r="H119" s="810"/>
      <c r="I119" s="817"/>
      <c r="J119" s="810"/>
      <c r="K119" s="817"/>
      <c r="L119" s="810"/>
      <c r="M119" s="817"/>
    </row>
    <row r="120" spans="1:13" ht="17.45" hidden="1">
      <c r="A120" s="762"/>
      <c r="B120" s="790"/>
      <c r="C120" s="841" t="s">
        <v>1555</v>
      </c>
      <c r="D120" s="841"/>
      <c r="E120" s="782"/>
      <c r="F120" s="791"/>
      <c r="G120" s="792"/>
      <c r="H120" s="791"/>
      <c r="I120" s="792"/>
      <c r="J120" s="791"/>
      <c r="K120" s="792"/>
      <c r="L120" s="791"/>
      <c r="M120" s="792"/>
    </row>
    <row r="133" spans="1:26" s="806" customFormat="1" ht="11.85" customHeight="1">
      <c r="A133" s="768"/>
      <c r="B133" s="768"/>
      <c r="C133" s="768"/>
      <c r="D133" s="768"/>
      <c r="E133" s="768"/>
      <c r="F133" s="768"/>
      <c r="G133" s="768"/>
      <c r="H133" s="768"/>
      <c r="I133" s="768"/>
      <c r="K133" s="807"/>
      <c r="M133" s="807"/>
      <c r="N133" s="768"/>
      <c r="O133" s="768"/>
      <c r="P133" s="768"/>
      <c r="Q133" s="768"/>
      <c r="R133" s="768"/>
      <c r="S133" s="768"/>
      <c r="T133" s="768"/>
      <c r="U133" s="768"/>
      <c r="V133" s="768"/>
      <c r="W133" s="768"/>
      <c r="X133" s="768"/>
      <c r="Y133" s="768"/>
      <c r="Z133" s="768"/>
    </row>
    <row r="134" spans="1:26" s="806" customFormat="1" ht="11.85" customHeight="1">
      <c r="A134" s="768"/>
      <c r="B134" s="768"/>
      <c r="C134" s="768"/>
      <c r="D134" s="768"/>
      <c r="E134" s="768"/>
      <c r="F134" s="768"/>
      <c r="G134" s="768"/>
      <c r="H134" s="768"/>
      <c r="I134" s="768"/>
      <c r="K134" s="807"/>
      <c r="M134" s="807"/>
      <c r="N134" s="768"/>
      <c r="O134" s="768"/>
      <c r="P134" s="768"/>
      <c r="Q134" s="768"/>
      <c r="R134" s="768"/>
      <c r="S134" s="768"/>
      <c r="T134" s="768"/>
      <c r="U134" s="768"/>
      <c r="V134" s="768"/>
      <c r="W134" s="768"/>
      <c r="X134" s="768"/>
      <c r="Y134" s="768"/>
      <c r="Z134" s="768"/>
    </row>
    <row r="136" spans="1:26" s="806" customFormat="1" ht="11.85" customHeight="1">
      <c r="A136" s="768"/>
      <c r="B136" s="768"/>
      <c r="C136" s="768"/>
      <c r="D136" s="768"/>
      <c r="E136" s="768"/>
      <c r="F136" s="768"/>
      <c r="G136" s="768"/>
      <c r="H136" s="768"/>
      <c r="I136" s="768"/>
      <c r="K136" s="807"/>
      <c r="M136" s="807"/>
      <c r="N136" s="768"/>
      <c r="O136" s="768"/>
      <c r="P136" s="768"/>
      <c r="Q136" s="768"/>
      <c r="R136" s="768"/>
      <c r="S136" s="768"/>
      <c r="T136" s="768"/>
      <c r="U136" s="768"/>
      <c r="V136" s="768"/>
      <c r="W136" s="768"/>
      <c r="X136" s="768"/>
      <c r="Y136" s="768"/>
      <c r="Z136" s="768"/>
    </row>
  </sheetData>
  <mergeCells count="5">
    <mergeCell ref="C2:D2"/>
    <mergeCell ref="C8:D8"/>
    <mergeCell ref="C16:D16"/>
    <mergeCell ref="C115:D115"/>
    <mergeCell ref="C120:D120"/>
  </mergeCells>
  <phoneticPr fontId="6" type="noConversion"/>
  <conditionalFormatting sqref="F10">
    <cfRule type="iconSet" priority="227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226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225">
      <iconSet iconSet="3Symbols2" showValue="0">
        <cfvo type="percent" val="0"/>
        <cfvo type="num" val="0"/>
        <cfvo type="num" val="1"/>
      </iconSet>
    </cfRule>
  </conditionalFormatting>
  <conditionalFormatting sqref="F13:F14">
    <cfRule type="iconSet" priority="224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223">
      <iconSet iconSet="3Symbols2" showValue="0">
        <cfvo type="percent" val="0"/>
        <cfvo type="num" val="0"/>
        <cfvo type="num" val="1"/>
      </iconSet>
    </cfRule>
  </conditionalFormatting>
  <conditionalFormatting sqref="F19:F22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F23:F28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F30:F33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F34:F39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F41:F44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F45:F50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F52:F55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F56:F61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63:F66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F67:F72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F74:F77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F78:F8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F85:F89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F91:F95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F97:F102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F104:F108">
    <cfRule type="iconSet" priority="189">
      <iconSet iconSet="3Symbols2" showValue="0">
        <cfvo type="percent" val="0"/>
        <cfvo type="num" val="0"/>
        <cfvo type="num" val="1"/>
      </iconSet>
    </cfRule>
  </conditionalFormatting>
  <conditionalFormatting sqref="F111:F114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F118">
    <cfRule type="iconSet" priority="182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222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221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220">
      <iconSet iconSet="3Symbols2" showValue="0">
        <cfvo type="percent" val="0"/>
        <cfvo type="num" val="0"/>
        <cfvo type="num" val="1"/>
      </iconSet>
    </cfRule>
  </conditionalFormatting>
  <conditionalFormatting sqref="H13:H15">
    <cfRule type="iconSet" priority="209">
      <iconSet iconSet="3Symbols2" showValue="0">
        <cfvo type="percent" val="0"/>
        <cfvo type="num" val="0"/>
        <cfvo type="num" val="1"/>
      </iconSet>
    </cfRule>
  </conditionalFormatting>
  <conditionalFormatting sqref="H19:H20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H23:H28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H30:H31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H32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H33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H34:H39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H41:H42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H43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H44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H45:H50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H52:H53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H54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H55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H56:H61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H63:H64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H65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H66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H67:H72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H74:H75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H76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H77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78:H83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H87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H88 H85:H86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H89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H93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H94 H91:H92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H95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H97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H98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H99:H102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H104">
    <cfRule type="iconSet" priority="188">
      <iconSet iconSet="3Symbols2" showValue="0">
        <cfvo type="percent" val="0"/>
        <cfvo type="num" val="0"/>
        <cfvo type="num" val="1"/>
      </iconSet>
    </cfRule>
  </conditionalFormatting>
  <conditionalFormatting sqref="H105">
    <cfRule type="iconSet" priority="193">
      <iconSet iconSet="3Symbols2" showValue="0">
        <cfvo type="percent" val="0"/>
        <cfvo type="num" val="0"/>
        <cfvo type="num" val="1"/>
      </iconSet>
    </cfRule>
  </conditionalFormatting>
  <conditionalFormatting sqref="H106:H108">
    <cfRule type="iconSet" priority="186">
      <iconSet iconSet="3Symbols2" showValue="0">
        <cfvo type="percent" val="0"/>
        <cfvo type="num" val="0"/>
        <cfvo type="num" val="1"/>
      </iconSet>
    </cfRule>
  </conditionalFormatting>
  <conditionalFormatting sqref="H111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H112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H113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H114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H118">
    <cfRule type="iconSet" priority="181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219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218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217">
      <iconSet iconSet="3Symbols2" showValue="0">
        <cfvo type="percent" val="0"/>
        <cfvo type="num" val="0"/>
        <cfvo type="num" val="1"/>
      </iconSet>
    </cfRule>
  </conditionalFormatting>
  <conditionalFormatting sqref="J13:J14">
    <cfRule type="iconSet" priority="216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207">
      <iconSet iconSet="3Symbols2" showValue="0">
        <cfvo type="percent" val="0"/>
        <cfvo type="num" val="0"/>
        <cfvo type="num" val="1"/>
      </iconSet>
    </cfRule>
  </conditionalFormatting>
  <conditionalFormatting sqref="J19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J20:J23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J24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J25:J28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J30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J31:J34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J35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J36:J39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J41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J42:J45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J46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J47:J50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J52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53:J56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J57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J58:J61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J63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J64:J67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J68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J69:J72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J74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J75:J78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J79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J80:J83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J85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J86:J89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J91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J92:J95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J97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J98:J99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J100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J101:J102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J104">
    <cfRule type="iconSet" priority="187">
      <iconSet iconSet="3Symbols2" showValue="0">
        <cfvo type="percent" val="0"/>
        <cfvo type="num" val="0"/>
        <cfvo type="num" val="1"/>
      </iconSet>
    </cfRule>
  </conditionalFormatting>
  <conditionalFormatting sqref="J105:J106">
    <cfRule type="iconSet" priority="185">
      <iconSet iconSet="3Symbols2" showValue="0">
        <cfvo type="percent" val="0"/>
        <cfvo type="num" val="0"/>
        <cfvo type="num" val="1"/>
      </iconSet>
    </cfRule>
  </conditionalFormatting>
  <conditionalFormatting sqref="J107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J108">
    <cfRule type="iconSet" priority="184">
      <iconSet iconSet="3Symbols2" showValue="0">
        <cfvo type="percent" val="0"/>
        <cfvo type="num" val="0"/>
        <cfvo type="num" val="1"/>
      </iconSet>
    </cfRule>
  </conditionalFormatting>
  <conditionalFormatting sqref="J111:J114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118">
    <cfRule type="iconSet" priority="179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215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214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213">
      <iconSet iconSet="3Symbols2" showValue="0">
        <cfvo type="percent" val="0"/>
        <cfvo type="num" val="0"/>
        <cfvo type="num" val="1"/>
      </iconSet>
    </cfRule>
  </conditionalFormatting>
  <conditionalFormatting sqref="L13:L14">
    <cfRule type="iconSet" priority="212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208">
      <iconSet iconSet="3Symbols2" showValue="0">
        <cfvo type="percent" val="0"/>
        <cfvo type="num" val="0"/>
        <cfvo type="num" val="1"/>
      </iconSet>
    </cfRule>
  </conditionalFormatting>
  <conditionalFormatting sqref="L19:L22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L23:L28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L30:L33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L34:L39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L41:L44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L45:L50">
    <cfRule type="iconSet" priority="131">
      <iconSet iconSet="3Symbols2" showValue="0">
        <cfvo type="percent" val="0"/>
        <cfvo type="num" val="0"/>
        <cfvo type="num" val="1"/>
      </iconSet>
    </cfRule>
  </conditionalFormatting>
  <conditionalFormatting sqref="L52:L55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L56:L61">
    <cfRule type="iconSet" priority="144">
      <iconSet iconSet="3Symbols2" showValue="0">
        <cfvo type="percent" val="0"/>
        <cfvo type="num" val="0"/>
        <cfvo type="num" val="1"/>
      </iconSet>
    </cfRule>
  </conditionalFormatting>
  <conditionalFormatting sqref="L63:L66">
    <cfRule type="iconSet" priority="145">
      <iconSet iconSet="3Symbols2" showValue="0">
        <cfvo type="percent" val="0"/>
        <cfvo type="num" val="0"/>
        <cfvo type="num" val="1"/>
      </iconSet>
    </cfRule>
  </conditionalFormatting>
  <conditionalFormatting sqref="L67:L72">
    <cfRule type="iconSet" priority="157">
      <iconSet iconSet="3Symbols2" showValue="0">
        <cfvo type="percent" val="0"/>
        <cfvo type="num" val="0"/>
        <cfvo type="num" val="1"/>
      </iconSet>
    </cfRule>
  </conditionalFormatting>
  <conditionalFormatting sqref="L74:L77">
    <cfRule type="iconSet" priority="194">
      <iconSet iconSet="3Symbols2" showValue="0">
        <cfvo type="percent" val="0"/>
        <cfvo type="num" val="0"/>
        <cfvo type="num" val="1"/>
      </iconSet>
    </cfRule>
  </conditionalFormatting>
  <conditionalFormatting sqref="L78:L83">
    <cfRule type="iconSet" priority="350">
      <iconSet iconSet="3Symbols2" showValue="0">
        <cfvo type="percent" val="0"/>
        <cfvo type="num" val="0"/>
        <cfvo type="num" val="1"/>
      </iconSet>
    </cfRule>
  </conditionalFormatting>
  <conditionalFormatting sqref="L85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L86:L89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L91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L92:L95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L97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L98:L100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L101:L102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L104">
    <cfRule type="iconSet" priority="192">
      <iconSet iconSet="3Symbols2" showValue="0">
        <cfvo type="percent" val="0"/>
        <cfvo type="num" val="0"/>
        <cfvo type="num" val="1"/>
      </iconSet>
    </cfRule>
  </conditionalFormatting>
  <conditionalFormatting sqref="L105:L107">
    <cfRule type="iconSet" priority="183">
      <iconSet iconSet="3Symbols2" showValue="0">
        <cfvo type="percent" val="0"/>
        <cfvo type="num" val="0"/>
        <cfvo type="num" val="1"/>
      </iconSet>
    </cfRule>
  </conditionalFormatting>
  <conditionalFormatting sqref="L108">
    <cfRule type="iconSet" priority="191">
      <iconSet iconSet="3Symbols2" showValue="0">
        <cfvo type="percent" val="0"/>
        <cfvo type="num" val="0"/>
        <cfvo type="num" val="1"/>
      </iconSet>
    </cfRule>
  </conditionalFormatting>
  <conditionalFormatting sqref="L111:L114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L118">
    <cfRule type="iconSet" priority="180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211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210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>
    <tabColor theme="9" tint="-0.249977111117893"/>
    <outlinePr summaryBelow="0" summaryRight="0"/>
    <pageSetUpPr fitToPage="1"/>
  </sheetPr>
  <dimension ref="A1:AG612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4.42578125" style="383" customWidth="1"/>
    <col min="6" max="6" width="51.5703125" style="446" customWidth="1"/>
    <col min="7" max="7" width="0.5703125" style="383" customWidth="1"/>
    <col min="8" max="8" width="13.28515625" style="383" customWidth="1"/>
    <col min="9" max="9" width="9.42578125" style="383" customWidth="1"/>
    <col min="10" max="10" width="0.5703125" style="383" customWidth="1"/>
    <col min="11" max="11" width="13.28515625" style="383" customWidth="1"/>
    <col min="12" max="12" width="9.42578125" style="383" customWidth="1"/>
    <col min="13" max="13" width="0.5703125" style="383" customWidth="1"/>
    <col min="14" max="16" width="9.42578125" style="383"/>
    <col min="17" max="18" width="9.5703125" style="383" bestFit="1" customWidth="1"/>
    <col min="19" max="19" width="7" style="383" bestFit="1" customWidth="1"/>
    <col min="20" max="20" width="8.5703125" style="383" bestFit="1" customWidth="1"/>
    <col min="21" max="21" width="12.5703125" style="383" customWidth="1"/>
    <col min="22" max="22" width="7.5703125" style="383" bestFit="1" customWidth="1"/>
    <col min="23" max="23" width="5.5703125" style="383" bestFit="1" customWidth="1"/>
    <col min="24" max="24" width="9.42578125" style="383" bestFit="1" customWidth="1"/>
    <col min="25" max="28" width="9.42578125" style="383"/>
    <col min="29" max="29" width="9.42578125" style="383" bestFit="1" customWidth="1"/>
    <col min="30" max="16384" width="9.42578125" style="383"/>
  </cols>
  <sheetData>
    <row r="1" spans="1:33" ht="17.100000000000001" customHeight="1">
      <c r="A1" s="382"/>
      <c r="B1" s="382"/>
      <c r="C1" s="382"/>
      <c r="D1" s="382"/>
      <c r="E1" s="382"/>
      <c r="F1" s="440"/>
      <c r="G1" s="382"/>
      <c r="H1" s="842" t="s">
        <v>1648</v>
      </c>
      <c r="I1" s="843"/>
      <c r="J1" s="382"/>
      <c r="K1" s="842" t="s">
        <v>1649</v>
      </c>
      <c r="L1" s="843"/>
      <c r="M1" s="382"/>
      <c r="O1" s="477" t="s">
        <v>1511</v>
      </c>
      <c r="P1" s="477" t="s">
        <v>1650</v>
      </c>
      <c r="Q1" s="719" t="s">
        <v>28</v>
      </c>
      <c r="R1" s="477" t="s">
        <v>1651</v>
      </c>
    </row>
    <row r="2" spans="1:33" s="434" customFormat="1" ht="17.45">
      <c r="A2" s="386"/>
      <c r="B2" s="436" t="s">
        <v>0</v>
      </c>
      <c r="C2" s="436"/>
      <c r="D2" s="436"/>
      <c r="E2" s="436"/>
      <c r="F2" s="441"/>
      <c r="G2" s="386"/>
      <c r="H2" s="437" t="s">
        <v>1</v>
      </c>
      <c r="I2" s="438" t="s">
        <v>6</v>
      </c>
      <c r="J2" s="386"/>
      <c r="K2" s="437" t="s">
        <v>1</v>
      </c>
      <c r="L2" s="438" t="s">
        <v>6</v>
      </c>
      <c r="M2" s="386"/>
      <c r="N2" s="723">
        <f>SUM(O2:R2)</f>
        <v>419</v>
      </c>
      <c r="O2" s="720">
        <v>189</v>
      </c>
      <c r="P2" s="720">
        <v>115</v>
      </c>
      <c r="Q2" s="720">
        <v>73</v>
      </c>
      <c r="R2" s="720">
        <v>42</v>
      </c>
    </row>
    <row r="3" spans="1:33" ht="3" customHeight="1">
      <c r="A3" s="382"/>
      <c r="B3" s="382"/>
      <c r="C3" s="382"/>
      <c r="D3" s="382"/>
      <c r="E3" s="382"/>
      <c r="F3" s="440"/>
      <c r="G3" s="382"/>
      <c r="H3" s="382"/>
      <c r="I3" s="382"/>
      <c r="J3" s="382"/>
      <c r="K3" s="382"/>
      <c r="L3" s="382"/>
      <c r="M3" s="382"/>
      <c r="N3" s="724"/>
      <c r="O3" s="721"/>
      <c r="P3" s="721"/>
      <c r="Q3" s="721"/>
      <c r="R3" s="721"/>
    </row>
    <row r="4" spans="1:33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384"/>
      <c r="H4" s="453">
        <f>SUM(H6+H370)</f>
        <v>115.63580211613163</v>
      </c>
      <c r="I4" s="453">
        <f>SUM(I6+I370)</f>
        <v>422</v>
      </c>
      <c r="J4" s="384"/>
      <c r="K4" s="558">
        <f>SUM(K6+K370)</f>
        <v>9.4373262808891081</v>
      </c>
      <c r="L4" s="453">
        <f>SUM(L6+L370)</f>
        <v>40</v>
      </c>
      <c r="M4" s="384"/>
      <c r="N4" s="723">
        <f>SUM(O4:R4)</f>
        <v>18</v>
      </c>
      <c r="O4" s="722">
        <v>4</v>
      </c>
      <c r="P4" s="722">
        <v>7</v>
      </c>
      <c r="Q4" s="722">
        <v>4</v>
      </c>
      <c r="R4" s="722">
        <v>3</v>
      </c>
      <c r="T4" s="509"/>
      <c r="Z4" s="383"/>
      <c r="AA4" s="383"/>
      <c r="AB4" s="383"/>
    </row>
    <row r="5" spans="1:33" ht="10.35" customHeight="1">
      <c r="A5" s="382"/>
      <c r="B5" s="386"/>
      <c r="C5" s="382"/>
      <c r="D5" s="386"/>
      <c r="E5" s="386" t="s">
        <v>13</v>
      </c>
      <c r="F5" s="440"/>
      <c r="G5" s="382"/>
      <c r="H5" s="387"/>
      <c r="I5" s="388"/>
      <c r="J5" s="382"/>
      <c r="K5" s="387"/>
      <c r="L5" s="388"/>
      <c r="M5" s="382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</row>
    <row r="6" spans="1:33" ht="15">
      <c r="A6" s="382"/>
      <c r="B6" s="449" t="s">
        <v>14</v>
      </c>
      <c r="C6" s="450"/>
      <c r="D6" s="449"/>
      <c r="E6" s="449"/>
      <c r="F6" s="451"/>
      <c r="G6" s="382"/>
      <c r="H6" s="455">
        <f>SUM(H8,H20,H67,H82,H102,H135,H144,H154,H176,H189,H205,H224,H227,H258,H280,H287,H300,H313,H324,H344,H354,H361,H367,H80)</f>
        <v>38.489200620530532</v>
      </c>
      <c r="I6" s="527">
        <f>SUM(I8,I20,I67,I82,I102,I135,I144,I154,I176,I189,I205,I224,I227,I258,I280,,I287,I300,I313,I324,I344,I354,I361,I367,I80)</f>
        <v>272</v>
      </c>
      <c r="J6" s="382"/>
      <c r="K6" s="455">
        <f>SUM(K8,K20,K67,K82,K102,K135,K144,K154,K176,K189,K205,K224,K227,K258,K280,K287,K300,K313,K324,K344,K354,K361,K367,K80)</f>
        <v>6.8334516782412074</v>
      </c>
      <c r="L6" s="527">
        <f>SUM(L8,L20,L67,L82,L102,L135,L144,L154,L176,L189,L205,L224,L227,L258,L280,,L287,L300,L313,L324,L344,L354,L361,L367,L80)</f>
        <v>32</v>
      </c>
      <c r="M6" s="382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</row>
    <row r="7" spans="1:33" ht="2.1" customHeight="1" outlineLevel="1">
      <c r="A7" s="382"/>
      <c r="B7" s="386"/>
      <c r="C7" s="382"/>
      <c r="D7" s="386"/>
      <c r="E7" s="386"/>
      <c r="F7" s="440"/>
      <c r="G7" s="382"/>
      <c r="H7" s="387"/>
      <c r="I7" s="388"/>
      <c r="J7" s="382"/>
      <c r="K7" s="387"/>
      <c r="L7" s="388"/>
      <c r="M7" s="382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</row>
    <row r="8" spans="1:33" outlineLevel="1" collapsed="1">
      <c r="A8" s="382"/>
      <c r="B8" s="390" t="s">
        <v>15</v>
      </c>
      <c r="C8" s="395" t="s">
        <v>16</v>
      </c>
      <c r="D8" s="395"/>
      <c r="E8" s="390"/>
      <c r="F8" s="442" t="s">
        <v>17</v>
      </c>
      <c r="G8" s="382"/>
      <c r="H8" s="424">
        <f>SUM(H9,H14,H18)</f>
        <v>0.43271940249580965</v>
      </c>
      <c r="I8" s="408">
        <f>SUM(I9,I14,I18)</f>
        <v>8</v>
      </c>
      <c r="J8" s="382"/>
      <c r="K8" s="424">
        <f>SUM(K9,K14,K18)</f>
        <v>0</v>
      </c>
      <c r="L8" s="408">
        <f>SUM(L9,L14,L18)</f>
        <v>0</v>
      </c>
      <c r="M8" s="382"/>
      <c r="N8" s="385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</row>
    <row r="9" spans="1:33" hidden="1" outlineLevel="2" collapsed="1">
      <c r="A9" s="382"/>
      <c r="B9" s="382" t="s">
        <v>15</v>
      </c>
      <c r="C9" s="382" t="s">
        <v>16</v>
      </c>
      <c r="D9" s="382" t="s">
        <v>18</v>
      </c>
      <c r="E9" s="386"/>
      <c r="F9" s="440" t="s">
        <v>17</v>
      </c>
      <c r="G9" s="382"/>
      <c r="H9" s="411">
        <f>SUM(H10:H13)</f>
        <v>0.39703158217785306</v>
      </c>
      <c r="I9" s="388">
        <f>SUM(I10:I13)</f>
        <v>4</v>
      </c>
      <c r="J9" s="382"/>
      <c r="K9" s="411">
        <f>SUM(K10:K13)</f>
        <v>0</v>
      </c>
      <c r="L9" s="388">
        <f>SUM(L10:L13)</f>
        <v>0</v>
      </c>
      <c r="M9" s="382"/>
      <c r="N9" s="385"/>
      <c r="O9" s="389"/>
      <c r="P9" s="389"/>
      <c r="Q9" s="389"/>
      <c r="R9" s="391"/>
      <c r="S9" s="389"/>
      <c r="T9" s="389"/>
      <c r="U9" s="389"/>
      <c r="V9" s="389"/>
      <c r="W9" s="389"/>
      <c r="X9" s="389"/>
      <c r="Y9" s="389"/>
      <c r="Z9" s="389"/>
      <c r="AA9" s="389"/>
      <c r="AB9" s="389"/>
      <c r="AF9" s="392"/>
      <c r="AG9" s="393"/>
    </row>
    <row r="10" spans="1:33" hidden="1" outlineLevel="3">
      <c r="A10" s="382"/>
      <c r="B10" s="382" t="s">
        <v>15</v>
      </c>
      <c r="C10" s="382" t="s">
        <v>19</v>
      </c>
      <c r="D10" s="382" t="s">
        <v>18</v>
      </c>
      <c r="E10" s="386" t="s">
        <v>20</v>
      </c>
      <c r="F10" s="440" t="s">
        <v>21</v>
      </c>
      <c r="G10" s="382"/>
      <c r="H10" s="411">
        <v>0.27</v>
      </c>
      <c r="I10" s="388">
        <v>1</v>
      </c>
      <c r="J10" s="382"/>
      <c r="K10" s="411">
        <f>IF(L10=1,H10,0)</f>
        <v>0</v>
      </c>
      <c r="L10" s="388"/>
      <c r="M10" s="382"/>
      <c r="N10" s="385"/>
      <c r="O10" s="389"/>
      <c r="P10" s="389"/>
      <c r="Q10" s="389"/>
      <c r="R10" s="391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F10" s="392"/>
      <c r="AG10" s="393"/>
    </row>
    <row r="11" spans="1:33" ht="26.45" hidden="1" outlineLevel="3">
      <c r="A11" s="382"/>
      <c r="B11" s="382" t="s">
        <v>15</v>
      </c>
      <c r="C11" s="382" t="s">
        <v>19</v>
      </c>
      <c r="D11" s="382" t="s">
        <v>18</v>
      </c>
      <c r="E11" s="386" t="s">
        <v>20</v>
      </c>
      <c r="F11" s="440" t="s">
        <v>22</v>
      </c>
      <c r="G11" s="382"/>
      <c r="H11" s="387">
        <v>4.5377035860000005E-2</v>
      </c>
      <c r="I11" s="388">
        <v>1</v>
      </c>
      <c r="J11" s="382"/>
      <c r="K11" s="411">
        <f t="shared" ref="K11:K13" si="0">IF(L11=1,H11,0)</f>
        <v>0</v>
      </c>
      <c r="L11" s="388"/>
      <c r="M11" s="382"/>
      <c r="N11" s="385"/>
      <c r="O11" s="389"/>
      <c r="P11" s="389"/>
      <c r="Q11" s="389"/>
      <c r="R11" s="391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F11" s="392"/>
      <c r="AG11" s="393"/>
    </row>
    <row r="12" spans="1:33" hidden="1" outlineLevel="3">
      <c r="A12" s="382"/>
      <c r="B12" s="382" t="s">
        <v>15</v>
      </c>
      <c r="C12" s="382" t="s">
        <v>23</v>
      </c>
      <c r="D12" s="382" t="s">
        <v>18</v>
      </c>
      <c r="E12" s="386" t="s">
        <v>20</v>
      </c>
      <c r="F12" s="440" t="s">
        <v>24</v>
      </c>
      <c r="G12" s="382"/>
      <c r="H12" s="411">
        <v>4.2238262499999998E-2</v>
      </c>
      <c r="I12" s="409">
        <v>1</v>
      </c>
      <c r="J12" s="382"/>
      <c r="K12" s="411">
        <f t="shared" si="0"/>
        <v>0</v>
      </c>
      <c r="L12" s="409"/>
      <c r="M12" s="382"/>
      <c r="N12" s="385"/>
      <c r="O12" s="389"/>
      <c r="P12" s="389"/>
      <c r="Q12" s="389"/>
      <c r="R12" s="391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F12" s="392"/>
      <c r="AG12" s="393"/>
    </row>
    <row r="13" spans="1:33" hidden="1" outlineLevel="3">
      <c r="A13" s="382"/>
      <c r="B13" s="382" t="s">
        <v>15</v>
      </c>
      <c r="C13" s="382" t="s">
        <v>23</v>
      </c>
      <c r="D13" s="382" t="s">
        <v>18</v>
      </c>
      <c r="E13" s="386" t="s">
        <v>20</v>
      </c>
      <c r="F13" s="440" t="s">
        <v>25</v>
      </c>
      <c r="G13" s="382"/>
      <c r="H13" s="387">
        <v>3.9416283817853004E-2</v>
      </c>
      <c r="I13" s="388">
        <v>1</v>
      </c>
      <c r="J13" s="382"/>
      <c r="K13" s="411">
        <f t="shared" si="0"/>
        <v>0</v>
      </c>
      <c r="L13" s="388"/>
      <c r="M13" s="382"/>
      <c r="N13" s="385"/>
      <c r="O13" s="389"/>
      <c r="P13" s="389"/>
      <c r="Q13" s="389"/>
      <c r="R13" s="391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F13" s="392"/>
      <c r="AG13" s="393"/>
    </row>
    <row r="14" spans="1:33" hidden="1" outlineLevel="2" collapsed="1">
      <c r="A14" s="382"/>
      <c r="B14" s="382" t="s">
        <v>15</v>
      </c>
      <c r="C14" s="382" t="s">
        <v>16</v>
      </c>
      <c r="D14" s="382" t="s">
        <v>26</v>
      </c>
      <c r="E14" s="382"/>
      <c r="F14" s="440" t="s">
        <v>17</v>
      </c>
      <c r="G14" s="382"/>
      <c r="H14" s="411">
        <f>SUM(H15:H17)</f>
        <v>2.1350947217956596E-2</v>
      </c>
      <c r="I14" s="388">
        <f>SUM(I15:I17)</f>
        <v>3</v>
      </c>
      <c r="J14" s="382"/>
      <c r="K14" s="411">
        <f>SUM(K15:K17)</f>
        <v>0</v>
      </c>
      <c r="L14" s="388">
        <f>SUM(L15:L17)</f>
        <v>0</v>
      </c>
      <c r="M14" s="382"/>
      <c r="N14" s="385"/>
      <c r="O14" s="389"/>
      <c r="P14" s="389"/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F14" s="392"/>
      <c r="AG14" s="393"/>
    </row>
    <row r="15" spans="1:33" ht="26.45" hidden="1" outlineLevel="3">
      <c r="A15" s="382"/>
      <c r="B15" s="382" t="s">
        <v>15</v>
      </c>
      <c r="C15" s="382" t="s">
        <v>19</v>
      </c>
      <c r="D15" s="382" t="s">
        <v>26</v>
      </c>
      <c r="E15" s="382" t="s">
        <v>27</v>
      </c>
      <c r="F15" s="440" t="s">
        <v>22</v>
      </c>
      <c r="G15" s="382"/>
      <c r="H15" s="411">
        <v>5.2867302539999998E-3</v>
      </c>
      <c r="I15" s="388">
        <v>1</v>
      </c>
      <c r="J15" s="382"/>
      <c r="K15" s="411">
        <f t="shared" ref="K15:K17" si="1">IF(L15=1,H15,0)</f>
        <v>0</v>
      </c>
      <c r="L15" s="388"/>
      <c r="M15" s="382"/>
      <c r="N15" s="385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F15" s="392"/>
      <c r="AG15" s="393"/>
    </row>
    <row r="16" spans="1:33" hidden="1" outlineLevel="3">
      <c r="A16" s="382"/>
      <c r="B16" s="382" t="s">
        <v>15</v>
      </c>
      <c r="C16" s="382" t="s">
        <v>23</v>
      </c>
      <c r="D16" s="382" t="s">
        <v>26</v>
      </c>
      <c r="E16" s="382" t="s">
        <v>27</v>
      </c>
      <c r="F16" s="440" t="s">
        <v>24</v>
      </c>
      <c r="G16" s="382"/>
      <c r="H16" s="411">
        <v>1.0861267500000001E-2</v>
      </c>
      <c r="I16" s="409">
        <v>1</v>
      </c>
      <c r="J16" s="382"/>
      <c r="K16" s="411">
        <f t="shared" si="1"/>
        <v>0</v>
      </c>
      <c r="L16" s="409"/>
      <c r="M16" s="382"/>
      <c r="N16" s="385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F16" s="392"/>
      <c r="AG16" s="393"/>
    </row>
    <row r="17" spans="1:33" hidden="1" outlineLevel="3">
      <c r="A17" s="382"/>
      <c r="B17" s="382" t="s">
        <v>15</v>
      </c>
      <c r="C17" s="382" t="s">
        <v>23</v>
      </c>
      <c r="D17" s="382" t="s">
        <v>26</v>
      </c>
      <c r="E17" s="382" t="s">
        <v>27</v>
      </c>
      <c r="F17" s="440" t="s">
        <v>25</v>
      </c>
      <c r="G17" s="382"/>
      <c r="H17" s="411">
        <v>5.2029494639565963E-3</v>
      </c>
      <c r="I17" s="388">
        <v>1</v>
      </c>
      <c r="J17" s="382"/>
      <c r="K17" s="411">
        <f t="shared" si="1"/>
        <v>0</v>
      </c>
      <c r="L17" s="388"/>
      <c r="M17" s="382"/>
      <c r="N17" s="385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F17" s="392"/>
      <c r="AG17" s="393"/>
    </row>
    <row r="18" spans="1:33" hidden="1" outlineLevel="2" collapsed="1">
      <c r="A18" s="382"/>
      <c r="B18" s="382" t="s">
        <v>15</v>
      </c>
      <c r="C18" s="382" t="s">
        <v>16</v>
      </c>
      <c r="D18" s="382" t="s">
        <v>28</v>
      </c>
      <c r="E18" s="382"/>
      <c r="F18" s="440" t="s">
        <v>17</v>
      </c>
      <c r="G18" s="382"/>
      <c r="H18" s="411">
        <f>SUM(H19:H19)</f>
        <v>1.4336873100000001E-2</v>
      </c>
      <c r="I18" s="408">
        <f>SUM(I19:I19)</f>
        <v>1</v>
      </c>
      <c r="J18" s="382"/>
      <c r="K18" s="411">
        <f>SUM(K19:K19)</f>
        <v>0</v>
      </c>
      <c r="L18" s="408">
        <f>SUM(L19:L19)</f>
        <v>0</v>
      </c>
      <c r="M18" s="382"/>
      <c r="N18" s="385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F18" s="392"/>
      <c r="AG18" s="393"/>
    </row>
    <row r="19" spans="1:33" hidden="1" outlineLevel="3">
      <c r="A19" s="382"/>
      <c r="B19" s="382" t="s">
        <v>15</v>
      </c>
      <c r="C19" s="382" t="s">
        <v>23</v>
      </c>
      <c r="D19" s="382" t="s">
        <v>28</v>
      </c>
      <c r="E19" s="382" t="s">
        <v>29</v>
      </c>
      <c r="F19" s="440" t="s">
        <v>24</v>
      </c>
      <c r="G19" s="382"/>
      <c r="H19" s="411">
        <v>1.4336873100000001E-2</v>
      </c>
      <c r="I19" s="388">
        <v>1</v>
      </c>
      <c r="J19" s="382"/>
      <c r="K19" s="411">
        <f>IF(L19=1,H19,0)</f>
        <v>0</v>
      </c>
      <c r="L19" s="388"/>
      <c r="M19" s="382"/>
      <c r="N19" s="385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F19" s="392"/>
      <c r="AG19" s="393"/>
    </row>
    <row r="20" spans="1:33" s="401" customFormat="1" outlineLevel="1" collapsed="1">
      <c r="A20" s="395"/>
      <c r="B20" s="390" t="s">
        <v>15</v>
      </c>
      <c r="C20" s="395" t="s">
        <v>30</v>
      </c>
      <c r="D20" s="395"/>
      <c r="E20" s="390"/>
      <c r="F20" s="442" t="s">
        <v>17</v>
      </c>
      <c r="G20" s="395"/>
      <c r="H20" s="418">
        <f>SUM(H21,H37,H53,H61)</f>
        <v>2.5304736483581025</v>
      </c>
      <c r="I20" s="417">
        <f>SUM(I21,I37,I53,I61)</f>
        <v>42</v>
      </c>
      <c r="J20" s="395"/>
      <c r="K20" s="418">
        <f>SUM(K21,K37,K53,K61)</f>
        <v>0.8915713486970871</v>
      </c>
      <c r="L20" s="417">
        <f>SUM(L21,L37,L53,L61)</f>
        <v>12</v>
      </c>
      <c r="M20" s="395"/>
      <c r="N20" s="385"/>
      <c r="O20" s="389"/>
      <c r="P20" s="389"/>
      <c r="Q20" s="389"/>
      <c r="R20" s="400"/>
      <c r="S20" s="400"/>
      <c r="T20" s="400"/>
      <c r="U20" s="400"/>
      <c r="V20" s="400"/>
      <c r="W20" s="400"/>
      <c r="X20" s="400"/>
      <c r="Y20" s="389"/>
      <c r="Z20" s="400"/>
      <c r="AA20" s="400"/>
      <c r="AB20" s="400"/>
      <c r="AF20" s="392"/>
      <c r="AG20" s="393"/>
    </row>
    <row r="21" spans="1:33" hidden="1" outlineLevel="2" collapsed="1">
      <c r="A21" s="382"/>
      <c r="B21" s="386" t="s">
        <v>15</v>
      </c>
      <c r="C21" s="382" t="s">
        <v>30</v>
      </c>
      <c r="D21" s="382" t="s">
        <v>18</v>
      </c>
      <c r="E21" s="386"/>
      <c r="F21" s="440" t="s">
        <v>17</v>
      </c>
      <c r="G21" s="409">
        <f t="shared" ref="G21:M21" si="2">SUM(G22:G36)</f>
        <v>0</v>
      </c>
      <c r="H21" s="411">
        <f t="shared" si="2"/>
        <v>1.8087697963035858</v>
      </c>
      <c r="I21" s="409">
        <f t="shared" si="2"/>
        <v>15</v>
      </c>
      <c r="J21" s="409">
        <f t="shared" si="2"/>
        <v>0</v>
      </c>
      <c r="K21" s="411">
        <f t="shared" si="2"/>
        <v>0.68495917174041221</v>
      </c>
      <c r="L21" s="409">
        <f t="shared" si="2"/>
        <v>3</v>
      </c>
      <c r="M21" s="409">
        <f t="shared" si="2"/>
        <v>0</v>
      </c>
      <c r="N21" s="385"/>
      <c r="O21" s="389"/>
      <c r="P21" s="389"/>
      <c r="Q21" s="389"/>
      <c r="R21" s="391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F21" s="392"/>
      <c r="AG21" s="393"/>
    </row>
    <row r="22" spans="1:33" hidden="1" outlineLevel="3">
      <c r="A22" s="382"/>
      <c r="B22" s="382" t="s">
        <v>15</v>
      </c>
      <c r="C22" s="382" t="s">
        <v>30</v>
      </c>
      <c r="D22" s="382" t="s">
        <v>18</v>
      </c>
      <c r="E22" s="397" t="s">
        <v>20</v>
      </c>
      <c r="F22" s="440" t="s">
        <v>31</v>
      </c>
      <c r="G22" s="382"/>
      <c r="H22" s="411">
        <v>0.27398366869616486</v>
      </c>
      <c r="I22" s="409">
        <v>1</v>
      </c>
      <c r="J22" s="382"/>
      <c r="K22" s="411">
        <f t="shared" ref="K22:K36" si="3">IF(L22=1,H22,0)</f>
        <v>0.27398366869616486</v>
      </c>
      <c r="L22" s="409">
        <v>1</v>
      </c>
      <c r="M22" s="382"/>
      <c r="N22" s="385"/>
      <c r="O22" s="389"/>
      <c r="P22" s="389"/>
      <c r="Q22" s="389"/>
      <c r="R22" s="391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F22" s="392"/>
      <c r="AG22" s="393"/>
    </row>
    <row r="23" spans="1:33" hidden="1" outlineLevel="3">
      <c r="A23" s="382"/>
      <c r="B23" s="382" t="s">
        <v>15</v>
      </c>
      <c r="C23" s="382" t="s">
        <v>30</v>
      </c>
      <c r="D23" s="382" t="s">
        <v>18</v>
      </c>
      <c r="E23" s="397" t="s">
        <v>20</v>
      </c>
      <c r="F23" s="440" t="s">
        <v>32</v>
      </c>
      <c r="G23" s="382"/>
      <c r="H23" s="411">
        <v>0.27398366869616486</v>
      </c>
      <c r="I23" s="409">
        <v>1</v>
      </c>
      <c r="J23" s="382"/>
      <c r="K23" s="411">
        <f t="shared" si="3"/>
        <v>0.27398366869616486</v>
      </c>
      <c r="L23" s="409">
        <v>1</v>
      </c>
      <c r="M23" s="382"/>
      <c r="N23" s="385"/>
      <c r="O23" s="389"/>
      <c r="P23" s="389"/>
      <c r="Q23" s="389"/>
      <c r="R23" s="391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F23" s="392"/>
      <c r="AG23" s="393"/>
    </row>
    <row r="24" spans="1:33" hidden="1" outlineLevel="3">
      <c r="A24" s="382"/>
      <c r="B24" s="382" t="s">
        <v>15</v>
      </c>
      <c r="C24" s="382" t="s">
        <v>30</v>
      </c>
      <c r="D24" s="382" t="s">
        <v>18</v>
      </c>
      <c r="E24" s="397" t="s">
        <v>20</v>
      </c>
      <c r="F24" s="440" t="s">
        <v>33</v>
      </c>
      <c r="G24" s="382"/>
      <c r="H24" s="411">
        <v>0.13699183434808243</v>
      </c>
      <c r="I24" s="409">
        <v>1</v>
      </c>
      <c r="J24" s="382"/>
      <c r="K24" s="411">
        <f t="shared" si="3"/>
        <v>0.13699183434808243</v>
      </c>
      <c r="L24" s="409">
        <v>1</v>
      </c>
      <c r="M24" s="382"/>
      <c r="N24" s="385"/>
      <c r="O24" s="389"/>
      <c r="P24" s="389"/>
      <c r="Q24" s="389"/>
      <c r="R24" s="391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F24" s="392"/>
      <c r="AG24" s="393"/>
    </row>
    <row r="25" spans="1:33" hidden="1" outlineLevel="3">
      <c r="A25" s="382"/>
      <c r="B25" s="382" t="s">
        <v>15</v>
      </c>
      <c r="C25" s="382" t="s">
        <v>30</v>
      </c>
      <c r="D25" s="382" t="s">
        <v>18</v>
      </c>
      <c r="E25" s="397" t="s">
        <v>20</v>
      </c>
      <c r="F25" s="440" t="s">
        <v>34</v>
      </c>
      <c r="G25" s="382"/>
      <c r="H25" s="411">
        <v>0.27398366869616486</v>
      </c>
      <c r="I25" s="409">
        <v>1</v>
      </c>
      <c r="J25" s="382"/>
      <c r="K25" s="411">
        <f t="shared" si="3"/>
        <v>0</v>
      </c>
      <c r="L25" s="409"/>
      <c r="M25" s="382"/>
      <c r="N25" s="385"/>
      <c r="O25" s="389"/>
      <c r="P25" s="389"/>
      <c r="Q25" s="389"/>
      <c r="R25" s="391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F25" s="392"/>
      <c r="AG25" s="393"/>
    </row>
    <row r="26" spans="1:33" hidden="1" outlineLevel="3">
      <c r="A26" s="382"/>
      <c r="B26" s="382" t="s">
        <v>15</v>
      </c>
      <c r="C26" s="382" t="s">
        <v>30</v>
      </c>
      <c r="D26" s="382" t="s">
        <v>18</v>
      </c>
      <c r="E26" s="397" t="s">
        <v>20</v>
      </c>
      <c r="F26" s="440" t="s">
        <v>35</v>
      </c>
      <c r="G26" s="382"/>
      <c r="H26" s="411">
        <v>0.36</v>
      </c>
      <c r="I26" s="409">
        <v>1</v>
      </c>
      <c r="J26" s="382"/>
      <c r="K26" s="411">
        <f t="shared" si="3"/>
        <v>0</v>
      </c>
      <c r="L26" s="409"/>
      <c r="M26" s="382"/>
      <c r="N26" s="385"/>
      <c r="O26" s="389"/>
      <c r="P26" s="389"/>
      <c r="Q26" s="389"/>
      <c r="R26" s="391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F26" s="392"/>
      <c r="AG26" s="393"/>
    </row>
    <row r="27" spans="1:33" hidden="1" outlineLevel="3">
      <c r="A27" s="382"/>
      <c r="B27" s="382" t="s">
        <v>15</v>
      </c>
      <c r="C27" s="382" t="s">
        <v>30</v>
      </c>
      <c r="D27" s="382" t="s">
        <v>18</v>
      </c>
      <c r="E27" s="397" t="s">
        <v>20</v>
      </c>
      <c r="F27" s="440" t="s">
        <v>37</v>
      </c>
      <c r="G27" s="382"/>
      <c r="H27" s="411">
        <v>4.3982695586700871E-2</v>
      </c>
      <c r="I27" s="409">
        <v>1</v>
      </c>
      <c r="J27" s="382"/>
      <c r="K27" s="411">
        <f t="shared" si="3"/>
        <v>0</v>
      </c>
      <c r="L27" s="409"/>
      <c r="M27" s="382"/>
      <c r="N27" s="385"/>
      <c r="O27" s="389"/>
      <c r="P27" s="389"/>
      <c r="Q27" s="389"/>
      <c r="R27" s="391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F27" s="392"/>
      <c r="AG27" s="393"/>
    </row>
    <row r="28" spans="1:33" hidden="1" outlineLevel="3">
      <c r="A28" s="382"/>
      <c r="B28" s="382" t="s">
        <v>15</v>
      </c>
      <c r="C28" s="382" t="s">
        <v>30</v>
      </c>
      <c r="D28" s="382" t="s">
        <v>18</v>
      </c>
      <c r="E28" s="397" t="s">
        <v>20</v>
      </c>
      <c r="F28" s="440" t="s">
        <v>38</v>
      </c>
      <c r="G28" s="382"/>
      <c r="H28" s="411">
        <v>4.3982695586700871E-2</v>
      </c>
      <c r="I28" s="409">
        <v>1</v>
      </c>
      <c r="J28" s="382"/>
      <c r="K28" s="411">
        <f t="shared" si="3"/>
        <v>0</v>
      </c>
      <c r="L28" s="409"/>
      <c r="M28" s="382"/>
      <c r="N28" s="385"/>
      <c r="O28" s="389"/>
      <c r="P28" s="389"/>
      <c r="Q28" s="389"/>
      <c r="R28" s="391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F28" s="392"/>
      <c r="AG28" s="393"/>
    </row>
    <row r="29" spans="1:33" hidden="1" outlineLevel="3">
      <c r="A29" s="382"/>
      <c r="B29" s="382" t="s">
        <v>15</v>
      </c>
      <c r="C29" s="382" t="s">
        <v>30</v>
      </c>
      <c r="D29" s="382" t="s">
        <v>18</v>
      </c>
      <c r="E29" s="397" t="s">
        <v>20</v>
      </c>
      <c r="F29" s="440" t="s">
        <v>39</v>
      </c>
      <c r="G29" s="382"/>
      <c r="H29" s="411">
        <v>6.5974043380051306E-2</v>
      </c>
      <c r="I29" s="409">
        <v>1</v>
      </c>
      <c r="J29" s="382"/>
      <c r="K29" s="411">
        <f t="shared" si="3"/>
        <v>0</v>
      </c>
      <c r="L29" s="409"/>
      <c r="M29" s="382"/>
      <c r="N29" s="385"/>
      <c r="O29" s="389"/>
      <c r="P29" s="389"/>
      <c r="Q29" s="389"/>
      <c r="R29" s="391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F29" s="392"/>
      <c r="AG29" s="393"/>
    </row>
    <row r="30" spans="1:33" hidden="1" outlineLevel="3">
      <c r="A30" s="382"/>
      <c r="B30" s="382" t="s">
        <v>15</v>
      </c>
      <c r="C30" s="382" t="s">
        <v>30</v>
      </c>
      <c r="D30" s="382" t="s">
        <v>18</v>
      </c>
      <c r="E30" s="397" t="s">
        <v>20</v>
      </c>
      <c r="F30" s="440" t="s">
        <v>40</v>
      </c>
      <c r="G30" s="382"/>
      <c r="H30" s="411">
        <v>6.5974043380051306E-2</v>
      </c>
      <c r="I30" s="409">
        <v>1</v>
      </c>
      <c r="J30" s="382"/>
      <c r="K30" s="411">
        <f t="shared" si="3"/>
        <v>0</v>
      </c>
      <c r="L30" s="409"/>
      <c r="M30" s="382"/>
      <c r="N30" s="385"/>
      <c r="O30" s="389"/>
      <c r="P30" s="389"/>
      <c r="Q30" s="389"/>
      <c r="R30" s="391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F30" s="392"/>
      <c r="AG30" s="393"/>
    </row>
    <row r="31" spans="1:33" hidden="1" outlineLevel="3">
      <c r="A31" s="382"/>
      <c r="B31" s="382" t="s">
        <v>15</v>
      </c>
      <c r="C31" s="382" t="s">
        <v>30</v>
      </c>
      <c r="D31" s="382" t="s">
        <v>18</v>
      </c>
      <c r="E31" s="397" t="s">
        <v>20</v>
      </c>
      <c r="F31" s="440" t="s">
        <v>41</v>
      </c>
      <c r="G31" s="382"/>
      <c r="H31" s="411">
        <v>6.5974043380051306E-2</v>
      </c>
      <c r="I31" s="409">
        <v>1</v>
      </c>
      <c r="J31" s="382"/>
      <c r="K31" s="411">
        <f t="shared" si="3"/>
        <v>0</v>
      </c>
      <c r="L31" s="409"/>
      <c r="M31" s="382"/>
      <c r="N31" s="385"/>
      <c r="O31" s="389"/>
      <c r="P31" s="389"/>
      <c r="Q31" s="389"/>
      <c r="R31" s="391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F31" s="392"/>
      <c r="AG31" s="393"/>
    </row>
    <row r="32" spans="1:33" hidden="1" outlineLevel="3">
      <c r="A32" s="382"/>
      <c r="B32" s="382" t="s">
        <v>15</v>
      </c>
      <c r="C32" s="382" t="s">
        <v>30</v>
      </c>
      <c r="D32" s="382" t="s">
        <v>18</v>
      </c>
      <c r="E32" s="397" t="s">
        <v>20</v>
      </c>
      <c r="F32" s="440" t="s">
        <v>42</v>
      </c>
      <c r="G32" s="382"/>
      <c r="H32" s="411">
        <v>6.5974043380051306E-2</v>
      </c>
      <c r="I32" s="409">
        <v>1</v>
      </c>
      <c r="J32" s="382"/>
      <c r="K32" s="411">
        <f t="shared" si="3"/>
        <v>0</v>
      </c>
      <c r="L32" s="409"/>
      <c r="M32" s="382"/>
      <c r="N32" s="385"/>
      <c r="O32" s="389"/>
      <c r="P32" s="389"/>
      <c r="Q32" s="389"/>
      <c r="R32" s="391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F32" s="392"/>
      <c r="AG32" s="393"/>
    </row>
    <row r="33" spans="1:33" hidden="1" outlineLevel="3">
      <c r="A33" s="382"/>
      <c r="B33" s="382" t="s">
        <v>15</v>
      </c>
      <c r="C33" s="382" t="s">
        <v>30</v>
      </c>
      <c r="D33" s="382" t="s">
        <v>18</v>
      </c>
      <c r="E33" s="397" t="s">
        <v>20</v>
      </c>
      <c r="F33" s="440" t="s">
        <v>43</v>
      </c>
      <c r="G33" s="382"/>
      <c r="H33" s="411">
        <v>1.466089852890029E-2</v>
      </c>
      <c r="I33" s="409">
        <v>1</v>
      </c>
      <c r="J33" s="382"/>
      <c r="K33" s="411">
        <f t="shared" si="3"/>
        <v>0</v>
      </c>
      <c r="L33" s="409"/>
      <c r="M33" s="382"/>
      <c r="N33" s="385"/>
      <c r="O33" s="389"/>
      <c r="P33" s="389"/>
      <c r="Q33" s="389"/>
      <c r="R33" s="391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F33" s="392"/>
      <c r="AG33" s="393"/>
    </row>
    <row r="34" spans="1:33" hidden="1" outlineLevel="3">
      <c r="A34" s="382"/>
      <c r="B34" s="382" t="s">
        <v>15</v>
      </c>
      <c r="C34" s="382" t="s">
        <v>30</v>
      </c>
      <c r="D34" s="382" t="s">
        <v>18</v>
      </c>
      <c r="E34" s="397" t="s">
        <v>20</v>
      </c>
      <c r="F34" s="440" t="s">
        <v>44</v>
      </c>
      <c r="G34" s="382"/>
      <c r="H34" s="411">
        <v>2.932179705780058E-2</v>
      </c>
      <c r="I34" s="409">
        <v>1</v>
      </c>
      <c r="J34" s="382"/>
      <c r="K34" s="411">
        <f t="shared" si="3"/>
        <v>0</v>
      </c>
      <c r="L34" s="409"/>
      <c r="M34" s="382"/>
      <c r="N34" s="385"/>
      <c r="O34" s="389"/>
      <c r="P34" s="389"/>
      <c r="Q34" s="389"/>
      <c r="R34" s="391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F34" s="392"/>
      <c r="AG34" s="393"/>
    </row>
    <row r="35" spans="1:33" hidden="1" outlineLevel="3">
      <c r="A35" s="382"/>
      <c r="B35" s="382" t="s">
        <v>15</v>
      </c>
      <c r="C35" s="382" t="s">
        <v>30</v>
      </c>
      <c r="D35" s="382" t="s">
        <v>18</v>
      </c>
      <c r="E35" s="397" t="s">
        <v>20</v>
      </c>
      <c r="F35" s="440" t="s">
        <v>46</v>
      </c>
      <c r="G35" s="382"/>
      <c r="H35" s="411">
        <v>4.3982695586700871E-2</v>
      </c>
      <c r="I35" s="409">
        <v>1</v>
      </c>
      <c r="J35" s="382"/>
      <c r="K35" s="411">
        <f t="shared" si="3"/>
        <v>0</v>
      </c>
      <c r="L35" s="409"/>
      <c r="M35" s="382"/>
      <c r="N35" s="385"/>
      <c r="O35" s="389"/>
      <c r="P35" s="389"/>
      <c r="Q35" s="389"/>
      <c r="R35" s="391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F35" s="392"/>
      <c r="AG35" s="393"/>
    </row>
    <row r="36" spans="1:33" hidden="1" outlineLevel="3">
      <c r="A36" s="382"/>
      <c r="B36" s="382" t="s">
        <v>15</v>
      </c>
      <c r="C36" s="382" t="s">
        <v>30</v>
      </c>
      <c r="D36" s="382" t="s">
        <v>18</v>
      </c>
      <c r="E36" s="397" t="s">
        <v>20</v>
      </c>
      <c r="F36" s="440" t="s">
        <v>47</v>
      </c>
      <c r="G36" s="382"/>
      <c r="H36" s="411">
        <v>0.05</v>
      </c>
      <c r="I36" s="409">
        <v>1</v>
      </c>
      <c r="J36" s="382"/>
      <c r="K36" s="411">
        <f t="shared" si="3"/>
        <v>0</v>
      </c>
      <c r="L36" s="409"/>
      <c r="M36" s="382"/>
      <c r="N36" s="385"/>
      <c r="O36" s="389"/>
      <c r="P36" s="389"/>
      <c r="Q36" s="389"/>
      <c r="R36" s="391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F36" s="392"/>
      <c r="AG36" s="393"/>
    </row>
    <row r="37" spans="1:33" hidden="1" outlineLevel="2" collapsed="1">
      <c r="A37" s="382"/>
      <c r="B37" s="382" t="s">
        <v>15</v>
      </c>
      <c r="C37" s="382" t="s">
        <v>30</v>
      </c>
      <c r="D37" s="382" t="s">
        <v>26</v>
      </c>
      <c r="E37" s="382"/>
      <c r="F37" s="440" t="s">
        <v>17</v>
      </c>
      <c r="G37" s="382"/>
      <c r="H37" s="411">
        <f>SUM(H38:H52)</f>
        <v>0.35597209492231208</v>
      </c>
      <c r="I37" s="388">
        <f>SUM(I38:I52)</f>
        <v>15</v>
      </c>
      <c r="J37" s="382"/>
      <c r="K37" s="411">
        <f>SUM(K38:K52)</f>
        <v>0.10442160389020139</v>
      </c>
      <c r="L37" s="388">
        <f>SUM(L38:L52)</f>
        <v>3</v>
      </c>
      <c r="M37" s="382"/>
      <c r="N37" s="385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F37" s="392"/>
      <c r="AG37" s="393"/>
    </row>
    <row r="38" spans="1:33" hidden="1" outlineLevel="3">
      <c r="A38" s="382"/>
      <c r="B38" s="382" t="s">
        <v>15</v>
      </c>
      <c r="C38" s="382" t="s">
        <v>30</v>
      </c>
      <c r="D38" s="382" t="s">
        <v>26</v>
      </c>
      <c r="E38" s="382" t="s">
        <v>27</v>
      </c>
      <c r="F38" s="440" t="s">
        <v>32</v>
      </c>
      <c r="G38" s="382"/>
      <c r="H38" s="411">
        <v>9.3421603890201377E-2</v>
      </c>
      <c r="I38" s="388">
        <v>1</v>
      </c>
      <c r="J38" s="382"/>
      <c r="K38" s="411">
        <f t="shared" ref="K38:K52" si="4">IF(L38=1,H38,0)</f>
        <v>9.3421603890201377E-2</v>
      </c>
      <c r="L38" s="388">
        <v>1</v>
      </c>
      <c r="M38" s="382"/>
      <c r="N38" s="385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F38" s="392"/>
      <c r="AG38" s="393"/>
    </row>
    <row r="39" spans="1:33" hidden="1" outlineLevel="3">
      <c r="A39" s="382"/>
      <c r="B39" s="382" t="s">
        <v>15</v>
      </c>
      <c r="C39" s="382" t="s">
        <v>30</v>
      </c>
      <c r="D39" s="382" t="s">
        <v>26</v>
      </c>
      <c r="E39" s="382" t="s">
        <v>27</v>
      </c>
      <c r="F39" s="440" t="s">
        <v>34</v>
      </c>
      <c r="G39" s="382"/>
      <c r="H39" s="411">
        <v>9.3421603890201377E-2</v>
      </c>
      <c r="I39" s="388">
        <v>1</v>
      </c>
      <c r="J39" s="382"/>
      <c r="K39" s="411">
        <f t="shared" si="4"/>
        <v>0</v>
      </c>
      <c r="L39" s="388"/>
      <c r="M39" s="382"/>
      <c r="N39" s="385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F39" s="392"/>
      <c r="AG39" s="393"/>
    </row>
    <row r="40" spans="1:33" hidden="1" outlineLevel="3">
      <c r="A40" s="382"/>
      <c r="B40" s="382" t="s">
        <v>15</v>
      </c>
      <c r="C40" s="382" t="s">
        <v>30</v>
      </c>
      <c r="D40" s="382" t="s">
        <v>26</v>
      </c>
      <c r="E40" s="382" t="s">
        <v>27</v>
      </c>
      <c r="F40" s="440" t="s">
        <v>50</v>
      </c>
      <c r="G40" s="382"/>
      <c r="H40" s="411">
        <v>2.1106865436972901E-2</v>
      </c>
      <c r="I40" s="388">
        <v>1</v>
      </c>
      <c r="J40" s="382"/>
      <c r="K40" s="411">
        <f t="shared" si="4"/>
        <v>0</v>
      </c>
      <c r="L40" s="388"/>
      <c r="M40" s="382"/>
      <c r="N40" s="385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F40" s="392"/>
      <c r="AG40" s="393"/>
    </row>
    <row r="41" spans="1:33" hidden="1" outlineLevel="3">
      <c r="A41" s="382"/>
      <c r="B41" s="382" t="s">
        <v>15</v>
      </c>
      <c r="C41" s="382" t="s">
        <v>30</v>
      </c>
      <c r="D41" s="382" t="s">
        <v>26</v>
      </c>
      <c r="E41" s="382" t="s">
        <v>27</v>
      </c>
      <c r="F41" s="440" t="s">
        <v>51</v>
      </c>
      <c r="G41" s="382"/>
      <c r="H41" s="411">
        <v>3.166029815545935E-2</v>
      </c>
      <c r="I41" s="388">
        <v>1</v>
      </c>
      <c r="J41" s="382"/>
      <c r="K41" s="411">
        <f t="shared" si="4"/>
        <v>0</v>
      </c>
      <c r="L41" s="388"/>
      <c r="M41" s="382"/>
      <c r="N41" s="385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F41" s="392"/>
      <c r="AG41" s="393"/>
    </row>
    <row r="42" spans="1:33" hidden="1" outlineLevel="3">
      <c r="A42" s="382"/>
      <c r="B42" s="382" t="s">
        <v>15</v>
      </c>
      <c r="C42" s="382" t="s">
        <v>30</v>
      </c>
      <c r="D42" s="382" t="s">
        <v>26</v>
      </c>
      <c r="E42" s="382" t="s">
        <v>27</v>
      </c>
      <c r="F42" s="440" t="s">
        <v>40</v>
      </c>
      <c r="G42" s="382"/>
      <c r="H42" s="411">
        <v>5.2767163592432253E-3</v>
      </c>
      <c r="I42" s="388">
        <v>1</v>
      </c>
      <c r="J42" s="382"/>
      <c r="K42" s="411">
        <f t="shared" si="4"/>
        <v>0</v>
      </c>
      <c r="L42" s="388"/>
      <c r="M42" s="382"/>
      <c r="N42" s="385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F42" s="392"/>
      <c r="AG42" s="393"/>
    </row>
    <row r="43" spans="1:33" hidden="1" outlineLevel="3">
      <c r="A43" s="382"/>
      <c r="B43" s="382" t="s">
        <v>15</v>
      </c>
      <c r="C43" s="382" t="s">
        <v>30</v>
      </c>
      <c r="D43" s="382" t="s">
        <v>26</v>
      </c>
      <c r="E43" s="382" t="s">
        <v>27</v>
      </c>
      <c r="F43" s="440" t="s">
        <v>52</v>
      </c>
      <c r="G43" s="382"/>
      <c r="H43" s="411">
        <v>2.1106865436972901E-2</v>
      </c>
      <c r="I43" s="388">
        <v>1</v>
      </c>
      <c r="J43" s="382"/>
      <c r="K43" s="411">
        <f t="shared" si="4"/>
        <v>0</v>
      </c>
      <c r="L43" s="388"/>
      <c r="M43" s="382"/>
      <c r="N43" s="385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F43" s="392"/>
      <c r="AG43" s="393"/>
    </row>
    <row r="44" spans="1:33" hidden="1" outlineLevel="3">
      <c r="A44" s="382"/>
      <c r="B44" s="382" t="s">
        <v>15</v>
      </c>
      <c r="C44" s="382" t="s">
        <v>30</v>
      </c>
      <c r="D44" s="382" t="s">
        <v>26</v>
      </c>
      <c r="E44" s="382" t="s">
        <v>27</v>
      </c>
      <c r="F44" s="440" t="s">
        <v>53</v>
      </c>
      <c r="G44" s="382"/>
      <c r="H44" s="411">
        <v>3.166029815545935E-2</v>
      </c>
      <c r="I44" s="388">
        <v>1</v>
      </c>
      <c r="J44" s="382"/>
      <c r="K44" s="411">
        <f t="shared" si="4"/>
        <v>0</v>
      </c>
      <c r="L44" s="388"/>
      <c r="M44" s="382"/>
      <c r="N44" s="385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F44" s="392"/>
      <c r="AG44" s="393"/>
    </row>
    <row r="45" spans="1:33" hidden="1" outlineLevel="3">
      <c r="A45" s="382"/>
      <c r="B45" s="382" t="s">
        <v>15</v>
      </c>
      <c r="C45" s="382" t="s">
        <v>30</v>
      </c>
      <c r="D45" s="382" t="s">
        <v>26</v>
      </c>
      <c r="E45" s="382" t="s">
        <v>27</v>
      </c>
      <c r="F45" s="440" t="s">
        <v>42</v>
      </c>
      <c r="G45" s="382"/>
      <c r="H45" s="411">
        <v>5.2767163592432253E-3</v>
      </c>
      <c r="I45" s="388">
        <v>1</v>
      </c>
      <c r="J45" s="382"/>
      <c r="K45" s="411">
        <f t="shared" si="4"/>
        <v>0</v>
      </c>
      <c r="L45" s="388"/>
      <c r="M45" s="382"/>
      <c r="N45" s="385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F45" s="392"/>
      <c r="AG45" s="393"/>
    </row>
    <row r="46" spans="1:33" hidden="1" outlineLevel="3">
      <c r="A46" s="382"/>
      <c r="B46" s="382" t="s">
        <v>15</v>
      </c>
      <c r="C46" s="382" t="s">
        <v>30</v>
      </c>
      <c r="D46" s="382" t="s">
        <v>26</v>
      </c>
      <c r="E46" s="382" t="s">
        <v>27</v>
      </c>
      <c r="F46" s="440" t="s">
        <v>54</v>
      </c>
      <c r="G46" s="382"/>
      <c r="H46" s="411">
        <v>4.0000000000000001E-3</v>
      </c>
      <c r="I46" s="388">
        <v>1</v>
      </c>
      <c r="J46" s="382"/>
      <c r="K46" s="411">
        <f t="shared" si="4"/>
        <v>4.0000000000000001E-3</v>
      </c>
      <c r="L46" s="388">
        <v>1</v>
      </c>
      <c r="M46" s="382"/>
      <c r="N46" s="385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F46" s="392"/>
      <c r="AG46" s="393"/>
    </row>
    <row r="47" spans="1:33" hidden="1" outlineLevel="3">
      <c r="A47" s="382"/>
      <c r="B47" s="382" t="s">
        <v>15</v>
      </c>
      <c r="C47" s="382" t="s">
        <v>30</v>
      </c>
      <c r="D47" s="382" t="s">
        <v>26</v>
      </c>
      <c r="E47" s="382" t="s">
        <v>27</v>
      </c>
      <c r="F47" s="440" t="s">
        <v>55</v>
      </c>
      <c r="G47" s="382"/>
      <c r="H47" s="411">
        <v>7.0000000000000001E-3</v>
      </c>
      <c r="I47" s="388">
        <v>1</v>
      </c>
      <c r="J47" s="382"/>
      <c r="K47" s="411">
        <f t="shared" si="4"/>
        <v>7.0000000000000001E-3</v>
      </c>
      <c r="L47" s="388">
        <v>1</v>
      </c>
      <c r="M47" s="382"/>
      <c r="N47" s="385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F47" s="392"/>
      <c r="AG47" s="393"/>
    </row>
    <row r="48" spans="1:33" hidden="1" outlineLevel="3">
      <c r="A48" s="382"/>
      <c r="B48" s="382" t="s">
        <v>15</v>
      </c>
      <c r="C48" s="382" t="s">
        <v>30</v>
      </c>
      <c r="D48" s="382" t="s">
        <v>26</v>
      </c>
      <c r="E48" s="382" t="s">
        <v>27</v>
      </c>
      <c r="F48" s="440" t="s">
        <v>43</v>
      </c>
      <c r="G48" s="382"/>
      <c r="H48" s="411">
        <v>1E-3</v>
      </c>
      <c r="I48" s="388">
        <v>1</v>
      </c>
      <c r="J48" s="382"/>
      <c r="K48" s="411">
        <f t="shared" si="4"/>
        <v>0</v>
      </c>
      <c r="L48" s="388"/>
      <c r="M48" s="382"/>
      <c r="N48" s="385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F48" s="392"/>
      <c r="AG48" s="393"/>
    </row>
    <row r="49" spans="1:33" hidden="1" outlineLevel="3">
      <c r="A49" s="382"/>
      <c r="B49" s="382" t="s">
        <v>15</v>
      </c>
      <c r="C49" s="382" t="s">
        <v>30</v>
      </c>
      <c r="D49" s="382" t="s">
        <v>26</v>
      </c>
      <c r="E49" s="382" t="s">
        <v>27</v>
      </c>
      <c r="F49" s="440" t="s">
        <v>44</v>
      </c>
      <c r="G49" s="382"/>
      <c r="H49" s="411">
        <v>2.3452072707747665E-3</v>
      </c>
      <c r="I49" s="388">
        <v>1</v>
      </c>
      <c r="J49" s="382"/>
      <c r="K49" s="411">
        <f t="shared" si="4"/>
        <v>0</v>
      </c>
      <c r="L49" s="388"/>
      <c r="M49" s="382"/>
      <c r="N49" s="385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F49" s="392"/>
      <c r="AG49" s="393"/>
    </row>
    <row r="50" spans="1:33" hidden="1" outlineLevel="3">
      <c r="A50" s="382"/>
      <c r="B50" s="382" t="s">
        <v>15</v>
      </c>
      <c r="C50" s="382" t="s">
        <v>30</v>
      </c>
      <c r="D50" s="382" t="s">
        <v>26</v>
      </c>
      <c r="E50" s="382" t="s">
        <v>27</v>
      </c>
      <c r="F50" s="440" t="s">
        <v>58</v>
      </c>
      <c r="G50" s="382"/>
      <c r="H50" s="411">
        <v>1.4071243624648597E-2</v>
      </c>
      <c r="I50" s="409">
        <v>1</v>
      </c>
      <c r="J50" s="382"/>
      <c r="K50" s="411">
        <f t="shared" si="4"/>
        <v>0</v>
      </c>
      <c r="L50" s="409"/>
      <c r="M50" s="382"/>
      <c r="N50" s="385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F50" s="392"/>
      <c r="AG50" s="393"/>
    </row>
    <row r="51" spans="1:33" hidden="1" outlineLevel="3">
      <c r="A51" s="382"/>
      <c r="B51" s="382" t="s">
        <v>15</v>
      </c>
      <c r="C51" s="382" t="s">
        <v>30</v>
      </c>
      <c r="D51" s="382" t="s">
        <v>26</v>
      </c>
      <c r="E51" s="382" t="s">
        <v>27</v>
      </c>
      <c r="F51" s="440" t="s">
        <v>59</v>
      </c>
      <c r="G51" s="382"/>
      <c r="H51" s="411">
        <v>2.1106865436972894E-2</v>
      </c>
      <c r="I51" s="388">
        <v>1</v>
      </c>
      <c r="J51" s="382"/>
      <c r="K51" s="411">
        <f t="shared" si="4"/>
        <v>0</v>
      </c>
      <c r="L51" s="388"/>
      <c r="M51" s="382"/>
      <c r="N51" s="385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F51" s="392"/>
      <c r="AG51" s="393"/>
    </row>
    <row r="52" spans="1:33" hidden="1" outlineLevel="3">
      <c r="A52" s="382"/>
      <c r="B52" s="382" t="s">
        <v>15</v>
      </c>
      <c r="C52" s="382" t="s">
        <v>30</v>
      </c>
      <c r="D52" s="382" t="s">
        <v>26</v>
      </c>
      <c r="E52" s="382" t="s">
        <v>27</v>
      </c>
      <c r="F52" s="440" t="s">
        <v>46</v>
      </c>
      <c r="G52" s="382"/>
      <c r="H52" s="411">
        <v>3.5178109061621493E-3</v>
      </c>
      <c r="I52" s="388">
        <v>1</v>
      </c>
      <c r="J52" s="382"/>
      <c r="K52" s="411">
        <f t="shared" si="4"/>
        <v>0</v>
      </c>
      <c r="L52" s="388"/>
      <c r="M52" s="382"/>
      <c r="N52" s="385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F52" s="392"/>
      <c r="AG52" s="393"/>
    </row>
    <row r="53" spans="1:33" hidden="1" outlineLevel="2" collapsed="1">
      <c r="A53" s="382"/>
      <c r="B53" s="382" t="s">
        <v>15</v>
      </c>
      <c r="C53" s="382" t="s">
        <v>30</v>
      </c>
      <c r="D53" s="382" t="s">
        <v>28</v>
      </c>
      <c r="E53" s="382"/>
      <c r="F53" s="440" t="s">
        <v>17</v>
      </c>
      <c r="G53" s="382"/>
      <c r="H53" s="411">
        <f>SUM(H54:H60)</f>
        <v>0.19360007160811712</v>
      </c>
      <c r="I53" s="388">
        <f>SUM(I54:I60)</f>
        <v>7</v>
      </c>
      <c r="J53" s="382"/>
      <c r="K53" s="411">
        <f>SUM(K54:K60)</f>
        <v>2.4327053111750849E-2</v>
      </c>
      <c r="L53" s="388">
        <f>SUM(L54:L60)</f>
        <v>3</v>
      </c>
      <c r="M53" s="382"/>
      <c r="N53" s="385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F53" s="392"/>
      <c r="AG53" s="393"/>
    </row>
    <row r="54" spans="1:33" hidden="1" outlineLevel="3">
      <c r="A54" s="382"/>
      <c r="B54" s="382" t="s">
        <v>15</v>
      </c>
      <c r="C54" s="382" t="s">
        <v>30</v>
      </c>
      <c r="D54" s="382" t="s">
        <v>28</v>
      </c>
      <c r="E54" s="382" t="s">
        <v>29</v>
      </c>
      <c r="F54" s="440" t="s">
        <v>60</v>
      </c>
      <c r="G54" s="382"/>
      <c r="H54" s="411">
        <v>2.1499694035440806E-2</v>
      </c>
      <c r="I54" s="388">
        <v>1</v>
      </c>
      <c r="J54" s="382"/>
      <c r="K54" s="411">
        <f t="shared" ref="K54:K60" si="5">IF(L54=1,H54,0)</f>
        <v>2.1499694035440806E-2</v>
      </c>
      <c r="L54" s="388">
        <v>1</v>
      </c>
      <c r="M54" s="382"/>
      <c r="N54" s="385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F54" s="392"/>
      <c r="AG54" s="393"/>
    </row>
    <row r="55" spans="1:33" hidden="1" outlineLevel="3">
      <c r="A55" s="382"/>
      <c r="B55" s="382" t="s">
        <v>15</v>
      </c>
      <c r="C55" s="382" t="s">
        <v>30</v>
      </c>
      <c r="D55" s="382" t="s">
        <v>28</v>
      </c>
      <c r="E55" s="382" t="s">
        <v>29</v>
      </c>
      <c r="F55" s="440" t="s">
        <v>61</v>
      </c>
      <c r="G55" s="382"/>
      <c r="H55" s="411">
        <v>2.1499694035440806E-2</v>
      </c>
      <c r="I55" s="388">
        <v>1</v>
      </c>
      <c r="J55" s="382"/>
      <c r="K55" s="411">
        <f t="shared" si="5"/>
        <v>0</v>
      </c>
      <c r="L55" s="388"/>
      <c r="M55" s="382"/>
      <c r="N55" s="385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F55" s="392"/>
      <c r="AG55" s="393"/>
    </row>
    <row r="56" spans="1:33" hidden="1" outlineLevel="3">
      <c r="A56" s="382"/>
      <c r="B56" s="382" t="s">
        <v>15</v>
      </c>
      <c r="C56" s="382" t="s">
        <v>30</v>
      </c>
      <c r="D56" s="382" t="s">
        <v>28</v>
      </c>
      <c r="E56" s="382" t="s">
        <v>29</v>
      </c>
      <c r="F56" s="440" t="s">
        <v>62</v>
      </c>
      <c r="G56" s="382"/>
      <c r="H56" s="411">
        <v>9.4245302543668119E-4</v>
      </c>
      <c r="I56" s="388">
        <v>1</v>
      </c>
      <c r="J56" s="382"/>
      <c r="K56" s="411">
        <f t="shared" si="5"/>
        <v>9.4245302543668119E-4</v>
      </c>
      <c r="L56" s="388">
        <v>1</v>
      </c>
      <c r="M56" s="382"/>
      <c r="N56" s="385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F56" s="392"/>
      <c r="AG56" s="393"/>
    </row>
    <row r="57" spans="1:33" hidden="1" outlineLevel="3">
      <c r="A57" s="382"/>
      <c r="B57" s="382" t="s">
        <v>15</v>
      </c>
      <c r="C57" s="382" t="s">
        <v>30</v>
      </c>
      <c r="D57" s="382" t="s">
        <v>28</v>
      </c>
      <c r="E57" s="382" t="s">
        <v>29</v>
      </c>
      <c r="F57" s="440" t="s">
        <v>63</v>
      </c>
      <c r="G57" s="382"/>
      <c r="H57" s="411">
        <v>1.8849060508733624E-3</v>
      </c>
      <c r="I57" s="388">
        <v>1</v>
      </c>
      <c r="J57" s="382"/>
      <c r="K57" s="411">
        <f t="shared" si="5"/>
        <v>1.8849060508733624E-3</v>
      </c>
      <c r="L57" s="388">
        <v>1</v>
      </c>
      <c r="M57" s="382"/>
      <c r="N57" s="385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F57" s="392"/>
      <c r="AG57" s="393"/>
    </row>
    <row r="58" spans="1:33" hidden="1" outlineLevel="3">
      <c r="A58" s="382"/>
      <c r="B58" s="382" t="s">
        <v>15</v>
      </c>
      <c r="C58" s="382" t="s">
        <v>30</v>
      </c>
      <c r="D58" s="382" t="s">
        <v>28</v>
      </c>
      <c r="E58" s="382" t="s">
        <v>29</v>
      </c>
      <c r="F58" s="440" t="s">
        <v>38</v>
      </c>
      <c r="G58" s="382"/>
      <c r="H58" s="411">
        <v>2.8273590763100436E-3</v>
      </c>
      <c r="I58" s="388">
        <v>1</v>
      </c>
      <c r="J58" s="382"/>
      <c r="K58" s="411">
        <f t="shared" si="5"/>
        <v>0</v>
      </c>
      <c r="L58" s="388"/>
      <c r="M58" s="382"/>
      <c r="N58" s="385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F58" s="392"/>
      <c r="AG58" s="393"/>
    </row>
    <row r="59" spans="1:33" hidden="1" outlineLevel="3">
      <c r="A59" s="382"/>
      <c r="B59" s="382" t="s">
        <v>15</v>
      </c>
      <c r="C59" s="382" t="s">
        <v>30</v>
      </c>
      <c r="D59" s="382" t="s">
        <v>28</v>
      </c>
      <c r="E59" s="382" t="s">
        <v>29</v>
      </c>
      <c r="F59" s="440" t="s">
        <v>35</v>
      </c>
      <c r="G59" s="382"/>
      <c r="H59" s="411">
        <v>0.10494596538461541</v>
      </c>
      <c r="I59" s="388">
        <v>1</v>
      </c>
      <c r="J59" s="382"/>
      <c r="K59" s="411">
        <f t="shared" si="5"/>
        <v>0</v>
      </c>
      <c r="L59" s="388"/>
      <c r="M59" s="382"/>
      <c r="N59" s="385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F59" s="392"/>
      <c r="AG59" s="393"/>
    </row>
    <row r="60" spans="1:33" hidden="1" outlineLevel="3">
      <c r="A60" s="382"/>
      <c r="B60" s="382" t="s">
        <v>15</v>
      </c>
      <c r="C60" s="382" t="s">
        <v>30</v>
      </c>
      <c r="D60" s="382" t="s">
        <v>28</v>
      </c>
      <c r="E60" s="382" t="s">
        <v>29</v>
      </c>
      <c r="F60" s="440" t="s">
        <v>47</v>
      </c>
      <c r="G60" s="382"/>
      <c r="H60" s="411">
        <v>0.04</v>
      </c>
      <c r="I60" s="388">
        <v>1</v>
      </c>
      <c r="J60" s="382"/>
      <c r="K60" s="411">
        <f t="shared" si="5"/>
        <v>0</v>
      </c>
      <c r="L60" s="388"/>
      <c r="M60" s="382"/>
      <c r="N60" s="385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F60" s="392"/>
      <c r="AG60" s="393"/>
    </row>
    <row r="61" spans="1:33" hidden="1" outlineLevel="2" collapsed="1">
      <c r="A61" s="382"/>
      <c r="B61" s="382" t="s">
        <v>15</v>
      </c>
      <c r="C61" s="382" t="s">
        <v>30</v>
      </c>
      <c r="D61" s="382" t="s">
        <v>64</v>
      </c>
      <c r="E61" s="382"/>
      <c r="F61" s="440" t="s">
        <v>17</v>
      </c>
      <c r="G61" s="382"/>
      <c r="H61" s="411">
        <f>SUM(H62:H66)</f>
        <v>0.17213168552408753</v>
      </c>
      <c r="I61" s="388">
        <f>SUM(I62:I66)</f>
        <v>5</v>
      </c>
      <c r="J61" s="382"/>
      <c r="K61" s="411">
        <f>SUM(K62:K66)</f>
        <v>7.7863519954722668E-2</v>
      </c>
      <c r="L61" s="388">
        <f>SUM(L62:L66)</f>
        <v>3</v>
      </c>
      <c r="M61" s="382"/>
      <c r="N61" s="385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F61" s="392"/>
      <c r="AG61" s="393"/>
    </row>
    <row r="62" spans="1:33" hidden="1" outlineLevel="3">
      <c r="A62" s="382"/>
      <c r="B62" s="382" t="s">
        <v>15</v>
      </c>
      <c r="C62" s="382" t="s">
        <v>30</v>
      </c>
      <c r="D62" s="382" t="s">
        <v>64</v>
      </c>
      <c r="E62" s="382" t="s">
        <v>29</v>
      </c>
      <c r="F62" s="440" t="s">
        <v>32</v>
      </c>
      <c r="G62" s="382"/>
      <c r="H62" s="411">
        <v>4.7863519954722676E-2</v>
      </c>
      <c r="I62" s="388">
        <v>1</v>
      </c>
      <c r="J62" s="382"/>
      <c r="K62" s="411">
        <f t="shared" ref="K62:K66" si="6">IF(L62=1,H62,0)</f>
        <v>4.7863519954722676E-2</v>
      </c>
      <c r="L62" s="388">
        <v>1</v>
      </c>
      <c r="M62" s="382"/>
      <c r="N62" s="385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F62" s="392"/>
      <c r="AG62" s="393"/>
    </row>
    <row r="63" spans="1:33" hidden="1" outlineLevel="3">
      <c r="A63" s="382"/>
      <c r="B63" s="382" t="s">
        <v>15</v>
      </c>
      <c r="C63" s="382" t="s">
        <v>30</v>
      </c>
      <c r="D63" s="382" t="s">
        <v>64</v>
      </c>
      <c r="E63" s="382" t="s">
        <v>29</v>
      </c>
      <c r="F63" s="440" t="s">
        <v>66</v>
      </c>
      <c r="G63" s="382"/>
      <c r="H63" s="411">
        <v>4.7863519954722676E-2</v>
      </c>
      <c r="I63" s="388">
        <v>1</v>
      </c>
      <c r="J63" s="382"/>
      <c r="K63" s="411">
        <f t="shared" si="6"/>
        <v>0</v>
      </c>
      <c r="L63" s="388"/>
      <c r="M63" s="382"/>
      <c r="N63" s="385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F63" s="392"/>
      <c r="AG63" s="393"/>
    </row>
    <row r="64" spans="1:33" hidden="1" outlineLevel="3">
      <c r="A64" s="382"/>
      <c r="B64" s="382" t="s">
        <v>15</v>
      </c>
      <c r="C64" s="382" t="s">
        <v>30</v>
      </c>
      <c r="D64" s="382" t="s">
        <v>64</v>
      </c>
      <c r="E64" s="382" t="s">
        <v>29</v>
      </c>
      <c r="F64" s="440" t="s">
        <v>67</v>
      </c>
      <c r="G64" s="382"/>
      <c r="H64" s="411">
        <v>4.6404645614642186E-2</v>
      </c>
      <c r="I64" s="388">
        <v>1</v>
      </c>
      <c r="J64" s="382"/>
      <c r="K64" s="411">
        <f t="shared" si="6"/>
        <v>0</v>
      </c>
      <c r="L64" s="388"/>
      <c r="M64" s="382"/>
      <c r="N64" s="385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F64" s="392"/>
      <c r="AG64" s="393"/>
    </row>
    <row r="65" spans="1:33" hidden="1" outlineLevel="3">
      <c r="A65" s="382"/>
      <c r="B65" s="382" t="s">
        <v>15</v>
      </c>
      <c r="C65" s="382" t="s">
        <v>30</v>
      </c>
      <c r="D65" s="382" t="s">
        <v>64</v>
      </c>
      <c r="E65" s="382" t="s">
        <v>29</v>
      </c>
      <c r="F65" s="440" t="s">
        <v>69</v>
      </c>
      <c r="G65" s="382"/>
      <c r="H65" s="411">
        <v>0.02</v>
      </c>
      <c r="I65" s="388">
        <v>1</v>
      </c>
      <c r="J65" s="382"/>
      <c r="K65" s="411">
        <f t="shared" si="6"/>
        <v>0.02</v>
      </c>
      <c r="L65" s="388">
        <v>1</v>
      </c>
      <c r="M65" s="382"/>
      <c r="N65" s="385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F65" s="392"/>
      <c r="AG65" s="393"/>
    </row>
    <row r="66" spans="1:33" hidden="1" outlineLevel="3">
      <c r="A66" s="382"/>
      <c r="B66" s="382" t="s">
        <v>15</v>
      </c>
      <c r="C66" s="382" t="s">
        <v>30</v>
      </c>
      <c r="D66" s="382" t="s">
        <v>64</v>
      </c>
      <c r="E66" s="382" t="s">
        <v>29</v>
      </c>
      <c r="F66" s="440" t="s">
        <v>49</v>
      </c>
      <c r="G66" s="382"/>
      <c r="H66" s="411">
        <v>0.01</v>
      </c>
      <c r="I66" s="388">
        <v>1</v>
      </c>
      <c r="J66" s="382"/>
      <c r="K66" s="411">
        <f t="shared" si="6"/>
        <v>0.01</v>
      </c>
      <c r="L66" s="388">
        <v>1</v>
      </c>
      <c r="M66" s="382"/>
      <c r="N66" s="385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F66" s="392"/>
      <c r="AG66" s="393"/>
    </row>
    <row r="67" spans="1:33" s="433" customFormat="1" outlineLevel="1" collapsed="1">
      <c r="A67" s="421"/>
      <c r="B67" s="396" t="s">
        <v>70</v>
      </c>
      <c r="C67" s="421" t="s">
        <v>71</v>
      </c>
      <c r="D67" s="396"/>
      <c r="E67" s="396"/>
      <c r="F67" s="445" t="s">
        <v>17</v>
      </c>
      <c r="G67" s="421"/>
      <c r="H67" s="428">
        <f>SUM(H68,H72,H77)</f>
        <v>0.94561875883591229</v>
      </c>
      <c r="I67" s="429">
        <f>SUM(I68,I72,I77)</f>
        <v>9</v>
      </c>
      <c r="J67" s="421"/>
      <c r="K67" s="428">
        <f>SUM(K68,K72,K77)</f>
        <v>0.12911355532138755</v>
      </c>
      <c r="L67" s="429">
        <f>SUM(L68,L72,L77)</f>
        <v>1</v>
      </c>
      <c r="M67" s="421"/>
      <c r="N67" s="458"/>
      <c r="O67" s="431"/>
      <c r="P67" s="431"/>
      <c r="Q67" s="431"/>
      <c r="R67" s="432"/>
      <c r="S67" s="432"/>
      <c r="T67" s="432"/>
      <c r="U67" s="432"/>
      <c r="V67" s="432"/>
      <c r="W67" s="432"/>
      <c r="X67" s="432"/>
      <c r="Y67" s="431"/>
      <c r="Z67" s="432"/>
      <c r="AA67" s="432"/>
      <c r="AB67" s="432"/>
      <c r="AF67" s="459"/>
      <c r="AG67" s="460"/>
    </row>
    <row r="68" spans="1:33" hidden="1" outlineLevel="2" collapsed="1">
      <c r="A68" s="382"/>
      <c r="B68" s="382" t="s">
        <v>70</v>
      </c>
      <c r="C68" s="382" t="s">
        <v>71</v>
      </c>
      <c r="D68" s="382" t="s">
        <v>18</v>
      </c>
      <c r="E68" s="386"/>
      <c r="F68" s="444" t="s">
        <v>17</v>
      </c>
      <c r="G68" s="382"/>
      <c r="H68" s="387">
        <f>SUM(H69:H71)</f>
        <v>0.3642147722995997</v>
      </c>
      <c r="I68" s="388">
        <f>SUM(I69:I71)</f>
        <v>3</v>
      </c>
      <c r="J68" s="382"/>
      <c r="K68" s="387">
        <f>SUM(K69:K71)</f>
        <v>0</v>
      </c>
      <c r="L68" s="388">
        <f>SUM(L69:L71)</f>
        <v>0</v>
      </c>
      <c r="M68" s="382"/>
      <c r="N68" s="385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</row>
    <row r="69" spans="1:33" hidden="1" outlineLevel="3">
      <c r="A69" s="382"/>
      <c r="B69" s="382" t="s">
        <v>70</v>
      </c>
      <c r="C69" s="382" t="s">
        <v>71</v>
      </c>
      <c r="D69" s="382" t="s">
        <v>18</v>
      </c>
      <c r="E69" s="386" t="s">
        <v>72</v>
      </c>
      <c r="F69" s="440" t="s">
        <v>73</v>
      </c>
      <c r="G69" s="382"/>
      <c r="H69" s="387">
        <v>0.13658053961234987</v>
      </c>
      <c r="I69" s="388">
        <v>1</v>
      </c>
      <c r="J69" s="382"/>
      <c r="K69" s="411">
        <f t="shared" ref="K69:K71" si="7">IF(L69=1,H69,0)</f>
        <v>0</v>
      </c>
      <c r="L69" s="388"/>
      <c r="M69" s="382"/>
      <c r="N69" s="385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</row>
    <row r="70" spans="1:33" hidden="1" outlineLevel="3">
      <c r="A70" s="382"/>
      <c r="B70" s="382" t="s">
        <v>70</v>
      </c>
      <c r="C70" s="382" t="s">
        <v>71</v>
      </c>
      <c r="D70" s="382" t="s">
        <v>18</v>
      </c>
      <c r="E70" s="386" t="s">
        <v>72</v>
      </c>
      <c r="F70" s="444" t="s">
        <v>24</v>
      </c>
      <c r="G70" s="382"/>
      <c r="H70" s="387">
        <v>0.18210738614979985</v>
      </c>
      <c r="I70" s="388">
        <v>1</v>
      </c>
      <c r="J70" s="382"/>
      <c r="K70" s="411">
        <f t="shared" si="7"/>
        <v>0</v>
      </c>
      <c r="L70" s="388"/>
      <c r="M70" s="382"/>
      <c r="N70" s="385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</row>
    <row r="71" spans="1:33" hidden="1" outlineLevel="3">
      <c r="A71" s="382"/>
      <c r="B71" s="382" t="s">
        <v>70</v>
      </c>
      <c r="C71" s="382" t="s">
        <v>71</v>
      </c>
      <c r="D71" s="382" t="s">
        <v>18</v>
      </c>
      <c r="E71" s="386" t="s">
        <v>72</v>
      </c>
      <c r="F71" s="444" t="s">
        <v>74</v>
      </c>
      <c r="G71" s="382"/>
      <c r="H71" s="387">
        <v>4.5526846537449962E-2</v>
      </c>
      <c r="I71" s="388">
        <v>1</v>
      </c>
      <c r="J71" s="382"/>
      <c r="K71" s="411">
        <f t="shared" si="7"/>
        <v>0</v>
      </c>
      <c r="L71" s="388"/>
      <c r="M71" s="382"/>
      <c r="N71" s="385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</row>
    <row r="72" spans="1:33" hidden="1" outlineLevel="2" collapsed="1">
      <c r="A72" s="382"/>
      <c r="B72" s="382" t="s">
        <v>70</v>
      </c>
      <c r="C72" s="382" t="s">
        <v>71</v>
      </c>
      <c r="D72" s="382" t="s">
        <v>26</v>
      </c>
      <c r="E72" s="382"/>
      <c r="F72" s="440" t="s">
        <v>17</v>
      </c>
      <c r="G72" s="382"/>
      <c r="H72" s="411">
        <f>SUM(H73:H76)</f>
        <v>0.41389850293631264</v>
      </c>
      <c r="I72" s="388">
        <f>SUM(I73:I76)</f>
        <v>4</v>
      </c>
      <c r="J72" s="382"/>
      <c r="K72" s="411">
        <f>SUM(K73:K76)</f>
        <v>0.12911355532138755</v>
      </c>
      <c r="L72" s="388">
        <f>SUM(L73:L76)</f>
        <v>1</v>
      </c>
      <c r="M72" s="382"/>
      <c r="N72" s="385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</row>
    <row r="73" spans="1:33" hidden="1" outlineLevel="3">
      <c r="A73" s="382"/>
      <c r="B73" s="382" t="s">
        <v>70</v>
      </c>
      <c r="C73" s="382" t="s">
        <v>71</v>
      </c>
      <c r="D73" s="382" t="s">
        <v>26</v>
      </c>
      <c r="E73" s="382" t="s">
        <v>27</v>
      </c>
      <c r="F73" s="440" t="s">
        <v>75</v>
      </c>
      <c r="G73" s="382"/>
      <c r="H73" s="411">
        <v>0.12911355532138755</v>
      </c>
      <c r="I73" s="388">
        <v>1</v>
      </c>
      <c r="J73" s="382"/>
      <c r="K73" s="411">
        <f t="shared" ref="K73:K76" si="8">IF(L73=1,H73,0)</f>
        <v>0.12911355532138755</v>
      </c>
      <c r="L73" s="388">
        <v>1</v>
      </c>
      <c r="M73" s="382"/>
      <c r="N73" s="385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</row>
    <row r="74" spans="1:33" hidden="1" outlineLevel="3">
      <c r="A74" s="382"/>
      <c r="B74" s="382" t="s">
        <v>70</v>
      </c>
      <c r="C74" s="382" t="s">
        <v>71</v>
      </c>
      <c r="D74" s="382" t="s">
        <v>26</v>
      </c>
      <c r="E74" s="382" t="s">
        <v>27</v>
      </c>
      <c r="F74" s="440" t="s">
        <v>76</v>
      </c>
      <c r="G74" s="382"/>
      <c r="H74" s="411">
        <v>0.25822711064277509</v>
      </c>
      <c r="I74" s="388">
        <v>1</v>
      </c>
      <c r="J74" s="382"/>
      <c r="K74" s="411">
        <f t="shared" si="8"/>
        <v>0</v>
      </c>
      <c r="L74" s="388"/>
      <c r="M74" s="382"/>
      <c r="N74" s="385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</row>
    <row r="75" spans="1:33" hidden="1" outlineLevel="3">
      <c r="A75" s="382"/>
      <c r="B75" s="382" t="s">
        <v>70</v>
      </c>
      <c r="C75" s="382" t="s">
        <v>71</v>
      </c>
      <c r="D75" s="382" t="s">
        <v>26</v>
      </c>
      <c r="E75" s="382" t="s">
        <v>27</v>
      </c>
      <c r="F75" s="440" t="s">
        <v>73</v>
      </c>
      <c r="G75" s="382"/>
      <c r="H75" s="411">
        <v>1.4486092893899998E-2</v>
      </c>
      <c r="I75" s="388">
        <v>1</v>
      </c>
      <c r="J75" s="382"/>
      <c r="K75" s="411">
        <f t="shared" si="8"/>
        <v>0</v>
      </c>
      <c r="L75" s="388"/>
      <c r="M75" s="382"/>
      <c r="N75" s="385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</row>
    <row r="76" spans="1:33" hidden="1" outlineLevel="3">
      <c r="A76" s="382"/>
      <c r="B76" s="382" t="s">
        <v>70</v>
      </c>
      <c r="C76" s="382" t="s">
        <v>71</v>
      </c>
      <c r="D76" s="382" t="s">
        <v>26</v>
      </c>
      <c r="E76" s="382" t="s">
        <v>27</v>
      </c>
      <c r="F76" s="440" t="s">
        <v>24</v>
      </c>
      <c r="G76" s="382"/>
      <c r="H76" s="411">
        <v>1.2071744078249999E-2</v>
      </c>
      <c r="I76" s="388">
        <v>1</v>
      </c>
      <c r="J76" s="382"/>
      <c r="K76" s="411">
        <f t="shared" si="8"/>
        <v>0</v>
      </c>
      <c r="L76" s="388"/>
      <c r="M76" s="382"/>
      <c r="N76" s="385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</row>
    <row r="77" spans="1:33" hidden="1" outlineLevel="2" collapsed="1">
      <c r="A77" s="382"/>
      <c r="B77" s="382" t="s">
        <v>70</v>
      </c>
      <c r="C77" s="382" t="s">
        <v>71</v>
      </c>
      <c r="D77" s="382" t="s">
        <v>28</v>
      </c>
      <c r="E77" s="382"/>
      <c r="F77" s="444" t="s">
        <v>17</v>
      </c>
      <c r="G77" s="382"/>
      <c r="H77" s="411">
        <f>SUM(H78:H79)</f>
        <v>0.16750548359999998</v>
      </c>
      <c r="I77" s="388">
        <f>SUM(I78:I79)</f>
        <v>2</v>
      </c>
      <c r="J77" s="382"/>
      <c r="K77" s="411">
        <f>SUM(K78:K79)</f>
        <v>0</v>
      </c>
      <c r="L77" s="388">
        <f>SUM(L78:L79)</f>
        <v>0</v>
      </c>
      <c r="M77" s="382"/>
      <c r="N77" s="385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</row>
    <row r="78" spans="1:33" hidden="1" outlineLevel="3">
      <c r="A78" s="382"/>
      <c r="B78" s="382" t="s">
        <v>70</v>
      </c>
      <c r="C78" s="382" t="s">
        <v>71</v>
      </c>
      <c r="D78" s="382" t="s">
        <v>28</v>
      </c>
      <c r="E78" s="382" t="s">
        <v>29</v>
      </c>
      <c r="F78" s="444" t="s">
        <v>47</v>
      </c>
      <c r="G78" s="382"/>
      <c r="H78" s="411">
        <v>3.8655111599999993E-2</v>
      </c>
      <c r="I78" s="388">
        <v>1</v>
      </c>
      <c r="J78" s="382"/>
      <c r="K78" s="411">
        <f t="shared" ref="K78:K79" si="9">IF(L78=1,H78,0)</f>
        <v>0</v>
      </c>
      <c r="L78" s="388"/>
      <c r="M78" s="382"/>
      <c r="N78" s="385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</row>
    <row r="79" spans="1:33" hidden="1" outlineLevel="3">
      <c r="A79" s="382"/>
      <c r="B79" s="382" t="s">
        <v>70</v>
      </c>
      <c r="C79" s="382" t="s">
        <v>71</v>
      </c>
      <c r="D79" s="382" t="s">
        <v>28</v>
      </c>
      <c r="E79" s="382" t="s">
        <v>29</v>
      </c>
      <c r="F79" s="444" t="s">
        <v>24</v>
      </c>
      <c r="G79" s="382"/>
      <c r="H79" s="411">
        <v>0.12885037199999999</v>
      </c>
      <c r="I79" s="388">
        <v>1</v>
      </c>
      <c r="J79" s="382"/>
      <c r="K79" s="411">
        <f t="shared" si="9"/>
        <v>0</v>
      </c>
      <c r="L79" s="388"/>
      <c r="M79" s="382"/>
      <c r="N79" s="385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</row>
    <row r="80" spans="1:33" s="433" customFormat="1" outlineLevel="1" collapsed="1">
      <c r="A80" s="421"/>
      <c r="B80" s="396" t="s">
        <v>79</v>
      </c>
      <c r="C80" s="421" t="s">
        <v>80</v>
      </c>
      <c r="D80" s="396"/>
      <c r="E80" s="396"/>
      <c r="F80" s="445" t="s">
        <v>81</v>
      </c>
      <c r="G80" s="421"/>
      <c r="H80" s="550" t="s">
        <v>82</v>
      </c>
      <c r="I80" s="429">
        <f>SUM(I81)</f>
        <v>0</v>
      </c>
      <c r="J80" s="421"/>
      <c r="K80" s="550" t="s">
        <v>82</v>
      </c>
      <c r="L80" s="429">
        <f>SUM(L81)</f>
        <v>0</v>
      </c>
      <c r="M80" s="421"/>
      <c r="N80" s="385"/>
      <c r="O80" s="431"/>
      <c r="P80" s="431"/>
      <c r="Q80" s="431"/>
      <c r="R80" s="432"/>
      <c r="S80" s="432"/>
      <c r="T80" s="432"/>
      <c r="U80" s="432"/>
      <c r="V80" s="432"/>
      <c r="W80" s="432"/>
      <c r="X80" s="432"/>
      <c r="Y80" s="431"/>
      <c r="Z80" s="432"/>
      <c r="AA80" s="432"/>
      <c r="AB80" s="432"/>
      <c r="AF80" s="459"/>
      <c r="AG80" s="460"/>
    </row>
    <row r="81" spans="1:28" hidden="1" outlineLevel="2">
      <c r="A81" s="382"/>
      <c r="B81" s="397" t="s">
        <v>79</v>
      </c>
      <c r="C81" s="397" t="s">
        <v>80</v>
      </c>
      <c r="D81" s="382"/>
      <c r="E81" s="382"/>
      <c r="F81" s="447" t="s">
        <v>83</v>
      </c>
      <c r="G81" s="382"/>
      <c r="H81" s="411" t="s">
        <v>82</v>
      </c>
      <c r="I81" s="388"/>
      <c r="J81" s="382"/>
      <c r="K81" s="411" t="s">
        <v>82</v>
      </c>
      <c r="L81" s="388"/>
      <c r="M81" s="382"/>
      <c r="N81" s="385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</row>
    <row r="82" spans="1:28" s="433" customFormat="1" outlineLevel="1" collapsed="1">
      <c r="A82" s="421"/>
      <c r="B82" s="396" t="s">
        <v>84</v>
      </c>
      <c r="C82" s="421" t="s">
        <v>85</v>
      </c>
      <c r="D82" s="396"/>
      <c r="E82" s="396"/>
      <c r="F82" s="445" t="s">
        <v>86</v>
      </c>
      <c r="G82" s="421"/>
      <c r="H82" s="428">
        <f>SUM(H83+H92+H96+H100)</f>
        <v>3.7669914999999996</v>
      </c>
      <c r="I82" s="423">
        <f>SUM(I83,I92,I96,I100)</f>
        <v>15</v>
      </c>
      <c r="J82" s="421"/>
      <c r="K82" s="428">
        <f>SUM(K83+K92+K96+K100)</f>
        <v>0</v>
      </c>
      <c r="L82" s="423">
        <f>SUM(L83,L92,L96,L100)</f>
        <v>0</v>
      </c>
      <c r="M82" s="421"/>
      <c r="N82" s="385"/>
      <c r="O82" s="431"/>
      <c r="P82" s="431"/>
      <c r="Q82" s="431"/>
      <c r="R82" s="432"/>
      <c r="S82" s="432"/>
      <c r="T82" s="432"/>
      <c r="U82" s="432"/>
      <c r="V82" s="432"/>
      <c r="W82" s="432"/>
      <c r="X82" s="432"/>
      <c r="Y82" s="431"/>
      <c r="Z82" s="432"/>
      <c r="AA82" s="432"/>
      <c r="AB82" s="432"/>
    </row>
    <row r="83" spans="1:28" hidden="1" outlineLevel="2" collapsed="1">
      <c r="A83" s="382"/>
      <c r="B83" s="382" t="s">
        <v>84</v>
      </c>
      <c r="C83" s="382" t="s">
        <v>85</v>
      </c>
      <c r="D83" s="382" t="s">
        <v>18</v>
      </c>
      <c r="E83" s="386"/>
      <c r="F83" s="444" t="s">
        <v>87</v>
      </c>
      <c r="G83" s="382"/>
      <c r="H83" s="387">
        <f>SUM(H84:H91)</f>
        <v>3.3658999999999999</v>
      </c>
      <c r="I83" s="388">
        <f>SUM(I84:I91)</f>
        <v>8</v>
      </c>
      <c r="J83" s="382"/>
      <c r="K83" s="387">
        <f>SUM(K84:K91)</f>
        <v>0</v>
      </c>
      <c r="L83" s="388">
        <f>SUM(L84:L91)</f>
        <v>0</v>
      </c>
      <c r="M83" s="382"/>
      <c r="N83" s="385"/>
      <c r="O83" s="389"/>
      <c r="P83" s="389"/>
      <c r="Q83" s="389"/>
      <c r="R83" s="391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</row>
    <row r="84" spans="1:28" hidden="1" outlineLevel="3">
      <c r="A84" s="382"/>
      <c r="B84" s="382" t="s">
        <v>84</v>
      </c>
      <c r="C84" s="382" t="s">
        <v>85</v>
      </c>
      <c r="D84" s="382" t="s">
        <v>18</v>
      </c>
      <c r="E84" s="386" t="s">
        <v>20</v>
      </c>
      <c r="F84" s="444" t="s">
        <v>88</v>
      </c>
      <c r="G84" s="382"/>
      <c r="H84" s="410">
        <v>0.17</v>
      </c>
      <c r="I84" s="388">
        <v>1</v>
      </c>
      <c r="J84" s="382"/>
      <c r="K84" s="411">
        <f t="shared" ref="K84:K91" si="10">IF(L84=1,H84,0)</f>
        <v>0</v>
      </c>
      <c r="L84" s="388"/>
      <c r="M84" s="382"/>
      <c r="N84" s="385"/>
      <c r="O84" s="389"/>
      <c r="P84" s="389"/>
      <c r="Q84" s="389"/>
      <c r="R84" s="391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</row>
    <row r="85" spans="1:28" hidden="1" outlineLevel="3">
      <c r="A85" s="382"/>
      <c r="B85" s="382" t="s">
        <v>84</v>
      </c>
      <c r="C85" s="382" t="s">
        <v>85</v>
      </c>
      <c r="D85" s="382" t="s">
        <v>18</v>
      </c>
      <c r="E85" s="386" t="s">
        <v>20</v>
      </c>
      <c r="F85" s="444" t="s">
        <v>89</v>
      </c>
      <c r="G85" s="382"/>
      <c r="H85" s="410">
        <v>0.17</v>
      </c>
      <c r="I85" s="388">
        <v>1</v>
      </c>
      <c r="J85" s="382"/>
      <c r="K85" s="411">
        <f t="shared" si="10"/>
        <v>0</v>
      </c>
      <c r="L85" s="388"/>
      <c r="M85" s="382"/>
      <c r="N85" s="385"/>
      <c r="O85" s="389"/>
      <c r="P85" s="389"/>
      <c r="Q85" s="389"/>
      <c r="R85" s="391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</row>
    <row r="86" spans="1:28" hidden="1" outlineLevel="3">
      <c r="A86" s="382"/>
      <c r="B86" s="382" t="s">
        <v>84</v>
      </c>
      <c r="C86" s="382" t="s">
        <v>85</v>
      </c>
      <c r="D86" s="382" t="s">
        <v>18</v>
      </c>
      <c r="E86" s="386" t="s">
        <v>20</v>
      </c>
      <c r="F86" s="444" t="s">
        <v>90</v>
      </c>
      <c r="G86" s="382"/>
      <c r="H86" s="410">
        <v>1.18</v>
      </c>
      <c r="I86" s="388">
        <v>1</v>
      </c>
      <c r="J86" s="382"/>
      <c r="K86" s="411">
        <f t="shared" si="10"/>
        <v>0</v>
      </c>
      <c r="L86" s="388"/>
      <c r="M86" s="382"/>
      <c r="N86" s="385"/>
      <c r="O86" s="389"/>
      <c r="P86" s="389"/>
      <c r="Q86" s="389"/>
      <c r="R86" s="391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</row>
    <row r="87" spans="1:28" hidden="1" outlineLevel="3">
      <c r="A87" s="382"/>
      <c r="B87" s="382" t="s">
        <v>84</v>
      </c>
      <c r="C87" s="382" t="s">
        <v>85</v>
      </c>
      <c r="D87" s="382" t="s">
        <v>18</v>
      </c>
      <c r="E87" s="386" t="s">
        <v>20</v>
      </c>
      <c r="F87" s="444" t="s">
        <v>91</v>
      </c>
      <c r="G87" s="382"/>
      <c r="H87" s="410">
        <f>10659000/10^7</f>
        <v>1.0659000000000001</v>
      </c>
      <c r="I87" s="388">
        <v>1</v>
      </c>
      <c r="J87" s="382"/>
      <c r="K87" s="411">
        <f t="shared" si="10"/>
        <v>0</v>
      </c>
      <c r="L87" s="388"/>
      <c r="M87" s="382"/>
      <c r="N87" s="385"/>
      <c r="O87" s="389"/>
      <c r="P87" s="389"/>
      <c r="Q87" s="389"/>
      <c r="R87" s="391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</row>
    <row r="88" spans="1:28" hidden="1" outlineLevel="3">
      <c r="A88" s="382"/>
      <c r="B88" s="382" t="s">
        <v>84</v>
      </c>
      <c r="C88" s="382" t="s">
        <v>85</v>
      </c>
      <c r="D88" s="382" t="s">
        <v>18</v>
      </c>
      <c r="E88" s="386" t="s">
        <v>20</v>
      </c>
      <c r="F88" s="444" t="s">
        <v>92</v>
      </c>
      <c r="G88" s="382"/>
      <c r="H88" s="410">
        <v>0.45</v>
      </c>
      <c r="I88" s="388">
        <v>1</v>
      </c>
      <c r="J88" s="382"/>
      <c r="K88" s="411">
        <f t="shared" si="10"/>
        <v>0</v>
      </c>
      <c r="L88" s="388"/>
      <c r="M88" s="382"/>
      <c r="N88" s="385"/>
      <c r="O88" s="389"/>
      <c r="P88" s="389"/>
      <c r="Q88" s="389"/>
      <c r="R88" s="391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</row>
    <row r="89" spans="1:28" hidden="1" outlineLevel="3">
      <c r="A89" s="382"/>
      <c r="B89" s="382" t="s">
        <v>84</v>
      </c>
      <c r="C89" s="382" t="s">
        <v>85</v>
      </c>
      <c r="D89" s="382" t="s">
        <v>18</v>
      </c>
      <c r="E89" s="386" t="s">
        <v>20</v>
      </c>
      <c r="F89" s="444" t="s">
        <v>93</v>
      </c>
      <c r="G89" s="382"/>
      <c r="H89" s="410">
        <v>0.15</v>
      </c>
      <c r="I89" s="388">
        <v>1</v>
      </c>
      <c r="J89" s="382"/>
      <c r="K89" s="411">
        <f t="shared" si="10"/>
        <v>0</v>
      </c>
      <c r="L89" s="388"/>
      <c r="M89" s="382"/>
      <c r="N89" s="385"/>
      <c r="O89" s="389"/>
      <c r="P89" s="389"/>
      <c r="Q89" s="389"/>
      <c r="R89" s="391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</row>
    <row r="90" spans="1:28" hidden="1" outlineLevel="3">
      <c r="A90" s="382"/>
      <c r="B90" s="382" t="s">
        <v>84</v>
      </c>
      <c r="C90" s="382" t="s">
        <v>85</v>
      </c>
      <c r="D90" s="382" t="s">
        <v>18</v>
      </c>
      <c r="E90" s="386" t="s">
        <v>20</v>
      </c>
      <c r="F90" s="444" t="s">
        <v>94</v>
      </c>
      <c r="G90" s="382"/>
      <c r="H90" s="410">
        <v>0.15</v>
      </c>
      <c r="I90" s="388">
        <v>1</v>
      </c>
      <c r="J90" s="382"/>
      <c r="K90" s="411">
        <f t="shared" si="10"/>
        <v>0</v>
      </c>
      <c r="L90" s="388"/>
      <c r="M90" s="382"/>
      <c r="N90" s="385"/>
      <c r="O90" s="389"/>
      <c r="P90" s="389"/>
      <c r="Q90" s="389"/>
      <c r="R90" s="391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</row>
    <row r="91" spans="1:28" hidden="1" outlineLevel="3">
      <c r="A91" s="382"/>
      <c r="B91" s="382" t="s">
        <v>84</v>
      </c>
      <c r="C91" s="382" t="s">
        <v>85</v>
      </c>
      <c r="D91" s="382" t="s">
        <v>18</v>
      </c>
      <c r="E91" s="386" t="s">
        <v>20</v>
      </c>
      <c r="F91" s="444" t="s">
        <v>95</v>
      </c>
      <c r="G91" s="382"/>
      <c r="H91" s="410">
        <v>0.03</v>
      </c>
      <c r="I91" s="388">
        <v>1</v>
      </c>
      <c r="J91" s="382"/>
      <c r="K91" s="411">
        <f t="shared" si="10"/>
        <v>0</v>
      </c>
      <c r="L91" s="388"/>
      <c r="M91" s="382"/>
      <c r="N91" s="385"/>
      <c r="O91" s="389"/>
      <c r="P91" s="389"/>
      <c r="Q91" s="389"/>
      <c r="R91" s="391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</row>
    <row r="92" spans="1:28" hidden="1" outlineLevel="2" collapsed="1">
      <c r="A92" s="382"/>
      <c r="B92" s="382" t="s">
        <v>84</v>
      </c>
      <c r="C92" s="382" t="s">
        <v>85</v>
      </c>
      <c r="D92" s="382" t="s">
        <v>26</v>
      </c>
      <c r="E92" s="382"/>
      <c r="F92" s="444" t="s">
        <v>87</v>
      </c>
      <c r="G92" s="382"/>
      <c r="H92" s="387">
        <f>SUM(H93:H95)</f>
        <v>0.36</v>
      </c>
      <c r="I92" s="388">
        <f>SUM(I93:I95)</f>
        <v>3</v>
      </c>
      <c r="J92" s="382"/>
      <c r="K92" s="387">
        <f>SUM(K93:K95)</f>
        <v>0</v>
      </c>
      <c r="L92" s="388">
        <f>SUM(L93:L95)</f>
        <v>0</v>
      </c>
      <c r="M92" s="382"/>
      <c r="N92" s="385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</row>
    <row r="93" spans="1:28" hidden="1" outlineLevel="3">
      <c r="A93" s="382"/>
      <c r="B93" s="382" t="s">
        <v>84</v>
      </c>
      <c r="C93" s="382" t="s">
        <v>85</v>
      </c>
      <c r="D93" s="382" t="s">
        <v>26</v>
      </c>
      <c r="E93" s="382" t="s">
        <v>27</v>
      </c>
      <c r="F93" s="444" t="s">
        <v>96</v>
      </c>
      <c r="G93" s="382"/>
      <c r="H93" s="410">
        <v>0.19</v>
      </c>
      <c r="I93" s="388">
        <v>1</v>
      </c>
      <c r="J93" s="382"/>
      <c r="K93" s="411">
        <f t="shared" ref="K93:K95" si="11">IF(L93=1,H93,0)</f>
        <v>0</v>
      </c>
      <c r="L93" s="388"/>
      <c r="M93" s="382"/>
      <c r="N93" s="385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</row>
    <row r="94" spans="1:28" hidden="1" outlineLevel="3">
      <c r="A94" s="382"/>
      <c r="B94" s="382" t="s">
        <v>84</v>
      </c>
      <c r="C94" s="382" t="s">
        <v>85</v>
      </c>
      <c r="D94" s="382" t="s">
        <v>26</v>
      </c>
      <c r="E94" s="382" t="s">
        <v>27</v>
      </c>
      <c r="F94" s="444" t="s">
        <v>97</v>
      </c>
      <c r="G94" s="382"/>
      <c r="H94" s="410">
        <v>0.16</v>
      </c>
      <c r="I94" s="388">
        <v>1</v>
      </c>
      <c r="J94" s="382"/>
      <c r="K94" s="411">
        <f t="shared" si="11"/>
        <v>0</v>
      </c>
      <c r="L94" s="388"/>
      <c r="M94" s="382"/>
      <c r="N94" s="385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</row>
    <row r="95" spans="1:28" hidden="1" outlineLevel="3">
      <c r="A95" s="382"/>
      <c r="B95" s="382" t="s">
        <v>84</v>
      </c>
      <c r="C95" s="382" t="s">
        <v>85</v>
      </c>
      <c r="D95" s="382" t="s">
        <v>26</v>
      </c>
      <c r="E95" s="382" t="s">
        <v>27</v>
      </c>
      <c r="F95" s="444" t="s">
        <v>98</v>
      </c>
      <c r="G95" s="382"/>
      <c r="H95" s="410">
        <v>0.01</v>
      </c>
      <c r="I95" s="388">
        <v>1</v>
      </c>
      <c r="J95" s="382"/>
      <c r="K95" s="411">
        <f t="shared" si="11"/>
        <v>0</v>
      </c>
      <c r="L95" s="388"/>
      <c r="M95" s="382"/>
      <c r="N95" s="385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</row>
    <row r="96" spans="1:28" hidden="1" outlineLevel="2" collapsed="1">
      <c r="A96" s="382"/>
      <c r="B96" s="382" t="s">
        <v>84</v>
      </c>
      <c r="C96" s="382" t="s">
        <v>85</v>
      </c>
      <c r="D96" s="382" t="s">
        <v>28</v>
      </c>
      <c r="E96" s="382"/>
      <c r="F96" s="444" t="s">
        <v>87</v>
      </c>
      <c r="G96" s="382"/>
      <c r="H96" s="387">
        <f>SUM(H99:H99)</f>
        <v>1.0915E-3</v>
      </c>
      <c r="I96" s="388">
        <f>SUM(I97:I99)</f>
        <v>3</v>
      </c>
      <c r="J96" s="382"/>
      <c r="K96" s="387">
        <f>SUM(K99:K99)</f>
        <v>0</v>
      </c>
      <c r="L96" s="388">
        <f>SUM(L97:L99)</f>
        <v>0</v>
      </c>
      <c r="M96" s="382"/>
      <c r="N96" s="385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</row>
    <row r="97" spans="1:28" hidden="1" outlineLevel="3">
      <c r="A97" s="382"/>
      <c r="B97" s="382" t="s">
        <v>84</v>
      </c>
      <c r="C97" s="382" t="s">
        <v>85</v>
      </c>
      <c r="D97" s="382" t="s">
        <v>28</v>
      </c>
      <c r="E97" s="382" t="s">
        <v>29</v>
      </c>
      <c r="F97" s="444" t="s">
        <v>97</v>
      </c>
      <c r="G97" s="382"/>
      <c r="H97" s="430">
        <v>0.36</v>
      </c>
      <c r="I97" s="409">
        <v>1</v>
      </c>
      <c r="J97" s="382"/>
      <c r="K97" s="411">
        <f t="shared" ref="K97:K99" si="12">IF(L97=1,H97,0)</f>
        <v>0</v>
      </c>
      <c r="L97" s="409"/>
      <c r="M97" s="382"/>
      <c r="N97" s="385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</row>
    <row r="98" spans="1:28" hidden="1" outlineLevel="3" collapsed="1">
      <c r="A98" s="382"/>
      <c r="B98" s="382" t="s">
        <v>84</v>
      </c>
      <c r="C98" s="382" t="s">
        <v>85</v>
      </c>
      <c r="D98" s="382" t="s">
        <v>28</v>
      </c>
      <c r="E98" s="382" t="s">
        <v>29</v>
      </c>
      <c r="F98" s="444" t="s">
        <v>99</v>
      </c>
      <c r="G98" s="382"/>
      <c r="H98" s="430">
        <v>2.183E-3</v>
      </c>
      <c r="I98" s="409">
        <v>1</v>
      </c>
      <c r="J98" s="382"/>
      <c r="K98" s="411">
        <f t="shared" si="12"/>
        <v>0</v>
      </c>
      <c r="L98" s="409"/>
      <c r="M98" s="382"/>
      <c r="N98" s="385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</row>
    <row r="99" spans="1:28" hidden="1" outlineLevel="3">
      <c r="A99" s="382"/>
      <c r="B99" s="382" t="s">
        <v>84</v>
      </c>
      <c r="C99" s="382" t="s">
        <v>85</v>
      </c>
      <c r="D99" s="382" t="s">
        <v>28</v>
      </c>
      <c r="E99" s="382" t="s">
        <v>29</v>
      </c>
      <c r="F99" s="444" t="s">
        <v>98</v>
      </c>
      <c r="G99" s="382"/>
      <c r="H99" s="410">
        <v>1.0915E-3</v>
      </c>
      <c r="I99" s="388">
        <v>1</v>
      </c>
      <c r="J99" s="382"/>
      <c r="K99" s="411">
        <f t="shared" si="12"/>
        <v>0</v>
      </c>
      <c r="L99" s="388"/>
      <c r="M99" s="382"/>
      <c r="N99" s="385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</row>
    <row r="100" spans="1:28" hidden="1" outlineLevel="2" collapsed="1">
      <c r="A100" s="382"/>
      <c r="B100" s="382" t="s">
        <v>84</v>
      </c>
      <c r="C100" s="382" t="s">
        <v>85</v>
      </c>
      <c r="D100" s="382" t="s">
        <v>64</v>
      </c>
      <c r="E100" s="382"/>
      <c r="F100" s="444" t="s">
        <v>87</v>
      </c>
      <c r="G100" s="382"/>
      <c r="H100" s="387">
        <f>SUM(H101)</f>
        <v>0.04</v>
      </c>
      <c r="I100" s="388">
        <f>SUM(I101)</f>
        <v>1</v>
      </c>
      <c r="J100" s="382"/>
      <c r="K100" s="387">
        <f>SUM(K101)</f>
        <v>0</v>
      </c>
      <c r="L100" s="388">
        <f>SUM(L101)</f>
        <v>0</v>
      </c>
      <c r="M100" s="382"/>
      <c r="N100" s="385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</row>
    <row r="101" spans="1:28" ht="26.45" hidden="1" outlineLevel="3">
      <c r="A101" s="382"/>
      <c r="B101" s="382" t="s">
        <v>84</v>
      </c>
      <c r="C101" s="382" t="s">
        <v>85</v>
      </c>
      <c r="D101" s="382" t="s">
        <v>64</v>
      </c>
      <c r="E101" s="382" t="s">
        <v>29</v>
      </c>
      <c r="F101" s="444" t="s">
        <v>100</v>
      </c>
      <c r="G101" s="382"/>
      <c r="H101" s="410">
        <v>0.04</v>
      </c>
      <c r="I101" s="388">
        <v>1</v>
      </c>
      <c r="J101" s="382"/>
      <c r="K101" s="411">
        <f>IF(L101=1,H101,0)</f>
        <v>0</v>
      </c>
      <c r="L101" s="388"/>
      <c r="M101" s="382"/>
      <c r="N101" s="385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</row>
    <row r="102" spans="1:28" s="401" customFormat="1" outlineLevel="1" collapsed="1">
      <c r="A102" s="395"/>
      <c r="B102" s="396" t="s">
        <v>101</v>
      </c>
      <c r="C102" s="421" t="s">
        <v>102</v>
      </c>
      <c r="D102" s="396"/>
      <c r="E102" s="396"/>
      <c r="F102" s="445" t="s">
        <v>86</v>
      </c>
      <c r="G102" s="395"/>
      <c r="H102" s="422">
        <f>SUM(H103+H122+H130+H134)</f>
        <v>8.9238499999999998</v>
      </c>
      <c r="I102" s="423">
        <f>SUM(I103,I122,I130,I134)</f>
        <v>28</v>
      </c>
      <c r="J102" s="395"/>
      <c r="K102" s="422">
        <f>SUM(K103+K122+K130+K134)</f>
        <v>0</v>
      </c>
      <c r="L102" s="423">
        <f>SUM(L103,L122,L130,L134)</f>
        <v>0</v>
      </c>
      <c r="M102" s="395"/>
      <c r="N102" s="385"/>
      <c r="O102" s="389"/>
      <c r="P102" s="389"/>
      <c r="Q102" s="389"/>
      <c r="R102" s="400"/>
      <c r="S102" s="400"/>
      <c r="T102" s="400"/>
      <c r="U102" s="400"/>
      <c r="V102" s="400"/>
      <c r="W102" s="400"/>
      <c r="X102" s="400"/>
      <c r="Y102" s="389"/>
      <c r="Z102" s="400"/>
      <c r="AA102" s="400"/>
      <c r="AB102" s="400"/>
    </row>
    <row r="103" spans="1:28" ht="26.45" hidden="1" outlineLevel="2" collapsed="1">
      <c r="A103" s="382"/>
      <c r="B103" s="382" t="s">
        <v>101</v>
      </c>
      <c r="C103" s="382" t="s">
        <v>102</v>
      </c>
      <c r="D103" s="382" t="s">
        <v>18</v>
      </c>
      <c r="E103" s="397"/>
      <c r="F103" s="440" t="s">
        <v>103</v>
      </c>
      <c r="G103" s="382"/>
      <c r="H103" s="387">
        <f>SUM(H104:H121)</f>
        <v>7.0838499999999991</v>
      </c>
      <c r="I103" s="388">
        <f>SUM(I104:I121)</f>
        <v>18</v>
      </c>
      <c r="J103" s="382"/>
      <c r="K103" s="387">
        <f>SUM(K104:K121)</f>
        <v>0</v>
      </c>
      <c r="L103" s="388">
        <f>SUM(L104:L121)</f>
        <v>0</v>
      </c>
      <c r="M103" s="382"/>
      <c r="N103" s="385"/>
      <c r="O103" s="389"/>
      <c r="P103" s="389"/>
      <c r="Q103" s="389"/>
      <c r="R103" s="391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</row>
    <row r="104" spans="1:28" hidden="1" outlineLevel="3">
      <c r="A104" s="382"/>
      <c r="B104" s="382" t="s">
        <v>101</v>
      </c>
      <c r="C104" s="382" t="s">
        <v>102</v>
      </c>
      <c r="D104" s="382" t="s">
        <v>18</v>
      </c>
      <c r="E104" s="397" t="s">
        <v>20</v>
      </c>
      <c r="F104" s="444" t="s">
        <v>104</v>
      </c>
      <c r="G104" s="382"/>
      <c r="H104" s="387">
        <v>0.2</v>
      </c>
      <c r="I104" s="388">
        <v>1</v>
      </c>
      <c r="J104" s="382"/>
      <c r="K104" s="411">
        <f t="shared" ref="K104:K121" si="13">IF(L104=1,H104,0)</f>
        <v>0</v>
      </c>
      <c r="L104" s="388"/>
      <c r="M104" s="382"/>
      <c r="N104" s="385"/>
      <c r="O104" s="389"/>
      <c r="P104" s="389"/>
      <c r="Q104" s="389"/>
      <c r="R104" s="391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</row>
    <row r="105" spans="1:28" hidden="1" outlineLevel="3">
      <c r="A105" s="382"/>
      <c r="B105" s="382" t="s">
        <v>101</v>
      </c>
      <c r="C105" s="382" t="s">
        <v>102</v>
      </c>
      <c r="D105" s="382" t="s">
        <v>18</v>
      </c>
      <c r="E105" s="397" t="s">
        <v>20</v>
      </c>
      <c r="F105" s="444" t="s">
        <v>105</v>
      </c>
      <c r="G105" s="382"/>
      <c r="H105" s="387">
        <v>0.41</v>
      </c>
      <c r="I105" s="388">
        <v>1</v>
      </c>
      <c r="J105" s="382"/>
      <c r="K105" s="411">
        <f t="shared" si="13"/>
        <v>0</v>
      </c>
      <c r="L105" s="388"/>
      <c r="M105" s="382"/>
      <c r="N105" s="385"/>
      <c r="O105" s="389"/>
      <c r="P105" s="389"/>
      <c r="Q105" s="389"/>
      <c r="R105" s="391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</row>
    <row r="106" spans="1:28" hidden="1" outlineLevel="3">
      <c r="A106" s="382"/>
      <c r="B106" s="382" t="s">
        <v>101</v>
      </c>
      <c r="C106" s="382" t="s">
        <v>102</v>
      </c>
      <c r="D106" s="382" t="s">
        <v>18</v>
      </c>
      <c r="E106" s="397" t="s">
        <v>20</v>
      </c>
      <c r="F106" s="444" t="s">
        <v>106</v>
      </c>
      <c r="G106" s="382"/>
      <c r="H106" s="387">
        <v>0.61</v>
      </c>
      <c r="I106" s="388">
        <v>1</v>
      </c>
      <c r="J106" s="382"/>
      <c r="K106" s="411">
        <f t="shared" si="13"/>
        <v>0</v>
      </c>
      <c r="L106" s="388"/>
      <c r="M106" s="382"/>
      <c r="N106" s="385"/>
      <c r="O106" s="389"/>
      <c r="P106" s="389"/>
      <c r="Q106" s="389"/>
      <c r="R106" s="391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</row>
    <row r="107" spans="1:28" hidden="1" outlineLevel="3">
      <c r="A107" s="382"/>
      <c r="B107" s="382" t="s">
        <v>101</v>
      </c>
      <c r="C107" s="382" t="s">
        <v>102</v>
      </c>
      <c r="D107" s="382" t="s">
        <v>18</v>
      </c>
      <c r="E107" s="397" t="s">
        <v>20</v>
      </c>
      <c r="F107" s="444" t="s">
        <v>107</v>
      </c>
      <c r="G107" s="382"/>
      <c r="H107" s="387">
        <v>0.82</v>
      </c>
      <c r="I107" s="388">
        <v>1</v>
      </c>
      <c r="J107" s="382"/>
      <c r="K107" s="411">
        <f t="shared" si="13"/>
        <v>0</v>
      </c>
      <c r="L107" s="388"/>
      <c r="M107" s="382"/>
      <c r="N107" s="385"/>
      <c r="O107" s="389"/>
      <c r="P107" s="389"/>
      <c r="Q107" s="389"/>
      <c r="R107" s="391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</row>
    <row r="108" spans="1:28" hidden="1" outlineLevel="3">
      <c r="A108" s="382"/>
      <c r="B108" s="382" t="s">
        <v>101</v>
      </c>
      <c r="C108" s="382" t="s">
        <v>102</v>
      </c>
      <c r="D108" s="382" t="s">
        <v>18</v>
      </c>
      <c r="E108" s="397" t="s">
        <v>20</v>
      </c>
      <c r="F108" s="444" t="s">
        <v>108</v>
      </c>
      <c r="G108" s="382"/>
      <c r="H108" s="387">
        <v>0.48</v>
      </c>
      <c r="I108" s="388">
        <v>1</v>
      </c>
      <c r="J108" s="382"/>
      <c r="K108" s="411">
        <f t="shared" si="13"/>
        <v>0</v>
      </c>
      <c r="L108" s="388"/>
      <c r="M108" s="382"/>
      <c r="N108" s="385"/>
      <c r="O108" s="389"/>
      <c r="P108" s="389"/>
      <c r="Q108" s="389"/>
      <c r="R108" s="391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</row>
    <row r="109" spans="1:28" ht="26.45" hidden="1" outlineLevel="3">
      <c r="A109" s="382"/>
      <c r="B109" s="382" t="s">
        <v>101</v>
      </c>
      <c r="C109" s="382" t="s">
        <v>102</v>
      </c>
      <c r="D109" s="382" t="s">
        <v>18</v>
      </c>
      <c r="E109" s="397" t="s">
        <v>20</v>
      </c>
      <c r="F109" s="444" t="s">
        <v>109</v>
      </c>
      <c r="G109" s="382"/>
      <c r="H109" s="387">
        <v>0.9638500000000001</v>
      </c>
      <c r="I109" s="388">
        <v>1</v>
      </c>
      <c r="J109" s="382"/>
      <c r="K109" s="411">
        <f t="shared" si="13"/>
        <v>0</v>
      </c>
      <c r="L109" s="388"/>
      <c r="M109" s="382"/>
      <c r="N109" s="385"/>
      <c r="O109" s="389"/>
      <c r="P109" s="389"/>
      <c r="Q109" s="389"/>
      <c r="R109" s="391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</row>
    <row r="110" spans="1:28" hidden="1" outlineLevel="3">
      <c r="A110" s="382"/>
      <c r="B110" s="382" t="s">
        <v>101</v>
      </c>
      <c r="C110" s="382" t="s">
        <v>102</v>
      </c>
      <c r="D110" s="382" t="s">
        <v>18</v>
      </c>
      <c r="E110" s="397" t="s">
        <v>20</v>
      </c>
      <c r="F110" s="444" t="s">
        <v>110</v>
      </c>
      <c r="G110" s="382"/>
      <c r="H110" s="387">
        <v>0.52</v>
      </c>
      <c r="I110" s="388">
        <v>1</v>
      </c>
      <c r="J110" s="382"/>
      <c r="K110" s="411">
        <f t="shared" si="13"/>
        <v>0</v>
      </c>
      <c r="L110" s="388"/>
      <c r="M110" s="382"/>
      <c r="N110" s="385"/>
      <c r="O110" s="389"/>
      <c r="P110" s="389"/>
      <c r="Q110" s="389"/>
      <c r="R110" s="391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</row>
    <row r="111" spans="1:28" hidden="1" outlineLevel="3">
      <c r="A111" s="382"/>
      <c r="B111" s="382" t="s">
        <v>101</v>
      </c>
      <c r="C111" s="382" t="s">
        <v>102</v>
      </c>
      <c r="D111" s="382" t="s">
        <v>18</v>
      </c>
      <c r="E111" s="397" t="s">
        <v>20</v>
      </c>
      <c r="F111" s="444" t="s">
        <v>111</v>
      </c>
      <c r="G111" s="382"/>
      <c r="H111" s="387">
        <v>0.52</v>
      </c>
      <c r="I111" s="388">
        <v>1</v>
      </c>
      <c r="J111" s="382"/>
      <c r="K111" s="411">
        <f t="shared" si="13"/>
        <v>0</v>
      </c>
      <c r="L111" s="388"/>
      <c r="M111" s="382"/>
      <c r="N111" s="385"/>
      <c r="O111" s="389"/>
      <c r="P111" s="389"/>
      <c r="Q111" s="389"/>
      <c r="R111" s="391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</row>
    <row r="112" spans="1:28" hidden="1" outlineLevel="3">
      <c r="A112" s="382"/>
      <c r="B112" s="382" t="s">
        <v>101</v>
      </c>
      <c r="C112" s="382" t="s">
        <v>102</v>
      </c>
      <c r="D112" s="382" t="s">
        <v>18</v>
      </c>
      <c r="E112" s="397" t="s">
        <v>20</v>
      </c>
      <c r="F112" s="444" t="s">
        <v>112</v>
      </c>
      <c r="G112" s="382"/>
      <c r="H112" s="387">
        <v>0.52</v>
      </c>
      <c r="I112" s="388">
        <v>1</v>
      </c>
      <c r="J112" s="382"/>
      <c r="K112" s="411">
        <f t="shared" si="13"/>
        <v>0</v>
      </c>
      <c r="L112" s="388"/>
      <c r="M112" s="382"/>
      <c r="N112" s="385"/>
      <c r="O112" s="389"/>
      <c r="P112" s="389"/>
      <c r="Q112" s="389"/>
      <c r="R112" s="391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</row>
    <row r="113" spans="1:28" hidden="1" outlineLevel="3">
      <c r="A113" s="382"/>
      <c r="B113" s="382" t="s">
        <v>101</v>
      </c>
      <c r="C113" s="382" t="s">
        <v>102</v>
      </c>
      <c r="D113" s="382" t="s">
        <v>18</v>
      </c>
      <c r="E113" s="397" t="s">
        <v>20</v>
      </c>
      <c r="F113" s="444" t="s">
        <v>69</v>
      </c>
      <c r="G113" s="382"/>
      <c r="H113" s="387">
        <v>0.17</v>
      </c>
      <c r="I113" s="388">
        <v>1</v>
      </c>
      <c r="J113" s="382"/>
      <c r="K113" s="411">
        <f t="shared" si="13"/>
        <v>0</v>
      </c>
      <c r="L113" s="388"/>
      <c r="M113" s="382"/>
      <c r="N113" s="385"/>
      <c r="O113" s="389"/>
      <c r="P113" s="389"/>
      <c r="Q113" s="389"/>
      <c r="R113" s="391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</row>
    <row r="114" spans="1:28" hidden="1" outlineLevel="3">
      <c r="A114" s="382"/>
      <c r="B114" s="382" t="s">
        <v>101</v>
      </c>
      <c r="C114" s="382" t="s">
        <v>102</v>
      </c>
      <c r="D114" s="382" t="s">
        <v>18</v>
      </c>
      <c r="E114" s="397" t="s">
        <v>20</v>
      </c>
      <c r="F114" s="444" t="s">
        <v>113</v>
      </c>
      <c r="G114" s="382"/>
      <c r="H114" s="387">
        <v>0.48</v>
      </c>
      <c r="I114" s="388">
        <v>1</v>
      </c>
      <c r="J114" s="382"/>
      <c r="K114" s="411">
        <f t="shared" si="13"/>
        <v>0</v>
      </c>
      <c r="L114" s="388"/>
      <c r="M114" s="382"/>
      <c r="N114" s="385"/>
      <c r="O114" s="389"/>
      <c r="P114" s="389"/>
      <c r="Q114" s="389"/>
      <c r="R114" s="391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</row>
    <row r="115" spans="1:28" hidden="1" outlineLevel="3">
      <c r="A115" s="382"/>
      <c r="B115" s="382" t="s">
        <v>101</v>
      </c>
      <c r="C115" s="382" t="s">
        <v>102</v>
      </c>
      <c r="D115" s="382" t="s">
        <v>18</v>
      </c>
      <c r="E115" s="397" t="s">
        <v>20</v>
      </c>
      <c r="F115" s="444" t="s">
        <v>114</v>
      </c>
      <c r="G115" s="382"/>
      <c r="H115" s="387">
        <v>0.24</v>
      </c>
      <c r="I115" s="388">
        <v>1</v>
      </c>
      <c r="J115" s="382"/>
      <c r="K115" s="411">
        <f t="shared" si="13"/>
        <v>0</v>
      </c>
      <c r="L115" s="388"/>
      <c r="M115" s="382"/>
      <c r="N115" s="385"/>
      <c r="O115" s="389"/>
      <c r="P115" s="389"/>
      <c r="Q115" s="389"/>
      <c r="R115" s="391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</row>
    <row r="116" spans="1:28" ht="26.45" hidden="1" outlineLevel="3">
      <c r="A116" s="382"/>
      <c r="B116" s="382" t="s">
        <v>101</v>
      </c>
      <c r="C116" s="382" t="s">
        <v>102</v>
      </c>
      <c r="D116" s="382" t="s">
        <v>18</v>
      </c>
      <c r="E116" s="397" t="s">
        <v>20</v>
      </c>
      <c r="F116" s="444" t="s">
        <v>115</v>
      </c>
      <c r="G116" s="382"/>
      <c r="H116" s="387">
        <v>0.96</v>
      </c>
      <c r="I116" s="388">
        <v>1</v>
      </c>
      <c r="J116" s="382"/>
      <c r="K116" s="411">
        <f t="shared" si="13"/>
        <v>0</v>
      </c>
      <c r="L116" s="388"/>
      <c r="M116" s="382"/>
      <c r="N116" s="385"/>
      <c r="O116" s="389"/>
      <c r="P116" s="389"/>
      <c r="Q116" s="389"/>
      <c r="R116" s="391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</row>
    <row r="117" spans="1:28" hidden="1" outlineLevel="3">
      <c r="A117" s="382"/>
      <c r="B117" s="382" t="s">
        <v>101</v>
      </c>
      <c r="C117" s="382" t="s">
        <v>102</v>
      </c>
      <c r="D117" s="382" t="s">
        <v>18</v>
      </c>
      <c r="E117" s="397" t="s">
        <v>20</v>
      </c>
      <c r="F117" s="444" t="s">
        <v>64</v>
      </c>
      <c r="G117" s="382"/>
      <c r="H117" s="387">
        <v>0.03</v>
      </c>
      <c r="I117" s="388">
        <v>1</v>
      </c>
      <c r="J117" s="382"/>
      <c r="K117" s="411">
        <f t="shared" si="13"/>
        <v>0</v>
      </c>
      <c r="L117" s="388"/>
      <c r="M117" s="382"/>
      <c r="N117" s="385"/>
      <c r="O117" s="389"/>
      <c r="P117" s="389"/>
      <c r="Q117" s="389"/>
      <c r="R117" s="391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</row>
    <row r="118" spans="1:28" hidden="1" outlineLevel="3">
      <c r="A118" s="382"/>
      <c r="B118" s="382" t="s">
        <v>101</v>
      </c>
      <c r="C118" s="382" t="s">
        <v>102</v>
      </c>
      <c r="D118" s="382" t="s">
        <v>18</v>
      </c>
      <c r="E118" s="397" t="s">
        <v>20</v>
      </c>
      <c r="F118" s="444" t="s">
        <v>97</v>
      </c>
      <c r="G118" s="382"/>
      <c r="H118" s="387">
        <v>0.03</v>
      </c>
      <c r="I118" s="388">
        <v>1</v>
      </c>
      <c r="J118" s="382"/>
      <c r="K118" s="411">
        <f t="shared" si="13"/>
        <v>0</v>
      </c>
      <c r="L118" s="388"/>
      <c r="M118" s="382"/>
      <c r="N118" s="385"/>
      <c r="O118" s="389"/>
      <c r="P118" s="389"/>
      <c r="Q118" s="389"/>
      <c r="R118" s="391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</row>
    <row r="119" spans="1:28" hidden="1" outlineLevel="3">
      <c r="A119" s="382"/>
      <c r="B119" s="382" t="s">
        <v>101</v>
      </c>
      <c r="C119" s="382" t="s">
        <v>102</v>
      </c>
      <c r="D119" s="382" t="s">
        <v>18</v>
      </c>
      <c r="E119" s="397" t="s">
        <v>20</v>
      </c>
      <c r="F119" s="444" t="s">
        <v>117</v>
      </c>
      <c r="G119" s="382"/>
      <c r="H119" s="387">
        <v>1.4999999999999999E-2</v>
      </c>
      <c r="I119" s="388">
        <v>1</v>
      </c>
      <c r="J119" s="382"/>
      <c r="K119" s="411">
        <f t="shared" si="13"/>
        <v>0</v>
      </c>
      <c r="L119" s="388"/>
      <c r="M119" s="382"/>
      <c r="N119" s="385"/>
      <c r="O119" s="389"/>
      <c r="P119" s="389"/>
      <c r="Q119" s="389"/>
      <c r="R119" s="391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</row>
    <row r="120" spans="1:28" hidden="1" outlineLevel="3">
      <c r="A120" s="382"/>
      <c r="B120" s="382" t="s">
        <v>101</v>
      </c>
      <c r="C120" s="382" t="s">
        <v>102</v>
      </c>
      <c r="D120" s="382" t="s">
        <v>18</v>
      </c>
      <c r="E120" s="397" t="s">
        <v>20</v>
      </c>
      <c r="F120" s="444" t="s">
        <v>118</v>
      </c>
      <c r="G120" s="382"/>
      <c r="H120" s="387">
        <v>1.4999999999999999E-2</v>
      </c>
      <c r="I120" s="388">
        <v>1</v>
      </c>
      <c r="J120" s="382"/>
      <c r="K120" s="411">
        <f t="shared" si="13"/>
        <v>0</v>
      </c>
      <c r="L120" s="388"/>
      <c r="M120" s="382"/>
      <c r="N120" s="385"/>
      <c r="O120" s="389"/>
      <c r="P120" s="389"/>
      <c r="Q120" s="389"/>
      <c r="R120" s="391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</row>
    <row r="121" spans="1:28" hidden="1" outlineLevel="3">
      <c r="A121" s="382"/>
      <c r="B121" s="382" t="s">
        <v>101</v>
      </c>
      <c r="C121" s="382" t="s">
        <v>102</v>
      </c>
      <c r="D121" s="382" t="s">
        <v>18</v>
      </c>
      <c r="E121" s="397" t="s">
        <v>20</v>
      </c>
      <c r="F121" s="444" t="s">
        <v>96</v>
      </c>
      <c r="G121" s="382"/>
      <c r="H121" s="387">
        <v>0.1</v>
      </c>
      <c r="I121" s="388">
        <v>1</v>
      </c>
      <c r="J121" s="382"/>
      <c r="K121" s="411">
        <f t="shared" si="13"/>
        <v>0</v>
      </c>
      <c r="L121" s="388"/>
      <c r="M121" s="382"/>
      <c r="N121" s="385"/>
      <c r="O121" s="389"/>
      <c r="P121" s="389"/>
      <c r="Q121" s="389"/>
      <c r="R121" s="391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</row>
    <row r="122" spans="1:28" hidden="1" outlineLevel="2" collapsed="1">
      <c r="A122" s="382"/>
      <c r="B122" s="382" t="s">
        <v>101</v>
      </c>
      <c r="C122" s="382" t="s">
        <v>102</v>
      </c>
      <c r="D122" s="382" t="s">
        <v>26</v>
      </c>
      <c r="E122" s="382"/>
      <c r="F122" s="444" t="s">
        <v>87</v>
      </c>
      <c r="G122" s="382"/>
      <c r="H122" s="387">
        <f>SUM(H123:H129)</f>
        <v>1.7000000000000002</v>
      </c>
      <c r="I122" s="388">
        <f>SUM(I123:I129)</f>
        <v>7</v>
      </c>
      <c r="J122" s="382"/>
      <c r="K122" s="387">
        <f>SUM(K123:K129)</f>
        <v>0</v>
      </c>
      <c r="L122" s="388">
        <f>SUM(L123:L129)</f>
        <v>0</v>
      </c>
      <c r="M122" s="382"/>
      <c r="N122" s="385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</row>
    <row r="123" spans="1:28" hidden="1" outlineLevel="3">
      <c r="A123" s="382"/>
      <c r="B123" s="382" t="s">
        <v>101</v>
      </c>
      <c r="C123" s="382" t="s">
        <v>102</v>
      </c>
      <c r="D123" s="382" t="s">
        <v>26</v>
      </c>
      <c r="E123" s="382" t="s">
        <v>27</v>
      </c>
      <c r="F123" s="444" t="s">
        <v>113</v>
      </c>
      <c r="G123" s="382"/>
      <c r="H123" s="410">
        <v>0.2</v>
      </c>
      <c r="I123" s="388">
        <v>1</v>
      </c>
      <c r="J123" s="382"/>
      <c r="K123" s="411">
        <f t="shared" ref="K123:K129" si="14">IF(L123=1,H123,0)</f>
        <v>0</v>
      </c>
      <c r="L123" s="388"/>
      <c r="M123" s="382"/>
      <c r="N123" s="385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</row>
    <row r="124" spans="1:28" hidden="1" outlineLevel="3">
      <c r="A124" s="382"/>
      <c r="B124" s="382" t="s">
        <v>101</v>
      </c>
      <c r="C124" s="382" t="s">
        <v>102</v>
      </c>
      <c r="D124" s="382" t="s">
        <v>26</v>
      </c>
      <c r="E124" s="382" t="s">
        <v>27</v>
      </c>
      <c r="F124" s="444" t="s">
        <v>114</v>
      </c>
      <c r="G124" s="382"/>
      <c r="H124" s="410">
        <v>0.4</v>
      </c>
      <c r="I124" s="409">
        <v>1</v>
      </c>
      <c r="J124" s="382"/>
      <c r="K124" s="411">
        <f t="shared" si="14"/>
        <v>0</v>
      </c>
      <c r="L124" s="409"/>
      <c r="M124" s="382"/>
      <c r="N124" s="385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</row>
    <row r="125" spans="1:28" hidden="1" outlineLevel="3">
      <c r="A125" s="382"/>
      <c r="B125" s="382" t="s">
        <v>101</v>
      </c>
      <c r="C125" s="382" t="s">
        <v>102</v>
      </c>
      <c r="D125" s="382" t="s">
        <v>26</v>
      </c>
      <c r="E125" s="382" t="s">
        <v>27</v>
      </c>
      <c r="F125" s="444" t="s">
        <v>123</v>
      </c>
      <c r="G125" s="382"/>
      <c r="H125" s="410">
        <v>0.32</v>
      </c>
      <c r="I125" s="409">
        <v>1</v>
      </c>
      <c r="J125" s="382"/>
      <c r="K125" s="411">
        <f t="shared" si="14"/>
        <v>0</v>
      </c>
      <c r="L125" s="409"/>
      <c r="M125" s="382"/>
      <c r="N125" s="385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</row>
    <row r="126" spans="1:28" hidden="1" outlineLevel="3">
      <c r="A126" s="382"/>
      <c r="B126" s="382" t="s">
        <v>101</v>
      </c>
      <c r="C126" s="382" t="s">
        <v>102</v>
      </c>
      <c r="D126" s="382" t="s">
        <v>26</v>
      </c>
      <c r="E126" s="382" t="s">
        <v>27</v>
      </c>
      <c r="F126" s="444" t="s">
        <v>124</v>
      </c>
      <c r="G126" s="382"/>
      <c r="H126" s="410">
        <v>0.32</v>
      </c>
      <c r="I126" s="409">
        <v>1</v>
      </c>
      <c r="J126" s="382"/>
      <c r="K126" s="411">
        <f t="shared" si="14"/>
        <v>0</v>
      </c>
      <c r="L126" s="409"/>
      <c r="M126" s="382"/>
      <c r="N126" s="385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</row>
    <row r="127" spans="1:28" hidden="1" outlineLevel="3">
      <c r="A127" s="382"/>
      <c r="B127" s="382" t="s">
        <v>101</v>
      </c>
      <c r="C127" s="382" t="s">
        <v>102</v>
      </c>
      <c r="D127" s="382" t="s">
        <v>26</v>
      </c>
      <c r="E127" s="382" t="s">
        <v>27</v>
      </c>
      <c r="F127" s="444" t="s">
        <v>125</v>
      </c>
      <c r="G127" s="382"/>
      <c r="H127" s="410">
        <v>0.43</v>
      </c>
      <c r="I127" s="409">
        <v>1</v>
      </c>
      <c r="J127" s="382"/>
      <c r="K127" s="411">
        <f t="shared" si="14"/>
        <v>0</v>
      </c>
      <c r="L127" s="409"/>
      <c r="M127" s="382"/>
      <c r="N127" s="385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</row>
    <row r="128" spans="1:28" hidden="1" outlineLevel="3">
      <c r="A128" s="382"/>
      <c r="B128" s="382" t="s">
        <v>101</v>
      </c>
      <c r="C128" s="382" t="s">
        <v>102</v>
      </c>
      <c r="D128" s="382" t="s">
        <v>26</v>
      </c>
      <c r="E128" s="382" t="s">
        <v>27</v>
      </c>
      <c r="F128" s="444" t="s">
        <v>96</v>
      </c>
      <c r="G128" s="382"/>
      <c r="H128" s="410">
        <v>0.02</v>
      </c>
      <c r="I128" s="388">
        <v>1</v>
      </c>
      <c r="J128" s="382"/>
      <c r="K128" s="411">
        <f t="shared" si="14"/>
        <v>0</v>
      </c>
      <c r="L128" s="388"/>
      <c r="M128" s="382"/>
      <c r="N128" s="385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</row>
    <row r="129" spans="1:28" hidden="1" outlineLevel="3">
      <c r="A129" s="382"/>
      <c r="B129" s="382" t="s">
        <v>101</v>
      </c>
      <c r="C129" s="382" t="s">
        <v>102</v>
      </c>
      <c r="D129" s="382" t="s">
        <v>26</v>
      </c>
      <c r="E129" s="382" t="s">
        <v>27</v>
      </c>
      <c r="F129" s="444" t="s">
        <v>97</v>
      </c>
      <c r="G129" s="382"/>
      <c r="H129" s="410">
        <v>0.01</v>
      </c>
      <c r="I129" s="388">
        <v>1</v>
      </c>
      <c r="J129" s="382"/>
      <c r="K129" s="411">
        <f t="shared" si="14"/>
        <v>0</v>
      </c>
      <c r="L129" s="388"/>
      <c r="M129" s="382"/>
      <c r="N129" s="385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</row>
    <row r="130" spans="1:28" hidden="1" outlineLevel="2" collapsed="1">
      <c r="A130" s="382"/>
      <c r="B130" s="382" t="s">
        <v>101</v>
      </c>
      <c r="C130" s="382" t="s">
        <v>102</v>
      </c>
      <c r="D130" s="382" t="s">
        <v>28</v>
      </c>
      <c r="E130" s="382"/>
      <c r="F130" s="440" t="s">
        <v>126</v>
      </c>
      <c r="G130" s="382"/>
      <c r="H130" s="387">
        <f>SUM(H131:H133)</f>
        <v>0.14000000000000001</v>
      </c>
      <c r="I130" s="388">
        <f>SUM(I131:I133)</f>
        <v>3</v>
      </c>
      <c r="J130" s="382"/>
      <c r="K130" s="387">
        <f>SUM(K131:K133)</f>
        <v>0</v>
      </c>
      <c r="L130" s="388">
        <f>SUM(L131:L133)</f>
        <v>0</v>
      </c>
      <c r="M130" s="382"/>
      <c r="N130" s="385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</row>
    <row r="131" spans="1:28" hidden="1" outlineLevel="3">
      <c r="A131" s="382"/>
      <c r="B131" s="382" t="s">
        <v>101</v>
      </c>
      <c r="C131" s="382" t="s">
        <v>102</v>
      </c>
      <c r="D131" s="382" t="s">
        <v>28</v>
      </c>
      <c r="E131" s="382" t="s">
        <v>29</v>
      </c>
      <c r="F131" s="519" t="s">
        <v>127</v>
      </c>
      <c r="G131" s="382"/>
      <c r="H131" s="410">
        <v>0.02</v>
      </c>
      <c r="I131" s="388">
        <v>1</v>
      </c>
      <c r="J131" s="382"/>
      <c r="K131" s="411">
        <f t="shared" ref="K131:K133" si="15">IF(L131=1,H131,0)</f>
        <v>0</v>
      </c>
      <c r="L131" s="388"/>
      <c r="M131" s="382"/>
      <c r="N131" s="385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</row>
    <row r="132" spans="1:28" hidden="1" outlineLevel="3">
      <c r="A132" s="382"/>
      <c r="B132" s="382" t="s">
        <v>101</v>
      </c>
      <c r="C132" s="382" t="s">
        <v>102</v>
      </c>
      <c r="D132" s="382" t="s">
        <v>28</v>
      </c>
      <c r="E132" s="382" t="s">
        <v>29</v>
      </c>
      <c r="F132" s="444" t="s">
        <v>128</v>
      </c>
      <c r="G132" s="382"/>
      <c r="H132" s="410">
        <v>0.06</v>
      </c>
      <c r="I132" s="388">
        <v>1</v>
      </c>
      <c r="J132" s="382"/>
      <c r="K132" s="411">
        <f t="shared" si="15"/>
        <v>0</v>
      </c>
      <c r="L132" s="388"/>
      <c r="M132" s="382"/>
      <c r="N132" s="385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</row>
    <row r="133" spans="1:28" hidden="1" outlineLevel="3">
      <c r="A133" s="382"/>
      <c r="B133" s="382" t="s">
        <v>101</v>
      </c>
      <c r="C133" s="382" t="s">
        <v>102</v>
      </c>
      <c r="D133" s="382" t="s">
        <v>28</v>
      </c>
      <c r="E133" s="382" t="s">
        <v>29</v>
      </c>
      <c r="F133" s="444" t="s">
        <v>129</v>
      </c>
      <c r="G133" s="382"/>
      <c r="H133" s="410">
        <v>0.06</v>
      </c>
      <c r="I133" s="388">
        <v>1</v>
      </c>
      <c r="J133" s="382"/>
      <c r="K133" s="411">
        <f t="shared" si="15"/>
        <v>0</v>
      </c>
      <c r="L133" s="388"/>
      <c r="M133" s="382"/>
      <c r="N133" s="385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</row>
    <row r="134" spans="1:28" hidden="1" outlineLevel="2">
      <c r="A134" s="382"/>
      <c r="B134" s="382" t="s">
        <v>101</v>
      </c>
      <c r="C134" s="382" t="s">
        <v>102</v>
      </c>
      <c r="D134" s="382" t="s">
        <v>64</v>
      </c>
      <c r="E134" s="382"/>
      <c r="F134" s="440" t="s">
        <v>126</v>
      </c>
      <c r="G134" s="382"/>
      <c r="H134" s="387"/>
      <c r="I134" s="388"/>
      <c r="J134" s="382"/>
      <c r="K134" s="387"/>
      <c r="L134" s="388"/>
      <c r="M134" s="382"/>
      <c r="N134" s="385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</row>
    <row r="135" spans="1:28" s="401" customFormat="1" outlineLevel="1" collapsed="1">
      <c r="A135" s="395"/>
      <c r="B135" s="390" t="s">
        <v>135</v>
      </c>
      <c r="C135" s="395" t="s">
        <v>136</v>
      </c>
      <c r="D135" s="390"/>
      <c r="E135" s="390"/>
      <c r="F135" s="445" t="s">
        <v>86</v>
      </c>
      <c r="G135" s="395"/>
      <c r="H135" s="424">
        <f>H136+H138+H142+H143</f>
        <v>8.4072167695988034E-2</v>
      </c>
      <c r="I135" s="408">
        <f>I136+I138+I142+I143</f>
        <v>3</v>
      </c>
      <c r="J135" s="395"/>
      <c r="K135" s="424">
        <f>K136+K138+K142+K143</f>
        <v>0</v>
      </c>
      <c r="L135" s="408">
        <f>L136+L138+L142+L143</f>
        <v>0</v>
      </c>
      <c r="M135" s="395"/>
      <c r="N135" s="385"/>
      <c r="O135" s="389"/>
      <c r="P135" s="389"/>
      <c r="Q135" s="389"/>
      <c r="R135" s="400"/>
      <c r="S135" s="400"/>
      <c r="T135" s="400"/>
      <c r="U135" s="400"/>
      <c r="V135" s="400"/>
      <c r="W135" s="400"/>
      <c r="X135" s="400"/>
      <c r="Y135" s="389"/>
      <c r="Z135" s="400"/>
      <c r="AA135" s="400"/>
      <c r="AB135" s="400"/>
    </row>
    <row r="136" spans="1:28" hidden="1" outlineLevel="2" collapsed="1">
      <c r="A136" s="382"/>
      <c r="B136" s="386" t="s">
        <v>135</v>
      </c>
      <c r="C136" s="382" t="s">
        <v>136</v>
      </c>
      <c r="D136" s="382" t="s">
        <v>18</v>
      </c>
      <c r="E136" s="386"/>
      <c r="F136" s="440" t="s">
        <v>87</v>
      </c>
      <c r="G136" s="382"/>
      <c r="H136" s="411">
        <f>SUM(H137:H137)</f>
        <v>0</v>
      </c>
      <c r="I136" s="388">
        <f>SUM(I137:I137)</f>
        <v>0</v>
      </c>
      <c r="J136" s="382"/>
      <c r="K136" s="411">
        <f>SUM(K137:K137)</f>
        <v>0</v>
      </c>
      <c r="L136" s="388">
        <f>SUM(L137:L137)</f>
        <v>0</v>
      </c>
      <c r="M136" s="382"/>
      <c r="N136" s="385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</row>
    <row r="137" spans="1:28" hidden="1" outlineLevel="3">
      <c r="A137" s="382"/>
      <c r="B137" s="404"/>
      <c r="C137" s="405"/>
      <c r="D137" s="405"/>
      <c r="E137" s="404"/>
      <c r="F137" s="448"/>
      <c r="G137" s="382"/>
      <c r="H137" s="457"/>
      <c r="I137" s="463"/>
      <c r="J137" s="382"/>
      <c r="K137" s="457"/>
      <c r="L137" s="463"/>
      <c r="M137" s="382"/>
      <c r="N137" s="385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</row>
    <row r="138" spans="1:28" hidden="1" outlineLevel="2" collapsed="1">
      <c r="A138" s="382"/>
      <c r="B138" s="386" t="s">
        <v>135</v>
      </c>
      <c r="C138" s="382" t="s">
        <v>136</v>
      </c>
      <c r="D138" s="382" t="s">
        <v>26</v>
      </c>
      <c r="E138" s="382"/>
      <c r="F138" s="440" t="s">
        <v>87</v>
      </c>
      <c r="G138" s="382"/>
      <c r="H138" s="387">
        <f>SUM(H139:H141)</f>
        <v>8.4072167695988034E-2</v>
      </c>
      <c r="I138" s="388">
        <f>SUM(I139:I141)</f>
        <v>3</v>
      </c>
      <c r="J138" s="382"/>
      <c r="K138" s="387">
        <f>SUM(K139:K141)</f>
        <v>0</v>
      </c>
      <c r="L138" s="388">
        <f>SUM(L139:L141)</f>
        <v>0</v>
      </c>
      <c r="M138" s="382"/>
      <c r="N138" s="385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</row>
    <row r="139" spans="1:28" hidden="1" outlineLevel="3">
      <c r="A139" s="382"/>
      <c r="B139" s="386" t="s">
        <v>135</v>
      </c>
      <c r="C139" s="382" t="s">
        <v>136</v>
      </c>
      <c r="D139" s="382" t="s">
        <v>26</v>
      </c>
      <c r="E139" s="382" t="s">
        <v>27</v>
      </c>
      <c r="F139" s="440" t="s">
        <v>137</v>
      </c>
      <c r="G139" s="382"/>
      <c r="H139" s="387">
        <v>6.0248605439999423E-2</v>
      </c>
      <c r="I139" s="388">
        <v>1</v>
      </c>
      <c r="J139" s="382"/>
      <c r="K139" s="411">
        <f t="shared" ref="K139:K141" si="16">IF(L139=1,H139,0)</f>
        <v>0</v>
      </c>
      <c r="L139" s="388"/>
      <c r="M139" s="382"/>
      <c r="N139" s="385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</row>
    <row r="140" spans="1:28" ht="26.45" hidden="1" outlineLevel="3">
      <c r="A140" s="382"/>
      <c r="B140" s="386" t="s">
        <v>135</v>
      </c>
      <c r="C140" s="382" t="s">
        <v>136</v>
      </c>
      <c r="D140" s="382" t="s">
        <v>26</v>
      </c>
      <c r="E140" s="382" t="s">
        <v>27</v>
      </c>
      <c r="F140" s="440" t="s">
        <v>140</v>
      </c>
      <c r="G140" s="382"/>
      <c r="H140" s="387">
        <v>1.1911781127994301E-2</v>
      </c>
      <c r="I140" s="388">
        <v>1</v>
      </c>
      <c r="J140" s="382"/>
      <c r="K140" s="411">
        <f t="shared" si="16"/>
        <v>0</v>
      </c>
      <c r="L140" s="388"/>
      <c r="M140" s="382"/>
      <c r="N140" s="385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</row>
    <row r="141" spans="1:28" hidden="1" outlineLevel="3">
      <c r="A141" s="382"/>
      <c r="B141" s="386" t="s">
        <v>135</v>
      </c>
      <c r="C141" s="382" t="s">
        <v>136</v>
      </c>
      <c r="D141" s="382" t="s">
        <v>26</v>
      </c>
      <c r="E141" s="382" t="s">
        <v>27</v>
      </c>
      <c r="F141" s="440" t="s">
        <v>141</v>
      </c>
      <c r="G141" s="382"/>
      <c r="H141" s="387">
        <v>1.1911781127994301E-2</v>
      </c>
      <c r="I141" s="388">
        <v>1</v>
      </c>
      <c r="J141" s="382"/>
      <c r="K141" s="411">
        <f t="shared" si="16"/>
        <v>0</v>
      </c>
      <c r="L141" s="388"/>
      <c r="M141" s="382"/>
      <c r="N141" s="385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</row>
    <row r="142" spans="1:28" hidden="1" outlineLevel="2">
      <c r="A142" s="382"/>
      <c r="B142" s="386" t="s">
        <v>135</v>
      </c>
      <c r="C142" s="382" t="s">
        <v>136</v>
      </c>
      <c r="D142" s="382" t="s">
        <v>28</v>
      </c>
      <c r="E142" s="382"/>
      <c r="F142" s="440" t="s">
        <v>87</v>
      </c>
      <c r="G142" s="382"/>
      <c r="H142" s="387"/>
      <c r="I142" s="388"/>
      <c r="J142" s="382"/>
      <c r="K142" s="387"/>
      <c r="L142" s="388"/>
      <c r="M142" s="382"/>
      <c r="N142" s="385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</row>
    <row r="143" spans="1:28" hidden="1" outlineLevel="2">
      <c r="A143" s="382"/>
      <c r="B143" s="386" t="s">
        <v>135</v>
      </c>
      <c r="C143" s="382" t="s">
        <v>136</v>
      </c>
      <c r="D143" s="382" t="s">
        <v>64</v>
      </c>
      <c r="E143" s="382"/>
      <c r="F143" s="440" t="s">
        <v>87</v>
      </c>
      <c r="G143" s="382"/>
      <c r="H143" s="387"/>
      <c r="I143" s="388"/>
      <c r="J143" s="382"/>
      <c r="K143" s="387"/>
      <c r="L143" s="388"/>
      <c r="M143" s="382"/>
      <c r="N143" s="385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</row>
    <row r="144" spans="1:28" s="401" customFormat="1" outlineLevel="1" collapsed="1">
      <c r="A144" s="395"/>
      <c r="B144" s="390" t="s">
        <v>142</v>
      </c>
      <c r="C144" s="395" t="s">
        <v>143</v>
      </c>
      <c r="D144" s="390"/>
      <c r="E144" s="390"/>
      <c r="F144" s="445" t="s">
        <v>86</v>
      </c>
      <c r="G144" s="395"/>
      <c r="H144" s="424">
        <f>SUM(H145+H148)</f>
        <v>0.41918995130000003</v>
      </c>
      <c r="I144" s="408">
        <f>I145+I148+I152+I153</f>
        <v>5</v>
      </c>
      <c r="J144" s="395"/>
      <c r="K144" s="424">
        <f>SUM(K145+K148)</f>
        <v>0</v>
      </c>
      <c r="L144" s="408">
        <f>L145+L148+L152+L153</f>
        <v>0</v>
      </c>
      <c r="M144" s="395"/>
      <c r="N144" s="385"/>
      <c r="O144" s="389"/>
      <c r="P144" s="389"/>
      <c r="Q144" s="389"/>
      <c r="R144" s="400"/>
      <c r="S144" s="400"/>
      <c r="T144" s="400"/>
      <c r="U144" s="400"/>
      <c r="V144" s="400"/>
      <c r="W144" s="400"/>
      <c r="X144" s="400"/>
      <c r="Y144" s="389"/>
      <c r="Z144" s="400"/>
      <c r="AA144" s="400"/>
      <c r="AB144" s="400"/>
    </row>
    <row r="145" spans="1:28" hidden="1" outlineLevel="2" collapsed="1">
      <c r="A145" s="382"/>
      <c r="B145" s="386" t="s">
        <v>142</v>
      </c>
      <c r="C145" s="382" t="s">
        <v>143</v>
      </c>
      <c r="D145" s="382" t="s">
        <v>18</v>
      </c>
      <c r="E145" s="386"/>
      <c r="F145" s="440" t="s">
        <v>87</v>
      </c>
      <c r="G145" s="382"/>
      <c r="H145" s="387">
        <f>SUM(H146:H147)</f>
        <v>0.25</v>
      </c>
      <c r="I145" s="388">
        <f>SUM(I146:I147)</f>
        <v>2</v>
      </c>
      <c r="J145" s="382"/>
      <c r="K145" s="387">
        <f>SUM(K146:K147)</f>
        <v>0</v>
      </c>
      <c r="L145" s="388">
        <f>SUM(L146:L147)</f>
        <v>0</v>
      </c>
      <c r="M145" s="382"/>
      <c r="N145" s="385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</row>
    <row r="146" spans="1:28" hidden="1" outlineLevel="3">
      <c r="A146" s="382"/>
      <c r="B146" s="386" t="s">
        <v>142</v>
      </c>
      <c r="C146" s="382" t="s">
        <v>143</v>
      </c>
      <c r="D146" s="382" t="s">
        <v>18</v>
      </c>
      <c r="E146" s="386" t="s">
        <v>144</v>
      </c>
      <c r="F146" s="440" t="s">
        <v>137</v>
      </c>
      <c r="G146" s="382"/>
      <c r="H146" s="387">
        <v>7.0000000000000007E-2</v>
      </c>
      <c r="I146" s="388">
        <v>1</v>
      </c>
      <c r="J146" s="382"/>
      <c r="K146" s="411">
        <f t="shared" ref="K146:K147" si="17">IF(L146=1,H146,0)</f>
        <v>0</v>
      </c>
      <c r="L146" s="388"/>
      <c r="M146" s="382"/>
      <c r="N146" s="385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</row>
    <row r="147" spans="1:28" hidden="1" outlineLevel="3">
      <c r="A147" s="382"/>
      <c r="B147" s="386" t="s">
        <v>142</v>
      </c>
      <c r="C147" s="382" t="s">
        <v>143</v>
      </c>
      <c r="D147" s="382" t="s">
        <v>18</v>
      </c>
      <c r="E147" s="386" t="s">
        <v>144</v>
      </c>
      <c r="F147" s="440" t="s">
        <v>145</v>
      </c>
      <c r="G147" s="382"/>
      <c r="H147" s="387">
        <v>0.18</v>
      </c>
      <c r="I147" s="388">
        <v>1</v>
      </c>
      <c r="J147" s="382"/>
      <c r="K147" s="411">
        <f t="shared" si="17"/>
        <v>0</v>
      </c>
      <c r="L147" s="388"/>
      <c r="M147" s="382"/>
      <c r="N147" s="385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</row>
    <row r="148" spans="1:28" hidden="1" outlineLevel="2" collapsed="1">
      <c r="A148" s="382"/>
      <c r="B148" s="386" t="s">
        <v>142</v>
      </c>
      <c r="C148" s="382" t="s">
        <v>143</v>
      </c>
      <c r="D148" s="382" t="s">
        <v>26</v>
      </c>
      <c r="E148" s="382"/>
      <c r="F148" s="440" t="s">
        <v>87</v>
      </c>
      <c r="G148" s="382"/>
      <c r="H148" s="387">
        <f>SUM(H149:H151)</f>
        <v>0.16918995130000003</v>
      </c>
      <c r="I148" s="388">
        <f>SUM(I149:I151)</f>
        <v>3</v>
      </c>
      <c r="J148" s="382"/>
      <c r="K148" s="387">
        <f>SUM(K149:K151)</f>
        <v>0</v>
      </c>
      <c r="L148" s="388">
        <f>SUM(L149:L151)</f>
        <v>0</v>
      </c>
      <c r="M148" s="382"/>
      <c r="N148" s="385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</row>
    <row r="149" spans="1:28" hidden="1" outlineLevel="3" collapsed="1">
      <c r="A149" s="382"/>
      <c r="B149" s="386" t="s">
        <v>142</v>
      </c>
      <c r="C149" s="382" t="s">
        <v>143</v>
      </c>
      <c r="D149" s="382" t="s">
        <v>26</v>
      </c>
      <c r="E149" s="382" t="s">
        <v>27</v>
      </c>
      <c r="F149" s="440" t="s">
        <v>145</v>
      </c>
      <c r="G149" s="382"/>
      <c r="H149" s="411">
        <v>7.0000000000000007E-2</v>
      </c>
      <c r="I149" s="409">
        <v>1</v>
      </c>
      <c r="J149" s="382"/>
      <c r="K149" s="411">
        <f t="shared" ref="K149:K151" si="18">IF(L149=1,H149,0)</f>
        <v>0</v>
      </c>
      <c r="L149" s="409"/>
      <c r="M149" s="382"/>
      <c r="N149" s="385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</row>
    <row r="150" spans="1:28" hidden="1" outlineLevel="3">
      <c r="A150" s="382"/>
      <c r="B150" s="386" t="s">
        <v>142</v>
      </c>
      <c r="C150" s="382" t="s">
        <v>143</v>
      </c>
      <c r="D150" s="382" t="s">
        <v>26</v>
      </c>
      <c r="E150" s="382" t="s">
        <v>27</v>
      </c>
      <c r="F150" s="440" t="s">
        <v>137</v>
      </c>
      <c r="G150" s="382"/>
      <c r="H150" s="387">
        <v>5.4103609800000001E-2</v>
      </c>
      <c r="I150" s="388">
        <v>1</v>
      </c>
      <c r="J150" s="382"/>
      <c r="K150" s="411">
        <f t="shared" si="18"/>
        <v>0</v>
      </c>
      <c r="L150" s="388"/>
      <c r="M150" s="382"/>
      <c r="N150" s="385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</row>
    <row r="151" spans="1:28" hidden="1" outlineLevel="3">
      <c r="A151" s="382"/>
      <c r="B151" s="386" t="s">
        <v>142</v>
      </c>
      <c r="C151" s="382" t="s">
        <v>143</v>
      </c>
      <c r="D151" s="382" t="s">
        <v>26</v>
      </c>
      <c r="E151" s="382" t="s">
        <v>27</v>
      </c>
      <c r="F151" s="440" t="s">
        <v>146</v>
      </c>
      <c r="G151" s="382"/>
      <c r="H151" s="387">
        <v>4.5086341500000002E-2</v>
      </c>
      <c r="I151" s="388">
        <v>1</v>
      </c>
      <c r="J151" s="382"/>
      <c r="K151" s="411">
        <f t="shared" si="18"/>
        <v>0</v>
      </c>
      <c r="L151" s="388"/>
      <c r="M151" s="382"/>
      <c r="N151" s="385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</row>
    <row r="152" spans="1:28" hidden="1" outlineLevel="2">
      <c r="A152" s="382">
        <v>0</v>
      </c>
      <c r="B152" s="386" t="s">
        <v>142</v>
      </c>
      <c r="C152" s="382" t="s">
        <v>143</v>
      </c>
      <c r="D152" s="382" t="s">
        <v>28</v>
      </c>
      <c r="E152" s="382"/>
      <c r="F152" s="440" t="s">
        <v>87</v>
      </c>
      <c r="G152" s="382"/>
      <c r="H152" s="387"/>
      <c r="I152" s="388">
        <v>0</v>
      </c>
      <c r="J152" s="382"/>
      <c r="K152" s="387"/>
      <c r="L152" s="388">
        <v>0</v>
      </c>
      <c r="M152" s="382"/>
      <c r="N152" s="385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</row>
    <row r="153" spans="1:28" hidden="1" outlineLevel="2">
      <c r="A153" s="382"/>
      <c r="B153" s="386" t="s">
        <v>142</v>
      </c>
      <c r="C153" s="382" t="s">
        <v>143</v>
      </c>
      <c r="D153" s="382" t="s">
        <v>64</v>
      </c>
      <c r="E153" s="382"/>
      <c r="F153" s="440" t="s">
        <v>87</v>
      </c>
      <c r="G153" s="382"/>
      <c r="H153" s="387"/>
      <c r="I153" s="388">
        <v>0</v>
      </c>
      <c r="J153" s="382"/>
      <c r="K153" s="387"/>
      <c r="L153" s="388">
        <v>0</v>
      </c>
      <c r="M153" s="382"/>
      <c r="N153" s="385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</row>
    <row r="154" spans="1:28" s="401" customFormat="1" outlineLevel="1" collapsed="1">
      <c r="A154" s="395"/>
      <c r="B154" s="390" t="s">
        <v>147</v>
      </c>
      <c r="C154" s="395" t="s">
        <v>148</v>
      </c>
      <c r="D154" s="390"/>
      <c r="E154" s="390"/>
      <c r="F154" s="442" t="s">
        <v>149</v>
      </c>
      <c r="G154" s="395"/>
      <c r="H154" s="424">
        <f>SUM(H155+H160+H172+H175)</f>
        <v>3.5270129872115201</v>
      </c>
      <c r="I154" s="408">
        <f>I155+I160+I172+I175</f>
        <v>17</v>
      </c>
      <c r="J154" s="395"/>
      <c r="K154" s="424">
        <f>SUM(K155+K160+K172+K175)</f>
        <v>2.5170129872115203</v>
      </c>
      <c r="L154" s="408">
        <f>L155+L160+L172+L175</f>
        <v>7</v>
      </c>
      <c r="M154" s="395"/>
      <c r="N154" s="385"/>
      <c r="O154" s="400"/>
      <c r="P154" s="400"/>
      <c r="Q154" s="400"/>
      <c r="R154" s="400"/>
      <c r="S154" s="400"/>
      <c r="T154" s="400"/>
      <c r="U154" s="400"/>
      <c r="V154" s="400"/>
      <c r="W154" s="400"/>
      <c r="X154" s="400"/>
      <c r="Y154" s="526"/>
      <c r="Z154" s="400"/>
      <c r="AA154" s="400"/>
      <c r="AB154" s="400"/>
    </row>
    <row r="155" spans="1:28" hidden="1" outlineLevel="2" collapsed="1">
      <c r="A155" s="382"/>
      <c r="B155" s="386" t="s">
        <v>147</v>
      </c>
      <c r="C155" s="382" t="s">
        <v>148</v>
      </c>
      <c r="D155" s="382" t="s">
        <v>18</v>
      </c>
      <c r="E155" s="386"/>
      <c r="F155" s="440" t="s">
        <v>87</v>
      </c>
      <c r="G155" s="382"/>
      <c r="H155" s="387">
        <f>SUM(H156:H159)</f>
        <v>2.3753571</v>
      </c>
      <c r="I155" s="388">
        <f>SUM(I156:I159)</f>
        <v>4</v>
      </c>
      <c r="J155" s="382"/>
      <c r="K155" s="387">
        <f>SUM(K156:K159)</f>
        <v>2.3453571000000002</v>
      </c>
      <c r="L155" s="388">
        <f>SUM(L156:L159)</f>
        <v>3</v>
      </c>
      <c r="M155" s="382"/>
      <c r="N155" s="385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</row>
    <row r="156" spans="1:28" hidden="1" outlineLevel="3">
      <c r="A156" s="382"/>
      <c r="B156" s="386" t="s">
        <v>147</v>
      </c>
      <c r="C156" s="382" t="s">
        <v>148</v>
      </c>
      <c r="D156" s="382" t="s">
        <v>18</v>
      </c>
      <c r="E156" s="386" t="s">
        <v>144</v>
      </c>
      <c r="F156" s="440" t="s">
        <v>156</v>
      </c>
      <c r="G156" s="382"/>
      <c r="H156" s="387">
        <v>0.3</v>
      </c>
      <c r="I156" s="388">
        <v>1</v>
      </c>
      <c r="J156" s="382"/>
      <c r="K156" s="411">
        <f t="shared" ref="K156:K159" si="19">IF(L156=1,H156,0)</f>
        <v>0.3</v>
      </c>
      <c r="L156" s="388">
        <v>1</v>
      </c>
      <c r="M156" s="382"/>
      <c r="N156" s="385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</row>
    <row r="157" spans="1:28" hidden="1" outlineLevel="3">
      <c r="A157" s="382"/>
      <c r="B157" s="386" t="s">
        <v>147</v>
      </c>
      <c r="C157" s="382" t="s">
        <v>148</v>
      </c>
      <c r="D157" s="382" t="s">
        <v>18</v>
      </c>
      <c r="E157" s="386" t="s">
        <v>144</v>
      </c>
      <c r="F157" s="440" t="s">
        <v>157</v>
      </c>
      <c r="G157" s="382"/>
      <c r="H157" s="387">
        <v>0.3</v>
      </c>
      <c r="I157" s="388">
        <v>1</v>
      </c>
      <c r="J157" s="382"/>
      <c r="K157" s="411">
        <f t="shared" si="19"/>
        <v>0.3</v>
      </c>
      <c r="L157" s="388">
        <v>1</v>
      </c>
      <c r="M157" s="382"/>
      <c r="N157" s="385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</row>
    <row r="158" spans="1:28" hidden="1" outlineLevel="3">
      <c r="A158" s="382"/>
      <c r="B158" s="386" t="s">
        <v>147</v>
      </c>
      <c r="C158" s="382" t="s">
        <v>148</v>
      </c>
      <c r="D158" s="382" t="s">
        <v>18</v>
      </c>
      <c r="E158" s="386" t="s">
        <v>144</v>
      </c>
      <c r="F158" s="440" t="s">
        <v>158</v>
      </c>
      <c r="G158" s="382"/>
      <c r="H158" s="387">
        <v>0.03</v>
      </c>
      <c r="I158" s="388">
        <v>1</v>
      </c>
      <c r="J158" s="382"/>
      <c r="K158" s="411">
        <f t="shared" si="19"/>
        <v>0</v>
      </c>
      <c r="L158" s="388"/>
      <c r="M158" s="382"/>
      <c r="N158" s="385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</row>
    <row r="159" spans="1:28" hidden="1" outlineLevel="3">
      <c r="A159" s="382"/>
      <c r="B159" s="386" t="s">
        <v>147</v>
      </c>
      <c r="C159" s="382" t="s">
        <v>148</v>
      </c>
      <c r="D159" s="382" t="s">
        <v>18</v>
      </c>
      <c r="E159" s="386" t="s">
        <v>144</v>
      </c>
      <c r="F159" s="440" t="s">
        <v>163</v>
      </c>
      <c r="G159" s="382"/>
      <c r="H159" s="387">
        <v>1.7453571000000001</v>
      </c>
      <c r="I159" s="388">
        <v>1</v>
      </c>
      <c r="J159" s="382"/>
      <c r="K159" s="411">
        <f t="shared" si="19"/>
        <v>1.7453571000000001</v>
      </c>
      <c r="L159" s="388">
        <v>1</v>
      </c>
      <c r="M159" s="382"/>
      <c r="N159" s="385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</row>
    <row r="160" spans="1:28" hidden="1" outlineLevel="2" collapsed="1">
      <c r="A160" s="382"/>
      <c r="B160" s="386" t="s">
        <v>147</v>
      </c>
      <c r="C160" s="382" t="s">
        <v>148</v>
      </c>
      <c r="D160" s="382" t="s">
        <v>26</v>
      </c>
      <c r="E160" s="382"/>
      <c r="F160" s="440" t="s">
        <v>87</v>
      </c>
      <c r="G160" s="382"/>
      <c r="H160" s="387">
        <f>SUM(H161:H171)</f>
        <v>1.1200000000000001</v>
      </c>
      <c r="I160" s="388">
        <f>SUM(I161:I171)</f>
        <v>11</v>
      </c>
      <c r="J160" s="382"/>
      <c r="K160" s="387">
        <f>SUM(K161:K171)</f>
        <v>0.14000000000000001</v>
      </c>
      <c r="L160" s="388">
        <f>SUM(L161:L171)</f>
        <v>2</v>
      </c>
      <c r="M160" s="382"/>
      <c r="N160" s="385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</row>
    <row r="161" spans="1:28" hidden="1" outlineLevel="3">
      <c r="A161" s="382"/>
      <c r="B161" s="386" t="s">
        <v>147</v>
      </c>
      <c r="C161" s="382" t="s">
        <v>148</v>
      </c>
      <c r="D161" s="382" t="s">
        <v>26</v>
      </c>
      <c r="E161" s="382" t="s">
        <v>27</v>
      </c>
      <c r="F161" s="440" t="s">
        <v>164</v>
      </c>
      <c r="G161" s="382"/>
      <c r="H161" s="387">
        <v>7.0000000000000007E-2</v>
      </c>
      <c r="I161" s="388">
        <v>1</v>
      </c>
      <c r="J161" s="382"/>
      <c r="K161" s="411">
        <f t="shared" ref="K161:K171" si="20">IF(L161=1,H161,0)</f>
        <v>7.0000000000000007E-2</v>
      </c>
      <c r="L161" s="388">
        <v>1</v>
      </c>
      <c r="M161" s="382"/>
      <c r="N161" s="385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</row>
    <row r="162" spans="1:28" hidden="1" outlineLevel="3">
      <c r="A162" s="382"/>
      <c r="B162" s="386" t="s">
        <v>147</v>
      </c>
      <c r="C162" s="382" t="s">
        <v>148</v>
      </c>
      <c r="D162" s="382" t="s">
        <v>26</v>
      </c>
      <c r="E162" s="382" t="s">
        <v>27</v>
      </c>
      <c r="F162" s="440" t="s">
        <v>165</v>
      </c>
      <c r="G162" s="382"/>
      <c r="H162" s="387">
        <v>7.0000000000000007E-2</v>
      </c>
      <c r="I162" s="388">
        <v>1</v>
      </c>
      <c r="J162" s="382"/>
      <c r="K162" s="411">
        <f t="shared" si="20"/>
        <v>7.0000000000000007E-2</v>
      </c>
      <c r="L162" s="388">
        <v>1</v>
      </c>
      <c r="M162" s="382"/>
      <c r="N162" s="385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</row>
    <row r="163" spans="1:28" hidden="1" outlineLevel="3">
      <c r="A163" s="382"/>
      <c r="B163" s="386" t="s">
        <v>147</v>
      </c>
      <c r="C163" s="382" t="s">
        <v>148</v>
      </c>
      <c r="D163" s="382" t="s">
        <v>26</v>
      </c>
      <c r="E163" s="382" t="s">
        <v>27</v>
      </c>
      <c r="F163" s="440" t="s">
        <v>166</v>
      </c>
      <c r="G163" s="382"/>
      <c r="H163" s="387">
        <v>7.0000000000000007E-2</v>
      </c>
      <c r="I163" s="388">
        <v>1</v>
      </c>
      <c r="J163" s="382"/>
      <c r="K163" s="411">
        <f t="shared" si="20"/>
        <v>0</v>
      </c>
      <c r="L163" s="388"/>
      <c r="M163" s="382"/>
      <c r="N163" s="385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</row>
    <row r="164" spans="1:28" hidden="1" outlineLevel="3">
      <c r="A164" s="382"/>
      <c r="B164" s="386" t="s">
        <v>147</v>
      </c>
      <c r="C164" s="382" t="s">
        <v>148</v>
      </c>
      <c r="D164" s="382" t="s">
        <v>26</v>
      </c>
      <c r="E164" s="382" t="s">
        <v>27</v>
      </c>
      <c r="F164" s="440" t="s">
        <v>167</v>
      </c>
      <c r="G164" s="382"/>
      <c r="H164" s="387">
        <v>7.0000000000000007E-2</v>
      </c>
      <c r="I164" s="388">
        <v>1</v>
      </c>
      <c r="J164" s="382"/>
      <c r="K164" s="411">
        <f t="shared" si="20"/>
        <v>0</v>
      </c>
      <c r="L164" s="388"/>
      <c r="M164" s="382"/>
      <c r="N164" s="385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</row>
    <row r="165" spans="1:28" hidden="1" outlineLevel="3">
      <c r="A165" s="382"/>
      <c r="B165" s="386" t="s">
        <v>147</v>
      </c>
      <c r="C165" s="382" t="s">
        <v>148</v>
      </c>
      <c r="D165" s="382" t="s">
        <v>26</v>
      </c>
      <c r="E165" s="382" t="s">
        <v>27</v>
      </c>
      <c r="F165" s="440" t="s">
        <v>168</v>
      </c>
      <c r="G165" s="382"/>
      <c r="H165" s="387">
        <v>7.0000000000000007E-2</v>
      </c>
      <c r="I165" s="388">
        <v>1</v>
      </c>
      <c r="J165" s="382"/>
      <c r="K165" s="411">
        <f t="shared" si="20"/>
        <v>0</v>
      </c>
      <c r="L165" s="388"/>
      <c r="M165" s="382"/>
      <c r="N165" s="385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</row>
    <row r="166" spans="1:28" hidden="1" outlineLevel="3">
      <c r="A166" s="382"/>
      <c r="B166" s="386" t="s">
        <v>147</v>
      </c>
      <c r="C166" s="382" t="s">
        <v>148</v>
      </c>
      <c r="D166" s="382" t="s">
        <v>26</v>
      </c>
      <c r="E166" s="382" t="s">
        <v>27</v>
      </c>
      <c r="F166" s="440" t="s">
        <v>169</v>
      </c>
      <c r="G166" s="382"/>
      <c r="H166" s="387">
        <v>7.0000000000000007E-2</v>
      </c>
      <c r="I166" s="388">
        <v>1</v>
      </c>
      <c r="J166" s="382"/>
      <c r="K166" s="411">
        <f t="shared" si="20"/>
        <v>0</v>
      </c>
      <c r="L166" s="388"/>
      <c r="M166" s="382"/>
      <c r="N166" s="385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</row>
    <row r="167" spans="1:28" hidden="1" outlineLevel="3">
      <c r="A167" s="382"/>
      <c r="B167" s="386" t="s">
        <v>147</v>
      </c>
      <c r="C167" s="382" t="s">
        <v>148</v>
      </c>
      <c r="D167" s="382" t="s">
        <v>26</v>
      </c>
      <c r="E167" s="382" t="s">
        <v>27</v>
      </c>
      <c r="F167" s="440" t="s">
        <v>170</v>
      </c>
      <c r="G167" s="382"/>
      <c r="H167" s="387">
        <v>0.13</v>
      </c>
      <c r="I167" s="388">
        <v>1</v>
      </c>
      <c r="J167" s="382"/>
      <c r="K167" s="411">
        <f t="shared" si="20"/>
        <v>0</v>
      </c>
      <c r="L167" s="388"/>
      <c r="M167" s="382"/>
      <c r="N167" s="385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</row>
    <row r="168" spans="1:28" hidden="1" outlineLevel="3">
      <c r="A168" s="382"/>
      <c r="B168" s="386" t="s">
        <v>147</v>
      </c>
      <c r="C168" s="382" t="s">
        <v>148</v>
      </c>
      <c r="D168" s="382" t="s">
        <v>26</v>
      </c>
      <c r="E168" s="382" t="s">
        <v>27</v>
      </c>
      <c r="F168" s="440" t="s">
        <v>171</v>
      </c>
      <c r="G168" s="382"/>
      <c r="H168" s="387">
        <v>0.18</v>
      </c>
      <c r="I168" s="388">
        <v>1</v>
      </c>
      <c r="J168" s="382"/>
      <c r="K168" s="411">
        <f t="shared" si="20"/>
        <v>0</v>
      </c>
      <c r="L168" s="388"/>
      <c r="M168" s="382"/>
      <c r="N168" s="385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</row>
    <row r="169" spans="1:28" hidden="1" outlineLevel="3">
      <c r="A169" s="382"/>
      <c r="B169" s="386" t="s">
        <v>147</v>
      </c>
      <c r="C169" s="382" t="s">
        <v>148</v>
      </c>
      <c r="D169" s="382" t="s">
        <v>26</v>
      </c>
      <c r="E169" s="382" t="s">
        <v>27</v>
      </c>
      <c r="F169" s="440" t="s">
        <v>172</v>
      </c>
      <c r="G169" s="382"/>
      <c r="H169" s="387">
        <v>0.13</v>
      </c>
      <c r="I169" s="388">
        <v>1</v>
      </c>
      <c r="J169" s="382"/>
      <c r="K169" s="411">
        <f t="shared" si="20"/>
        <v>0</v>
      </c>
      <c r="L169" s="388"/>
      <c r="M169" s="382"/>
      <c r="N169" s="385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</row>
    <row r="170" spans="1:28" hidden="1" outlineLevel="3">
      <c r="A170" s="382"/>
      <c r="B170" s="386" t="s">
        <v>147</v>
      </c>
      <c r="C170" s="382" t="s">
        <v>148</v>
      </c>
      <c r="D170" s="382" t="s">
        <v>26</v>
      </c>
      <c r="E170" s="382" t="s">
        <v>27</v>
      </c>
      <c r="F170" s="440" t="s">
        <v>176</v>
      </c>
      <c r="G170" s="382"/>
      <c r="H170" s="387">
        <v>0.13</v>
      </c>
      <c r="I170" s="388">
        <v>1</v>
      </c>
      <c r="J170" s="382"/>
      <c r="K170" s="411">
        <f t="shared" si="20"/>
        <v>0</v>
      </c>
      <c r="L170" s="388"/>
      <c r="M170" s="382"/>
      <c r="N170" s="385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</row>
    <row r="171" spans="1:28" hidden="1" outlineLevel="3">
      <c r="A171" s="382"/>
      <c r="B171" s="386" t="s">
        <v>147</v>
      </c>
      <c r="C171" s="382" t="s">
        <v>148</v>
      </c>
      <c r="D171" s="382" t="s">
        <v>26</v>
      </c>
      <c r="E171" s="382" t="s">
        <v>27</v>
      </c>
      <c r="F171" s="440" t="s">
        <v>160</v>
      </c>
      <c r="G171" s="382"/>
      <c r="H171" s="387">
        <v>0.13</v>
      </c>
      <c r="I171" s="388">
        <v>1</v>
      </c>
      <c r="J171" s="382"/>
      <c r="K171" s="411">
        <f t="shared" si="20"/>
        <v>0</v>
      </c>
      <c r="L171" s="388"/>
      <c r="M171" s="382"/>
      <c r="N171" s="385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</row>
    <row r="172" spans="1:28" hidden="1" outlineLevel="2" collapsed="1">
      <c r="A172" s="382"/>
      <c r="B172" s="386" t="s">
        <v>147</v>
      </c>
      <c r="C172" s="382" t="s">
        <v>148</v>
      </c>
      <c r="D172" s="382" t="s">
        <v>28</v>
      </c>
      <c r="E172" s="382"/>
      <c r="F172" s="440" t="s">
        <v>87</v>
      </c>
      <c r="G172" s="382"/>
      <c r="H172" s="387">
        <f>SUM(H173:H174)</f>
        <v>3.1655887211519997E-2</v>
      </c>
      <c r="I172" s="388">
        <f>SUM(I173:I174)</f>
        <v>2</v>
      </c>
      <c r="J172" s="382"/>
      <c r="K172" s="387">
        <f>SUM(K173:K174)</f>
        <v>3.1655887211519997E-2</v>
      </c>
      <c r="L172" s="388">
        <f>SUM(L173:L174)</f>
        <v>2</v>
      </c>
      <c r="M172" s="382"/>
      <c r="N172" s="385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</row>
    <row r="173" spans="1:28" hidden="1" outlineLevel="3">
      <c r="A173" s="382"/>
      <c r="B173" s="386" t="s">
        <v>147</v>
      </c>
      <c r="C173" s="382" t="s">
        <v>148</v>
      </c>
      <c r="D173" s="382" t="s">
        <v>28</v>
      </c>
      <c r="E173" s="382" t="s">
        <v>29</v>
      </c>
      <c r="F173" s="440" t="s">
        <v>177</v>
      </c>
      <c r="G173" s="382"/>
      <c r="H173" s="387">
        <v>1.5827943605759998E-2</v>
      </c>
      <c r="I173" s="388">
        <v>1</v>
      </c>
      <c r="J173" s="382"/>
      <c r="K173" s="411">
        <f t="shared" ref="K173:K174" si="21">IF(L173=1,H173,0)</f>
        <v>1.5827943605759998E-2</v>
      </c>
      <c r="L173" s="388">
        <v>1</v>
      </c>
      <c r="M173" s="382"/>
      <c r="N173" s="385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</row>
    <row r="174" spans="1:28" hidden="1" outlineLevel="3">
      <c r="A174" s="382"/>
      <c r="B174" s="386" t="s">
        <v>147</v>
      </c>
      <c r="C174" s="382" t="s">
        <v>148</v>
      </c>
      <c r="D174" s="382" t="s">
        <v>28</v>
      </c>
      <c r="E174" s="382" t="s">
        <v>29</v>
      </c>
      <c r="F174" s="440" t="s">
        <v>178</v>
      </c>
      <c r="G174" s="382"/>
      <c r="H174" s="387">
        <v>1.5827943605759998E-2</v>
      </c>
      <c r="I174" s="388">
        <v>1</v>
      </c>
      <c r="J174" s="382"/>
      <c r="K174" s="411">
        <f t="shared" si="21"/>
        <v>1.5827943605759998E-2</v>
      </c>
      <c r="L174" s="388">
        <v>1</v>
      </c>
      <c r="M174" s="382"/>
      <c r="N174" s="385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</row>
    <row r="175" spans="1:28" hidden="1" outlineLevel="2">
      <c r="A175" s="382"/>
      <c r="B175" s="386" t="s">
        <v>147</v>
      </c>
      <c r="C175" s="382" t="s">
        <v>148</v>
      </c>
      <c r="D175" s="382" t="s">
        <v>64</v>
      </c>
      <c r="E175" s="382"/>
      <c r="F175" s="440" t="s">
        <v>87</v>
      </c>
      <c r="G175" s="382"/>
      <c r="H175" s="387"/>
      <c r="I175" s="388">
        <v>0</v>
      </c>
      <c r="J175" s="382"/>
      <c r="K175" s="387"/>
      <c r="L175" s="388">
        <v>0</v>
      </c>
      <c r="M175" s="382"/>
      <c r="N175" s="385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</row>
    <row r="176" spans="1:28" s="401" customFormat="1" ht="26.45" outlineLevel="1" collapsed="1">
      <c r="A176" s="395"/>
      <c r="B176" s="396" t="s">
        <v>180</v>
      </c>
      <c r="C176" s="396" t="s">
        <v>23</v>
      </c>
      <c r="D176" s="396"/>
      <c r="E176" s="396"/>
      <c r="F176" s="445" t="s">
        <v>181</v>
      </c>
      <c r="G176" s="395"/>
      <c r="H176" s="418">
        <f>H177+H181+H186</f>
        <v>0.63298114171514985</v>
      </c>
      <c r="I176" s="423">
        <f>I177+I181+I186</f>
        <v>9</v>
      </c>
      <c r="J176" s="395"/>
      <c r="K176" s="418">
        <f>K177+K181+K186</f>
        <v>0</v>
      </c>
      <c r="L176" s="423">
        <f>L177+L181+L186</f>
        <v>0</v>
      </c>
      <c r="M176" s="395"/>
      <c r="N176" s="385"/>
      <c r="O176" s="400"/>
      <c r="P176" s="400"/>
      <c r="Q176" s="400"/>
      <c r="R176" s="400"/>
      <c r="S176" s="400"/>
      <c r="T176" s="400"/>
      <c r="U176" s="400"/>
      <c r="V176" s="400"/>
      <c r="W176" s="400"/>
      <c r="X176" s="400"/>
      <c r="Y176" s="400"/>
      <c r="Z176" s="400"/>
      <c r="AA176" s="400"/>
      <c r="AB176" s="400"/>
    </row>
    <row r="177" spans="1:28" hidden="1" outlineLevel="2" collapsed="1">
      <c r="A177" s="382"/>
      <c r="B177" s="386" t="s">
        <v>180</v>
      </c>
      <c r="C177" s="382" t="s">
        <v>23</v>
      </c>
      <c r="D177" s="382" t="s">
        <v>18</v>
      </c>
      <c r="E177" s="386"/>
      <c r="F177" s="440" t="s">
        <v>182</v>
      </c>
      <c r="G177" s="382"/>
      <c r="H177" s="411">
        <f>SUM(H178:H180)</f>
        <v>0.30105801900000001</v>
      </c>
      <c r="I177" s="409">
        <f>SUM(I178:I180)</f>
        <v>3</v>
      </c>
      <c r="J177" s="382"/>
      <c r="K177" s="411">
        <f>SUM(K178:K180)</f>
        <v>0</v>
      </c>
      <c r="L177" s="409">
        <f>SUM(L178:L180)</f>
        <v>0</v>
      </c>
      <c r="M177" s="382"/>
      <c r="N177" s="385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</row>
    <row r="178" spans="1:28" hidden="1" outlineLevel="3">
      <c r="A178" s="382"/>
      <c r="B178" s="386" t="s">
        <v>180</v>
      </c>
      <c r="C178" s="382" t="s">
        <v>23</v>
      </c>
      <c r="D178" s="382" t="s">
        <v>18</v>
      </c>
      <c r="E178" s="386" t="s">
        <v>144</v>
      </c>
      <c r="F178" s="440" t="s">
        <v>183</v>
      </c>
      <c r="G178" s="382"/>
      <c r="H178" s="411">
        <v>9.2092275000000001E-2</v>
      </c>
      <c r="I178" s="409">
        <v>1</v>
      </c>
      <c r="J178" s="382"/>
      <c r="K178" s="411">
        <f t="shared" ref="K178:K180" si="22">IF(L178=1,H178,0)</f>
        <v>0</v>
      </c>
      <c r="L178" s="409"/>
      <c r="M178" s="382"/>
      <c r="N178" s="385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</row>
    <row r="179" spans="1:28" hidden="1" outlineLevel="3">
      <c r="A179" s="382"/>
      <c r="B179" s="386" t="s">
        <v>180</v>
      </c>
      <c r="C179" s="382" t="s">
        <v>23</v>
      </c>
      <c r="D179" s="382" t="s">
        <v>18</v>
      </c>
      <c r="E179" s="386" t="s">
        <v>144</v>
      </c>
      <c r="F179" s="440" t="s">
        <v>187</v>
      </c>
      <c r="G179" s="382"/>
      <c r="H179" s="411">
        <v>0.13060359000000002</v>
      </c>
      <c r="I179" s="409">
        <v>1</v>
      </c>
      <c r="J179" s="382"/>
      <c r="K179" s="411">
        <f t="shared" si="22"/>
        <v>0</v>
      </c>
      <c r="L179" s="409"/>
      <c r="M179" s="382"/>
      <c r="N179" s="385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</row>
    <row r="180" spans="1:28" hidden="1" outlineLevel="3">
      <c r="A180" s="382"/>
      <c r="B180" s="386" t="s">
        <v>180</v>
      </c>
      <c r="C180" s="382" t="s">
        <v>23</v>
      </c>
      <c r="D180" s="382" t="s">
        <v>18</v>
      </c>
      <c r="E180" s="386" t="s">
        <v>144</v>
      </c>
      <c r="F180" s="440" t="s">
        <v>188</v>
      </c>
      <c r="G180" s="382"/>
      <c r="H180" s="411">
        <v>7.8362154000000003E-2</v>
      </c>
      <c r="I180" s="409">
        <v>1</v>
      </c>
      <c r="J180" s="382"/>
      <c r="K180" s="411">
        <f t="shared" si="22"/>
        <v>0</v>
      </c>
      <c r="L180" s="409"/>
      <c r="M180" s="382"/>
      <c r="N180" s="385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</row>
    <row r="181" spans="1:28" hidden="1" outlineLevel="2" collapsed="1">
      <c r="A181" s="382"/>
      <c r="B181" s="386" t="s">
        <v>180</v>
      </c>
      <c r="C181" s="382" t="s">
        <v>23</v>
      </c>
      <c r="D181" s="382" t="s">
        <v>26</v>
      </c>
      <c r="E181" s="382"/>
      <c r="F181" s="440" t="s">
        <v>182</v>
      </c>
      <c r="G181" s="382"/>
      <c r="H181" s="411">
        <f>SUM(H182:H185)</f>
        <v>0.28480034280014982</v>
      </c>
      <c r="I181" s="409">
        <f>SUM(I182:I185)</f>
        <v>4</v>
      </c>
      <c r="J181" s="382"/>
      <c r="K181" s="411">
        <f>SUM(K182:K185)</f>
        <v>0</v>
      </c>
      <c r="L181" s="409">
        <f>SUM(L182:L185)</f>
        <v>0</v>
      </c>
      <c r="M181" s="382"/>
      <c r="N181" s="385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</row>
    <row r="182" spans="1:28" hidden="1" outlineLevel="3">
      <c r="A182" s="382"/>
      <c r="B182" s="386" t="s">
        <v>180</v>
      </c>
      <c r="C182" s="382" t="s">
        <v>23</v>
      </c>
      <c r="D182" s="382" t="s">
        <v>26</v>
      </c>
      <c r="E182" s="382" t="s">
        <v>27</v>
      </c>
      <c r="F182" s="440" t="s">
        <v>193</v>
      </c>
      <c r="G182" s="382"/>
      <c r="H182" s="411">
        <v>9.7617811500000009E-3</v>
      </c>
      <c r="I182" s="409">
        <v>1</v>
      </c>
      <c r="J182" s="382"/>
      <c r="K182" s="411">
        <f t="shared" ref="K182:K185" si="23">IF(L182=1,H182,0)</f>
        <v>0</v>
      </c>
      <c r="L182" s="409"/>
      <c r="M182" s="382"/>
      <c r="N182" s="385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</row>
    <row r="183" spans="1:28" hidden="1" outlineLevel="3">
      <c r="A183" s="382"/>
      <c r="B183" s="386" t="s">
        <v>180</v>
      </c>
      <c r="C183" s="382" t="s">
        <v>23</v>
      </c>
      <c r="D183" s="382" t="s">
        <v>26</v>
      </c>
      <c r="E183" s="382" t="s">
        <v>27</v>
      </c>
      <c r="F183" s="440" t="s">
        <v>183</v>
      </c>
      <c r="G183" s="382"/>
      <c r="H183" s="411">
        <v>3.9047124600000004E-2</v>
      </c>
      <c r="I183" s="409">
        <v>1</v>
      </c>
      <c r="J183" s="382"/>
      <c r="K183" s="411">
        <f t="shared" si="23"/>
        <v>0</v>
      </c>
      <c r="L183" s="409"/>
      <c r="M183" s="382"/>
      <c r="N183" s="385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</row>
    <row r="184" spans="1:28" hidden="1" outlineLevel="3">
      <c r="A184" s="382"/>
      <c r="B184" s="386" t="s">
        <v>180</v>
      </c>
      <c r="C184" s="382" t="s">
        <v>23</v>
      </c>
      <c r="D184" s="382" t="s">
        <v>26</v>
      </c>
      <c r="E184" s="382" t="s">
        <v>27</v>
      </c>
      <c r="F184" s="440" t="s">
        <v>187</v>
      </c>
      <c r="G184" s="382"/>
      <c r="H184" s="411">
        <v>0.11799571852507491</v>
      </c>
      <c r="I184" s="409">
        <v>1</v>
      </c>
      <c r="J184" s="382"/>
      <c r="K184" s="411">
        <f t="shared" si="23"/>
        <v>0</v>
      </c>
      <c r="L184" s="409"/>
      <c r="M184" s="382"/>
      <c r="N184" s="385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</row>
    <row r="185" spans="1:28" hidden="1" outlineLevel="3">
      <c r="A185" s="382"/>
      <c r="B185" s="386" t="s">
        <v>180</v>
      </c>
      <c r="C185" s="382" t="s">
        <v>23</v>
      </c>
      <c r="D185" s="382" t="s">
        <v>26</v>
      </c>
      <c r="E185" s="382" t="s">
        <v>27</v>
      </c>
      <c r="F185" s="440" t="s">
        <v>188</v>
      </c>
      <c r="G185" s="382"/>
      <c r="H185" s="411">
        <v>0.11799571852507491</v>
      </c>
      <c r="I185" s="409">
        <v>1</v>
      </c>
      <c r="J185" s="382"/>
      <c r="K185" s="411">
        <f t="shared" si="23"/>
        <v>0</v>
      </c>
      <c r="L185" s="409"/>
      <c r="M185" s="382"/>
      <c r="N185" s="385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</row>
    <row r="186" spans="1:28" hidden="1" outlineLevel="2" collapsed="1">
      <c r="A186" s="382"/>
      <c r="B186" s="386" t="s">
        <v>180</v>
      </c>
      <c r="C186" s="382" t="s">
        <v>23</v>
      </c>
      <c r="D186" s="382" t="s">
        <v>28</v>
      </c>
      <c r="E186" s="382"/>
      <c r="F186" s="440" t="s">
        <v>182</v>
      </c>
      <c r="G186" s="382"/>
      <c r="H186" s="411">
        <f>SUM(H187:H188)</f>
        <v>4.7122779914999996E-2</v>
      </c>
      <c r="I186" s="388">
        <f>SUM(I187:I188)</f>
        <v>2</v>
      </c>
      <c r="J186" s="382"/>
      <c r="K186" s="411">
        <f>SUM(K187:K188)</f>
        <v>0</v>
      </c>
      <c r="L186" s="388">
        <f>SUM(L187:L188)</f>
        <v>0</v>
      </c>
      <c r="M186" s="382"/>
      <c r="N186" s="385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</row>
    <row r="187" spans="1:28" hidden="1" outlineLevel="3">
      <c r="A187" s="382"/>
      <c r="B187" s="386" t="s">
        <v>180</v>
      </c>
      <c r="C187" s="382" t="s">
        <v>23</v>
      </c>
      <c r="D187" s="382" t="s">
        <v>28</v>
      </c>
      <c r="E187" s="382" t="s">
        <v>29</v>
      </c>
      <c r="F187" s="440" t="s">
        <v>183</v>
      </c>
      <c r="G187" s="382"/>
      <c r="H187" s="411">
        <v>1.6300332674999998E-2</v>
      </c>
      <c r="I187" s="409">
        <v>1</v>
      </c>
      <c r="J187" s="382"/>
      <c r="K187" s="411">
        <f t="shared" ref="K187:K188" si="24">IF(L187=1,H187,0)</f>
        <v>0</v>
      </c>
      <c r="L187" s="409"/>
      <c r="M187" s="382"/>
      <c r="N187" s="385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</row>
    <row r="188" spans="1:28" hidden="1" outlineLevel="3">
      <c r="A188" s="382"/>
      <c r="B188" s="386" t="s">
        <v>180</v>
      </c>
      <c r="C188" s="382" t="s">
        <v>23</v>
      </c>
      <c r="D188" s="382" t="s">
        <v>28</v>
      </c>
      <c r="E188" s="382" t="s">
        <v>29</v>
      </c>
      <c r="F188" s="442" t="s">
        <v>187</v>
      </c>
      <c r="G188" s="382"/>
      <c r="H188" s="411">
        <v>3.0822447240000002E-2</v>
      </c>
      <c r="I188" s="409">
        <v>1</v>
      </c>
      <c r="J188" s="382"/>
      <c r="K188" s="411">
        <f t="shared" si="24"/>
        <v>0</v>
      </c>
      <c r="L188" s="409"/>
      <c r="M188" s="382"/>
      <c r="N188" s="385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</row>
    <row r="189" spans="1:28" outlineLevel="1" collapsed="1">
      <c r="A189" s="382"/>
      <c r="B189" s="390" t="s">
        <v>194</v>
      </c>
      <c r="C189" s="395" t="s">
        <v>136</v>
      </c>
      <c r="D189" s="390"/>
      <c r="E189" s="390"/>
      <c r="F189" s="445" t="s">
        <v>86</v>
      </c>
      <c r="G189" s="382"/>
      <c r="H189" s="424">
        <f>SUM(H190+H196+H202)</f>
        <v>1.3800000000000001</v>
      </c>
      <c r="I189" s="408">
        <f>I190+I196+I202+I204</f>
        <v>11</v>
      </c>
      <c r="J189" s="382"/>
      <c r="K189" s="424">
        <f>SUM(K190+K196+K202)</f>
        <v>0.51</v>
      </c>
      <c r="L189" s="408">
        <f>L190+L196+L202+L204</f>
        <v>1</v>
      </c>
      <c r="M189" s="382"/>
      <c r="N189" s="385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</row>
    <row r="190" spans="1:28" hidden="1" outlineLevel="2" collapsed="1">
      <c r="A190" s="382"/>
      <c r="B190" s="386" t="s">
        <v>194</v>
      </c>
      <c r="C190" s="382" t="s">
        <v>136</v>
      </c>
      <c r="D190" s="382" t="s">
        <v>18</v>
      </c>
      <c r="E190" s="386"/>
      <c r="F190" s="440" t="s">
        <v>87</v>
      </c>
      <c r="G190" s="382"/>
      <c r="H190" s="387">
        <f>SUM(H191:H195)</f>
        <v>0.96000000000000008</v>
      </c>
      <c r="I190" s="388">
        <f>SUM(I191:I195)</f>
        <v>5</v>
      </c>
      <c r="J190" s="382"/>
      <c r="K190" s="387">
        <f>SUM(K191:K195)</f>
        <v>0.51</v>
      </c>
      <c r="L190" s="388">
        <f>SUM(L191:L195)</f>
        <v>1</v>
      </c>
      <c r="M190" s="382"/>
      <c r="N190" s="385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</row>
    <row r="191" spans="1:28" hidden="1" outlineLevel="3">
      <c r="A191" s="382"/>
      <c r="B191" s="386" t="s">
        <v>194</v>
      </c>
      <c r="C191" s="382" t="s">
        <v>136</v>
      </c>
      <c r="D191" s="382" t="s">
        <v>18</v>
      </c>
      <c r="E191" s="386" t="s">
        <v>144</v>
      </c>
      <c r="F191" s="440" t="s">
        <v>195</v>
      </c>
      <c r="G191" s="382"/>
      <c r="H191" s="387">
        <v>0.51</v>
      </c>
      <c r="I191" s="388">
        <v>1</v>
      </c>
      <c r="J191" s="382"/>
      <c r="K191" s="411">
        <f t="shared" ref="K191:K195" si="25">IF(L191=1,H191,0)</f>
        <v>0.51</v>
      </c>
      <c r="L191" s="388">
        <v>1</v>
      </c>
      <c r="M191" s="382"/>
      <c r="N191" s="385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</row>
    <row r="192" spans="1:28" hidden="1" outlineLevel="3">
      <c r="A192" s="382"/>
      <c r="B192" s="386" t="s">
        <v>194</v>
      </c>
      <c r="C192" s="382" t="s">
        <v>136</v>
      </c>
      <c r="D192" s="382" t="s">
        <v>18</v>
      </c>
      <c r="E192" s="386" t="s">
        <v>144</v>
      </c>
      <c r="F192" s="440" t="s">
        <v>196</v>
      </c>
      <c r="G192" s="382"/>
      <c r="H192" s="387">
        <v>0.3</v>
      </c>
      <c r="I192" s="388">
        <v>1</v>
      </c>
      <c r="J192" s="382"/>
      <c r="K192" s="411">
        <f t="shared" si="25"/>
        <v>0</v>
      </c>
      <c r="L192" s="388"/>
      <c r="M192" s="382"/>
      <c r="N192" s="385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</row>
    <row r="193" spans="1:28" hidden="1" outlineLevel="3">
      <c r="A193" s="382"/>
      <c r="B193" s="386" t="s">
        <v>194</v>
      </c>
      <c r="C193" s="382" t="s">
        <v>136</v>
      </c>
      <c r="D193" s="382" t="s">
        <v>18</v>
      </c>
      <c r="E193" s="386" t="s">
        <v>144</v>
      </c>
      <c r="F193" s="440" t="s">
        <v>158</v>
      </c>
      <c r="G193" s="382"/>
      <c r="H193" s="387">
        <v>0.09</v>
      </c>
      <c r="I193" s="388">
        <v>1</v>
      </c>
      <c r="J193" s="382"/>
      <c r="K193" s="411">
        <f t="shared" si="25"/>
        <v>0</v>
      </c>
      <c r="L193" s="388"/>
      <c r="M193" s="382"/>
      <c r="N193" s="385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</row>
    <row r="194" spans="1:28" hidden="1" outlineLevel="3">
      <c r="A194" s="382"/>
      <c r="B194" s="386" t="s">
        <v>194</v>
      </c>
      <c r="C194" s="382" t="s">
        <v>136</v>
      </c>
      <c r="D194" s="382" t="s">
        <v>18</v>
      </c>
      <c r="E194" s="386" t="s">
        <v>144</v>
      </c>
      <c r="F194" s="440" t="s">
        <v>137</v>
      </c>
      <c r="G194" s="382"/>
      <c r="H194" s="387">
        <v>0.03</v>
      </c>
      <c r="I194" s="388">
        <v>1</v>
      </c>
      <c r="J194" s="382"/>
      <c r="K194" s="411">
        <f t="shared" si="25"/>
        <v>0</v>
      </c>
      <c r="L194" s="388"/>
      <c r="M194" s="382"/>
      <c r="N194" s="385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</row>
    <row r="195" spans="1:28" hidden="1" outlineLevel="3">
      <c r="A195" s="382"/>
      <c r="B195" s="386" t="s">
        <v>194</v>
      </c>
      <c r="C195" s="382" t="s">
        <v>136</v>
      </c>
      <c r="D195" s="382" t="s">
        <v>18</v>
      </c>
      <c r="E195" s="386" t="s">
        <v>144</v>
      </c>
      <c r="F195" s="440" t="s">
        <v>146</v>
      </c>
      <c r="G195" s="382"/>
      <c r="H195" s="387">
        <v>0.03</v>
      </c>
      <c r="I195" s="388">
        <v>1</v>
      </c>
      <c r="J195" s="382"/>
      <c r="K195" s="411">
        <f t="shared" si="25"/>
        <v>0</v>
      </c>
      <c r="L195" s="388"/>
      <c r="M195" s="382"/>
      <c r="N195" s="385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</row>
    <row r="196" spans="1:28" hidden="1" outlineLevel="2" collapsed="1">
      <c r="A196" s="382"/>
      <c r="B196" s="386" t="s">
        <v>194</v>
      </c>
      <c r="C196" s="382" t="s">
        <v>136</v>
      </c>
      <c r="D196" s="382" t="s">
        <v>26</v>
      </c>
      <c r="E196" s="382"/>
      <c r="F196" s="440" t="s">
        <v>87</v>
      </c>
      <c r="G196" s="382"/>
      <c r="H196" s="387">
        <f>SUM(H197:H201)</f>
        <v>0.38000000000000006</v>
      </c>
      <c r="I196" s="388">
        <f>SUM(I197:I201)</f>
        <v>5</v>
      </c>
      <c r="J196" s="382"/>
      <c r="K196" s="387">
        <f>SUM(K197:K201)</f>
        <v>0</v>
      </c>
      <c r="L196" s="388">
        <f>SUM(L197:L201)</f>
        <v>0</v>
      </c>
      <c r="M196" s="382"/>
      <c r="N196" s="385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</row>
    <row r="197" spans="1:28" hidden="1" outlineLevel="3">
      <c r="A197" s="382"/>
      <c r="B197" s="386" t="s">
        <v>194</v>
      </c>
      <c r="C197" s="382" t="s">
        <v>136</v>
      </c>
      <c r="D197" s="382" t="s">
        <v>26</v>
      </c>
      <c r="E197" s="382" t="s">
        <v>27</v>
      </c>
      <c r="F197" s="440" t="s">
        <v>197</v>
      </c>
      <c r="G197" s="382"/>
      <c r="H197" s="387">
        <v>0.08</v>
      </c>
      <c r="I197" s="388">
        <v>1</v>
      </c>
      <c r="J197" s="382"/>
      <c r="K197" s="411">
        <f t="shared" ref="K197:K201" si="26">IF(L197=1,H197,0)</f>
        <v>0</v>
      </c>
      <c r="L197" s="388"/>
      <c r="M197" s="382"/>
      <c r="N197" s="385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</row>
    <row r="198" spans="1:28" hidden="1" outlineLevel="3">
      <c r="A198" s="382"/>
      <c r="B198" s="386" t="s">
        <v>194</v>
      </c>
      <c r="C198" s="382" t="s">
        <v>136</v>
      </c>
      <c r="D198" s="382" t="s">
        <v>26</v>
      </c>
      <c r="E198" s="382" t="s">
        <v>27</v>
      </c>
      <c r="F198" s="440" t="s">
        <v>198</v>
      </c>
      <c r="G198" s="382"/>
      <c r="H198" s="411">
        <v>0.17</v>
      </c>
      <c r="I198" s="388">
        <v>1</v>
      </c>
      <c r="J198" s="382"/>
      <c r="K198" s="411">
        <f t="shared" si="26"/>
        <v>0</v>
      </c>
      <c r="L198" s="388"/>
      <c r="M198" s="382"/>
      <c r="N198" s="385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</row>
    <row r="199" spans="1:28" hidden="1" outlineLevel="3">
      <c r="A199" s="382"/>
      <c r="B199" s="386" t="s">
        <v>194</v>
      </c>
      <c r="C199" s="382" t="s">
        <v>136</v>
      </c>
      <c r="D199" s="382" t="s">
        <v>26</v>
      </c>
      <c r="E199" s="382" t="s">
        <v>27</v>
      </c>
      <c r="F199" s="440" t="s">
        <v>137</v>
      </c>
      <c r="G199" s="382"/>
      <c r="H199" s="387">
        <v>0.03</v>
      </c>
      <c r="I199" s="388">
        <v>1</v>
      </c>
      <c r="J199" s="382"/>
      <c r="K199" s="411">
        <f t="shared" si="26"/>
        <v>0</v>
      </c>
      <c r="L199" s="388"/>
      <c r="M199" s="382"/>
      <c r="N199" s="385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</row>
    <row r="200" spans="1:28" hidden="1" outlineLevel="3">
      <c r="A200" s="382"/>
      <c r="B200" s="386" t="s">
        <v>194</v>
      </c>
      <c r="C200" s="382" t="s">
        <v>136</v>
      </c>
      <c r="D200" s="382" t="s">
        <v>26</v>
      </c>
      <c r="E200" s="382" t="s">
        <v>27</v>
      </c>
      <c r="F200" s="440" t="s">
        <v>146</v>
      </c>
      <c r="G200" s="382"/>
      <c r="H200" s="387">
        <v>0.03</v>
      </c>
      <c r="I200" s="388">
        <v>1</v>
      </c>
      <c r="J200" s="382"/>
      <c r="K200" s="411">
        <f t="shared" si="26"/>
        <v>0</v>
      </c>
      <c r="L200" s="388"/>
      <c r="M200" s="382"/>
      <c r="N200" s="385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</row>
    <row r="201" spans="1:28" ht="26.45" hidden="1" outlineLevel="3">
      <c r="A201" s="382"/>
      <c r="B201" s="386" t="s">
        <v>194</v>
      </c>
      <c r="C201" s="382" t="s">
        <v>136</v>
      </c>
      <c r="D201" s="382" t="s">
        <v>26</v>
      </c>
      <c r="E201" s="382" t="s">
        <v>27</v>
      </c>
      <c r="F201" s="440" t="s">
        <v>199</v>
      </c>
      <c r="G201" s="382"/>
      <c r="H201" s="387">
        <v>7.0000000000000007E-2</v>
      </c>
      <c r="I201" s="388">
        <v>1</v>
      </c>
      <c r="J201" s="382"/>
      <c r="K201" s="411">
        <f t="shared" si="26"/>
        <v>0</v>
      </c>
      <c r="L201" s="388"/>
      <c r="M201" s="382"/>
      <c r="N201" s="385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</row>
    <row r="202" spans="1:28" hidden="1" outlineLevel="2" collapsed="1">
      <c r="A202" s="382"/>
      <c r="B202" s="386" t="s">
        <v>194</v>
      </c>
      <c r="C202" s="382" t="s">
        <v>136</v>
      </c>
      <c r="D202" s="382" t="s">
        <v>28</v>
      </c>
      <c r="E202" s="382"/>
      <c r="F202" s="440" t="s">
        <v>87</v>
      </c>
      <c r="G202" s="382"/>
      <c r="H202" s="387">
        <f>SUM(H203:H203)</f>
        <v>0.04</v>
      </c>
      <c r="I202" s="388">
        <f>SUM(I203:I203)</f>
        <v>1</v>
      </c>
      <c r="J202" s="382"/>
      <c r="K202" s="387">
        <f>SUM(K203:K203)</f>
        <v>0</v>
      </c>
      <c r="L202" s="388">
        <f>SUM(L203:L203)</f>
        <v>0</v>
      </c>
      <c r="M202" s="382"/>
      <c r="N202" s="385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</row>
    <row r="203" spans="1:28" hidden="1" outlineLevel="3">
      <c r="A203" s="382"/>
      <c r="B203" s="386" t="s">
        <v>194</v>
      </c>
      <c r="C203" s="382" t="s">
        <v>136</v>
      </c>
      <c r="D203" s="382" t="s">
        <v>28</v>
      </c>
      <c r="E203" s="382" t="s">
        <v>29</v>
      </c>
      <c r="F203" s="440" t="s">
        <v>146</v>
      </c>
      <c r="G203" s="382"/>
      <c r="H203" s="387">
        <v>0.04</v>
      </c>
      <c r="I203" s="388">
        <v>1</v>
      </c>
      <c r="J203" s="382"/>
      <c r="K203" s="411">
        <f>IF(L203=1,H203,0)</f>
        <v>0</v>
      </c>
      <c r="L203" s="388"/>
      <c r="M203" s="382"/>
      <c r="N203" s="385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</row>
    <row r="204" spans="1:28" hidden="1" outlineLevel="2">
      <c r="A204" s="382"/>
      <c r="B204" s="386" t="s">
        <v>194</v>
      </c>
      <c r="C204" s="382" t="s">
        <v>136</v>
      </c>
      <c r="D204" s="382" t="s">
        <v>64</v>
      </c>
      <c r="E204" s="382"/>
      <c r="F204" s="440" t="s">
        <v>87</v>
      </c>
      <c r="G204" s="382"/>
      <c r="H204" s="387"/>
      <c r="I204" s="388">
        <v>0</v>
      </c>
      <c r="J204" s="382"/>
      <c r="K204" s="387"/>
      <c r="L204" s="388">
        <v>0</v>
      </c>
      <c r="M204" s="382"/>
      <c r="N204" s="385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</row>
    <row r="205" spans="1:28" outlineLevel="1" collapsed="1">
      <c r="A205" s="382"/>
      <c r="B205" s="390" t="s">
        <v>200</v>
      </c>
      <c r="C205" s="390" t="s">
        <v>200</v>
      </c>
      <c r="D205" s="390"/>
      <c r="E205" s="390"/>
      <c r="F205" s="442" t="s">
        <v>201</v>
      </c>
      <c r="G205" s="382"/>
      <c r="H205" s="424">
        <f>SUM(H206+H207+H210+H215+H220)</f>
        <v>1.6448108219838975</v>
      </c>
      <c r="I205" s="408">
        <f>SUM(I206,I207,I210,I215,I220)</f>
        <v>13</v>
      </c>
      <c r="J205" s="382"/>
      <c r="K205" s="424">
        <f>SUM(K206+K207+K210+K215+K220)</f>
        <v>0.51594983709121256</v>
      </c>
      <c r="L205" s="408">
        <f>SUM(L206,L207,L210,L215,L220)</f>
        <v>7</v>
      </c>
      <c r="M205" s="382"/>
      <c r="N205" s="385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</row>
    <row r="206" spans="1:28" hidden="1" outlineLevel="2">
      <c r="A206" s="382"/>
      <c r="B206" s="386" t="s">
        <v>200</v>
      </c>
      <c r="C206" s="386" t="s">
        <v>200</v>
      </c>
      <c r="D206" s="382" t="s">
        <v>202</v>
      </c>
      <c r="E206" s="386"/>
      <c r="F206" s="440" t="s">
        <v>126</v>
      </c>
      <c r="G206" s="382"/>
      <c r="H206" s="411"/>
      <c r="I206" s="388"/>
      <c r="J206" s="382"/>
      <c r="K206" s="411"/>
      <c r="L206" s="388"/>
      <c r="M206" s="382"/>
      <c r="N206" s="385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</row>
    <row r="207" spans="1:28" hidden="1" outlineLevel="2" collapsed="1">
      <c r="A207" s="382"/>
      <c r="B207" s="386" t="s">
        <v>200</v>
      </c>
      <c r="C207" s="386" t="s">
        <v>200</v>
      </c>
      <c r="D207" s="382" t="s">
        <v>18</v>
      </c>
      <c r="E207" s="386"/>
      <c r="F207" s="440" t="s">
        <v>126</v>
      </c>
      <c r="G207" s="382"/>
      <c r="H207" s="387">
        <f>SUM(H208:H209)</f>
        <v>0.309550952606017</v>
      </c>
      <c r="I207" s="388">
        <f>SUM(I208:I209)</f>
        <v>2</v>
      </c>
      <c r="J207" s="382"/>
      <c r="K207" s="387">
        <f>SUM(K208:K209)</f>
        <v>0</v>
      </c>
      <c r="L207" s="388">
        <f>SUM(L208:L209)</f>
        <v>0</v>
      </c>
      <c r="M207" s="382"/>
      <c r="N207" s="385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</row>
    <row r="208" spans="1:28" hidden="1" outlineLevel="3">
      <c r="A208" s="382"/>
      <c r="B208" s="386" t="s">
        <v>200</v>
      </c>
      <c r="C208" s="386" t="s">
        <v>200</v>
      </c>
      <c r="D208" s="382" t="s">
        <v>18</v>
      </c>
      <c r="E208" s="386" t="s">
        <v>204</v>
      </c>
      <c r="F208" s="440" t="s">
        <v>117</v>
      </c>
      <c r="G208" s="382"/>
      <c r="H208" s="387">
        <v>0.1547754763030085</v>
      </c>
      <c r="I208" s="388">
        <v>1</v>
      </c>
      <c r="J208" s="382"/>
      <c r="K208" s="411">
        <f t="shared" ref="K208:K209" si="27">IF(L208=1,H208,0)</f>
        <v>0</v>
      </c>
      <c r="L208" s="388"/>
      <c r="M208" s="382"/>
      <c r="N208" s="385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</row>
    <row r="209" spans="1:28" hidden="1" outlineLevel="3">
      <c r="A209" s="382"/>
      <c r="B209" s="386" t="s">
        <v>200</v>
      </c>
      <c r="C209" s="386" t="s">
        <v>200</v>
      </c>
      <c r="D209" s="382" t="s">
        <v>18</v>
      </c>
      <c r="E209" s="386" t="s">
        <v>204</v>
      </c>
      <c r="F209" s="440" t="s">
        <v>118</v>
      </c>
      <c r="G209" s="382"/>
      <c r="H209" s="387">
        <v>0.1547754763030085</v>
      </c>
      <c r="I209" s="388">
        <v>1</v>
      </c>
      <c r="J209" s="382"/>
      <c r="K209" s="411">
        <f t="shared" si="27"/>
        <v>0</v>
      </c>
      <c r="L209" s="388"/>
      <c r="M209" s="382"/>
      <c r="N209" s="385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</row>
    <row r="210" spans="1:28" hidden="1" outlineLevel="2">
      <c r="A210" s="382"/>
      <c r="B210" s="386" t="s">
        <v>200</v>
      </c>
      <c r="C210" s="386" t="s">
        <v>200</v>
      </c>
      <c r="D210" s="382" t="s">
        <v>26</v>
      </c>
      <c r="E210" s="382"/>
      <c r="F210" s="440" t="s">
        <v>126</v>
      </c>
      <c r="G210" s="382"/>
      <c r="H210" s="411">
        <f>SUM(H211:H214)</f>
        <v>0.83171770678666779</v>
      </c>
      <c r="I210" s="388">
        <f>SUM(I211:I214)</f>
        <v>4</v>
      </c>
      <c r="J210" s="382"/>
      <c r="K210" s="411">
        <f>SUM(K211:K214)</f>
        <v>6.1981660819083066E-2</v>
      </c>
      <c r="L210" s="388">
        <f>SUM(L211:L214)</f>
        <v>1</v>
      </c>
      <c r="M210" s="382"/>
      <c r="N210" s="385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</row>
    <row r="211" spans="1:28" hidden="1" outlineLevel="3">
      <c r="A211" s="382"/>
      <c r="B211" s="386" t="s">
        <v>200</v>
      </c>
      <c r="C211" s="386" t="s">
        <v>200</v>
      </c>
      <c r="D211" s="382" t="s">
        <v>26</v>
      </c>
      <c r="E211" s="382" t="s">
        <v>27</v>
      </c>
      <c r="F211" s="440" t="s">
        <v>96</v>
      </c>
      <c r="G211" s="382"/>
      <c r="H211" s="387">
        <v>0.40295193575893268</v>
      </c>
      <c r="I211" s="388">
        <v>1</v>
      </c>
      <c r="J211" s="382"/>
      <c r="K211" s="411">
        <f t="shared" ref="K211:K214" si="28">IF(L211=1,H211,0)</f>
        <v>0</v>
      </c>
      <c r="L211" s="388"/>
      <c r="M211" s="382"/>
      <c r="N211" s="385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</row>
    <row r="212" spans="1:28" hidden="1" outlineLevel="3">
      <c r="A212" s="382"/>
      <c r="B212" s="386" t="s">
        <v>200</v>
      </c>
      <c r="C212" s="386" t="s">
        <v>200</v>
      </c>
      <c r="D212" s="382" t="s">
        <v>26</v>
      </c>
      <c r="E212" s="382" t="s">
        <v>27</v>
      </c>
      <c r="F212" s="440" t="s">
        <v>97</v>
      </c>
      <c r="G212" s="382"/>
      <c r="H212" s="387">
        <v>0.33579327979911056</v>
      </c>
      <c r="I212" s="388">
        <v>1</v>
      </c>
      <c r="J212" s="382"/>
      <c r="K212" s="411">
        <f t="shared" si="28"/>
        <v>0</v>
      </c>
      <c r="L212" s="388"/>
      <c r="M212" s="382"/>
      <c r="N212" s="385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</row>
    <row r="213" spans="1:28" hidden="1" outlineLevel="3">
      <c r="A213" s="382"/>
      <c r="B213" s="386" t="s">
        <v>200</v>
      </c>
      <c r="C213" s="386" t="s">
        <v>200</v>
      </c>
      <c r="D213" s="382" t="s">
        <v>26</v>
      </c>
      <c r="E213" s="382" t="s">
        <v>27</v>
      </c>
      <c r="F213" s="440" t="s">
        <v>117</v>
      </c>
      <c r="G213" s="382"/>
      <c r="H213" s="387">
        <v>3.0990830409541533E-2</v>
      </c>
      <c r="I213" s="388">
        <v>1</v>
      </c>
      <c r="J213" s="382"/>
      <c r="K213" s="411">
        <f t="shared" si="28"/>
        <v>0</v>
      </c>
      <c r="L213" s="388"/>
      <c r="M213" s="382"/>
      <c r="N213" s="385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</row>
    <row r="214" spans="1:28" hidden="1" outlineLevel="3">
      <c r="A214" s="382"/>
      <c r="B214" s="386" t="s">
        <v>200</v>
      </c>
      <c r="C214" s="386" t="s">
        <v>200</v>
      </c>
      <c r="D214" s="382" t="s">
        <v>26</v>
      </c>
      <c r="E214" s="382" t="s">
        <v>27</v>
      </c>
      <c r="F214" s="440" t="s">
        <v>98</v>
      </c>
      <c r="G214" s="382"/>
      <c r="H214" s="387">
        <v>6.1981660819083066E-2</v>
      </c>
      <c r="I214" s="388">
        <v>1</v>
      </c>
      <c r="J214" s="382"/>
      <c r="K214" s="411">
        <f t="shared" si="28"/>
        <v>6.1981660819083066E-2</v>
      </c>
      <c r="L214" s="388">
        <v>1</v>
      </c>
      <c r="M214" s="382"/>
      <c r="N214" s="385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</row>
    <row r="215" spans="1:28" hidden="1" outlineLevel="2" collapsed="1">
      <c r="A215" s="382"/>
      <c r="B215" s="386" t="s">
        <v>200</v>
      </c>
      <c r="C215" s="386" t="s">
        <v>200</v>
      </c>
      <c r="D215" s="382" t="s">
        <v>28</v>
      </c>
      <c r="E215" s="382"/>
      <c r="F215" s="440" t="s">
        <v>126</v>
      </c>
      <c r="G215" s="382"/>
      <c r="H215" s="411">
        <f>SUM(H216:H219)</f>
        <v>0.31744391791449839</v>
      </c>
      <c r="I215" s="388">
        <f>SUM(I216:I219)</f>
        <v>4</v>
      </c>
      <c r="J215" s="382"/>
      <c r="K215" s="411">
        <f>SUM(K216:K219)</f>
        <v>0.26786993159541533</v>
      </c>
      <c r="L215" s="388">
        <f>SUM(L216:L219)</f>
        <v>3</v>
      </c>
      <c r="M215" s="382"/>
      <c r="N215" s="385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</row>
    <row r="216" spans="1:28" hidden="1" outlineLevel="3">
      <c r="A216" s="382"/>
      <c r="B216" s="386" t="s">
        <v>200</v>
      </c>
      <c r="C216" s="386" t="s">
        <v>200</v>
      </c>
      <c r="D216" s="382" t="s">
        <v>28</v>
      </c>
      <c r="E216" s="382" t="s">
        <v>29</v>
      </c>
      <c r="F216" s="440" t="s">
        <v>205</v>
      </c>
      <c r="G216" s="382"/>
      <c r="H216" s="387">
        <v>0.17350895211679071</v>
      </c>
      <c r="I216" s="388">
        <v>1</v>
      </c>
      <c r="J216" s="382"/>
      <c r="K216" s="411">
        <f t="shared" ref="K216:K219" si="29">IF(L216=1,H216,0)</f>
        <v>0.17350895211679071</v>
      </c>
      <c r="L216" s="388">
        <v>1</v>
      </c>
      <c r="M216" s="382"/>
      <c r="N216" s="385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</row>
    <row r="217" spans="1:28" hidden="1" outlineLevel="3">
      <c r="A217" s="382"/>
      <c r="B217" s="386" t="s">
        <v>200</v>
      </c>
      <c r="C217" s="386" t="s">
        <v>200</v>
      </c>
      <c r="D217" s="382" t="s">
        <v>28</v>
      </c>
      <c r="E217" s="382" t="s">
        <v>29</v>
      </c>
      <c r="F217" s="440" t="s">
        <v>1652</v>
      </c>
      <c r="G217" s="382"/>
      <c r="H217" s="411">
        <v>7.4360979478624606E-2</v>
      </c>
      <c r="I217" s="409">
        <v>1</v>
      </c>
      <c r="J217" s="382"/>
      <c r="K217" s="411">
        <v>7.4360979478624606E-2</v>
      </c>
      <c r="L217" s="409">
        <v>1</v>
      </c>
      <c r="M217" s="382"/>
      <c r="N217" s="385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</row>
    <row r="218" spans="1:28" hidden="1" outlineLevel="3">
      <c r="A218" s="382"/>
      <c r="B218" s="386" t="s">
        <v>200</v>
      </c>
      <c r="C218" s="386" t="s">
        <v>200</v>
      </c>
      <c r="D218" s="382" t="s">
        <v>28</v>
      </c>
      <c r="E218" s="382" t="s">
        <v>29</v>
      </c>
      <c r="F218" s="440" t="s">
        <v>117</v>
      </c>
      <c r="G218" s="382"/>
      <c r="H218" s="387">
        <v>4.9573986319083066E-2</v>
      </c>
      <c r="I218" s="388">
        <v>1</v>
      </c>
      <c r="J218" s="382"/>
      <c r="K218" s="411">
        <f t="shared" si="29"/>
        <v>0</v>
      </c>
      <c r="L218" s="388"/>
      <c r="M218" s="382"/>
      <c r="N218" s="385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</row>
    <row r="219" spans="1:28" hidden="1" outlineLevel="3">
      <c r="A219" s="382"/>
      <c r="B219" s="386" t="s">
        <v>200</v>
      </c>
      <c r="C219" s="386" t="s">
        <v>200</v>
      </c>
      <c r="D219" s="382" t="s">
        <v>28</v>
      </c>
      <c r="E219" s="382" t="s">
        <v>29</v>
      </c>
      <c r="F219" s="440" t="s">
        <v>98</v>
      </c>
      <c r="G219" s="382"/>
      <c r="H219" s="387">
        <v>0.02</v>
      </c>
      <c r="I219" s="388">
        <v>1</v>
      </c>
      <c r="J219" s="382"/>
      <c r="K219" s="411">
        <f t="shared" si="29"/>
        <v>0.02</v>
      </c>
      <c r="L219" s="388">
        <v>1</v>
      </c>
      <c r="M219" s="382"/>
      <c r="N219" s="385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</row>
    <row r="220" spans="1:28" hidden="1" outlineLevel="2" collapsed="1">
      <c r="A220" s="382"/>
      <c r="B220" s="386" t="s">
        <v>200</v>
      </c>
      <c r="C220" s="386" t="s">
        <v>200</v>
      </c>
      <c r="D220" s="382" t="s">
        <v>64</v>
      </c>
      <c r="E220" s="382"/>
      <c r="F220" s="440" t="s">
        <v>126</v>
      </c>
      <c r="G220" s="382"/>
      <c r="H220" s="387">
        <f>SUM(H221:H223)</f>
        <v>0.18609824467671421</v>
      </c>
      <c r="I220" s="388">
        <f>SUM(I221:I223)</f>
        <v>3</v>
      </c>
      <c r="J220" s="382"/>
      <c r="K220" s="387">
        <f>SUM(K221:K223)</f>
        <v>0.18609824467671421</v>
      </c>
      <c r="L220" s="388">
        <f>SUM(L221:L223)</f>
        <v>3</v>
      </c>
      <c r="M220" s="382"/>
      <c r="N220" s="385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</row>
    <row r="221" spans="1:28" hidden="1" outlineLevel="3">
      <c r="A221" s="382"/>
      <c r="B221" s="386" t="s">
        <v>200</v>
      </c>
      <c r="C221" s="386" t="s">
        <v>200</v>
      </c>
      <c r="D221" s="382" t="s">
        <v>64</v>
      </c>
      <c r="E221" s="382" t="s">
        <v>29</v>
      </c>
      <c r="F221" s="440" t="s">
        <v>219</v>
      </c>
      <c r="G221" s="411">
        <v>9.7353721500000004E-2</v>
      </c>
      <c r="H221" s="411">
        <v>3.2451240499999999E-2</v>
      </c>
      <c r="I221" s="409">
        <v>1</v>
      </c>
      <c r="J221" s="389"/>
      <c r="K221" s="411">
        <v>3.2451240499999999E-2</v>
      </c>
      <c r="L221" s="409">
        <v>1</v>
      </c>
      <c r="M221" s="389"/>
      <c r="N221" s="389"/>
      <c r="O221" s="389"/>
      <c r="P221" s="389"/>
      <c r="Q221" s="389"/>
    </row>
    <row r="222" spans="1:28" hidden="1" outlineLevel="3">
      <c r="A222" s="382"/>
      <c r="B222" s="386" t="s">
        <v>200</v>
      </c>
      <c r="C222" s="386" t="s">
        <v>200</v>
      </c>
      <c r="D222" s="382" t="s">
        <v>64</v>
      </c>
      <c r="E222" s="382" t="s">
        <v>29</v>
      </c>
      <c r="F222" s="440" t="s">
        <v>1653</v>
      </c>
      <c r="G222" s="411"/>
      <c r="H222" s="411">
        <v>8.1128101250000001E-2</v>
      </c>
      <c r="I222" s="409">
        <v>1</v>
      </c>
      <c r="J222" s="389"/>
      <c r="K222" s="411">
        <v>8.1128101250000001E-2</v>
      </c>
      <c r="L222" s="409">
        <v>1</v>
      </c>
      <c r="M222" s="389"/>
      <c r="N222" s="389"/>
      <c r="O222" s="389"/>
      <c r="P222" s="389"/>
      <c r="Q222" s="389"/>
    </row>
    <row r="223" spans="1:28" hidden="1" outlineLevel="3">
      <c r="A223" s="382"/>
      <c r="B223" s="386" t="s">
        <v>200</v>
      </c>
      <c r="C223" s="386" t="s">
        <v>200</v>
      </c>
      <c r="D223" s="382" t="s">
        <v>64</v>
      </c>
      <c r="E223" s="382" t="s">
        <v>29</v>
      </c>
      <c r="F223" s="440" t="s">
        <v>118</v>
      </c>
      <c r="G223" s="382"/>
      <c r="H223" s="387">
        <v>7.2518902926714202E-2</v>
      </c>
      <c r="I223" s="388">
        <v>1</v>
      </c>
      <c r="J223" s="382"/>
      <c r="K223" s="411">
        <v>7.2518902926714202E-2</v>
      </c>
      <c r="L223" s="388">
        <v>1</v>
      </c>
      <c r="M223" s="382"/>
      <c r="N223" s="385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</row>
    <row r="224" spans="1:28" outlineLevel="1" collapsed="1">
      <c r="A224" s="382"/>
      <c r="B224" s="390" t="s">
        <v>209</v>
      </c>
      <c r="C224" s="395" t="s">
        <v>80</v>
      </c>
      <c r="D224" s="390"/>
      <c r="E224" s="390"/>
      <c r="F224" s="442" t="s">
        <v>210</v>
      </c>
      <c r="G224" s="382"/>
      <c r="H224" s="424">
        <f>SUM(H225:H225)</f>
        <v>0.03</v>
      </c>
      <c r="I224" s="408">
        <f t="shared" ref="I224:I225" si="30">SUM(I225)</f>
        <v>1</v>
      </c>
      <c r="J224" s="382"/>
      <c r="K224" s="424">
        <f>SUM(K225:K225)</f>
        <v>0</v>
      </c>
      <c r="L224" s="408">
        <f t="shared" ref="L224:L225" si="31">SUM(L225)</f>
        <v>0</v>
      </c>
      <c r="M224" s="382"/>
      <c r="N224" s="385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</row>
    <row r="225" spans="1:28" hidden="1" outlineLevel="2" collapsed="1">
      <c r="A225" s="382"/>
      <c r="B225" s="386" t="s">
        <v>209</v>
      </c>
      <c r="C225" s="382" t="s">
        <v>80</v>
      </c>
      <c r="D225" s="382" t="s">
        <v>26</v>
      </c>
      <c r="E225" s="382"/>
      <c r="F225" s="440" t="s">
        <v>87</v>
      </c>
      <c r="G225" s="382"/>
      <c r="H225" s="387">
        <f>SUM(H226)</f>
        <v>0.03</v>
      </c>
      <c r="I225" s="388">
        <f t="shared" si="30"/>
        <v>1</v>
      </c>
      <c r="J225" s="382"/>
      <c r="K225" s="387">
        <f>SUM(K226)</f>
        <v>0</v>
      </c>
      <c r="L225" s="388">
        <f t="shared" si="31"/>
        <v>0</v>
      </c>
      <c r="M225" s="382"/>
      <c r="N225" s="385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</row>
    <row r="226" spans="1:28" hidden="1" outlineLevel="3">
      <c r="A226" s="382"/>
      <c r="B226" s="386" t="s">
        <v>209</v>
      </c>
      <c r="C226" s="382" t="s">
        <v>80</v>
      </c>
      <c r="D226" s="382" t="s">
        <v>26</v>
      </c>
      <c r="E226" s="382" t="s">
        <v>27</v>
      </c>
      <c r="F226" s="440" t="s">
        <v>211</v>
      </c>
      <c r="G226" s="382"/>
      <c r="H226" s="387">
        <v>0.03</v>
      </c>
      <c r="I226" s="388">
        <v>1</v>
      </c>
      <c r="J226" s="382"/>
      <c r="K226" s="411">
        <f>IF(L226=1,H226,0)</f>
        <v>0</v>
      </c>
      <c r="L226" s="388"/>
      <c r="M226" s="382"/>
      <c r="N226" s="385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</row>
    <row r="227" spans="1:28" outlineLevel="1">
      <c r="A227" s="382"/>
      <c r="B227" s="396" t="s">
        <v>212</v>
      </c>
      <c r="C227" s="396" t="s">
        <v>212</v>
      </c>
      <c r="D227" s="396"/>
      <c r="E227" s="396"/>
      <c r="F227" s="442" t="s">
        <v>210</v>
      </c>
      <c r="G227" s="382"/>
      <c r="H227" s="422">
        <f>H228+H239+H256</f>
        <v>9.6589592526479322</v>
      </c>
      <c r="I227" s="423">
        <f>I228+I239+I256</f>
        <v>27</v>
      </c>
      <c r="J227" s="382"/>
      <c r="K227" s="422">
        <f>K228+K239+K256</f>
        <v>2.25123394992</v>
      </c>
      <c r="L227" s="423">
        <f>L228+L239+L256</f>
        <v>1</v>
      </c>
      <c r="M227" s="382"/>
      <c r="N227" s="385"/>
      <c r="O227" s="389"/>
      <c r="P227" s="389"/>
      <c r="Q227" s="389"/>
      <c r="R227" s="389"/>
      <c r="S227" s="402"/>
      <c r="T227" s="389"/>
      <c r="U227" s="389"/>
      <c r="V227" s="389"/>
      <c r="W227" s="389"/>
      <c r="X227" s="389"/>
      <c r="Y227" s="389"/>
      <c r="Z227" s="389"/>
      <c r="AA227" s="389"/>
      <c r="AB227" s="389"/>
    </row>
    <row r="228" spans="1:28" outlineLevel="2">
      <c r="A228" s="382"/>
      <c r="B228" s="386" t="s">
        <v>212</v>
      </c>
      <c r="C228" s="386" t="s">
        <v>212</v>
      </c>
      <c r="D228" s="382" t="s">
        <v>18</v>
      </c>
      <c r="E228" s="397"/>
      <c r="F228" s="440" t="s">
        <v>214</v>
      </c>
      <c r="G228" s="382"/>
      <c r="H228" s="542">
        <f>SUM(H229:H238)</f>
        <v>5.8780133279200006</v>
      </c>
      <c r="I228" s="388">
        <f>SUM(I229:I238)</f>
        <v>10</v>
      </c>
      <c r="J228" s="382"/>
      <c r="K228" s="542">
        <f>SUM(K229:K238)</f>
        <v>0</v>
      </c>
      <c r="L228" s="388">
        <f>SUM(L229:L238)</f>
        <v>0</v>
      </c>
      <c r="M228" s="382"/>
      <c r="N228" s="385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</row>
    <row r="229" spans="1:28" outlineLevel="3">
      <c r="A229" s="382"/>
      <c r="B229" s="386" t="s">
        <v>212</v>
      </c>
      <c r="C229" s="386" t="s">
        <v>212</v>
      </c>
      <c r="D229" s="382" t="s">
        <v>18</v>
      </c>
      <c r="E229" s="397" t="s">
        <v>204</v>
      </c>
      <c r="F229" s="440" t="s">
        <v>215</v>
      </c>
      <c r="G229" s="382"/>
      <c r="H229" s="411">
        <v>0.22115071539599998</v>
      </c>
      <c r="I229" s="388">
        <v>1</v>
      </c>
      <c r="J229" s="382"/>
      <c r="K229" s="411">
        <f t="shared" ref="K229:K238" si="32">IF(L229=1,H229,0)</f>
        <v>0</v>
      </c>
      <c r="L229" s="388"/>
      <c r="M229" s="382"/>
      <c r="N229" s="385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</row>
    <row r="230" spans="1:28" outlineLevel="3">
      <c r="A230" s="382" t="s">
        <v>216</v>
      </c>
      <c r="B230" s="386" t="s">
        <v>212</v>
      </c>
      <c r="C230" s="386" t="s">
        <v>212</v>
      </c>
      <c r="D230" s="382" t="s">
        <v>18</v>
      </c>
      <c r="E230" s="397" t="s">
        <v>204</v>
      </c>
      <c r="F230" s="440" t="s">
        <v>217</v>
      </c>
      <c r="G230" s="382"/>
      <c r="H230" s="411">
        <v>7.3716905132000007E-2</v>
      </c>
      <c r="I230" s="409">
        <v>1</v>
      </c>
      <c r="J230" s="382"/>
      <c r="K230" s="411">
        <f t="shared" si="32"/>
        <v>0</v>
      </c>
      <c r="L230" s="409"/>
      <c r="M230" s="382"/>
      <c r="N230" s="385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</row>
    <row r="231" spans="1:28" outlineLevel="3">
      <c r="A231" s="382"/>
      <c r="B231" s="386" t="s">
        <v>212</v>
      </c>
      <c r="C231" s="386" t="s">
        <v>212</v>
      </c>
      <c r="D231" s="382" t="s">
        <v>18</v>
      </c>
      <c r="E231" s="397" t="s">
        <v>204</v>
      </c>
      <c r="F231" s="440" t="s">
        <v>218</v>
      </c>
      <c r="G231" s="382"/>
      <c r="H231" s="411">
        <v>7.3716905132000007E-2</v>
      </c>
      <c r="I231" s="388">
        <v>1</v>
      </c>
      <c r="J231" s="382"/>
      <c r="K231" s="411">
        <f t="shared" si="32"/>
        <v>0</v>
      </c>
      <c r="L231" s="388"/>
      <c r="M231" s="382"/>
      <c r="N231" s="385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</row>
    <row r="232" spans="1:28" outlineLevel="3">
      <c r="A232" s="382"/>
      <c r="B232" s="386" t="s">
        <v>212</v>
      </c>
      <c r="C232" s="386" t="s">
        <v>212</v>
      </c>
      <c r="D232" s="382" t="s">
        <v>18</v>
      </c>
      <c r="E232" s="397" t="s">
        <v>204</v>
      </c>
      <c r="F232" s="440" t="s">
        <v>222</v>
      </c>
      <c r="G232" s="382"/>
      <c r="H232" s="411">
        <v>6.4031962499999998E-2</v>
      </c>
      <c r="I232" s="388">
        <v>1</v>
      </c>
      <c r="J232" s="382"/>
      <c r="K232" s="411">
        <f t="shared" si="32"/>
        <v>0</v>
      </c>
      <c r="L232" s="388"/>
      <c r="M232" s="382"/>
      <c r="N232" s="385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</row>
    <row r="233" spans="1:28" outlineLevel="3">
      <c r="A233" s="382"/>
      <c r="B233" s="386" t="s">
        <v>212</v>
      </c>
      <c r="C233" s="386" t="s">
        <v>212</v>
      </c>
      <c r="D233" s="382" t="s">
        <v>18</v>
      </c>
      <c r="E233" s="397" t="s">
        <v>204</v>
      </c>
      <c r="F233" s="440" t="s">
        <v>224</v>
      </c>
      <c r="G233" s="382"/>
      <c r="H233" s="411">
        <v>0.54994955184000005</v>
      </c>
      <c r="I233" s="388">
        <v>1</v>
      </c>
      <c r="J233" s="382"/>
      <c r="K233" s="411">
        <f t="shared" si="32"/>
        <v>0</v>
      </c>
      <c r="L233" s="388"/>
      <c r="M233" s="382"/>
      <c r="N233" s="385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</row>
    <row r="234" spans="1:28" outlineLevel="3">
      <c r="A234" s="382"/>
      <c r="B234" s="386" t="s">
        <v>212</v>
      </c>
      <c r="C234" s="386" t="s">
        <v>212</v>
      </c>
      <c r="D234" s="382" t="s">
        <v>18</v>
      </c>
      <c r="E234" s="397" t="s">
        <v>204</v>
      </c>
      <c r="F234" s="440" t="s">
        <v>225</v>
      </c>
      <c r="G234" s="382"/>
      <c r="H234" s="411">
        <v>0.27497477592000003</v>
      </c>
      <c r="I234" s="388">
        <v>1</v>
      </c>
      <c r="J234" s="382"/>
      <c r="K234" s="411">
        <f t="shared" si="32"/>
        <v>0</v>
      </c>
      <c r="L234" s="388"/>
      <c r="M234" s="382"/>
      <c r="N234" s="385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</row>
    <row r="235" spans="1:28" outlineLevel="3">
      <c r="A235" s="382"/>
      <c r="B235" s="386" t="s">
        <v>212</v>
      </c>
      <c r="C235" s="386" t="s">
        <v>212</v>
      </c>
      <c r="D235" s="382" t="s">
        <v>18</v>
      </c>
      <c r="E235" s="397" t="s">
        <v>204</v>
      </c>
      <c r="F235" s="440" t="s">
        <v>226</v>
      </c>
      <c r="G235" s="382"/>
      <c r="H235" s="411">
        <v>2.2352362560000003</v>
      </c>
      <c r="I235" s="388">
        <v>1</v>
      </c>
      <c r="J235" s="382"/>
      <c r="K235" s="411">
        <f t="shared" si="32"/>
        <v>0</v>
      </c>
      <c r="L235" s="388"/>
      <c r="M235" s="382"/>
      <c r="N235" s="385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</row>
    <row r="236" spans="1:28" outlineLevel="3">
      <c r="A236" s="382"/>
      <c r="B236" s="386" t="s">
        <v>212</v>
      </c>
      <c r="C236" s="386" t="s">
        <v>212</v>
      </c>
      <c r="D236" s="382" t="s">
        <v>18</v>
      </c>
      <c r="E236" s="397" t="s">
        <v>204</v>
      </c>
      <c r="F236" s="440" t="s">
        <v>228</v>
      </c>
      <c r="G236" s="382"/>
      <c r="H236" s="411">
        <v>2.2352362560000003</v>
      </c>
      <c r="I236" s="388">
        <v>1</v>
      </c>
      <c r="J236" s="382"/>
      <c r="K236" s="411">
        <f t="shared" si="32"/>
        <v>0</v>
      </c>
      <c r="L236" s="388"/>
      <c r="M236" s="382"/>
      <c r="N236" s="385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</row>
    <row r="237" spans="1:28" outlineLevel="3">
      <c r="A237" s="382"/>
      <c r="B237" s="386" t="s">
        <v>212</v>
      </c>
      <c r="C237" s="386" t="s">
        <v>212</v>
      </c>
      <c r="D237" s="382" t="s">
        <v>18</v>
      </c>
      <c r="E237" s="397" t="s">
        <v>204</v>
      </c>
      <c r="F237" s="440" t="s">
        <v>229</v>
      </c>
      <c r="G237" s="382"/>
      <c r="H237" s="411">
        <v>0.1125</v>
      </c>
      <c r="I237" s="388">
        <v>1</v>
      </c>
      <c r="J237" s="382"/>
      <c r="K237" s="411">
        <f t="shared" si="32"/>
        <v>0</v>
      </c>
      <c r="L237" s="388"/>
      <c r="M237" s="382"/>
      <c r="N237" s="385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</row>
    <row r="238" spans="1:28" outlineLevel="3">
      <c r="A238" s="382"/>
      <c r="B238" s="386" t="s">
        <v>212</v>
      </c>
      <c r="C238" s="386" t="s">
        <v>212</v>
      </c>
      <c r="D238" s="382" t="s">
        <v>18</v>
      </c>
      <c r="E238" s="397" t="s">
        <v>204</v>
      </c>
      <c r="F238" s="440" t="s">
        <v>230</v>
      </c>
      <c r="G238" s="382"/>
      <c r="H238" s="411">
        <v>3.7499999999999999E-2</v>
      </c>
      <c r="I238" s="388">
        <v>1</v>
      </c>
      <c r="J238" s="382"/>
      <c r="K238" s="411">
        <f t="shared" si="32"/>
        <v>0</v>
      </c>
      <c r="L238" s="388"/>
      <c r="M238" s="382"/>
      <c r="N238" s="385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</row>
    <row r="239" spans="1:28" outlineLevel="2" collapsed="1">
      <c r="A239" s="382"/>
      <c r="B239" s="386" t="s">
        <v>212</v>
      </c>
      <c r="C239" s="386" t="s">
        <v>212</v>
      </c>
      <c r="D239" s="382" t="s">
        <v>26</v>
      </c>
      <c r="E239" s="382"/>
      <c r="F239" s="440" t="s">
        <v>214</v>
      </c>
      <c r="G239" s="382"/>
      <c r="H239" s="387">
        <f>SUM(H240:H255)</f>
        <v>3.7440925898400006</v>
      </c>
      <c r="I239" s="388">
        <f>SUM(I240:I255)</f>
        <v>16</v>
      </c>
      <c r="J239" s="382"/>
      <c r="K239" s="387">
        <f>SUM(K240:K255)</f>
        <v>2.25123394992</v>
      </c>
      <c r="L239" s="388">
        <f>SUM(L240:L255)</f>
        <v>1</v>
      </c>
      <c r="M239" s="382"/>
      <c r="N239" s="385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</row>
    <row r="240" spans="1:28" hidden="1" outlineLevel="3">
      <c r="A240" s="382"/>
      <c r="B240" s="386" t="s">
        <v>212</v>
      </c>
      <c r="C240" s="386" t="s">
        <v>212</v>
      </c>
      <c r="D240" s="382" t="s">
        <v>26</v>
      </c>
      <c r="E240" s="382" t="s">
        <v>27</v>
      </c>
      <c r="F240" s="440" t="s">
        <v>231</v>
      </c>
      <c r="G240" s="382"/>
      <c r="H240" s="411">
        <v>2.25123394992</v>
      </c>
      <c r="I240" s="388">
        <v>1</v>
      </c>
      <c r="J240" s="382"/>
      <c r="K240" s="411">
        <f t="shared" ref="K240:K255" si="33">IF(L240=1,H240,0)</f>
        <v>2.25123394992</v>
      </c>
      <c r="L240" s="388">
        <v>1</v>
      </c>
      <c r="M240" s="382"/>
      <c r="N240" s="385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</row>
    <row r="241" spans="1:28" hidden="1" outlineLevel="3">
      <c r="A241" s="382"/>
      <c r="B241" s="386" t="s">
        <v>212</v>
      </c>
      <c r="C241" s="386" t="s">
        <v>212</v>
      </c>
      <c r="D241" s="382" t="s">
        <v>26</v>
      </c>
      <c r="E241" s="382" t="s">
        <v>27</v>
      </c>
      <c r="F241" s="440" t="s">
        <v>224</v>
      </c>
      <c r="G241" s="382"/>
      <c r="H241" s="411">
        <v>0.5295810499200001</v>
      </c>
      <c r="I241" s="388">
        <v>1</v>
      </c>
      <c r="J241" s="382"/>
      <c r="K241" s="411">
        <f t="shared" si="33"/>
        <v>0</v>
      </c>
      <c r="L241" s="388"/>
      <c r="M241" s="382"/>
      <c r="N241" s="385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</row>
    <row r="242" spans="1:28" hidden="1" outlineLevel="3">
      <c r="A242" s="382"/>
      <c r="B242" s="386" t="s">
        <v>212</v>
      </c>
      <c r="C242" s="386" t="s">
        <v>212</v>
      </c>
      <c r="D242" s="382" t="s">
        <v>26</v>
      </c>
      <c r="E242" s="382" t="s">
        <v>27</v>
      </c>
      <c r="F242" s="440" t="s">
        <v>233</v>
      </c>
      <c r="G242" s="382"/>
      <c r="H242" s="411">
        <v>2.5612785000000002E-2</v>
      </c>
      <c r="I242" s="388">
        <v>1</v>
      </c>
      <c r="J242" s="382"/>
      <c r="K242" s="411">
        <f t="shared" si="33"/>
        <v>0</v>
      </c>
      <c r="L242" s="388"/>
      <c r="M242" s="382"/>
      <c r="N242" s="385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</row>
    <row r="243" spans="1:28" hidden="1" outlineLevel="3">
      <c r="A243" s="382"/>
      <c r="B243" s="386" t="s">
        <v>212</v>
      </c>
      <c r="C243" s="386" t="s">
        <v>212</v>
      </c>
      <c r="D243" s="382" t="s">
        <v>26</v>
      </c>
      <c r="E243" s="382" t="s">
        <v>27</v>
      </c>
      <c r="F243" s="440" t="s">
        <v>236</v>
      </c>
      <c r="G243" s="382"/>
      <c r="H243" s="411">
        <v>0.10833933000000003</v>
      </c>
      <c r="I243" s="388">
        <v>1</v>
      </c>
      <c r="J243" s="382"/>
      <c r="K243" s="411">
        <f t="shared" si="33"/>
        <v>0</v>
      </c>
      <c r="L243" s="388"/>
      <c r="M243" s="382"/>
      <c r="N243" s="385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</row>
    <row r="244" spans="1:28" hidden="1" outlineLevel="3">
      <c r="A244" s="382"/>
      <c r="B244" s="386" t="s">
        <v>212</v>
      </c>
      <c r="C244" s="386" t="s">
        <v>212</v>
      </c>
      <c r="D244" s="382" t="s">
        <v>26</v>
      </c>
      <c r="E244" s="382" t="s">
        <v>27</v>
      </c>
      <c r="F244" s="440" t="s">
        <v>237</v>
      </c>
      <c r="G244" s="382"/>
      <c r="H244" s="411">
        <v>5.4169665000000013E-2</v>
      </c>
      <c r="I244" s="388">
        <v>1</v>
      </c>
      <c r="J244" s="382"/>
      <c r="K244" s="411">
        <f t="shared" si="33"/>
        <v>0</v>
      </c>
      <c r="L244" s="388"/>
      <c r="M244" s="382"/>
      <c r="N244" s="385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</row>
    <row r="245" spans="1:28" hidden="1" outlineLevel="3">
      <c r="A245" s="382"/>
      <c r="B245" s="386" t="s">
        <v>212</v>
      </c>
      <c r="C245" s="386" t="s">
        <v>212</v>
      </c>
      <c r="D245" s="382" t="s">
        <v>26</v>
      </c>
      <c r="E245" s="382" t="s">
        <v>27</v>
      </c>
      <c r="F245" s="440" t="s">
        <v>240</v>
      </c>
      <c r="G245" s="382"/>
      <c r="H245" s="411">
        <v>0.10833933000000003</v>
      </c>
      <c r="I245" s="388">
        <v>1</v>
      </c>
      <c r="J245" s="382"/>
      <c r="K245" s="411">
        <f t="shared" si="33"/>
        <v>0</v>
      </c>
      <c r="L245" s="388"/>
      <c r="M245" s="382"/>
      <c r="N245" s="385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</row>
    <row r="246" spans="1:28" hidden="1" outlineLevel="3">
      <c r="A246" s="382"/>
      <c r="B246" s="386" t="s">
        <v>212</v>
      </c>
      <c r="C246" s="386" t="s">
        <v>212</v>
      </c>
      <c r="D246" s="382" t="s">
        <v>26</v>
      </c>
      <c r="E246" s="382" t="s">
        <v>27</v>
      </c>
      <c r="F246" s="440" t="s">
        <v>242</v>
      </c>
      <c r="G246" s="382"/>
      <c r="H246" s="411">
        <v>5.4169665000000013E-2</v>
      </c>
      <c r="I246" s="388">
        <v>1</v>
      </c>
      <c r="J246" s="382"/>
      <c r="K246" s="411">
        <f t="shared" si="33"/>
        <v>0</v>
      </c>
      <c r="L246" s="388"/>
      <c r="M246" s="382"/>
      <c r="N246" s="385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</row>
    <row r="247" spans="1:28" hidden="1" outlineLevel="3">
      <c r="A247" s="382"/>
      <c r="B247" s="386" t="s">
        <v>212</v>
      </c>
      <c r="C247" s="386" t="s">
        <v>212</v>
      </c>
      <c r="D247" s="382" t="s">
        <v>26</v>
      </c>
      <c r="E247" s="382" t="s">
        <v>27</v>
      </c>
      <c r="F247" s="440" t="s">
        <v>245</v>
      </c>
      <c r="G247" s="382"/>
      <c r="H247" s="411">
        <v>0.10833933000000003</v>
      </c>
      <c r="I247" s="388">
        <v>1</v>
      </c>
      <c r="J247" s="382"/>
      <c r="K247" s="411">
        <f t="shared" si="33"/>
        <v>0</v>
      </c>
      <c r="L247" s="388"/>
      <c r="M247" s="382"/>
      <c r="N247" s="385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</row>
    <row r="248" spans="1:28" hidden="1" outlineLevel="3">
      <c r="A248" s="382"/>
      <c r="B248" s="386" t="s">
        <v>212</v>
      </c>
      <c r="C248" s="386" t="s">
        <v>212</v>
      </c>
      <c r="D248" s="382" t="s">
        <v>26</v>
      </c>
      <c r="E248" s="382" t="s">
        <v>27</v>
      </c>
      <c r="F248" s="440" t="s">
        <v>246</v>
      </c>
      <c r="G248" s="382"/>
      <c r="H248" s="411">
        <v>5.4169665000000013E-2</v>
      </c>
      <c r="I248" s="388">
        <v>1</v>
      </c>
      <c r="J248" s="382"/>
      <c r="K248" s="411">
        <f t="shared" si="33"/>
        <v>0</v>
      </c>
      <c r="L248" s="388"/>
      <c r="M248" s="382"/>
      <c r="N248" s="385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</row>
    <row r="249" spans="1:28" hidden="1" outlineLevel="3">
      <c r="A249" s="382"/>
      <c r="B249" s="386" t="s">
        <v>212</v>
      </c>
      <c r="C249" s="386" t="s">
        <v>212</v>
      </c>
      <c r="D249" s="382" t="s">
        <v>26</v>
      </c>
      <c r="E249" s="382" t="s">
        <v>27</v>
      </c>
      <c r="F249" s="440" t="s">
        <v>249</v>
      </c>
      <c r="G249" s="382"/>
      <c r="H249" s="411">
        <v>0.10833933000000003</v>
      </c>
      <c r="I249" s="388">
        <v>1</v>
      </c>
      <c r="J249" s="382"/>
      <c r="K249" s="411">
        <f t="shared" si="33"/>
        <v>0</v>
      </c>
      <c r="L249" s="388"/>
      <c r="M249" s="382"/>
      <c r="N249" s="385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</row>
    <row r="250" spans="1:28" hidden="1" outlineLevel="3">
      <c r="A250" s="382"/>
      <c r="B250" s="386" t="s">
        <v>212</v>
      </c>
      <c r="C250" s="386" t="s">
        <v>212</v>
      </c>
      <c r="D250" s="382" t="s">
        <v>26</v>
      </c>
      <c r="E250" s="382" t="s">
        <v>27</v>
      </c>
      <c r="F250" s="440" t="s">
        <v>250</v>
      </c>
      <c r="G250" s="382"/>
      <c r="H250" s="411">
        <v>0.10833933000000003</v>
      </c>
      <c r="I250" s="388">
        <v>1</v>
      </c>
      <c r="J250" s="382"/>
      <c r="K250" s="411">
        <f t="shared" si="33"/>
        <v>0</v>
      </c>
      <c r="L250" s="388"/>
      <c r="M250" s="382"/>
      <c r="N250" s="385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</row>
    <row r="251" spans="1:28" hidden="1" outlineLevel="3">
      <c r="A251" s="382"/>
      <c r="B251" s="386" t="s">
        <v>212</v>
      </c>
      <c r="C251" s="386" t="s">
        <v>212</v>
      </c>
      <c r="D251" s="382" t="s">
        <v>26</v>
      </c>
      <c r="E251" s="382" t="s">
        <v>27</v>
      </c>
      <c r="F251" s="440" t="s">
        <v>251</v>
      </c>
      <c r="G251" s="382"/>
      <c r="H251" s="411">
        <v>5.4169665000000013E-2</v>
      </c>
      <c r="I251" s="388">
        <v>1</v>
      </c>
      <c r="J251" s="382"/>
      <c r="K251" s="411">
        <f t="shared" si="33"/>
        <v>0</v>
      </c>
      <c r="L251" s="388"/>
      <c r="M251" s="382"/>
      <c r="N251" s="385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</row>
    <row r="252" spans="1:28" hidden="1" outlineLevel="3">
      <c r="A252" s="382"/>
      <c r="B252" s="386" t="s">
        <v>212</v>
      </c>
      <c r="C252" s="386" t="s">
        <v>212</v>
      </c>
      <c r="D252" s="382" t="s">
        <v>26</v>
      </c>
      <c r="E252" s="382" t="s">
        <v>27</v>
      </c>
      <c r="F252" s="440" t="s">
        <v>254</v>
      </c>
      <c r="G252" s="382"/>
      <c r="H252" s="411">
        <v>5.1225570000000005E-2</v>
      </c>
      <c r="I252" s="388">
        <v>1</v>
      </c>
      <c r="J252" s="382"/>
      <c r="K252" s="411">
        <f t="shared" si="33"/>
        <v>0</v>
      </c>
      <c r="L252" s="388"/>
      <c r="M252" s="382"/>
      <c r="N252" s="385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</row>
    <row r="253" spans="1:28" hidden="1" outlineLevel="3">
      <c r="A253" s="382"/>
      <c r="B253" s="386" t="s">
        <v>212</v>
      </c>
      <c r="C253" s="386" t="s">
        <v>212</v>
      </c>
      <c r="D253" s="382" t="s">
        <v>26</v>
      </c>
      <c r="E253" s="382" t="s">
        <v>27</v>
      </c>
      <c r="F253" s="440" t="s">
        <v>255</v>
      </c>
      <c r="G253" s="382"/>
      <c r="H253" s="411">
        <v>5.1225570000000005E-2</v>
      </c>
      <c r="I253" s="388">
        <v>1</v>
      </c>
      <c r="J253" s="382"/>
      <c r="K253" s="411">
        <f t="shared" si="33"/>
        <v>0</v>
      </c>
      <c r="L253" s="388"/>
      <c r="M253" s="382"/>
      <c r="N253" s="385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</row>
    <row r="254" spans="1:28" hidden="1" outlineLevel="3">
      <c r="A254" s="382"/>
      <c r="B254" s="386" t="s">
        <v>212</v>
      </c>
      <c r="C254" s="386" t="s">
        <v>212</v>
      </c>
      <c r="D254" s="382" t="s">
        <v>26</v>
      </c>
      <c r="E254" s="382" t="s">
        <v>27</v>
      </c>
      <c r="F254" s="440" t="s">
        <v>256</v>
      </c>
      <c r="G254" s="382"/>
      <c r="H254" s="411">
        <v>5.1225570000000005E-2</v>
      </c>
      <c r="I254" s="388">
        <v>1</v>
      </c>
      <c r="J254" s="382"/>
      <c r="K254" s="411">
        <f t="shared" si="33"/>
        <v>0</v>
      </c>
      <c r="L254" s="388"/>
      <c r="M254" s="382"/>
      <c r="N254" s="385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</row>
    <row r="255" spans="1:28" hidden="1" outlineLevel="3">
      <c r="A255" s="382"/>
      <c r="B255" s="386" t="s">
        <v>212</v>
      </c>
      <c r="C255" s="386" t="s">
        <v>212</v>
      </c>
      <c r="D255" s="382" t="s">
        <v>26</v>
      </c>
      <c r="E255" s="382" t="s">
        <v>27</v>
      </c>
      <c r="F255" s="440" t="s">
        <v>257</v>
      </c>
      <c r="G255" s="382"/>
      <c r="H255" s="411">
        <v>2.5612785000000002E-2</v>
      </c>
      <c r="I255" s="388">
        <v>1</v>
      </c>
      <c r="J255" s="382"/>
      <c r="K255" s="411">
        <f t="shared" si="33"/>
        <v>0</v>
      </c>
      <c r="L255" s="388"/>
      <c r="M255" s="382"/>
      <c r="N255" s="385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</row>
    <row r="256" spans="1:28" outlineLevel="2" collapsed="1">
      <c r="A256" s="382"/>
      <c r="B256" s="386" t="s">
        <v>212</v>
      </c>
      <c r="C256" s="386" t="s">
        <v>212</v>
      </c>
      <c r="D256" s="382" t="s">
        <v>28</v>
      </c>
      <c r="E256" s="382"/>
      <c r="F256" s="440" t="s">
        <v>214</v>
      </c>
      <c r="G256" s="382"/>
      <c r="H256" s="387">
        <f>SUM(H257:H257)</f>
        <v>3.6853334887931043E-2</v>
      </c>
      <c r="I256" s="388">
        <f>SUM(I257:I257)</f>
        <v>1</v>
      </c>
      <c r="J256" s="382"/>
      <c r="K256" s="387">
        <f>SUM(K257:K257)</f>
        <v>0</v>
      </c>
      <c r="L256" s="388">
        <f>SUM(L257:L257)</f>
        <v>0</v>
      </c>
      <c r="M256" s="382"/>
      <c r="N256" s="385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</row>
    <row r="257" spans="1:28" hidden="1" outlineLevel="3">
      <c r="A257" s="382"/>
      <c r="B257" s="386" t="s">
        <v>212</v>
      </c>
      <c r="C257" s="386" t="s">
        <v>212</v>
      </c>
      <c r="D257" s="382" t="s">
        <v>28</v>
      </c>
      <c r="E257" s="382" t="s">
        <v>29</v>
      </c>
      <c r="F257" s="440" t="s">
        <v>261</v>
      </c>
      <c r="G257" s="382"/>
      <c r="H257" s="411">
        <v>3.6853334887931043E-2</v>
      </c>
      <c r="I257" s="388">
        <v>1</v>
      </c>
      <c r="J257" s="382"/>
      <c r="K257" s="411">
        <f>IF(L257=1,H257,0)</f>
        <v>0</v>
      </c>
      <c r="L257" s="388"/>
      <c r="M257" s="382"/>
      <c r="N257" s="385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</row>
    <row r="258" spans="1:28" outlineLevel="1" collapsed="1">
      <c r="A258" s="382"/>
      <c r="B258" s="390" t="s">
        <v>263</v>
      </c>
      <c r="C258" s="390" t="s">
        <v>263</v>
      </c>
      <c r="D258" s="390"/>
      <c r="E258" s="390"/>
      <c r="F258" s="442" t="s">
        <v>264</v>
      </c>
      <c r="G258" s="382"/>
      <c r="H258" s="424">
        <f>SUM(H259,H269,H276,H279)</f>
        <v>1.2186362892862301</v>
      </c>
      <c r="I258" s="408">
        <f>I259+I269+I276+I279</f>
        <v>17</v>
      </c>
      <c r="J258" s="382"/>
      <c r="K258" s="424">
        <f>SUM(K259,K269,K276,K279)</f>
        <v>0</v>
      </c>
      <c r="L258" s="408">
        <f>L259+L269+L276+L279</f>
        <v>0</v>
      </c>
      <c r="M258" s="382"/>
      <c r="N258" s="385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</row>
    <row r="259" spans="1:28" hidden="1" outlineLevel="2" collapsed="1">
      <c r="A259" s="382"/>
      <c r="B259" s="386" t="s">
        <v>263</v>
      </c>
      <c r="C259" s="386" t="s">
        <v>263</v>
      </c>
      <c r="D259" s="382" t="s">
        <v>18</v>
      </c>
      <c r="E259" s="386"/>
      <c r="F259" s="440" t="s">
        <v>87</v>
      </c>
      <c r="G259" s="382"/>
      <c r="H259" s="387">
        <f>SUM(H260:H268)</f>
        <v>0.85178143075061052</v>
      </c>
      <c r="I259" s="388">
        <f>SUBTOTAL(9,I260:I268)</f>
        <v>9</v>
      </c>
      <c r="J259" s="382"/>
      <c r="K259" s="387">
        <f>SUM(K260:K268)</f>
        <v>0</v>
      </c>
      <c r="L259" s="388">
        <f>SUBTOTAL(9,L260:L268)</f>
        <v>0</v>
      </c>
      <c r="M259" s="382"/>
      <c r="N259" s="385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</row>
    <row r="260" spans="1:28" hidden="1" outlineLevel="3">
      <c r="A260" s="382"/>
      <c r="B260" s="386" t="s">
        <v>263</v>
      </c>
      <c r="C260" s="386" t="s">
        <v>263</v>
      </c>
      <c r="D260" s="382" t="s">
        <v>18</v>
      </c>
      <c r="E260" s="386" t="s">
        <v>204</v>
      </c>
      <c r="F260" s="440" t="s">
        <v>265</v>
      </c>
      <c r="G260" s="382"/>
      <c r="H260" s="387">
        <v>0.25575333042562204</v>
      </c>
      <c r="I260" s="388">
        <v>1</v>
      </c>
      <c r="J260" s="382"/>
      <c r="K260" s="411">
        <f t="shared" ref="K260:K268" si="34">IF(L260=1,H260,0)</f>
        <v>0</v>
      </c>
      <c r="L260" s="388"/>
      <c r="M260" s="382"/>
      <c r="N260" s="385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</row>
    <row r="261" spans="1:28" hidden="1" outlineLevel="3">
      <c r="A261" s="382"/>
      <c r="B261" s="386" t="s">
        <v>263</v>
      </c>
      <c r="C261" s="386" t="s">
        <v>263</v>
      </c>
      <c r="D261" s="382" t="s">
        <v>18</v>
      </c>
      <c r="E261" s="386" t="s">
        <v>204</v>
      </c>
      <c r="F261" s="440" t="s">
        <v>205</v>
      </c>
      <c r="G261" s="382"/>
      <c r="H261" s="387">
        <v>8.1564148364617506E-2</v>
      </c>
      <c r="I261" s="388">
        <v>1</v>
      </c>
      <c r="J261" s="382"/>
      <c r="K261" s="411">
        <f t="shared" si="34"/>
        <v>0</v>
      </c>
      <c r="L261" s="388"/>
      <c r="M261" s="382"/>
      <c r="N261" s="385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</row>
    <row r="262" spans="1:28" hidden="1" outlineLevel="3">
      <c r="A262" s="382"/>
      <c r="B262" s="386" t="s">
        <v>263</v>
      </c>
      <c r="C262" s="386" t="s">
        <v>263</v>
      </c>
      <c r="D262" s="382" t="s">
        <v>18</v>
      </c>
      <c r="E262" s="386" t="s">
        <v>204</v>
      </c>
      <c r="F262" s="440" t="s">
        <v>47</v>
      </c>
      <c r="G262" s="382"/>
      <c r="H262" s="387">
        <v>0.18696938245168926</v>
      </c>
      <c r="I262" s="388">
        <v>1</v>
      </c>
      <c r="J262" s="382"/>
      <c r="K262" s="411">
        <f t="shared" si="34"/>
        <v>0</v>
      </c>
      <c r="L262" s="388"/>
      <c r="M262" s="382"/>
      <c r="N262" s="385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</row>
    <row r="263" spans="1:28" hidden="1" outlineLevel="3">
      <c r="A263" s="382"/>
      <c r="B263" s="386" t="s">
        <v>263</v>
      </c>
      <c r="C263" s="386" t="s">
        <v>263</v>
      </c>
      <c r="D263" s="382" t="s">
        <v>18</v>
      </c>
      <c r="E263" s="386" t="s">
        <v>204</v>
      </c>
      <c r="F263" s="440" t="s">
        <v>117</v>
      </c>
      <c r="G263" s="382"/>
      <c r="H263" s="387">
        <v>2.7188049454872507E-2</v>
      </c>
      <c r="I263" s="388">
        <v>1</v>
      </c>
      <c r="J263" s="382"/>
      <c r="K263" s="411">
        <f t="shared" si="34"/>
        <v>0</v>
      </c>
      <c r="L263" s="388"/>
      <c r="M263" s="382"/>
      <c r="N263" s="385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</row>
    <row r="264" spans="1:28" hidden="1" outlineLevel="3">
      <c r="A264" s="382"/>
      <c r="B264" s="386" t="s">
        <v>263</v>
      </c>
      <c r="C264" s="386" t="s">
        <v>263</v>
      </c>
      <c r="D264" s="382" t="s">
        <v>18</v>
      </c>
      <c r="E264" s="386" t="s">
        <v>204</v>
      </c>
      <c r="F264" s="440" t="s">
        <v>73</v>
      </c>
      <c r="G264" s="382"/>
      <c r="H264" s="387">
        <v>0.11218162947101355</v>
      </c>
      <c r="I264" s="388">
        <v>1</v>
      </c>
      <c r="J264" s="382"/>
      <c r="K264" s="411">
        <f t="shared" si="34"/>
        <v>0</v>
      </c>
      <c r="L264" s="388"/>
      <c r="M264" s="382"/>
      <c r="N264" s="385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</row>
    <row r="265" spans="1:28" hidden="1" outlineLevel="3">
      <c r="A265" s="382"/>
      <c r="B265" s="386" t="s">
        <v>263</v>
      </c>
      <c r="C265" s="386" t="s">
        <v>263</v>
      </c>
      <c r="D265" s="382" t="s">
        <v>18</v>
      </c>
      <c r="E265" s="386" t="s">
        <v>204</v>
      </c>
      <c r="F265" s="440" t="s">
        <v>24</v>
      </c>
      <c r="G265" s="382"/>
      <c r="H265" s="387">
        <v>3.7393876490337853E-2</v>
      </c>
      <c r="I265" s="388">
        <v>1</v>
      </c>
      <c r="J265" s="382"/>
      <c r="K265" s="411">
        <f t="shared" si="34"/>
        <v>0</v>
      </c>
      <c r="L265" s="388"/>
      <c r="M265" s="382"/>
      <c r="N265" s="385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</row>
    <row r="266" spans="1:28" hidden="1" outlineLevel="3">
      <c r="A266" s="382"/>
      <c r="B266" s="386" t="s">
        <v>263</v>
      </c>
      <c r="C266" s="386" t="s">
        <v>263</v>
      </c>
      <c r="D266" s="382" t="s">
        <v>18</v>
      </c>
      <c r="E266" s="386" t="s">
        <v>204</v>
      </c>
      <c r="F266" s="440" t="s">
        <v>74</v>
      </c>
      <c r="G266" s="382"/>
      <c r="H266" s="387">
        <v>3.7393876490337853E-2</v>
      </c>
      <c r="I266" s="388">
        <v>1</v>
      </c>
      <c r="J266" s="382"/>
      <c r="K266" s="411">
        <f t="shared" si="34"/>
        <v>0</v>
      </c>
      <c r="L266" s="388"/>
      <c r="M266" s="382"/>
      <c r="N266" s="385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</row>
    <row r="267" spans="1:28" hidden="1" outlineLevel="3">
      <c r="A267" s="382"/>
      <c r="B267" s="386" t="s">
        <v>263</v>
      </c>
      <c r="C267" s="386" t="s">
        <v>263</v>
      </c>
      <c r="D267" s="382" t="s">
        <v>18</v>
      </c>
      <c r="E267" s="386" t="s">
        <v>204</v>
      </c>
      <c r="F267" s="440" t="s">
        <v>25</v>
      </c>
      <c r="G267" s="382"/>
      <c r="H267" s="387">
        <v>2.7188049454872507E-2</v>
      </c>
      <c r="I267" s="388">
        <v>1</v>
      </c>
      <c r="J267" s="382"/>
      <c r="K267" s="411">
        <f t="shared" si="34"/>
        <v>0</v>
      </c>
      <c r="L267" s="388"/>
      <c r="M267" s="382"/>
      <c r="N267" s="385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</row>
    <row r="268" spans="1:28" hidden="1" outlineLevel="3">
      <c r="A268" s="382"/>
      <c r="B268" s="386" t="s">
        <v>263</v>
      </c>
      <c r="C268" s="386" t="s">
        <v>263</v>
      </c>
      <c r="D268" s="382" t="s">
        <v>18</v>
      </c>
      <c r="E268" s="386" t="s">
        <v>204</v>
      </c>
      <c r="F268" s="440" t="s">
        <v>267</v>
      </c>
      <c r="G268" s="382"/>
      <c r="H268" s="412">
        <v>8.6149088147247421E-2</v>
      </c>
      <c r="I268" s="407">
        <v>1</v>
      </c>
      <c r="J268" s="382"/>
      <c r="K268" s="411">
        <f t="shared" si="34"/>
        <v>0</v>
      </c>
      <c r="L268" s="407"/>
      <c r="M268" s="382"/>
      <c r="N268" s="385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</row>
    <row r="269" spans="1:28" hidden="1" outlineLevel="2" collapsed="1">
      <c r="A269" s="382"/>
      <c r="B269" s="386" t="s">
        <v>263</v>
      </c>
      <c r="C269" s="386" t="s">
        <v>263</v>
      </c>
      <c r="D269" s="382" t="s">
        <v>26</v>
      </c>
      <c r="E269" s="382"/>
      <c r="F269" s="440" t="s">
        <v>87</v>
      </c>
      <c r="G269" s="382"/>
      <c r="H269" s="387">
        <f>SUM(H270:H275)</f>
        <v>0.34545700083561953</v>
      </c>
      <c r="I269" s="388">
        <f>SUBTOTAL(9,I270:I275)</f>
        <v>6</v>
      </c>
      <c r="J269" s="382"/>
      <c r="K269" s="387">
        <f>SUM(K270:K275)</f>
        <v>0</v>
      </c>
      <c r="L269" s="388">
        <f>SUBTOTAL(9,L270:L275)</f>
        <v>0</v>
      </c>
      <c r="M269" s="382"/>
      <c r="N269" s="385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</row>
    <row r="270" spans="1:28" hidden="1" outlineLevel="3">
      <c r="A270" s="382"/>
      <c r="B270" s="386" t="s">
        <v>263</v>
      </c>
      <c r="C270" s="386" t="s">
        <v>263</v>
      </c>
      <c r="D270" s="382" t="s">
        <v>26</v>
      </c>
      <c r="E270" s="382" t="s">
        <v>27</v>
      </c>
      <c r="F270" s="440" t="s">
        <v>271</v>
      </c>
      <c r="G270" s="382"/>
      <c r="H270" s="387">
        <v>0.20115878538561949</v>
      </c>
      <c r="I270" s="388">
        <v>1</v>
      </c>
      <c r="J270" s="382"/>
      <c r="K270" s="411">
        <f t="shared" ref="K270:K275" si="35">IF(L270=1,H270,0)</f>
        <v>0</v>
      </c>
      <c r="L270" s="388"/>
      <c r="M270" s="382"/>
      <c r="N270" s="385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</row>
    <row r="271" spans="1:28" hidden="1" outlineLevel="3">
      <c r="A271" s="382"/>
      <c r="B271" s="386" t="s">
        <v>263</v>
      </c>
      <c r="C271" s="386" t="s">
        <v>263</v>
      </c>
      <c r="D271" s="382" t="s">
        <v>26</v>
      </c>
      <c r="E271" s="382" t="s">
        <v>27</v>
      </c>
      <c r="F271" s="440" t="s">
        <v>73</v>
      </c>
      <c r="G271" s="382"/>
      <c r="H271" s="387">
        <v>5.8456730700000001E-2</v>
      </c>
      <c r="I271" s="388">
        <v>1</v>
      </c>
      <c r="J271" s="382"/>
      <c r="K271" s="411">
        <f t="shared" si="35"/>
        <v>0</v>
      </c>
      <c r="L271" s="388"/>
      <c r="M271" s="382"/>
      <c r="N271" s="385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</row>
    <row r="272" spans="1:28" hidden="1" outlineLevel="3">
      <c r="A272" s="382"/>
      <c r="B272" s="386" t="s">
        <v>263</v>
      </c>
      <c r="C272" s="386" t="s">
        <v>263</v>
      </c>
      <c r="D272" s="382" t="s">
        <v>26</v>
      </c>
      <c r="E272" s="382" t="s">
        <v>27</v>
      </c>
      <c r="F272" s="440" t="s">
        <v>24</v>
      </c>
      <c r="G272" s="382"/>
      <c r="H272" s="387">
        <v>4.8713942250000003E-2</v>
      </c>
      <c r="I272" s="388">
        <v>1</v>
      </c>
      <c r="J272" s="382"/>
      <c r="K272" s="411">
        <f t="shared" si="35"/>
        <v>0</v>
      </c>
      <c r="L272" s="388"/>
      <c r="M272" s="382"/>
      <c r="N272" s="385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</row>
    <row r="273" spans="1:28" hidden="1" outlineLevel="3">
      <c r="A273" s="382"/>
      <c r="B273" s="386" t="s">
        <v>263</v>
      </c>
      <c r="C273" s="386" t="s">
        <v>263</v>
      </c>
      <c r="D273" s="382" t="s">
        <v>26</v>
      </c>
      <c r="E273" s="382" t="s">
        <v>27</v>
      </c>
      <c r="F273" s="440" t="s">
        <v>205</v>
      </c>
      <c r="G273" s="382"/>
      <c r="H273" s="387">
        <v>2.5989279749999997E-2</v>
      </c>
      <c r="I273" s="388">
        <v>1</v>
      </c>
      <c r="J273" s="382"/>
      <c r="K273" s="411">
        <f t="shared" si="35"/>
        <v>0</v>
      </c>
      <c r="L273" s="388"/>
      <c r="M273" s="382"/>
      <c r="N273" s="385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</row>
    <row r="274" spans="1:28" hidden="1" outlineLevel="3">
      <c r="A274" s="382"/>
      <c r="B274" s="386" t="s">
        <v>263</v>
      </c>
      <c r="C274" s="386" t="s">
        <v>263</v>
      </c>
      <c r="D274" s="382" t="s">
        <v>26</v>
      </c>
      <c r="E274" s="382" t="s">
        <v>27</v>
      </c>
      <c r="F274" s="440" t="s">
        <v>117</v>
      </c>
      <c r="G274" s="382"/>
      <c r="H274" s="387">
        <v>3.7127542499999998E-3</v>
      </c>
      <c r="I274" s="388">
        <v>1</v>
      </c>
      <c r="J274" s="382"/>
      <c r="K274" s="411">
        <f t="shared" si="35"/>
        <v>0</v>
      </c>
      <c r="L274" s="388"/>
      <c r="M274" s="382"/>
      <c r="N274" s="385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</row>
    <row r="275" spans="1:28" hidden="1" outlineLevel="3">
      <c r="A275" s="382"/>
      <c r="B275" s="386" t="s">
        <v>263</v>
      </c>
      <c r="C275" s="386" t="s">
        <v>263</v>
      </c>
      <c r="D275" s="382" t="s">
        <v>26</v>
      </c>
      <c r="E275" s="382" t="s">
        <v>27</v>
      </c>
      <c r="F275" s="440" t="s">
        <v>273</v>
      </c>
      <c r="G275" s="382"/>
      <c r="H275" s="387">
        <v>7.4255085000000005E-3</v>
      </c>
      <c r="I275" s="388">
        <v>1</v>
      </c>
      <c r="J275" s="382"/>
      <c r="K275" s="411">
        <f t="shared" si="35"/>
        <v>0</v>
      </c>
      <c r="L275" s="388"/>
      <c r="M275" s="382"/>
      <c r="N275" s="385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</row>
    <row r="276" spans="1:28" hidden="1" outlineLevel="2" collapsed="1">
      <c r="A276" s="382"/>
      <c r="B276" s="386" t="s">
        <v>263</v>
      </c>
      <c r="C276" s="386" t="s">
        <v>263</v>
      </c>
      <c r="D276" s="382" t="s">
        <v>28</v>
      </c>
      <c r="E276" s="382"/>
      <c r="F276" s="440" t="s">
        <v>87</v>
      </c>
      <c r="G276" s="382"/>
      <c r="H276" s="387">
        <f>SUM(H277:H278)</f>
        <v>2.1397857699999998E-2</v>
      </c>
      <c r="I276" s="388">
        <f>SUBTOTAL(9,I277:I278)</f>
        <v>2</v>
      </c>
      <c r="J276" s="382"/>
      <c r="K276" s="387">
        <f>SUM(K277:K278)</f>
        <v>0</v>
      </c>
      <c r="L276" s="388">
        <f>SUBTOTAL(9,L277:L278)</f>
        <v>0</v>
      </c>
      <c r="M276" s="382"/>
      <c r="N276" s="385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</row>
    <row r="277" spans="1:28" hidden="1" outlineLevel="3">
      <c r="A277" s="382"/>
      <c r="B277" s="386" t="s">
        <v>263</v>
      </c>
      <c r="C277" s="386" t="s">
        <v>263</v>
      </c>
      <c r="D277" s="382" t="s">
        <v>28</v>
      </c>
      <c r="E277" s="382" t="s">
        <v>29</v>
      </c>
      <c r="F277" s="440" t="s">
        <v>274</v>
      </c>
      <c r="G277" s="382"/>
      <c r="H277" s="406">
        <v>2.0842521999999999E-2</v>
      </c>
      <c r="I277" s="388">
        <v>1</v>
      </c>
      <c r="J277" s="382"/>
      <c r="K277" s="411">
        <f t="shared" ref="K277:K278" si="36">IF(L277=1,H277,0)</f>
        <v>0</v>
      </c>
      <c r="L277" s="388"/>
      <c r="M277" s="382"/>
      <c r="N277" s="385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</row>
    <row r="278" spans="1:28" hidden="1" outlineLevel="3">
      <c r="A278" s="382"/>
      <c r="B278" s="386" t="s">
        <v>263</v>
      </c>
      <c r="C278" s="386" t="s">
        <v>263</v>
      </c>
      <c r="D278" s="382" t="s">
        <v>28</v>
      </c>
      <c r="E278" s="382" t="s">
        <v>29</v>
      </c>
      <c r="F278" s="440" t="s">
        <v>275</v>
      </c>
      <c r="G278" s="382"/>
      <c r="H278" s="406">
        <v>5.5533570000000003E-4</v>
      </c>
      <c r="I278" s="388">
        <v>1</v>
      </c>
      <c r="J278" s="382"/>
      <c r="K278" s="411">
        <f t="shared" si="36"/>
        <v>0</v>
      </c>
      <c r="L278" s="388"/>
      <c r="M278" s="382"/>
      <c r="N278" s="385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</row>
    <row r="279" spans="1:28" hidden="1" outlineLevel="2">
      <c r="A279" s="382"/>
      <c r="B279" s="386" t="s">
        <v>263</v>
      </c>
      <c r="C279" s="386" t="s">
        <v>263</v>
      </c>
      <c r="D279" s="382" t="s">
        <v>64</v>
      </c>
      <c r="E279" s="382"/>
      <c r="F279" s="440" t="s">
        <v>87</v>
      </c>
      <c r="G279" s="382"/>
      <c r="H279" s="387"/>
      <c r="I279" s="388"/>
      <c r="J279" s="382"/>
      <c r="K279" s="387"/>
      <c r="L279" s="388"/>
      <c r="M279" s="382"/>
      <c r="N279" s="385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</row>
    <row r="280" spans="1:28" outlineLevel="1" collapsed="1">
      <c r="A280" s="382"/>
      <c r="B280" s="390" t="s">
        <v>276</v>
      </c>
      <c r="C280" s="395" t="s">
        <v>276</v>
      </c>
      <c r="D280" s="395"/>
      <c r="E280" s="390"/>
      <c r="F280" s="442" t="s">
        <v>277</v>
      </c>
      <c r="G280" s="382"/>
      <c r="H280" s="424">
        <f>SUM(H281,H284,H285,H286)</f>
        <v>0.38041780000000003</v>
      </c>
      <c r="I280" s="408">
        <f>I281+I284+I285+I286</f>
        <v>2</v>
      </c>
      <c r="J280" s="382"/>
      <c r="K280" s="424">
        <f>SUM(K281,K284,K285,K286)</f>
        <v>0</v>
      </c>
      <c r="L280" s="408">
        <f>L281+L284+L285+L286</f>
        <v>0</v>
      </c>
      <c r="M280" s="382"/>
      <c r="N280" s="385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</row>
    <row r="281" spans="1:28" hidden="1" outlineLevel="2" collapsed="1">
      <c r="A281" s="382"/>
      <c r="B281" s="382" t="s">
        <v>276</v>
      </c>
      <c r="C281" s="382" t="s">
        <v>276</v>
      </c>
      <c r="D281" s="382" t="s">
        <v>18</v>
      </c>
      <c r="E281" s="386"/>
      <c r="F281" s="440" t="s">
        <v>87</v>
      </c>
      <c r="G281" s="382"/>
      <c r="H281" s="411">
        <f>SUM(H282:H283)</f>
        <v>0.38041780000000003</v>
      </c>
      <c r="I281" s="409">
        <f>SUM(I282:I283)</f>
        <v>2</v>
      </c>
      <c r="J281" s="382"/>
      <c r="K281" s="411">
        <f>SUM(K282:K283)</f>
        <v>0</v>
      </c>
      <c r="L281" s="409">
        <f>SUM(L282:L283)</f>
        <v>0</v>
      </c>
      <c r="M281" s="382"/>
      <c r="N281" s="385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</row>
    <row r="282" spans="1:28" hidden="1" outlineLevel="3">
      <c r="A282" s="382"/>
      <c r="B282" s="382" t="s">
        <v>276</v>
      </c>
      <c r="C282" s="382" t="s">
        <v>276</v>
      </c>
      <c r="D282" s="382" t="s">
        <v>18</v>
      </c>
      <c r="E282" s="386" t="s">
        <v>204</v>
      </c>
      <c r="F282" s="440" t="s">
        <v>278</v>
      </c>
      <c r="G282" s="382"/>
      <c r="H282" s="411">
        <v>0.15216712000000002</v>
      </c>
      <c r="I282" s="409">
        <v>1</v>
      </c>
      <c r="J282" s="382"/>
      <c r="K282" s="411">
        <f t="shared" ref="K282:K283" si="37">IF(L282=1,H282,0)</f>
        <v>0</v>
      </c>
      <c r="L282" s="409"/>
      <c r="M282" s="382"/>
      <c r="N282" s="385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</row>
    <row r="283" spans="1:28" hidden="1" outlineLevel="3">
      <c r="A283" s="382"/>
      <c r="B283" s="382" t="s">
        <v>276</v>
      </c>
      <c r="C283" s="382" t="s">
        <v>276</v>
      </c>
      <c r="D283" s="382" t="s">
        <v>18</v>
      </c>
      <c r="E283" s="386" t="s">
        <v>204</v>
      </c>
      <c r="F283" s="440" t="s">
        <v>279</v>
      </c>
      <c r="G283" s="382"/>
      <c r="H283" s="411">
        <v>0.22825067999999998</v>
      </c>
      <c r="I283" s="409">
        <v>1</v>
      </c>
      <c r="J283" s="382"/>
      <c r="K283" s="411">
        <f t="shared" si="37"/>
        <v>0</v>
      </c>
      <c r="L283" s="409"/>
      <c r="M283" s="382"/>
      <c r="N283" s="385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</row>
    <row r="284" spans="1:28" hidden="1" outlineLevel="2">
      <c r="A284" s="382"/>
      <c r="B284" s="382" t="s">
        <v>276</v>
      </c>
      <c r="C284" s="382" t="s">
        <v>276</v>
      </c>
      <c r="D284" s="382" t="s">
        <v>26</v>
      </c>
      <c r="E284" s="382"/>
      <c r="F284" s="440" t="s">
        <v>87</v>
      </c>
      <c r="G284" s="382"/>
      <c r="H284" s="411"/>
      <c r="I284" s="409"/>
      <c r="J284" s="382"/>
      <c r="K284" s="411"/>
      <c r="L284" s="409"/>
      <c r="M284" s="382"/>
      <c r="N284" s="385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</row>
    <row r="285" spans="1:28" hidden="1" outlineLevel="2">
      <c r="A285" s="382"/>
      <c r="B285" s="382" t="s">
        <v>276</v>
      </c>
      <c r="C285" s="382" t="s">
        <v>276</v>
      </c>
      <c r="D285" s="382" t="s">
        <v>28</v>
      </c>
      <c r="E285" s="382"/>
      <c r="F285" s="440" t="s">
        <v>87</v>
      </c>
      <c r="G285" s="382"/>
      <c r="H285" s="411"/>
      <c r="I285" s="409"/>
      <c r="J285" s="382"/>
      <c r="K285" s="411"/>
      <c r="L285" s="409"/>
      <c r="M285" s="382"/>
      <c r="N285" s="385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</row>
    <row r="286" spans="1:28" hidden="1" outlineLevel="2">
      <c r="A286" s="382"/>
      <c r="B286" s="382" t="s">
        <v>276</v>
      </c>
      <c r="C286" s="382" t="s">
        <v>276</v>
      </c>
      <c r="D286" s="382" t="s">
        <v>64</v>
      </c>
      <c r="E286" s="382"/>
      <c r="F286" s="440" t="s">
        <v>87</v>
      </c>
      <c r="G286" s="382"/>
      <c r="H286" s="411"/>
      <c r="I286" s="409"/>
      <c r="J286" s="382"/>
      <c r="K286" s="411"/>
      <c r="L286" s="409"/>
      <c r="M286" s="382"/>
      <c r="N286" s="385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</row>
    <row r="287" spans="1:28" outlineLevel="1" collapsed="1">
      <c r="A287" s="382"/>
      <c r="B287" s="390" t="s">
        <v>285</v>
      </c>
      <c r="C287" s="390" t="s">
        <v>285</v>
      </c>
      <c r="D287" s="390"/>
      <c r="E287" s="390"/>
      <c r="F287" s="442" t="s">
        <v>277</v>
      </c>
      <c r="G287" s="382"/>
      <c r="H287" s="424">
        <f>SUM(H288,H292,H294,H297)</f>
        <v>0</v>
      </c>
      <c r="I287" s="408">
        <f>I288+I292+I294+I297</f>
        <v>0</v>
      </c>
      <c r="J287" s="382"/>
      <c r="K287" s="424">
        <f>SUM(K288,K292,K294,K297)</f>
        <v>0</v>
      </c>
      <c r="L287" s="408">
        <f>L288+L292+L294+L297</f>
        <v>0</v>
      </c>
      <c r="M287" s="382"/>
      <c r="N287" s="385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</row>
    <row r="288" spans="1:28" hidden="1" outlineLevel="2" collapsed="1">
      <c r="A288" s="382"/>
      <c r="B288" s="386" t="s">
        <v>285</v>
      </c>
      <c r="C288" s="386" t="s">
        <v>285</v>
      </c>
      <c r="D288" s="382" t="s">
        <v>18</v>
      </c>
      <c r="E288" s="386"/>
      <c r="F288" s="440" t="s">
        <v>87</v>
      </c>
      <c r="G288" s="382"/>
      <c r="H288" s="387">
        <v>0</v>
      </c>
      <c r="I288" s="388">
        <f>SUM(I289:I291)</f>
        <v>0</v>
      </c>
      <c r="J288" s="382"/>
      <c r="K288" s="387">
        <v>0</v>
      </c>
      <c r="L288" s="388">
        <f>SUM(L289:L291)</f>
        <v>0</v>
      </c>
      <c r="M288" s="382"/>
      <c r="N288" s="385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</row>
    <row r="289" spans="1:28" hidden="1" outlineLevel="3">
      <c r="A289" s="382"/>
      <c r="B289" s="386" t="s">
        <v>285</v>
      </c>
      <c r="C289" s="386" t="s">
        <v>285</v>
      </c>
      <c r="D289" s="382" t="s">
        <v>18</v>
      </c>
      <c r="E289" s="386" t="s">
        <v>286</v>
      </c>
      <c r="F289" s="440" t="s">
        <v>278</v>
      </c>
      <c r="G289" s="382"/>
      <c r="H289" s="411">
        <v>0</v>
      </c>
      <c r="I289" s="409">
        <v>0</v>
      </c>
      <c r="J289" s="382"/>
      <c r="K289" s="411">
        <v>0</v>
      </c>
      <c r="L289" s="409">
        <v>0</v>
      </c>
      <c r="M289" s="382"/>
      <c r="N289" s="385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</row>
    <row r="290" spans="1:28" hidden="1" outlineLevel="3">
      <c r="A290" s="382"/>
      <c r="B290" s="386" t="s">
        <v>285</v>
      </c>
      <c r="C290" s="386" t="s">
        <v>285</v>
      </c>
      <c r="D290" s="382" t="s">
        <v>18</v>
      </c>
      <c r="E290" s="386" t="s">
        <v>286</v>
      </c>
      <c r="F290" s="440" t="s">
        <v>279</v>
      </c>
      <c r="G290" s="382"/>
      <c r="H290" s="411">
        <v>0</v>
      </c>
      <c r="I290" s="409">
        <v>0</v>
      </c>
      <c r="J290" s="382"/>
      <c r="K290" s="411">
        <v>0</v>
      </c>
      <c r="L290" s="409">
        <v>0</v>
      </c>
      <c r="M290" s="382"/>
      <c r="N290" s="385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</row>
    <row r="291" spans="1:28" hidden="1" outlineLevel="3">
      <c r="A291" s="382"/>
      <c r="B291" s="386" t="s">
        <v>285</v>
      </c>
      <c r="C291" s="386" t="s">
        <v>285</v>
      </c>
      <c r="D291" s="382" t="s">
        <v>18</v>
      </c>
      <c r="E291" s="386" t="s">
        <v>286</v>
      </c>
      <c r="F291" s="440" t="s">
        <v>33</v>
      </c>
      <c r="G291" s="382"/>
      <c r="H291" s="411">
        <v>0</v>
      </c>
      <c r="I291" s="409">
        <v>0</v>
      </c>
      <c r="J291" s="382"/>
      <c r="K291" s="411">
        <v>0</v>
      </c>
      <c r="L291" s="409">
        <v>0</v>
      </c>
      <c r="M291" s="382"/>
      <c r="N291" s="385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</row>
    <row r="292" spans="1:28" hidden="1" outlineLevel="2" collapsed="1">
      <c r="A292" s="382"/>
      <c r="B292" s="386" t="s">
        <v>285</v>
      </c>
      <c r="C292" s="386" t="s">
        <v>285</v>
      </c>
      <c r="D292" s="382" t="s">
        <v>26</v>
      </c>
      <c r="E292" s="382"/>
      <c r="F292" s="440" t="s">
        <v>87</v>
      </c>
      <c r="G292" s="382"/>
      <c r="H292" s="387">
        <v>0</v>
      </c>
      <c r="I292" s="388">
        <f>SUM(I293:I293)</f>
        <v>0</v>
      </c>
      <c r="J292" s="382"/>
      <c r="K292" s="387">
        <v>0</v>
      </c>
      <c r="L292" s="388">
        <f>SUM(L293:L293)</f>
        <v>0</v>
      </c>
      <c r="M292" s="382"/>
      <c r="N292" s="385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</row>
    <row r="293" spans="1:28" hidden="1" outlineLevel="3">
      <c r="A293" s="382"/>
      <c r="B293" s="386" t="s">
        <v>285</v>
      </c>
      <c r="C293" s="386" t="s">
        <v>285</v>
      </c>
      <c r="D293" s="382" t="s">
        <v>26</v>
      </c>
      <c r="E293" s="382" t="s">
        <v>27</v>
      </c>
      <c r="F293" s="440" t="s">
        <v>279</v>
      </c>
      <c r="G293" s="382"/>
      <c r="H293" s="411">
        <v>0</v>
      </c>
      <c r="I293" s="409">
        <v>0</v>
      </c>
      <c r="J293" s="382"/>
      <c r="K293" s="411">
        <v>0</v>
      </c>
      <c r="L293" s="409">
        <v>0</v>
      </c>
      <c r="M293" s="382"/>
      <c r="N293" s="385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</row>
    <row r="294" spans="1:28" hidden="1" outlineLevel="2" collapsed="1">
      <c r="A294" s="382"/>
      <c r="B294" s="386" t="s">
        <v>285</v>
      </c>
      <c r="C294" s="386" t="s">
        <v>285</v>
      </c>
      <c r="D294" s="382" t="s">
        <v>28</v>
      </c>
      <c r="E294" s="382"/>
      <c r="F294" s="440" t="s">
        <v>87</v>
      </c>
      <c r="G294" s="382"/>
      <c r="H294" s="387">
        <v>0</v>
      </c>
      <c r="I294" s="388">
        <f>SUM(I295:I296)</f>
        <v>0</v>
      </c>
      <c r="J294" s="382"/>
      <c r="K294" s="387">
        <v>0</v>
      </c>
      <c r="L294" s="388">
        <f>SUM(L295:L296)</f>
        <v>0</v>
      </c>
      <c r="M294" s="382"/>
      <c r="N294" s="385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</row>
    <row r="295" spans="1:28" hidden="1" outlineLevel="3">
      <c r="A295" s="382"/>
      <c r="B295" s="386" t="s">
        <v>285</v>
      </c>
      <c r="C295" s="386" t="s">
        <v>285</v>
      </c>
      <c r="D295" s="382" t="s">
        <v>28</v>
      </c>
      <c r="E295" s="382" t="s">
        <v>29</v>
      </c>
      <c r="F295" s="440" t="s">
        <v>279</v>
      </c>
      <c r="G295" s="382"/>
      <c r="H295" s="411">
        <v>0</v>
      </c>
      <c r="I295" s="409">
        <v>0</v>
      </c>
      <c r="J295" s="382"/>
      <c r="K295" s="411">
        <v>0</v>
      </c>
      <c r="L295" s="409">
        <v>0</v>
      </c>
      <c r="M295" s="382"/>
      <c r="N295" s="385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</row>
    <row r="296" spans="1:28" hidden="1" outlineLevel="3">
      <c r="A296" s="382"/>
      <c r="B296" s="386" t="s">
        <v>285</v>
      </c>
      <c r="C296" s="386" t="s">
        <v>285</v>
      </c>
      <c r="D296" s="382" t="s">
        <v>28</v>
      </c>
      <c r="E296" s="382" t="s">
        <v>29</v>
      </c>
      <c r="F296" s="440" t="s">
        <v>33</v>
      </c>
      <c r="G296" s="382"/>
      <c r="H296" s="411">
        <v>0</v>
      </c>
      <c r="I296" s="409">
        <v>0</v>
      </c>
      <c r="J296" s="382"/>
      <c r="K296" s="411">
        <v>0</v>
      </c>
      <c r="L296" s="409">
        <v>0</v>
      </c>
      <c r="M296" s="382"/>
      <c r="N296" s="385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</row>
    <row r="297" spans="1:28" hidden="1" outlineLevel="2" collapsed="1">
      <c r="A297" s="382"/>
      <c r="B297" s="386" t="s">
        <v>285</v>
      </c>
      <c r="C297" s="386" t="s">
        <v>285</v>
      </c>
      <c r="D297" s="382" t="s">
        <v>64</v>
      </c>
      <c r="E297" s="382"/>
      <c r="F297" s="440" t="s">
        <v>87</v>
      </c>
      <c r="G297" s="382"/>
      <c r="H297" s="387">
        <v>0</v>
      </c>
      <c r="I297" s="388">
        <f>SUM(I298:I299)</f>
        <v>0</v>
      </c>
      <c r="J297" s="382"/>
      <c r="K297" s="387">
        <v>0</v>
      </c>
      <c r="L297" s="388">
        <f>SUM(L298:L299)</f>
        <v>0</v>
      </c>
      <c r="M297" s="382"/>
      <c r="N297" s="385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</row>
    <row r="298" spans="1:28" hidden="1" outlineLevel="3">
      <c r="A298" s="382"/>
      <c r="B298" s="386" t="s">
        <v>285</v>
      </c>
      <c r="C298" s="386" t="s">
        <v>285</v>
      </c>
      <c r="D298" s="382" t="s">
        <v>64</v>
      </c>
      <c r="E298" s="382" t="s">
        <v>29</v>
      </c>
      <c r="F298" s="440" t="s">
        <v>279</v>
      </c>
      <c r="G298" s="382"/>
      <c r="H298" s="411">
        <v>0</v>
      </c>
      <c r="I298" s="409">
        <v>0</v>
      </c>
      <c r="J298" s="382"/>
      <c r="K298" s="411">
        <v>0</v>
      </c>
      <c r="L298" s="409">
        <v>0</v>
      </c>
      <c r="M298" s="382"/>
      <c r="N298" s="385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</row>
    <row r="299" spans="1:28" hidden="1" outlineLevel="3">
      <c r="A299" s="382"/>
      <c r="B299" s="386" t="s">
        <v>285</v>
      </c>
      <c r="C299" s="386" t="s">
        <v>285</v>
      </c>
      <c r="D299" s="382" t="s">
        <v>64</v>
      </c>
      <c r="E299" s="382" t="s">
        <v>29</v>
      </c>
      <c r="F299" s="440" t="s">
        <v>33</v>
      </c>
      <c r="G299" s="382"/>
      <c r="H299" s="411">
        <v>0</v>
      </c>
      <c r="I299" s="409">
        <v>0</v>
      </c>
      <c r="J299" s="382"/>
      <c r="K299" s="411">
        <v>0</v>
      </c>
      <c r="L299" s="409">
        <v>0</v>
      </c>
      <c r="M299" s="382"/>
      <c r="N299" s="385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</row>
    <row r="300" spans="1:28" outlineLevel="1" collapsed="1">
      <c r="A300" s="382"/>
      <c r="B300" s="390" t="s">
        <v>288</v>
      </c>
      <c r="C300" s="390" t="s">
        <v>288</v>
      </c>
      <c r="D300" s="390"/>
      <c r="E300" s="390"/>
      <c r="F300" s="442" t="s">
        <v>289</v>
      </c>
      <c r="G300" s="382"/>
      <c r="H300" s="418">
        <f>SUM(H301,H305,H307,H310)</f>
        <v>0.69534587499999978</v>
      </c>
      <c r="I300" s="417">
        <f>I301+I305+I307+I310</f>
        <v>8</v>
      </c>
      <c r="J300" s="382"/>
      <c r="K300" s="418">
        <f>SUM(K301,K305,K307,K310)</f>
        <v>0</v>
      </c>
      <c r="L300" s="417">
        <f>L301+L305+L307+L310</f>
        <v>0</v>
      </c>
      <c r="M300" s="382"/>
      <c r="N300" s="385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</row>
    <row r="301" spans="1:28" hidden="1" outlineLevel="2" collapsed="1">
      <c r="A301" s="382"/>
      <c r="B301" s="386" t="s">
        <v>288</v>
      </c>
      <c r="C301" s="386" t="s">
        <v>288</v>
      </c>
      <c r="D301" s="382" t="s">
        <v>18</v>
      </c>
      <c r="E301" s="386"/>
      <c r="F301" s="440" t="s">
        <v>87</v>
      </c>
      <c r="G301" s="382"/>
      <c r="H301" s="411">
        <f>SUM(H302:H304)</f>
        <v>0.54690124999999989</v>
      </c>
      <c r="I301" s="409">
        <f>SUM(I302:I304)</f>
        <v>3</v>
      </c>
      <c r="J301" s="382"/>
      <c r="K301" s="411">
        <f>SUM(K302:K304)</f>
        <v>0</v>
      </c>
      <c r="L301" s="409">
        <f>SUM(L302:L304)</f>
        <v>0</v>
      </c>
      <c r="M301" s="382"/>
      <c r="N301" s="385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</row>
    <row r="302" spans="1:28" hidden="1" outlineLevel="3">
      <c r="A302" s="382"/>
      <c r="B302" s="386" t="s">
        <v>288</v>
      </c>
      <c r="C302" s="386" t="s">
        <v>288</v>
      </c>
      <c r="D302" s="382" t="s">
        <v>18</v>
      </c>
      <c r="E302" s="386" t="s">
        <v>286</v>
      </c>
      <c r="F302" s="440" t="s">
        <v>278</v>
      </c>
      <c r="G302" s="382"/>
      <c r="H302" s="411">
        <v>0.15625749999999999</v>
      </c>
      <c r="I302" s="409">
        <v>1</v>
      </c>
      <c r="J302" s="382"/>
      <c r="K302" s="411">
        <f t="shared" ref="K302:K304" si="38">IF(L302=1,H302,0)</f>
        <v>0</v>
      </c>
      <c r="L302" s="409"/>
      <c r="M302" s="382"/>
      <c r="N302" s="385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</row>
    <row r="303" spans="1:28" hidden="1" outlineLevel="3">
      <c r="A303" s="382"/>
      <c r="B303" s="386" t="s">
        <v>288</v>
      </c>
      <c r="C303" s="386" t="s">
        <v>288</v>
      </c>
      <c r="D303" s="382" t="s">
        <v>18</v>
      </c>
      <c r="E303" s="386" t="s">
        <v>286</v>
      </c>
      <c r="F303" s="440" t="s">
        <v>279</v>
      </c>
      <c r="G303" s="382"/>
      <c r="H303" s="411">
        <v>0.23438624999999996</v>
      </c>
      <c r="I303" s="409">
        <v>1</v>
      </c>
      <c r="J303" s="382"/>
      <c r="K303" s="411">
        <f t="shared" si="38"/>
        <v>0</v>
      </c>
      <c r="L303" s="409"/>
      <c r="M303" s="382"/>
      <c r="N303" s="385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</row>
    <row r="304" spans="1:28" hidden="1" outlineLevel="3">
      <c r="A304" s="382"/>
      <c r="B304" s="386" t="s">
        <v>288</v>
      </c>
      <c r="C304" s="386" t="s">
        <v>288</v>
      </c>
      <c r="D304" s="382" t="s">
        <v>18</v>
      </c>
      <c r="E304" s="386" t="s">
        <v>286</v>
      </c>
      <c r="F304" s="440" t="s">
        <v>33</v>
      </c>
      <c r="G304" s="382"/>
      <c r="H304" s="411">
        <v>0.15625749999999999</v>
      </c>
      <c r="I304" s="409">
        <v>1</v>
      </c>
      <c r="J304" s="382"/>
      <c r="K304" s="411">
        <f t="shared" si="38"/>
        <v>0</v>
      </c>
      <c r="L304" s="409"/>
      <c r="M304" s="382"/>
      <c r="N304" s="385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</row>
    <row r="305" spans="1:28" hidden="1" outlineLevel="2" collapsed="1">
      <c r="A305" s="382"/>
      <c r="B305" s="386" t="s">
        <v>288</v>
      </c>
      <c r="C305" s="386" t="s">
        <v>288</v>
      </c>
      <c r="D305" s="382" t="s">
        <v>26</v>
      </c>
      <c r="E305" s="382"/>
      <c r="F305" s="440" t="s">
        <v>87</v>
      </c>
      <c r="G305" s="382"/>
      <c r="H305" s="411">
        <f>SUM(H306:H306)</f>
        <v>7.1431999999999995E-2</v>
      </c>
      <c r="I305" s="409">
        <f>SUM(I306:I306)</f>
        <v>1</v>
      </c>
      <c r="J305" s="382"/>
      <c r="K305" s="411">
        <f>SUM(K306:K306)</f>
        <v>0</v>
      </c>
      <c r="L305" s="409">
        <f>SUM(L306:L306)</f>
        <v>0</v>
      </c>
      <c r="M305" s="382"/>
      <c r="N305" s="385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</row>
    <row r="306" spans="1:28" hidden="1" outlineLevel="3">
      <c r="A306" s="382"/>
      <c r="B306" s="386" t="s">
        <v>288</v>
      </c>
      <c r="C306" s="386" t="s">
        <v>288</v>
      </c>
      <c r="D306" s="382" t="s">
        <v>26</v>
      </c>
      <c r="E306" s="386" t="s">
        <v>286</v>
      </c>
      <c r="F306" s="440" t="s">
        <v>279</v>
      </c>
      <c r="G306" s="382"/>
      <c r="H306" s="411">
        <v>7.1431999999999995E-2</v>
      </c>
      <c r="I306" s="409">
        <v>1</v>
      </c>
      <c r="J306" s="382"/>
      <c r="K306" s="411">
        <f>IF(L306=1,H306,0)</f>
        <v>0</v>
      </c>
      <c r="L306" s="409"/>
      <c r="M306" s="382"/>
      <c r="N306" s="385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</row>
    <row r="307" spans="1:28" hidden="1" outlineLevel="2" collapsed="1">
      <c r="A307" s="382"/>
      <c r="B307" s="386" t="s">
        <v>288</v>
      </c>
      <c r="C307" s="386" t="s">
        <v>288</v>
      </c>
      <c r="D307" s="382" t="s">
        <v>28</v>
      </c>
      <c r="E307" s="382"/>
      <c r="F307" s="440" t="s">
        <v>87</v>
      </c>
      <c r="G307" s="382"/>
      <c r="H307" s="411">
        <f>SUM(H308:H309)</f>
        <v>4.0180500000000001E-2</v>
      </c>
      <c r="I307" s="409">
        <f>SUM(I308:I309)</f>
        <v>2</v>
      </c>
      <c r="J307" s="382"/>
      <c r="K307" s="411">
        <f>SUM(K308:K309)</f>
        <v>0</v>
      </c>
      <c r="L307" s="409">
        <f>SUM(L308:L309)</f>
        <v>0</v>
      </c>
      <c r="M307" s="382"/>
      <c r="N307" s="385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</row>
    <row r="308" spans="1:28" hidden="1" outlineLevel="3">
      <c r="A308" s="382"/>
      <c r="B308" s="386" t="s">
        <v>288</v>
      </c>
      <c r="C308" s="386" t="s">
        <v>288</v>
      </c>
      <c r="D308" s="382" t="s">
        <v>28</v>
      </c>
      <c r="E308" s="386" t="s">
        <v>286</v>
      </c>
      <c r="F308" s="440" t="s">
        <v>279</v>
      </c>
      <c r="G308" s="382"/>
      <c r="H308" s="411">
        <v>2.009025E-2</v>
      </c>
      <c r="I308" s="409">
        <v>1</v>
      </c>
      <c r="J308" s="382"/>
      <c r="K308" s="411">
        <f t="shared" ref="K308:K309" si="39">IF(L308=1,H308,0)</f>
        <v>0</v>
      </c>
      <c r="L308" s="409"/>
      <c r="M308" s="382"/>
      <c r="N308" s="385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</row>
    <row r="309" spans="1:28" hidden="1" outlineLevel="3">
      <c r="A309" s="382"/>
      <c r="B309" s="386" t="s">
        <v>288</v>
      </c>
      <c r="C309" s="386" t="s">
        <v>288</v>
      </c>
      <c r="D309" s="382" t="s">
        <v>28</v>
      </c>
      <c r="E309" s="386" t="s">
        <v>286</v>
      </c>
      <c r="F309" s="440" t="s">
        <v>33</v>
      </c>
      <c r="G309" s="382"/>
      <c r="H309" s="411">
        <v>2.009025E-2</v>
      </c>
      <c r="I309" s="409">
        <v>1</v>
      </c>
      <c r="J309" s="382"/>
      <c r="K309" s="411">
        <f t="shared" si="39"/>
        <v>0</v>
      </c>
      <c r="L309" s="409"/>
      <c r="M309" s="382"/>
      <c r="N309" s="385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</row>
    <row r="310" spans="1:28" hidden="1" outlineLevel="2" collapsed="1">
      <c r="A310" s="382"/>
      <c r="B310" s="386" t="s">
        <v>288</v>
      </c>
      <c r="C310" s="386" t="s">
        <v>288</v>
      </c>
      <c r="D310" s="382" t="s">
        <v>64</v>
      </c>
      <c r="E310" s="386"/>
      <c r="F310" s="440" t="s">
        <v>87</v>
      </c>
      <c r="G310" s="382"/>
      <c r="H310" s="411">
        <f>SUM(H311:H312)</f>
        <v>3.6832125E-2</v>
      </c>
      <c r="I310" s="409">
        <f>SUM(I311:I312)</f>
        <v>2</v>
      </c>
      <c r="J310" s="382"/>
      <c r="K310" s="411">
        <f>SUM(K311:K312)</f>
        <v>0</v>
      </c>
      <c r="L310" s="409">
        <f>SUM(L311:L312)</f>
        <v>0</v>
      </c>
      <c r="M310" s="382"/>
      <c r="N310" s="385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</row>
    <row r="311" spans="1:28" hidden="1" outlineLevel="3">
      <c r="A311" s="382"/>
      <c r="B311" s="386" t="s">
        <v>288</v>
      </c>
      <c r="C311" s="386" t="s">
        <v>288</v>
      </c>
      <c r="D311" s="382" t="s">
        <v>64</v>
      </c>
      <c r="E311" s="386" t="s">
        <v>286</v>
      </c>
      <c r="F311" s="440" t="s">
        <v>279</v>
      </c>
      <c r="G311" s="382"/>
      <c r="H311" s="411">
        <v>1.6741875E-2</v>
      </c>
      <c r="I311" s="409">
        <v>1</v>
      </c>
      <c r="J311" s="382"/>
      <c r="K311" s="411">
        <f t="shared" ref="K311:K312" si="40">IF(L311=1,H311,0)</f>
        <v>0</v>
      </c>
      <c r="L311" s="409"/>
      <c r="M311" s="382"/>
      <c r="N311" s="385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</row>
    <row r="312" spans="1:28" hidden="1" outlineLevel="3">
      <c r="A312" s="382"/>
      <c r="B312" s="386" t="s">
        <v>288</v>
      </c>
      <c r="C312" s="386" t="s">
        <v>288</v>
      </c>
      <c r="D312" s="382" t="s">
        <v>64</v>
      </c>
      <c r="E312" s="386" t="s">
        <v>286</v>
      </c>
      <c r="F312" s="440" t="s">
        <v>33</v>
      </c>
      <c r="G312" s="382"/>
      <c r="H312" s="411">
        <v>2.009025E-2</v>
      </c>
      <c r="I312" s="409">
        <v>1</v>
      </c>
      <c r="J312" s="382"/>
      <c r="K312" s="411">
        <f t="shared" si="40"/>
        <v>0</v>
      </c>
      <c r="L312" s="409"/>
      <c r="M312" s="382"/>
      <c r="N312" s="385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</row>
    <row r="313" spans="1:28" outlineLevel="1" collapsed="1">
      <c r="A313" s="382"/>
      <c r="B313" s="390" t="s">
        <v>290</v>
      </c>
      <c r="C313" s="390" t="s">
        <v>291</v>
      </c>
      <c r="D313" s="395"/>
      <c r="E313" s="390"/>
      <c r="F313" s="442" t="s">
        <v>292</v>
      </c>
      <c r="G313" s="382"/>
      <c r="H313" s="428">
        <f>SUM(H314,H317,H319,H322)</f>
        <v>0.14100000000000001</v>
      </c>
      <c r="I313" s="408">
        <f>SUM(I314,I317,I319,I322)</f>
        <v>6</v>
      </c>
      <c r="J313" s="382"/>
      <c r="K313" s="428">
        <f>SUM(K314,K317,K319,K322)</f>
        <v>0</v>
      </c>
      <c r="L313" s="408">
        <f>SUM(L314,L317,L319,L322)</f>
        <v>0</v>
      </c>
      <c r="M313" s="382"/>
      <c r="N313" s="385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</row>
    <row r="314" spans="1:28" hidden="1" outlineLevel="2" collapsed="1">
      <c r="A314" s="382"/>
      <c r="B314" s="386" t="s">
        <v>290</v>
      </c>
      <c r="C314" s="386" t="s">
        <v>291</v>
      </c>
      <c r="D314" s="382" t="s">
        <v>18</v>
      </c>
      <c r="E314" s="386"/>
      <c r="F314" s="440" t="s">
        <v>87</v>
      </c>
      <c r="G314" s="382"/>
      <c r="H314" s="387">
        <f>SUM(H315:H316)</f>
        <v>0.10500000000000001</v>
      </c>
      <c r="I314" s="388">
        <f>SUM(I315:I316)</f>
        <v>2</v>
      </c>
      <c r="J314" s="382"/>
      <c r="K314" s="387">
        <f>SUM(K315:K316)</f>
        <v>0</v>
      </c>
      <c r="L314" s="388">
        <f>SUM(L315:L316)</f>
        <v>0</v>
      </c>
      <c r="M314" s="382"/>
      <c r="N314" s="385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</row>
    <row r="315" spans="1:28" hidden="1" outlineLevel="3">
      <c r="A315" s="382"/>
      <c r="B315" s="386" t="s">
        <v>290</v>
      </c>
      <c r="C315" s="386" t="s">
        <v>291</v>
      </c>
      <c r="D315" s="382" t="s">
        <v>18</v>
      </c>
      <c r="E315" s="386" t="s">
        <v>144</v>
      </c>
      <c r="F315" s="440" t="s">
        <v>279</v>
      </c>
      <c r="G315" s="382"/>
      <c r="H315" s="387">
        <v>6.3E-2</v>
      </c>
      <c r="I315" s="388">
        <v>1</v>
      </c>
      <c r="J315" s="382"/>
      <c r="K315" s="411">
        <f t="shared" ref="K315:K316" si="41">IF(L315=1,H315,0)</f>
        <v>0</v>
      </c>
      <c r="L315" s="388"/>
      <c r="M315" s="382"/>
      <c r="N315" s="385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</row>
    <row r="316" spans="1:28" hidden="1" outlineLevel="3">
      <c r="A316" s="382"/>
      <c r="B316" s="386" t="s">
        <v>290</v>
      </c>
      <c r="C316" s="386" t="s">
        <v>291</v>
      </c>
      <c r="D316" s="382" t="s">
        <v>18</v>
      </c>
      <c r="E316" s="386" t="s">
        <v>144</v>
      </c>
      <c r="F316" s="440" t="s">
        <v>33</v>
      </c>
      <c r="G316" s="382"/>
      <c r="H316" s="387">
        <v>4.2000000000000003E-2</v>
      </c>
      <c r="I316" s="388">
        <v>1</v>
      </c>
      <c r="J316" s="382"/>
      <c r="K316" s="411">
        <f t="shared" si="41"/>
        <v>0</v>
      </c>
      <c r="L316" s="388"/>
      <c r="M316" s="382"/>
      <c r="N316" s="385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</row>
    <row r="317" spans="1:28" hidden="1" outlineLevel="2" collapsed="1">
      <c r="A317" s="382"/>
      <c r="B317" s="386" t="s">
        <v>290</v>
      </c>
      <c r="C317" s="386" t="s">
        <v>291</v>
      </c>
      <c r="D317" s="382" t="s">
        <v>26</v>
      </c>
      <c r="E317" s="382"/>
      <c r="F317" s="440" t="s">
        <v>87</v>
      </c>
      <c r="G317" s="382"/>
      <c r="H317" s="387">
        <f>SUM(H318:H318)</f>
        <v>1.9200000000000002E-2</v>
      </c>
      <c r="I317" s="388">
        <f>SUM(I318:I318)</f>
        <v>1</v>
      </c>
      <c r="J317" s="382"/>
      <c r="K317" s="387">
        <f>SUM(K318:K318)</f>
        <v>0</v>
      </c>
      <c r="L317" s="388">
        <f>SUM(L318:L318)</f>
        <v>0</v>
      </c>
      <c r="M317" s="382"/>
      <c r="N317" s="385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</row>
    <row r="318" spans="1:28" hidden="1" outlineLevel="3">
      <c r="A318" s="382"/>
      <c r="B318" s="386" t="s">
        <v>290</v>
      </c>
      <c r="C318" s="386" t="s">
        <v>291</v>
      </c>
      <c r="D318" s="382" t="s">
        <v>26</v>
      </c>
      <c r="E318" s="382" t="s">
        <v>27</v>
      </c>
      <c r="F318" s="440" t="s">
        <v>279</v>
      </c>
      <c r="G318" s="382"/>
      <c r="H318" s="411">
        <v>1.9200000000000002E-2</v>
      </c>
      <c r="I318" s="409">
        <v>1</v>
      </c>
      <c r="J318" s="382"/>
      <c r="K318" s="411">
        <f>IF(L318=1,H318,0)</f>
        <v>0</v>
      </c>
      <c r="L318" s="409"/>
      <c r="M318" s="382"/>
      <c r="N318" s="385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</row>
    <row r="319" spans="1:28" hidden="1" outlineLevel="2" collapsed="1">
      <c r="A319" s="382"/>
      <c r="B319" s="386" t="s">
        <v>290</v>
      </c>
      <c r="C319" s="386" t="s">
        <v>291</v>
      </c>
      <c r="D319" s="382" t="s">
        <v>28</v>
      </c>
      <c r="E319" s="382"/>
      <c r="F319" s="440" t="s">
        <v>87</v>
      </c>
      <c r="G319" s="382"/>
      <c r="H319" s="387">
        <f>SUM(H320:H321)</f>
        <v>1.0800000000000001E-2</v>
      </c>
      <c r="I319" s="388">
        <f>SUM(I320:I321)</f>
        <v>2</v>
      </c>
      <c r="J319" s="382"/>
      <c r="K319" s="387">
        <f>SUM(K320:K321)</f>
        <v>0</v>
      </c>
      <c r="L319" s="388">
        <f>SUM(L320:L321)</f>
        <v>0</v>
      </c>
      <c r="M319" s="382"/>
      <c r="N319" s="385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</row>
    <row r="320" spans="1:28" hidden="1" outlineLevel="3">
      <c r="A320" s="382"/>
      <c r="B320" s="386" t="s">
        <v>290</v>
      </c>
      <c r="C320" s="386" t="s">
        <v>291</v>
      </c>
      <c r="D320" s="382" t="s">
        <v>28</v>
      </c>
      <c r="E320" s="382" t="s">
        <v>29</v>
      </c>
      <c r="F320" s="440" t="s">
        <v>279</v>
      </c>
      <c r="G320" s="382"/>
      <c r="H320" s="411">
        <v>5.4000000000000003E-3</v>
      </c>
      <c r="I320" s="409">
        <v>1</v>
      </c>
      <c r="J320" s="382"/>
      <c r="K320" s="411">
        <f t="shared" ref="K320:K321" si="42">IF(L320=1,H320,0)</f>
        <v>0</v>
      </c>
      <c r="L320" s="409"/>
      <c r="M320" s="382"/>
      <c r="N320" s="385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</row>
    <row r="321" spans="1:28" hidden="1" outlineLevel="3">
      <c r="A321" s="382"/>
      <c r="B321" s="386" t="s">
        <v>290</v>
      </c>
      <c r="C321" s="386" t="s">
        <v>291</v>
      </c>
      <c r="D321" s="382" t="s">
        <v>28</v>
      </c>
      <c r="E321" s="382" t="s">
        <v>29</v>
      </c>
      <c r="F321" s="440" t="s">
        <v>33</v>
      </c>
      <c r="G321" s="382"/>
      <c r="H321" s="411">
        <v>5.4000000000000003E-3</v>
      </c>
      <c r="I321" s="409">
        <v>1</v>
      </c>
      <c r="J321" s="382"/>
      <c r="K321" s="411">
        <f t="shared" si="42"/>
        <v>0</v>
      </c>
      <c r="L321" s="409"/>
      <c r="M321" s="382"/>
      <c r="N321" s="385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</row>
    <row r="322" spans="1:28" hidden="1" outlineLevel="2" collapsed="1">
      <c r="A322" s="382"/>
      <c r="B322" s="386" t="s">
        <v>290</v>
      </c>
      <c r="C322" s="386" t="s">
        <v>291</v>
      </c>
      <c r="D322" s="382" t="s">
        <v>64</v>
      </c>
      <c r="E322" s="382"/>
      <c r="F322" s="440" t="s">
        <v>87</v>
      </c>
      <c r="G322" s="382"/>
      <c r="H322" s="387">
        <f>SUM(H323:H323)</f>
        <v>6.0000000000000001E-3</v>
      </c>
      <c r="I322" s="388">
        <f>SUM(I323:I323)</f>
        <v>1</v>
      </c>
      <c r="J322" s="382"/>
      <c r="K322" s="387">
        <f>SUM(K323:K323)</f>
        <v>0</v>
      </c>
      <c r="L322" s="388">
        <f>SUM(L323:L323)</f>
        <v>0</v>
      </c>
      <c r="M322" s="382"/>
      <c r="N322" s="385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</row>
    <row r="323" spans="1:28" hidden="1" outlineLevel="3">
      <c r="A323" s="382"/>
      <c r="B323" s="386" t="s">
        <v>290</v>
      </c>
      <c r="C323" s="386" t="s">
        <v>291</v>
      </c>
      <c r="D323" s="382" t="s">
        <v>64</v>
      </c>
      <c r="E323" s="382" t="s">
        <v>29</v>
      </c>
      <c r="F323" s="440" t="s">
        <v>279</v>
      </c>
      <c r="G323" s="382"/>
      <c r="H323" s="411">
        <v>6.0000000000000001E-3</v>
      </c>
      <c r="I323" s="409">
        <v>1</v>
      </c>
      <c r="J323" s="382"/>
      <c r="K323" s="411">
        <f>IF(L323=1,H323,0)</f>
        <v>0</v>
      </c>
      <c r="L323" s="409"/>
      <c r="M323" s="382"/>
      <c r="N323" s="385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</row>
    <row r="324" spans="1:28" ht="26.45" outlineLevel="1" collapsed="1">
      <c r="A324" s="382"/>
      <c r="B324" s="390" t="s">
        <v>293</v>
      </c>
      <c r="C324" s="390" t="s">
        <v>294</v>
      </c>
      <c r="D324" s="395"/>
      <c r="E324" s="390"/>
      <c r="F324" s="442" t="s">
        <v>295</v>
      </c>
      <c r="G324" s="382"/>
      <c r="H324" s="428">
        <f>SUM(H325,H330,H334,H340)</f>
        <v>1.2330479999999999</v>
      </c>
      <c r="I324" s="408">
        <f>SUM(I325,I330,I334,I340)</f>
        <v>15</v>
      </c>
      <c r="J324" s="382"/>
      <c r="K324" s="428">
        <f>SUM(K325,K330,K334,K340)</f>
        <v>1.857E-2</v>
      </c>
      <c r="L324" s="408">
        <f>SUM(L325,L330,L334,L340)</f>
        <v>1</v>
      </c>
      <c r="M324" s="382"/>
      <c r="N324" s="385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</row>
    <row r="325" spans="1:28" hidden="1" outlineLevel="2" collapsed="1">
      <c r="A325" s="382"/>
      <c r="B325" s="382" t="s">
        <v>293</v>
      </c>
      <c r="C325" s="386" t="s">
        <v>294</v>
      </c>
      <c r="D325" s="382" t="s">
        <v>18</v>
      </c>
      <c r="E325" s="386"/>
      <c r="F325" s="440" t="s">
        <v>87</v>
      </c>
      <c r="G325" s="382"/>
      <c r="H325" s="387">
        <f>SUM(H326:H329)</f>
        <v>0.77993999999999997</v>
      </c>
      <c r="I325" s="388">
        <f>SUM(I326:I329)</f>
        <v>4</v>
      </c>
      <c r="J325" s="382"/>
      <c r="K325" s="387">
        <f>SUM(K326:K329)</f>
        <v>0</v>
      </c>
      <c r="L325" s="388">
        <f>SUM(L326:L329)</f>
        <v>0</v>
      </c>
      <c r="M325" s="382"/>
      <c r="N325" s="385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</row>
    <row r="326" spans="1:28" hidden="1" outlineLevel="3">
      <c r="A326" s="382"/>
      <c r="B326" s="382" t="s">
        <v>293</v>
      </c>
      <c r="C326" s="386" t="s">
        <v>294</v>
      </c>
      <c r="D326" s="382" t="s">
        <v>18</v>
      </c>
      <c r="E326" s="386" t="s">
        <v>144</v>
      </c>
      <c r="F326" s="440" t="s">
        <v>280</v>
      </c>
      <c r="G326" s="382"/>
      <c r="H326" s="411">
        <v>0.12999000000000002</v>
      </c>
      <c r="I326" s="388">
        <v>1</v>
      </c>
      <c r="J326" s="382"/>
      <c r="K326" s="411">
        <f t="shared" ref="K326:K329" si="43">IF(L326=1,H326,0)</f>
        <v>0</v>
      </c>
      <c r="L326" s="388"/>
      <c r="M326" s="382"/>
      <c r="N326" s="385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</row>
    <row r="327" spans="1:28" hidden="1" outlineLevel="3">
      <c r="A327" s="382"/>
      <c r="B327" s="382" t="s">
        <v>293</v>
      </c>
      <c r="C327" s="386" t="s">
        <v>294</v>
      </c>
      <c r="D327" s="382" t="s">
        <v>18</v>
      </c>
      <c r="E327" s="386" t="s">
        <v>144</v>
      </c>
      <c r="F327" s="440" t="s">
        <v>281</v>
      </c>
      <c r="G327" s="382"/>
      <c r="H327" s="387">
        <v>0.25998000000000004</v>
      </c>
      <c r="I327" s="388">
        <v>1</v>
      </c>
      <c r="J327" s="382"/>
      <c r="K327" s="411">
        <f t="shared" si="43"/>
        <v>0</v>
      </c>
      <c r="L327" s="388"/>
      <c r="M327" s="382"/>
      <c r="N327" s="385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</row>
    <row r="328" spans="1:28" hidden="1" outlineLevel="3">
      <c r="A328" s="382"/>
      <c r="B328" s="382" t="s">
        <v>293</v>
      </c>
      <c r="C328" s="386" t="s">
        <v>294</v>
      </c>
      <c r="D328" s="382" t="s">
        <v>18</v>
      </c>
      <c r="E328" s="386" t="s">
        <v>144</v>
      </c>
      <c r="F328" s="440" t="s">
        <v>287</v>
      </c>
      <c r="G328" s="382"/>
      <c r="H328" s="387">
        <v>0.19498499999999999</v>
      </c>
      <c r="I328" s="388">
        <v>1</v>
      </c>
      <c r="J328" s="382"/>
      <c r="K328" s="411">
        <f t="shared" si="43"/>
        <v>0</v>
      </c>
      <c r="L328" s="388"/>
      <c r="M328" s="382"/>
      <c r="N328" s="385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</row>
    <row r="329" spans="1:28" hidden="1" outlineLevel="3">
      <c r="A329" s="382"/>
      <c r="B329" s="382" t="s">
        <v>293</v>
      </c>
      <c r="C329" s="386" t="s">
        <v>294</v>
      </c>
      <c r="D329" s="382" t="s">
        <v>18</v>
      </c>
      <c r="E329" s="386" t="s">
        <v>144</v>
      </c>
      <c r="F329" s="440" t="s">
        <v>284</v>
      </c>
      <c r="G329" s="382"/>
      <c r="H329" s="387">
        <v>0.19498499999999999</v>
      </c>
      <c r="I329" s="388">
        <v>1</v>
      </c>
      <c r="J329" s="382"/>
      <c r="K329" s="411">
        <f t="shared" si="43"/>
        <v>0</v>
      </c>
      <c r="L329" s="388"/>
      <c r="M329" s="382"/>
      <c r="N329" s="385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</row>
    <row r="330" spans="1:28" hidden="1" outlineLevel="2" collapsed="1">
      <c r="A330" s="382"/>
      <c r="B330" s="382" t="s">
        <v>293</v>
      </c>
      <c r="C330" s="386" t="s">
        <v>294</v>
      </c>
      <c r="D330" s="382" t="s">
        <v>26</v>
      </c>
      <c r="E330" s="382"/>
      <c r="F330" s="440" t="s">
        <v>87</v>
      </c>
      <c r="G330" s="382"/>
      <c r="H330" s="411">
        <f>SUM(H331:H333)</f>
        <v>0.22284000000000001</v>
      </c>
      <c r="I330" s="409">
        <f>SUM(I331:I333)</f>
        <v>3</v>
      </c>
      <c r="J330" s="382"/>
      <c r="K330" s="411">
        <f>SUM(K331:K333)</f>
        <v>0</v>
      </c>
      <c r="L330" s="409">
        <f>SUM(L331:L333)</f>
        <v>0</v>
      </c>
      <c r="M330" s="382"/>
      <c r="N330" s="385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</row>
    <row r="331" spans="1:28" hidden="1" outlineLevel="3">
      <c r="A331" s="382"/>
      <c r="B331" s="382" t="s">
        <v>293</v>
      </c>
      <c r="C331" s="386" t="s">
        <v>294</v>
      </c>
      <c r="D331" s="382" t="s">
        <v>26</v>
      </c>
      <c r="E331" s="382" t="s">
        <v>27</v>
      </c>
      <c r="F331" s="440" t="s">
        <v>280</v>
      </c>
      <c r="G331" s="382"/>
      <c r="H331" s="411">
        <v>5.9424000000000005E-2</v>
      </c>
      <c r="I331" s="409">
        <v>1</v>
      </c>
      <c r="J331" s="382"/>
      <c r="K331" s="411">
        <f t="shared" ref="K331:K333" si="44">IF(L331=1,H331,0)</f>
        <v>0</v>
      </c>
      <c r="L331" s="409"/>
      <c r="M331" s="382"/>
      <c r="N331" s="385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</row>
    <row r="332" spans="1:28" hidden="1" outlineLevel="3">
      <c r="A332" s="382"/>
      <c r="B332" s="382" t="s">
        <v>293</v>
      </c>
      <c r="C332" s="386" t="s">
        <v>294</v>
      </c>
      <c r="D332" s="382" t="s">
        <v>26</v>
      </c>
      <c r="E332" s="382" t="s">
        <v>27</v>
      </c>
      <c r="F332" s="440" t="s">
        <v>281</v>
      </c>
      <c r="G332" s="382"/>
      <c r="H332" s="411">
        <v>0.14856</v>
      </c>
      <c r="I332" s="409">
        <v>1</v>
      </c>
      <c r="J332" s="382"/>
      <c r="K332" s="411">
        <f t="shared" si="44"/>
        <v>0</v>
      </c>
      <c r="L332" s="409"/>
      <c r="M332" s="382"/>
      <c r="N332" s="385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</row>
    <row r="333" spans="1:28" hidden="1" outlineLevel="3">
      <c r="A333" s="382"/>
      <c r="B333" s="382" t="s">
        <v>293</v>
      </c>
      <c r="C333" s="386" t="s">
        <v>294</v>
      </c>
      <c r="D333" s="382" t="s">
        <v>26</v>
      </c>
      <c r="E333" s="382" t="s">
        <v>27</v>
      </c>
      <c r="F333" s="440" t="s">
        <v>287</v>
      </c>
      <c r="G333" s="382"/>
      <c r="H333" s="411">
        <v>1.4856000000000001E-2</v>
      </c>
      <c r="I333" s="409">
        <v>1</v>
      </c>
      <c r="J333" s="382"/>
      <c r="K333" s="411">
        <f t="shared" si="44"/>
        <v>0</v>
      </c>
      <c r="L333" s="409"/>
      <c r="M333" s="382"/>
      <c r="N333" s="385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</row>
    <row r="334" spans="1:28" hidden="1" outlineLevel="2" collapsed="1">
      <c r="A334" s="382"/>
      <c r="B334" s="382" t="s">
        <v>293</v>
      </c>
      <c r="C334" s="386" t="s">
        <v>294</v>
      </c>
      <c r="D334" s="382" t="s">
        <v>28</v>
      </c>
      <c r="E334" s="382"/>
      <c r="F334" s="440" t="s">
        <v>87</v>
      </c>
      <c r="G334" s="382"/>
      <c r="H334" s="411">
        <f>SUM(H335:H339)</f>
        <v>0.14206050000000001</v>
      </c>
      <c r="I334" s="409">
        <f>SUM(I335:I339)</f>
        <v>5</v>
      </c>
      <c r="J334" s="382"/>
      <c r="K334" s="411">
        <f>SUM(K335:K339)</f>
        <v>0</v>
      </c>
      <c r="L334" s="409">
        <f>SUM(L335:L339)</f>
        <v>0</v>
      </c>
      <c r="M334" s="382"/>
      <c r="N334" s="385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</row>
    <row r="335" spans="1:28" hidden="1" outlineLevel="3">
      <c r="A335" s="382"/>
      <c r="B335" s="382" t="s">
        <v>293</v>
      </c>
      <c r="C335" s="386" t="s">
        <v>294</v>
      </c>
      <c r="D335" s="382" t="s">
        <v>28</v>
      </c>
      <c r="E335" s="382" t="s">
        <v>29</v>
      </c>
      <c r="F335" s="442" t="s">
        <v>33</v>
      </c>
      <c r="G335" s="382"/>
      <c r="H335" s="411">
        <v>1.6713000000000002E-2</v>
      </c>
      <c r="I335" s="409">
        <v>1</v>
      </c>
      <c r="J335" s="382"/>
      <c r="K335" s="411">
        <f t="shared" ref="K335:K339" si="45">IF(L335=1,H335,0)</f>
        <v>0</v>
      </c>
      <c r="L335" s="409"/>
      <c r="M335" s="382"/>
      <c r="N335" s="385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</row>
    <row r="336" spans="1:28" hidden="1" outlineLevel="3">
      <c r="A336" s="382"/>
      <c r="B336" s="382" t="s">
        <v>293</v>
      </c>
      <c r="C336" s="386" t="s">
        <v>294</v>
      </c>
      <c r="D336" s="382" t="s">
        <v>28</v>
      </c>
      <c r="E336" s="382" t="s">
        <v>29</v>
      </c>
      <c r="F336" s="442" t="s">
        <v>280</v>
      </c>
      <c r="G336" s="382"/>
      <c r="H336" s="411">
        <v>1.6713000000000002E-2</v>
      </c>
      <c r="I336" s="409">
        <v>1</v>
      </c>
      <c r="J336" s="382"/>
      <c r="K336" s="411">
        <f t="shared" si="45"/>
        <v>0</v>
      </c>
      <c r="L336" s="409"/>
      <c r="M336" s="382"/>
      <c r="N336" s="385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</row>
    <row r="337" spans="1:28" hidden="1" outlineLevel="3">
      <c r="A337" s="382"/>
      <c r="B337" s="382" t="s">
        <v>293</v>
      </c>
      <c r="C337" s="386" t="s">
        <v>294</v>
      </c>
      <c r="D337" s="382" t="s">
        <v>28</v>
      </c>
      <c r="E337" s="382" t="s">
        <v>29</v>
      </c>
      <c r="F337" s="440" t="s">
        <v>281</v>
      </c>
      <c r="G337" s="382"/>
      <c r="H337" s="411">
        <v>5.8495499999999999E-2</v>
      </c>
      <c r="I337" s="409">
        <v>1</v>
      </c>
      <c r="J337" s="382"/>
      <c r="K337" s="411">
        <f t="shared" si="45"/>
        <v>0</v>
      </c>
      <c r="L337" s="409"/>
      <c r="M337" s="382"/>
      <c r="N337" s="385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</row>
    <row r="338" spans="1:28" hidden="1" outlineLevel="3">
      <c r="A338" s="382"/>
      <c r="B338" s="382" t="s">
        <v>293</v>
      </c>
      <c r="C338" s="386" t="s">
        <v>294</v>
      </c>
      <c r="D338" s="382" t="s">
        <v>28</v>
      </c>
      <c r="E338" s="382" t="s">
        <v>29</v>
      </c>
      <c r="F338" s="440" t="s">
        <v>287</v>
      </c>
      <c r="G338" s="382"/>
      <c r="H338" s="411">
        <v>2.5069499999999998E-2</v>
      </c>
      <c r="I338" s="409">
        <v>1</v>
      </c>
      <c r="J338" s="382"/>
      <c r="K338" s="411">
        <f t="shared" si="45"/>
        <v>0</v>
      </c>
      <c r="L338" s="409"/>
      <c r="M338" s="382"/>
      <c r="N338" s="385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</row>
    <row r="339" spans="1:28" hidden="1" outlineLevel="3">
      <c r="A339" s="382"/>
      <c r="B339" s="382" t="s">
        <v>293</v>
      </c>
      <c r="C339" s="386" t="s">
        <v>294</v>
      </c>
      <c r="D339" s="382" t="s">
        <v>28</v>
      </c>
      <c r="E339" s="382" t="s">
        <v>29</v>
      </c>
      <c r="F339" s="440" t="s">
        <v>284</v>
      </c>
      <c r="G339" s="382"/>
      <c r="H339" s="411">
        <v>2.5069499999999998E-2</v>
      </c>
      <c r="I339" s="409">
        <v>1</v>
      </c>
      <c r="J339" s="382"/>
      <c r="K339" s="411">
        <f t="shared" si="45"/>
        <v>0</v>
      </c>
      <c r="L339" s="409"/>
      <c r="M339" s="382"/>
      <c r="N339" s="385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</row>
    <row r="340" spans="1:28" hidden="1" outlineLevel="2" collapsed="1">
      <c r="A340" s="382"/>
      <c r="B340" s="382" t="s">
        <v>293</v>
      </c>
      <c r="C340" s="386" t="s">
        <v>294</v>
      </c>
      <c r="D340" s="382" t="s">
        <v>64</v>
      </c>
      <c r="E340" s="382"/>
      <c r="F340" s="440" t="s">
        <v>87</v>
      </c>
      <c r="G340" s="382"/>
      <c r="H340" s="411">
        <f>SUM(H341:H343)</f>
        <v>8.8207499999999994E-2</v>
      </c>
      <c r="I340" s="409">
        <f>SUM(I341:I343)</f>
        <v>3</v>
      </c>
      <c r="J340" s="382"/>
      <c r="K340" s="411">
        <f>SUM(K341:K343)</f>
        <v>1.857E-2</v>
      </c>
      <c r="L340" s="409">
        <f>SUM(L341:L343)</f>
        <v>1</v>
      </c>
      <c r="M340" s="382"/>
      <c r="N340" s="385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</row>
    <row r="341" spans="1:28" hidden="1" outlineLevel="3">
      <c r="A341" s="382"/>
      <c r="B341" s="382" t="s">
        <v>293</v>
      </c>
      <c r="C341" s="386" t="s">
        <v>294</v>
      </c>
      <c r="D341" s="382" t="s">
        <v>64</v>
      </c>
      <c r="E341" s="382" t="s">
        <v>29</v>
      </c>
      <c r="F341" s="440" t="s">
        <v>279</v>
      </c>
      <c r="G341" s="382"/>
      <c r="H341" s="411">
        <v>1.857E-2</v>
      </c>
      <c r="I341" s="409">
        <v>1</v>
      </c>
      <c r="J341" s="382"/>
      <c r="K341" s="411">
        <f t="shared" ref="K341:K343" si="46">IF(L341=1,H341,0)</f>
        <v>1.857E-2</v>
      </c>
      <c r="L341" s="409">
        <v>1</v>
      </c>
      <c r="M341" s="382"/>
      <c r="N341" s="385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</row>
    <row r="342" spans="1:28" hidden="1" outlineLevel="3">
      <c r="A342" s="382"/>
      <c r="B342" s="382" t="s">
        <v>293</v>
      </c>
      <c r="C342" s="386" t="s">
        <v>294</v>
      </c>
      <c r="D342" s="382" t="s">
        <v>64</v>
      </c>
      <c r="E342" s="382" t="s">
        <v>29</v>
      </c>
      <c r="F342" s="442" t="s">
        <v>280</v>
      </c>
      <c r="G342" s="382"/>
      <c r="H342" s="411">
        <v>1.857E-2</v>
      </c>
      <c r="I342" s="409">
        <v>1</v>
      </c>
      <c r="J342" s="382"/>
      <c r="K342" s="411">
        <f t="shared" si="46"/>
        <v>0</v>
      </c>
      <c r="L342" s="409"/>
      <c r="M342" s="382"/>
      <c r="N342" s="385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</row>
    <row r="343" spans="1:28" hidden="1" outlineLevel="3">
      <c r="A343" s="382"/>
      <c r="B343" s="382" t="s">
        <v>293</v>
      </c>
      <c r="C343" s="386" t="s">
        <v>294</v>
      </c>
      <c r="D343" s="382" t="s">
        <v>64</v>
      </c>
      <c r="E343" s="382" t="s">
        <v>29</v>
      </c>
      <c r="F343" s="440" t="s">
        <v>287</v>
      </c>
      <c r="G343" s="382"/>
      <c r="H343" s="411">
        <v>5.1067500000000002E-2</v>
      </c>
      <c r="I343" s="409">
        <v>1</v>
      </c>
      <c r="J343" s="382"/>
      <c r="K343" s="411">
        <f t="shared" si="46"/>
        <v>0</v>
      </c>
      <c r="L343" s="409"/>
      <c r="M343" s="382"/>
      <c r="N343" s="385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</row>
    <row r="344" spans="1:28" outlineLevel="1" collapsed="1">
      <c r="A344" s="382"/>
      <c r="B344" s="390" t="s">
        <v>297</v>
      </c>
      <c r="C344" s="390" t="s">
        <v>298</v>
      </c>
      <c r="D344" s="395"/>
      <c r="E344" s="390"/>
      <c r="F344" s="442" t="s">
        <v>17</v>
      </c>
      <c r="G344" s="382"/>
      <c r="H344" s="424">
        <f>SUM(H345+H350)</f>
        <v>4.1130000000000003E-3</v>
      </c>
      <c r="I344" s="408">
        <f>SUM(I345+I350+I352)</f>
        <v>6</v>
      </c>
      <c r="J344" s="382"/>
      <c r="K344" s="424">
        <f>SUM(K345+K350)</f>
        <v>0</v>
      </c>
      <c r="L344" s="408">
        <f>SUM(L345+L350+L352)</f>
        <v>0</v>
      </c>
      <c r="M344" s="382"/>
      <c r="N344" s="385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</row>
    <row r="345" spans="1:28" hidden="1" outlineLevel="2" collapsed="1">
      <c r="A345" s="382"/>
      <c r="B345" s="382" t="s">
        <v>297</v>
      </c>
      <c r="C345" s="386" t="s">
        <v>298</v>
      </c>
      <c r="D345" s="382" t="s">
        <v>18</v>
      </c>
      <c r="E345" s="386"/>
      <c r="F345" s="440" t="s">
        <v>87</v>
      </c>
      <c r="G345" s="382"/>
      <c r="H345" s="387">
        <f>SUM(H346:H349)</f>
        <v>4.0000000000000001E-3</v>
      </c>
      <c r="I345" s="388">
        <f>SUM(I346:I349)</f>
        <v>4</v>
      </c>
      <c r="J345" s="382"/>
      <c r="K345" s="387">
        <f>SUM(K346:K349)</f>
        <v>0</v>
      </c>
      <c r="L345" s="388">
        <f>SUM(L346:L349)</f>
        <v>0</v>
      </c>
      <c r="M345" s="382"/>
      <c r="N345" s="385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</row>
    <row r="346" spans="1:28" hidden="1" outlineLevel="3">
      <c r="A346" s="382"/>
      <c r="B346" s="382" t="s">
        <v>297</v>
      </c>
      <c r="C346" s="386" t="s">
        <v>298</v>
      </c>
      <c r="D346" s="382" t="s">
        <v>18</v>
      </c>
      <c r="E346" s="386" t="s">
        <v>286</v>
      </c>
      <c r="F346" s="440" t="s">
        <v>300</v>
      </c>
      <c r="G346" s="382"/>
      <c r="H346" s="411">
        <v>2.0999999999999999E-3</v>
      </c>
      <c r="I346" s="388">
        <v>1</v>
      </c>
      <c r="J346" s="382"/>
      <c r="K346" s="411">
        <f t="shared" ref="K346:K349" si="47">IF(L346=1,H346,0)</f>
        <v>0</v>
      </c>
      <c r="L346" s="388"/>
      <c r="M346" s="382"/>
      <c r="N346" s="385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</row>
    <row r="347" spans="1:28" hidden="1" outlineLevel="3">
      <c r="A347" s="382"/>
      <c r="B347" s="382" t="s">
        <v>297</v>
      </c>
      <c r="C347" s="386" t="s">
        <v>298</v>
      </c>
      <c r="D347" s="382" t="s">
        <v>18</v>
      </c>
      <c r="E347" s="386" t="s">
        <v>286</v>
      </c>
      <c r="F347" s="440" t="s">
        <v>301</v>
      </c>
      <c r="G347" s="382"/>
      <c r="H347" s="411">
        <v>8.7500000000000002E-4</v>
      </c>
      <c r="I347" s="388">
        <v>1</v>
      </c>
      <c r="J347" s="382"/>
      <c r="K347" s="411">
        <f t="shared" si="47"/>
        <v>0</v>
      </c>
      <c r="L347" s="388"/>
      <c r="M347" s="382"/>
      <c r="N347" s="385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</row>
    <row r="348" spans="1:28" hidden="1" outlineLevel="3">
      <c r="A348" s="382"/>
      <c r="B348" s="382" t="s">
        <v>297</v>
      </c>
      <c r="C348" s="386" t="s">
        <v>298</v>
      </c>
      <c r="D348" s="382" t="s">
        <v>18</v>
      </c>
      <c r="E348" s="386" t="s">
        <v>286</v>
      </c>
      <c r="F348" s="440" t="s">
        <v>302</v>
      </c>
      <c r="G348" s="382"/>
      <c r="H348" s="411">
        <v>5.2499999999999997E-4</v>
      </c>
      <c r="I348" s="388">
        <v>1</v>
      </c>
      <c r="J348" s="382"/>
      <c r="K348" s="411">
        <f t="shared" si="47"/>
        <v>0</v>
      </c>
      <c r="L348" s="388"/>
      <c r="M348" s="382"/>
      <c r="N348" s="385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</row>
    <row r="349" spans="1:28" hidden="1" outlineLevel="3">
      <c r="A349" s="382"/>
      <c r="B349" s="382" t="s">
        <v>297</v>
      </c>
      <c r="C349" s="386" t="s">
        <v>298</v>
      </c>
      <c r="D349" s="382" t="s">
        <v>18</v>
      </c>
      <c r="E349" s="386" t="s">
        <v>286</v>
      </c>
      <c r="F349" s="440" t="s">
        <v>303</v>
      </c>
      <c r="G349" s="382"/>
      <c r="H349" s="411">
        <v>5.0000000000000001E-4</v>
      </c>
      <c r="I349" s="388">
        <v>1</v>
      </c>
      <c r="J349" s="382"/>
      <c r="K349" s="411">
        <f t="shared" si="47"/>
        <v>0</v>
      </c>
      <c r="L349" s="388"/>
      <c r="M349" s="382"/>
      <c r="N349" s="385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</row>
    <row r="350" spans="1:28" hidden="1" outlineLevel="2" collapsed="1">
      <c r="A350" s="382"/>
      <c r="B350" s="382" t="s">
        <v>297</v>
      </c>
      <c r="C350" s="386" t="s">
        <v>298</v>
      </c>
      <c r="D350" s="382" t="s">
        <v>64</v>
      </c>
      <c r="E350" s="382"/>
      <c r="F350" s="440" t="s">
        <v>87</v>
      </c>
      <c r="G350" s="382"/>
      <c r="H350" s="387">
        <f>SUM(H351:H351)</f>
        <v>1.13E-4</v>
      </c>
      <c r="I350" s="388">
        <f>SUM(I351:I351)</f>
        <v>1</v>
      </c>
      <c r="J350" s="382"/>
      <c r="K350" s="387">
        <f>SUM(K351:K351)</f>
        <v>0</v>
      </c>
      <c r="L350" s="388">
        <f>SUM(L351:L351)</f>
        <v>0</v>
      </c>
      <c r="M350" s="382"/>
      <c r="N350" s="385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</row>
    <row r="351" spans="1:28" hidden="1" outlineLevel="3">
      <c r="A351" s="382"/>
      <c r="B351" s="382" t="s">
        <v>297</v>
      </c>
      <c r="C351" s="386" t="s">
        <v>298</v>
      </c>
      <c r="D351" s="382" t="s">
        <v>64</v>
      </c>
      <c r="E351" s="382" t="s">
        <v>29</v>
      </c>
      <c r="F351" s="440" t="s">
        <v>304</v>
      </c>
      <c r="G351" s="382"/>
      <c r="H351" s="411">
        <v>1.13E-4</v>
      </c>
      <c r="I351" s="388">
        <v>1</v>
      </c>
      <c r="J351" s="382"/>
      <c r="K351" s="411">
        <f>IF(L351=1,H351,0)</f>
        <v>0</v>
      </c>
      <c r="L351" s="388"/>
      <c r="M351" s="382"/>
      <c r="N351" s="385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</row>
    <row r="352" spans="1:28" hidden="1" outlineLevel="2" collapsed="1">
      <c r="A352" s="382"/>
      <c r="B352" s="382" t="s">
        <v>297</v>
      </c>
      <c r="C352" s="386" t="s">
        <v>298</v>
      </c>
      <c r="D352" s="382" t="s">
        <v>26</v>
      </c>
      <c r="E352" s="386"/>
      <c r="F352" s="440" t="s">
        <v>87</v>
      </c>
      <c r="G352" s="382"/>
      <c r="H352" s="387">
        <f>SUM(H353:H353)</f>
        <v>8.0000000000000004E-4</v>
      </c>
      <c r="I352" s="388">
        <f>SUM(I353:I353)</f>
        <v>1</v>
      </c>
      <c r="J352" s="382"/>
      <c r="K352" s="387">
        <f>SUM(K353:K353)</f>
        <v>0</v>
      </c>
      <c r="L352" s="388">
        <f>SUM(L353:L353)</f>
        <v>0</v>
      </c>
      <c r="M352" s="382"/>
      <c r="N352" s="385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</row>
    <row r="353" spans="1:28" hidden="1" outlineLevel="3">
      <c r="A353" s="382"/>
      <c r="B353" s="382" t="s">
        <v>297</v>
      </c>
      <c r="C353" s="386" t="s">
        <v>298</v>
      </c>
      <c r="D353" s="382" t="s">
        <v>26</v>
      </c>
      <c r="E353" s="386" t="s">
        <v>27</v>
      </c>
      <c r="F353" s="440" t="s">
        <v>303</v>
      </c>
      <c r="G353" s="382"/>
      <c r="H353" s="411">
        <v>8.0000000000000004E-4</v>
      </c>
      <c r="I353" s="388">
        <v>1</v>
      </c>
      <c r="J353" s="382"/>
      <c r="K353" s="411">
        <f>IF(L353=1,H353,0)</f>
        <v>0</v>
      </c>
      <c r="L353" s="388"/>
      <c r="M353" s="382"/>
      <c r="N353" s="385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</row>
    <row r="354" spans="1:28" outlineLevel="1" collapsed="1">
      <c r="A354" s="382"/>
      <c r="B354" s="390" t="s">
        <v>305</v>
      </c>
      <c r="C354" s="390" t="s">
        <v>306</v>
      </c>
      <c r="D354" s="395"/>
      <c r="E354" s="390"/>
      <c r="F354" s="442" t="s">
        <v>264</v>
      </c>
      <c r="G354" s="382"/>
      <c r="H354" s="418">
        <f>SUM(H355,H358,H359,H360)</f>
        <v>0.43996002400000001</v>
      </c>
      <c r="I354" s="408">
        <f>I355+I358+I359+I360</f>
        <v>2</v>
      </c>
      <c r="J354" s="382"/>
      <c r="K354" s="418">
        <f>SUM(K355,K358,K359,K360)</f>
        <v>0</v>
      </c>
      <c r="L354" s="408">
        <f>L355+L358+L359+L360</f>
        <v>0</v>
      </c>
      <c r="M354" s="382"/>
      <c r="N354" s="385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</row>
    <row r="355" spans="1:28" hidden="1" outlineLevel="2" collapsed="1">
      <c r="A355" s="382"/>
      <c r="B355" s="386" t="s">
        <v>305</v>
      </c>
      <c r="C355" s="386" t="s">
        <v>306</v>
      </c>
      <c r="D355" s="382" t="s">
        <v>18</v>
      </c>
      <c r="E355" s="386"/>
      <c r="F355" s="440" t="s">
        <v>87</v>
      </c>
      <c r="G355" s="382"/>
      <c r="H355" s="411">
        <f>SUM(H356:H357)</f>
        <v>0.43996002400000001</v>
      </c>
      <c r="I355" s="409">
        <f>SUM(I356:I357)</f>
        <v>2</v>
      </c>
      <c r="J355" s="382"/>
      <c r="K355" s="411">
        <f>SUM(K356:K357)</f>
        <v>0</v>
      </c>
      <c r="L355" s="409">
        <f>SUM(L356:L357)</f>
        <v>0</v>
      </c>
      <c r="M355" s="382"/>
      <c r="N355" s="385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</row>
    <row r="356" spans="1:28" hidden="1" outlineLevel="3">
      <c r="A356" s="382"/>
      <c r="B356" s="386" t="s">
        <v>305</v>
      </c>
      <c r="C356" s="386" t="s">
        <v>306</v>
      </c>
      <c r="D356" s="382" t="s">
        <v>18</v>
      </c>
      <c r="E356" s="386" t="s">
        <v>144</v>
      </c>
      <c r="F356" s="440" t="s">
        <v>278</v>
      </c>
      <c r="G356" s="382"/>
      <c r="H356" s="411">
        <v>0.17598400959999999</v>
      </c>
      <c r="I356" s="409">
        <v>1</v>
      </c>
      <c r="J356" s="382"/>
      <c r="K356" s="411">
        <f t="shared" ref="K356:K357" si="48">IF(L356=1,H356,0)</f>
        <v>0</v>
      </c>
      <c r="L356" s="409"/>
      <c r="M356" s="382"/>
      <c r="N356" s="385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</row>
    <row r="357" spans="1:28" hidden="1" outlineLevel="3">
      <c r="A357" s="382"/>
      <c r="B357" s="386" t="s">
        <v>305</v>
      </c>
      <c r="C357" s="386" t="s">
        <v>306</v>
      </c>
      <c r="D357" s="382" t="s">
        <v>18</v>
      </c>
      <c r="E357" s="386" t="s">
        <v>144</v>
      </c>
      <c r="F357" s="440" t="s">
        <v>279</v>
      </c>
      <c r="G357" s="382"/>
      <c r="H357" s="411">
        <v>0.26397601440000001</v>
      </c>
      <c r="I357" s="409">
        <v>1</v>
      </c>
      <c r="J357" s="382"/>
      <c r="K357" s="411">
        <f t="shared" si="48"/>
        <v>0</v>
      </c>
      <c r="L357" s="409"/>
      <c r="M357" s="382"/>
      <c r="N357" s="385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</row>
    <row r="358" spans="1:28" hidden="1" outlineLevel="2">
      <c r="A358" s="382"/>
      <c r="B358" s="386" t="s">
        <v>305</v>
      </c>
      <c r="C358" s="386" t="s">
        <v>306</v>
      </c>
      <c r="D358" s="382" t="s">
        <v>26</v>
      </c>
      <c r="E358" s="382"/>
      <c r="F358" s="440" t="s">
        <v>87</v>
      </c>
      <c r="G358" s="382"/>
      <c r="H358" s="411"/>
      <c r="I358" s="409"/>
      <c r="J358" s="382"/>
      <c r="K358" s="411"/>
      <c r="L358" s="409"/>
      <c r="M358" s="382"/>
      <c r="N358" s="385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</row>
    <row r="359" spans="1:28" hidden="1" outlineLevel="2">
      <c r="A359" s="382"/>
      <c r="B359" s="386" t="s">
        <v>305</v>
      </c>
      <c r="C359" s="386" t="s">
        <v>306</v>
      </c>
      <c r="D359" s="382" t="s">
        <v>28</v>
      </c>
      <c r="E359" s="382"/>
      <c r="F359" s="440" t="s">
        <v>87</v>
      </c>
      <c r="G359" s="382"/>
      <c r="H359" s="411"/>
      <c r="I359" s="409"/>
      <c r="J359" s="382"/>
      <c r="K359" s="411"/>
      <c r="L359" s="409"/>
      <c r="M359" s="382"/>
      <c r="N359" s="385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</row>
    <row r="360" spans="1:28" hidden="1" outlineLevel="2">
      <c r="A360" s="382"/>
      <c r="B360" s="386" t="s">
        <v>305</v>
      </c>
      <c r="C360" s="386" t="s">
        <v>306</v>
      </c>
      <c r="D360" s="382" t="s">
        <v>64</v>
      </c>
      <c r="E360" s="382"/>
      <c r="F360" s="440" t="s">
        <v>87</v>
      </c>
      <c r="G360" s="382"/>
      <c r="H360" s="411"/>
      <c r="I360" s="409"/>
      <c r="J360" s="382"/>
      <c r="K360" s="411"/>
      <c r="L360" s="409"/>
      <c r="M360" s="382"/>
      <c r="N360" s="385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</row>
    <row r="361" spans="1:28" outlineLevel="1" collapsed="1">
      <c r="A361" s="382"/>
      <c r="B361" s="403" t="s">
        <v>308</v>
      </c>
      <c r="C361" s="396" t="s">
        <v>309</v>
      </c>
      <c r="D361" s="396"/>
      <c r="E361" s="396"/>
      <c r="F361" s="442" t="s">
        <v>310</v>
      </c>
      <c r="G361" s="382"/>
      <c r="H361" s="422">
        <f>SUM(H362:H365)</f>
        <v>0</v>
      </c>
      <c r="I361" s="423">
        <f>SUM(I362:I366)</f>
        <v>27</v>
      </c>
      <c r="J361" s="382"/>
      <c r="K361" s="422">
        <f>SUM(K362:K365)</f>
        <v>0</v>
      </c>
      <c r="L361" s="423">
        <f>SUM(L362:L366)</f>
        <v>2</v>
      </c>
      <c r="M361" s="382"/>
      <c r="N361" s="385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</row>
    <row r="362" spans="1:28" hidden="1" outlineLevel="2">
      <c r="A362" s="382"/>
      <c r="B362" s="382" t="s">
        <v>200</v>
      </c>
      <c r="C362" s="397" t="s">
        <v>309</v>
      </c>
      <c r="D362" s="382" t="s">
        <v>18</v>
      </c>
      <c r="E362" s="382" t="s">
        <v>311</v>
      </c>
      <c r="F362" s="447" t="s">
        <v>1654</v>
      </c>
      <c r="G362" s="382"/>
      <c r="H362" s="387"/>
      <c r="I362" s="388">
        <v>9</v>
      </c>
      <c r="J362" s="382"/>
      <c r="K362" s="387"/>
      <c r="L362" s="388">
        <v>2</v>
      </c>
      <c r="M362" s="382"/>
      <c r="N362" s="385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</row>
    <row r="363" spans="1:28" hidden="1" outlineLevel="2">
      <c r="A363" s="382"/>
      <c r="B363" s="382" t="s">
        <v>313</v>
      </c>
      <c r="C363" s="397" t="s">
        <v>309</v>
      </c>
      <c r="D363" s="382" t="s">
        <v>18</v>
      </c>
      <c r="E363" s="382" t="s">
        <v>311</v>
      </c>
      <c r="F363" s="440" t="s">
        <v>1655</v>
      </c>
      <c r="G363" s="382"/>
      <c r="H363" s="387"/>
      <c r="I363" s="388">
        <v>9</v>
      </c>
      <c r="J363" s="382"/>
      <c r="K363" s="387"/>
      <c r="L363" s="388"/>
      <c r="M363" s="382"/>
      <c r="N363" s="385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</row>
    <row r="364" spans="1:28" hidden="1" outlineLevel="2">
      <c r="A364" s="382"/>
      <c r="B364" s="382" t="s">
        <v>315</v>
      </c>
      <c r="C364" s="397" t="s">
        <v>309</v>
      </c>
      <c r="D364" s="382" t="s">
        <v>18</v>
      </c>
      <c r="E364" s="382" t="s">
        <v>311</v>
      </c>
      <c r="F364" s="440" t="s">
        <v>1656</v>
      </c>
      <c r="G364" s="382"/>
      <c r="H364" s="387"/>
      <c r="I364" s="388">
        <v>2</v>
      </c>
      <c r="J364" s="382"/>
      <c r="K364" s="387"/>
      <c r="L364" s="388"/>
      <c r="M364" s="382"/>
      <c r="N364" s="385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</row>
    <row r="365" spans="1:28" hidden="1" outlineLevel="2">
      <c r="A365" s="382"/>
      <c r="B365" s="382" t="s">
        <v>317</v>
      </c>
      <c r="C365" s="397" t="s">
        <v>309</v>
      </c>
      <c r="D365" s="382" t="s">
        <v>18</v>
      </c>
      <c r="E365" s="382" t="s">
        <v>311</v>
      </c>
      <c r="F365" s="440" t="s">
        <v>1657</v>
      </c>
      <c r="G365" s="382"/>
      <c r="H365" s="387"/>
      <c r="I365" s="388">
        <v>1</v>
      </c>
      <c r="J365" s="382"/>
      <c r="K365" s="411"/>
      <c r="L365" s="388"/>
      <c r="M365" s="382"/>
      <c r="N365" s="385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</row>
    <row r="366" spans="1:28" hidden="1" outlineLevel="2">
      <c r="A366" s="382"/>
      <c r="B366" s="382" t="s">
        <v>319</v>
      </c>
      <c r="C366" s="397" t="s">
        <v>309</v>
      </c>
      <c r="D366" s="382" t="s">
        <v>18</v>
      </c>
      <c r="E366" s="382" t="s">
        <v>311</v>
      </c>
      <c r="F366" s="440" t="s">
        <v>1658</v>
      </c>
      <c r="G366" s="382"/>
      <c r="H366" s="387"/>
      <c r="I366" s="388">
        <v>6</v>
      </c>
      <c r="J366" s="382"/>
      <c r="K366" s="387"/>
      <c r="L366" s="388"/>
      <c r="M366" s="382"/>
      <c r="N366" s="385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</row>
    <row r="367" spans="1:28" outlineLevel="1" collapsed="1">
      <c r="A367" s="382"/>
      <c r="B367" s="425" t="s">
        <v>322</v>
      </c>
      <c r="C367" s="395" t="s">
        <v>323</v>
      </c>
      <c r="D367" s="395"/>
      <c r="E367" s="395"/>
      <c r="F367" s="442"/>
      <c r="G367" s="382"/>
      <c r="H367" s="424">
        <f>SUM(H368:H368)</f>
        <v>0.4</v>
      </c>
      <c r="I367" s="408">
        <f>SUM(I368)</f>
        <v>1</v>
      </c>
      <c r="J367" s="382"/>
      <c r="K367" s="424">
        <f>SUM(K368:K368)</f>
        <v>0</v>
      </c>
      <c r="L367" s="408">
        <f>SUM(L368)</f>
        <v>0</v>
      </c>
      <c r="M367" s="382"/>
      <c r="N367" s="385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</row>
    <row r="368" spans="1:28" hidden="1" outlineLevel="2">
      <c r="A368" s="382"/>
      <c r="B368" s="382" t="s">
        <v>101</v>
      </c>
      <c r="C368" s="382" t="s">
        <v>102</v>
      </c>
      <c r="D368" s="382" t="s">
        <v>26</v>
      </c>
      <c r="E368" s="382" t="s">
        <v>27</v>
      </c>
      <c r="F368" s="440" t="s">
        <v>324</v>
      </c>
      <c r="G368" s="382"/>
      <c r="H368" s="387">
        <v>0.4</v>
      </c>
      <c r="I368" s="388">
        <v>1</v>
      </c>
      <c r="J368" s="382"/>
      <c r="K368" s="411">
        <f>IF(L368=1,H368,0)</f>
        <v>0</v>
      </c>
      <c r="L368" s="388"/>
      <c r="M368" s="382"/>
      <c r="N368" s="385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</row>
    <row r="369" spans="1:29" ht="3" customHeight="1" outlineLevel="1">
      <c r="A369" s="382"/>
      <c r="B369" s="405"/>
      <c r="C369" s="382"/>
      <c r="D369" s="405"/>
      <c r="E369" s="405"/>
      <c r="F369" s="440"/>
      <c r="G369" s="382"/>
      <c r="H369" s="387"/>
      <c r="I369" s="388"/>
      <c r="J369" s="382"/>
      <c r="K369" s="387"/>
      <c r="L369" s="394"/>
      <c r="M369" s="382"/>
      <c r="N369" s="385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</row>
    <row r="370" spans="1:29" ht="15">
      <c r="A370" s="382"/>
      <c r="B370" s="449" t="s">
        <v>329</v>
      </c>
      <c r="C370" s="450"/>
      <c r="D370" s="449"/>
      <c r="E370" s="449"/>
      <c r="F370" s="451"/>
      <c r="G370" s="382"/>
      <c r="H370" s="543">
        <f>SUM(H372,H387,H400,H415,H433,H444,H595,H455,H480,H498,H513,H540,H546,H552,H557,H570,H582)</f>
        <v>77.146601495601089</v>
      </c>
      <c r="I370" s="527">
        <f>SUM(I372,I387,I400,I415,I433,I444,I595,I455,I480,I498,I513,I540,I546,I552,I557,I570,I582)</f>
        <v>150</v>
      </c>
      <c r="J370" s="382"/>
      <c r="K370" s="543">
        <f>SUM(K372,K387,K400,K415,K433,K444,K595,K455,K480,K498,K513,K540,K546,K552,K557,K570,K582)</f>
        <v>2.6038746026479003</v>
      </c>
      <c r="L370" s="527">
        <f>SUM(L372,L387,L400,L415,L433,L444,L595,L455,L480,L498,L513,L540,L546,L552,L557,L570,L582)</f>
        <v>8</v>
      </c>
      <c r="M370" s="382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</row>
    <row r="371" spans="1:29" ht="3" customHeight="1" outlineLevel="1">
      <c r="A371" s="382"/>
      <c r="B371" s="386"/>
      <c r="C371" s="382"/>
      <c r="D371" s="386"/>
      <c r="E371" s="386"/>
      <c r="F371" s="440"/>
      <c r="G371" s="382"/>
      <c r="H371" s="411"/>
      <c r="I371" s="409"/>
      <c r="J371" s="382"/>
      <c r="K371" s="411"/>
      <c r="L371" s="409"/>
      <c r="M371" s="382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</row>
    <row r="372" spans="1:29" outlineLevel="1" collapsed="1">
      <c r="A372" s="382"/>
      <c r="B372" s="390" t="s">
        <v>330</v>
      </c>
      <c r="C372" s="395" t="s">
        <v>80</v>
      </c>
      <c r="D372" s="390"/>
      <c r="E372" s="390"/>
      <c r="F372" s="442" t="s">
        <v>331</v>
      </c>
      <c r="G372" s="382"/>
      <c r="H372" s="418">
        <f>SUM(H373,H379,H381,H384)</f>
        <v>1.6885800000000002</v>
      </c>
      <c r="I372" s="408">
        <f>SUM(I373,I379,I381,I384)</f>
        <v>10</v>
      </c>
      <c r="J372" s="382"/>
      <c r="K372" s="418">
        <f>SUM(K373,K379,K381,K384)</f>
        <v>0</v>
      </c>
      <c r="L372" s="408">
        <f>SUM(L373,L379,L381,L384)</f>
        <v>0</v>
      </c>
      <c r="M372" s="382"/>
      <c r="N372" s="385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</row>
    <row r="373" spans="1:29" hidden="1" outlineLevel="2" collapsed="1">
      <c r="A373" s="382"/>
      <c r="B373" s="386" t="s">
        <v>330</v>
      </c>
      <c r="C373" s="382" t="s">
        <v>80</v>
      </c>
      <c r="D373" s="382" t="s">
        <v>18</v>
      </c>
      <c r="E373" s="386"/>
      <c r="F373" s="440" t="s">
        <v>333</v>
      </c>
      <c r="G373" s="382"/>
      <c r="H373" s="411">
        <f>SUM(H374:H378)</f>
        <v>1.35</v>
      </c>
      <c r="I373" s="388">
        <f>SUM(I374:I378)</f>
        <v>5</v>
      </c>
      <c r="J373" s="382"/>
      <c r="K373" s="411">
        <f>SUM(K374:K378)</f>
        <v>0</v>
      </c>
      <c r="L373" s="388">
        <f>SUM(L374:L378)</f>
        <v>0</v>
      </c>
      <c r="M373" s="382"/>
      <c r="N373" s="385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</row>
    <row r="374" spans="1:29" hidden="1" outlineLevel="3">
      <c r="A374" s="382"/>
      <c r="B374" s="386" t="s">
        <v>330</v>
      </c>
      <c r="C374" s="382" t="s">
        <v>80</v>
      </c>
      <c r="D374" s="382" t="s">
        <v>18</v>
      </c>
      <c r="E374" s="386" t="s">
        <v>144</v>
      </c>
      <c r="F374" s="440" t="s">
        <v>334</v>
      </c>
      <c r="G374" s="382"/>
      <c r="H374" s="387">
        <v>0.54</v>
      </c>
      <c r="I374" s="388">
        <v>1</v>
      </c>
      <c r="J374" s="382"/>
      <c r="K374" s="411">
        <f t="shared" ref="K374:K378" si="49">IF(L374=1,H374,0)</f>
        <v>0</v>
      </c>
      <c r="L374" s="388"/>
      <c r="M374" s="382"/>
      <c r="N374" s="385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</row>
    <row r="375" spans="1:29" hidden="1" outlineLevel="3">
      <c r="A375" s="382"/>
      <c r="B375" s="386" t="s">
        <v>330</v>
      </c>
      <c r="C375" s="382" t="s">
        <v>80</v>
      </c>
      <c r="D375" s="382" t="s">
        <v>18</v>
      </c>
      <c r="E375" s="386" t="s">
        <v>144</v>
      </c>
      <c r="F375" s="440" t="s">
        <v>32</v>
      </c>
      <c r="G375" s="382"/>
      <c r="H375" s="387">
        <v>0.43</v>
      </c>
      <c r="I375" s="388">
        <v>1</v>
      </c>
      <c r="J375" s="382"/>
      <c r="K375" s="411">
        <f t="shared" si="49"/>
        <v>0</v>
      </c>
      <c r="L375" s="388"/>
      <c r="M375" s="382"/>
      <c r="N375" s="385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</row>
    <row r="376" spans="1:29" hidden="1" outlineLevel="3">
      <c r="A376" s="382"/>
      <c r="B376" s="386" t="s">
        <v>330</v>
      </c>
      <c r="C376" s="382" t="s">
        <v>80</v>
      </c>
      <c r="D376" s="382" t="s">
        <v>18</v>
      </c>
      <c r="E376" s="386" t="s">
        <v>144</v>
      </c>
      <c r="F376" s="440" t="s">
        <v>33</v>
      </c>
      <c r="G376" s="382"/>
      <c r="H376" s="387">
        <v>0.21</v>
      </c>
      <c r="I376" s="388">
        <v>1</v>
      </c>
      <c r="J376" s="382"/>
      <c r="K376" s="411">
        <f t="shared" si="49"/>
        <v>0</v>
      </c>
      <c r="L376" s="388"/>
      <c r="M376" s="382"/>
      <c r="N376" s="385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</row>
    <row r="377" spans="1:29" hidden="1" outlineLevel="3">
      <c r="A377" s="382"/>
      <c r="B377" s="386" t="s">
        <v>330</v>
      </c>
      <c r="C377" s="382" t="s">
        <v>80</v>
      </c>
      <c r="D377" s="382" t="s">
        <v>18</v>
      </c>
      <c r="E377" s="386" t="s">
        <v>204</v>
      </c>
      <c r="F377" s="440" t="s">
        <v>341</v>
      </c>
      <c r="G377" s="382"/>
      <c r="H377" s="411">
        <v>0.11</v>
      </c>
      <c r="I377" s="409">
        <v>1</v>
      </c>
      <c r="J377" s="382"/>
      <c r="K377" s="411">
        <f t="shared" si="49"/>
        <v>0</v>
      </c>
      <c r="L377" s="409"/>
      <c r="M377" s="382"/>
      <c r="N377" s="385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</row>
    <row r="378" spans="1:29" hidden="1" outlineLevel="3">
      <c r="A378" s="382"/>
      <c r="B378" s="386" t="s">
        <v>330</v>
      </c>
      <c r="C378" s="382" t="s">
        <v>80</v>
      </c>
      <c r="D378" s="382" t="s">
        <v>18</v>
      </c>
      <c r="E378" s="386" t="s">
        <v>204</v>
      </c>
      <c r="F378" s="440" t="s">
        <v>342</v>
      </c>
      <c r="G378" s="382"/>
      <c r="H378" s="411">
        <v>0.06</v>
      </c>
      <c r="I378" s="409">
        <v>1</v>
      </c>
      <c r="J378" s="382"/>
      <c r="K378" s="411">
        <f t="shared" si="49"/>
        <v>0</v>
      </c>
      <c r="L378" s="409"/>
      <c r="M378" s="382"/>
      <c r="N378" s="385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</row>
    <row r="379" spans="1:29" hidden="1" outlineLevel="2" collapsed="1">
      <c r="A379" s="382"/>
      <c r="B379" s="386" t="s">
        <v>330</v>
      </c>
      <c r="C379" s="382" t="s">
        <v>80</v>
      </c>
      <c r="D379" s="382" t="s">
        <v>26</v>
      </c>
      <c r="E379" s="382"/>
      <c r="F379" s="440" t="s">
        <v>333</v>
      </c>
      <c r="G379" s="382"/>
      <c r="H379" s="411">
        <f>SUM(H380:H380)</f>
        <v>0.17172000000000001</v>
      </c>
      <c r="I379" s="388">
        <f>SUM(I380:I380)</f>
        <v>1</v>
      </c>
      <c r="J379" s="382"/>
      <c r="K379" s="411">
        <f>SUM(K380:K380)</f>
        <v>0</v>
      </c>
      <c r="L379" s="388">
        <f>SUM(L380:L380)</f>
        <v>0</v>
      </c>
      <c r="M379" s="382"/>
      <c r="N379" s="385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</row>
    <row r="380" spans="1:29" hidden="1" outlineLevel="4">
      <c r="A380" s="382"/>
      <c r="B380" s="386" t="s">
        <v>330</v>
      </c>
      <c r="C380" s="382" t="s">
        <v>80</v>
      </c>
      <c r="D380" s="382" t="s">
        <v>26</v>
      </c>
      <c r="E380" s="382" t="s">
        <v>27</v>
      </c>
      <c r="F380" s="446" t="s">
        <v>32</v>
      </c>
      <c r="G380" s="382"/>
      <c r="H380" s="387">
        <v>0.17172000000000001</v>
      </c>
      <c r="I380" s="388">
        <v>1</v>
      </c>
      <c r="J380" s="382"/>
      <c r="K380" s="411">
        <f>IF(L380=1,H380,0)</f>
        <v>0</v>
      </c>
      <c r="L380" s="388"/>
      <c r="M380" s="382"/>
      <c r="N380" s="385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</row>
    <row r="381" spans="1:29" hidden="1" outlineLevel="2" collapsed="1">
      <c r="A381" s="382"/>
      <c r="B381" s="386" t="s">
        <v>330</v>
      </c>
      <c r="C381" s="382" t="s">
        <v>80</v>
      </c>
      <c r="D381" s="382" t="s">
        <v>28</v>
      </c>
      <c r="E381" s="382"/>
      <c r="F381" s="440" t="s">
        <v>333</v>
      </c>
      <c r="G381" s="382"/>
      <c r="H381" s="411">
        <f>SUM(H382:H383)</f>
        <v>9.5579999999999998E-2</v>
      </c>
      <c r="I381" s="388">
        <f>SUM(I382:I383)</f>
        <v>2</v>
      </c>
      <c r="J381" s="382"/>
      <c r="K381" s="411">
        <f>SUM(K382:K383)</f>
        <v>0</v>
      </c>
      <c r="L381" s="388">
        <f>SUM(L382:L383)</f>
        <v>0</v>
      </c>
      <c r="M381" s="382"/>
      <c r="N381" s="385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</row>
    <row r="382" spans="1:29" hidden="1" outlineLevel="4">
      <c r="A382" s="382"/>
      <c r="B382" s="386" t="s">
        <v>330</v>
      </c>
      <c r="C382" s="382" t="s">
        <v>80</v>
      </c>
      <c r="D382" s="382" t="s">
        <v>28</v>
      </c>
      <c r="E382" s="382" t="s">
        <v>29</v>
      </c>
      <c r="F382" s="440" t="s">
        <v>32</v>
      </c>
      <c r="G382" s="382"/>
      <c r="H382" s="387">
        <v>6.3719999999999999E-2</v>
      </c>
      <c r="I382" s="388">
        <v>1</v>
      </c>
      <c r="J382" s="382"/>
      <c r="K382" s="411">
        <f t="shared" ref="K382:K383" si="50">IF(L382=1,H382,0)</f>
        <v>0</v>
      </c>
      <c r="L382" s="388"/>
      <c r="M382" s="382"/>
      <c r="N382" s="385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</row>
    <row r="383" spans="1:29" hidden="1" outlineLevel="4">
      <c r="A383" s="382"/>
      <c r="B383" s="386" t="s">
        <v>330</v>
      </c>
      <c r="C383" s="382" t="s">
        <v>80</v>
      </c>
      <c r="D383" s="382" t="s">
        <v>28</v>
      </c>
      <c r="E383" s="382" t="s">
        <v>29</v>
      </c>
      <c r="F383" s="440" t="s">
        <v>33</v>
      </c>
      <c r="G383" s="382"/>
      <c r="H383" s="387">
        <v>3.1859999999999999E-2</v>
      </c>
      <c r="I383" s="388">
        <v>1</v>
      </c>
      <c r="J383" s="382"/>
      <c r="K383" s="411">
        <f t="shared" si="50"/>
        <v>0</v>
      </c>
      <c r="L383" s="388"/>
      <c r="M383" s="382"/>
      <c r="N383" s="385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</row>
    <row r="384" spans="1:29" hidden="1" outlineLevel="2" collapsed="1">
      <c r="A384" s="382"/>
      <c r="B384" s="386" t="s">
        <v>330</v>
      </c>
      <c r="C384" s="382" t="s">
        <v>80</v>
      </c>
      <c r="D384" s="382" t="s">
        <v>64</v>
      </c>
      <c r="E384" s="382"/>
      <c r="F384" s="440" t="s">
        <v>333</v>
      </c>
      <c r="G384" s="382"/>
      <c r="H384" s="411">
        <f>SUM(H385:H386)</f>
        <v>7.1279999999999996E-2</v>
      </c>
      <c r="I384" s="388">
        <f>SUM(I385:I386)</f>
        <v>2</v>
      </c>
      <c r="J384" s="382"/>
      <c r="K384" s="411">
        <f>SUM(K385:K386)</f>
        <v>0</v>
      </c>
      <c r="L384" s="388">
        <f>SUM(L385:L386)</f>
        <v>0</v>
      </c>
      <c r="M384" s="382"/>
      <c r="N384" s="385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</row>
    <row r="385" spans="1:28" hidden="1" outlineLevel="4">
      <c r="A385" s="382"/>
      <c r="B385" s="386" t="s">
        <v>330</v>
      </c>
      <c r="C385" s="382" t="s">
        <v>80</v>
      </c>
      <c r="D385" s="382" t="s">
        <v>64</v>
      </c>
      <c r="E385" s="382" t="s">
        <v>29</v>
      </c>
      <c r="F385" s="440" t="s">
        <v>32</v>
      </c>
      <c r="G385" s="382"/>
      <c r="H385" s="387">
        <v>5.3460000000000001E-2</v>
      </c>
      <c r="I385" s="717">
        <v>1</v>
      </c>
      <c r="J385" s="382"/>
      <c r="K385" s="411">
        <f t="shared" ref="K385:K386" si="51">IF(L385=1,H385,0)</f>
        <v>0</v>
      </c>
      <c r="L385" s="717"/>
      <c r="M385" s="382"/>
      <c r="N385" s="385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</row>
    <row r="386" spans="1:28" hidden="1" outlineLevel="4">
      <c r="A386" s="382"/>
      <c r="B386" s="386" t="s">
        <v>330</v>
      </c>
      <c r="C386" s="382" t="s">
        <v>80</v>
      </c>
      <c r="D386" s="382" t="s">
        <v>64</v>
      </c>
      <c r="E386" s="382" t="s">
        <v>29</v>
      </c>
      <c r="F386" s="440" t="s">
        <v>33</v>
      </c>
      <c r="G386" s="382"/>
      <c r="H386" s="387">
        <v>1.7819999999999999E-2</v>
      </c>
      <c r="I386" s="717">
        <v>1</v>
      </c>
      <c r="J386" s="382"/>
      <c r="K386" s="411">
        <f t="shared" si="51"/>
        <v>0</v>
      </c>
      <c r="L386" s="717"/>
      <c r="M386" s="382"/>
      <c r="N386" s="385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</row>
    <row r="387" spans="1:28" ht="26.45" outlineLevel="1" collapsed="1">
      <c r="A387" s="382"/>
      <c r="B387" s="390" t="s">
        <v>349</v>
      </c>
      <c r="C387" s="390" t="s">
        <v>30</v>
      </c>
      <c r="D387" s="390"/>
      <c r="E387" s="390"/>
      <c r="F387" s="442" t="s">
        <v>350</v>
      </c>
      <c r="G387" s="382"/>
      <c r="H387" s="424">
        <f>SUM(H388,H392,H394,H397)</f>
        <v>0.77324456000000008</v>
      </c>
      <c r="I387" s="408">
        <f>SUM(I388,I392,I394,I397)</f>
        <v>8</v>
      </c>
      <c r="J387" s="382"/>
      <c r="K387" s="424">
        <f>SUM(K388,K392,K394,K397)</f>
        <v>0</v>
      </c>
      <c r="L387" s="408">
        <f>SUM(L388,L392,L394,L397)</f>
        <v>0</v>
      </c>
      <c r="M387" s="382"/>
      <c r="N387" s="385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</row>
    <row r="388" spans="1:28" hidden="1" outlineLevel="2" collapsed="1">
      <c r="A388" s="382"/>
      <c r="B388" s="382" t="s">
        <v>349</v>
      </c>
      <c r="C388" s="386" t="s">
        <v>30</v>
      </c>
      <c r="D388" s="382" t="s">
        <v>18</v>
      </c>
      <c r="E388" s="386"/>
      <c r="F388" s="440" t="s">
        <v>352</v>
      </c>
      <c r="G388" s="382"/>
      <c r="H388" s="411">
        <f>SUM(H389:H391)</f>
        <v>0.61820000000000008</v>
      </c>
      <c r="I388" s="409">
        <f>SUM(I389:I391)</f>
        <v>3</v>
      </c>
      <c r="J388" s="382"/>
      <c r="K388" s="411">
        <f>SUM(K389:K391)</f>
        <v>0</v>
      </c>
      <c r="L388" s="409">
        <f>SUM(L389:L391)</f>
        <v>0</v>
      </c>
      <c r="M388" s="382"/>
      <c r="N388" s="385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</row>
    <row r="389" spans="1:28" hidden="1" outlineLevel="3">
      <c r="A389" s="382"/>
      <c r="B389" s="382" t="s">
        <v>349</v>
      </c>
      <c r="C389" s="386" t="s">
        <v>30</v>
      </c>
      <c r="D389" s="382" t="s">
        <v>18</v>
      </c>
      <c r="E389" s="386" t="s">
        <v>72</v>
      </c>
      <c r="F389" s="440" t="s">
        <v>334</v>
      </c>
      <c r="G389" s="382"/>
      <c r="H389" s="411">
        <v>0.24728000000000006</v>
      </c>
      <c r="I389" s="409">
        <v>1</v>
      </c>
      <c r="J389" s="382"/>
      <c r="K389" s="411">
        <f t="shared" ref="K389:K391" si="52">IF(L389=1,H389,0)</f>
        <v>0</v>
      </c>
      <c r="L389" s="409"/>
      <c r="M389" s="382"/>
      <c r="N389" s="385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</row>
    <row r="390" spans="1:28" hidden="1" outlineLevel="3">
      <c r="A390" s="382"/>
      <c r="B390" s="382" t="s">
        <v>349</v>
      </c>
      <c r="C390" s="386" t="s">
        <v>30</v>
      </c>
      <c r="D390" s="382" t="s">
        <v>18</v>
      </c>
      <c r="E390" s="386" t="s">
        <v>72</v>
      </c>
      <c r="F390" s="440" t="s">
        <v>32</v>
      </c>
      <c r="G390" s="382"/>
      <c r="H390" s="411">
        <v>0.24728000000000006</v>
      </c>
      <c r="I390" s="409">
        <v>1</v>
      </c>
      <c r="J390" s="382"/>
      <c r="K390" s="411">
        <f t="shared" si="52"/>
        <v>0</v>
      </c>
      <c r="L390" s="409"/>
      <c r="M390" s="382"/>
      <c r="N390" s="385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</row>
    <row r="391" spans="1:28" hidden="1" outlineLevel="3">
      <c r="A391" s="382"/>
      <c r="B391" s="382" t="s">
        <v>349</v>
      </c>
      <c r="C391" s="386" t="s">
        <v>30</v>
      </c>
      <c r="D391" s="382" t="s">
        <v>18</v>
      </c>
      <c r="E391" s="382" t="s">
        <v>72</v>
      </c>
      <c r="F391" s="440" t="s">
        <v>33</v>
      </c>
      <c r="G391" s="382"/>
      <c r="H391" s="411">
        <v>0.12364000000000003</v>
      </c>
      <c r="I391" s="409">
        <v>1</v>
      </c>
      <c r="J391" s="382"/>
      <c r="K391" s="411">
        <f t="shared" si="52"/>
        <v>0</v>
      </c>
      <c r="L391" s="409"/>
      <c r="M391" s="382"/>
      <c r="N391" s="385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</row>
    <row r="392" spans="1:28" hidden="1" outlineLevel="2" collapsed="1">
      <c r="A392" s="382"/>
      <c r="B392" s="382" t="s">
        <v>349</v>
      </c>
      <c r="C392" s="386" t="s">
        <v>30</v>
      </c>
      <c r="D392" s="382" t="s">
        <v>26</v>
      </c>
      <c r="E392" s="382"/>
      <c r="F392" s="440" t="s">
        <v>360</v>
      </c>
      <c r="G392" s="382"/>
      <c r="H392" s="411">
        <f>SUM(H393:H393)</f>
        <v>7.8635040000000003E-2</v>
      </c>
      <c r="I392" s="409">
        <f>SUM(I393:I393)</f>
        <v>1</v>
      </c>
      <c r="J392" s="382"/>
      <c r="K392" s="411">
        <f>SUM(K393:K393)</f>
        <v>0</v>
      </c>
      <c r="L392" s="409">
        <f>SUM(L393:L393)</f>
        <v>0</v>
      </c>
      <c r="M392" s="382"/>
      <c r="N392" s="385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</row>
    <row r="393" spans="1:28" hidden="1" outlineLevel="3">
      <c r="A393" s="382"/>
      <c r="B393" s="382" t="s">
        <v>349</v>
      </c>
      <c r="C393" s="386" t="s">
        <v>30</v>
      </c>
      <c r="D393" s="382" t="s">
        <v>26</v>
      </c>
      <c r="E393" s="382" t="s">
        <v>27</v>
      </c>
      <c r="F393" s="440" t="s">
        <v>32</v>
      </c>
      <c r="G393" s="382"/>
      <c r="H393" s="411">
        <v>7.8635040000000003E-2</v>
      </c>
      <c r="I393" s="409">
        <v>1</v>
      </c>
      <c r="J393" s="382"/>
      <c r="K393" s="411">
        <f>IF(L393=1,H393,0)</f>
        <v>0</v>
      </c>
      <c r="L393" s="409"/>
      <c r="M393" s="382"/>
      <c r="N393" s="385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</row>
    <row r="394" spans="1:28" hidden="1" outlineLevel="2" collapsed="1">
      <c r="A394" s="382"/>
      <c r="B394" s="382" t="s">
        <v>349</v>
      </c>
      <c r="C394" s="386" t="s">
        <v>30</v>
      </c>
      <c r="D394" s="382" t="s">
        <v>28</v>
      </c>
      <c r="E394" s="382"/>
      <c r="F394" s="440" t="s">
        <v>361</v>
      </c>
      <c r="G394" s="382"/>
      <c r="H394" s="387">
        <f>SUM(H395:H396)</f>
        <v>4.3768560000000005E-2</v>
      </c>
      <c r="I394" s="388">
        <f>SUM(I395:I396)</f>
        <v>2</v>
      </c>
      <c r="J394" s="382"/>
      <c r="K394" s="387">
        <f>SUM(K395:K396)</f>
        <v>0</v>
      </c>
      <c r="L394" s="388">
        <f>SUM(L395:L396)</f>
        <v>0</v>
      </c>
      <c r="M394" s="382"/>
      <c r="N394" s="385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</row>
    <row r="395" spans="1:28" hidden="1" outlineLevel="3" collapsed="1">
      <c r="A395" s="382"/>
      <c r="B395" s="382" t="s">
        <v>349</v>
      </c>
      <c r="C395" s="386" t="s">
        <v>30</v>
      </c>
      <c r="D395" s="382" t="s">
        <v>28</v>
      </c>
      <c r="E395" s="382" t="s">
        <v>29</v>
      </c>
      <c r="F395" s="440" t="s">
        <v>32</v>
      </c>
      <c r="G395" s="382"/>
      <c r="H395" s="411">
        <v>2.9179040000000003E-2</v>
      </c>
      <c r="I395" s="409">
        <v>1</v>
      </c>
      <c r="J395" s="382"/>
      <c r="K395" s="411">
        <f t="shared" ref="K395:K396" si="53">IF(L395=1,H395,0)</f>
        <v>0</v>
      </c>
      <c r="L395" s="409"/>
      <c r="M395" s="382"/>
      <c r="N395" s="385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</row>
    <row r="396" spans="1:28" hidden="1" outlineLevel="3">
      <c r="A396" s="382"/>
      <c r="B396" s="382" t="s">
        <v>349</v>
      </c>
      <c r="C396" s="386" t="s">
        <v>30</v>
      </c>
      <c r="D396" s="382" t="s">
        <v>28</v>
      </c>
      <c r="E396" s="382" t="s">
        <v>29</v>
      </c>
      <c r="F396" s="440" t="s">
        <v>33</v>
      </c>
      <c r="G396" s="382"/>
      <c r="H396" s="387">
        <v>1.4589520000000002E-2</v>
      </c>
      <c r="I396" s="388">
        <v>1</v>
      </c>
      <c r="J396" s="382"/>
      <c r="K396" s="411">
        <f t="shared" si="53"/>
        <v>0</v>
      </c>
      <c r="L396" s="388"/>
      <c r="M396" s="382"/>
      <c r="N396" s="385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</row>
    <row r="397" spans="1:28" hidden="1" outlineLevel="2" collapsed="1">
      <c r="A397" s="382"/>
      <c r="B397" s="382" t="s">
        <v>349</v>
      </c>
      <c r="C397" s="386" t="s">
        <v>30</v>
      </c>
      <c r="D397" s="382" t="s">
        <v>64</v>
      </c>
      <c r="E397" s="382"/>
      <c r="F397" s="440" t="s">
        <v>361</v>
      </c>
      <c r="G397" s="382"/>
      <c r="H397" s="411">
        <f>SUM(H398:H399)</f>
        <v>3.2640960000000004E-2</v>
      </c>
      <c r="I397" s="409">
        <f>SUM(I398:I399)</f>
        <v>2</v>
      </c>
      <c r="J397" s="382"/>
      <c r="K397" s="411">
        <f>SUM(K398:K399)</f>
        <v>0</v>
      </c>
      <c r="L397" s="409">
        <f>SUM(L398:L399)</f>
        <v>0</v>
      </c>
      <c r="M397" s="382"/>
      <c r="N397" s="385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</row>
    <row r="398" spans="1:28" hidden="1" outlineLevel="3">
      <c r="A398" s="382"/>
      <c r="B398" s="382" t="s">
        <v>349</v>
      </c>
      <c r="C398" s="386" t="s">
        <v>30</v>
      </c>
      <c r="D398" s="382" t="s">
        <v>64</v>
      </c>
      <c r="E398" s="382" t="s">
        <v>29</v>
      </c>
      <c r="F398" s="440" t="s">
        <v>32</v>
      </c>
      <c r="G398" s="382"/>
      <c r="H398" s="411">
        <v>2.4480720000000001E-2</v>
      </c>
      <c r="I398" s="409">
        <v>1</v>
      </c>
      <c r="J398" s="382"/>
      <c r="K398" s="411">
        <f t="shared" ref="K398:K399" si="54">IF(L398=1,H398,0)</f>
        <v>0</v>
      </c>
      <c r="L398" s="409"/>
      <c r="M398" s="382"/>
      <c r="N398" s="385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</row>
    <row r="399" spans="1:28" hidden="1" outlineLevel="3">
      <c r="A399" s="382"/>
      <c r="B399" s="382" t="s">
        <v>349</v>
      </c>
      <c r="C399" s="386" t="s">
        <v>30</v>
      </c>
      <c r="D399" s="382" t="s">
        <v>64</v>
      </c>
      <c r="E399" s="382" t="s">
        <v>29</v>
      </c>
      <c r="F399" s="440" t="s">
        <v>33</v>
      </c>
      <c r="G399" s="382"/>
      <c r="H399" s="411">
        <v>8.1602400000000009E-3</v>
      </c>
      <c r="I399" s="409">
        <v>1</v>
      </c>
      <c r="J399" s="382"/>
      <c r="K399" s="411">
        <f t="shared" si="54"/>
        <v>0</v>
      </c>
      <c r="L399" s="409"/>
      <c r="M399" s="382"/>
      <c r="N399" s="385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</row>
    <row r="400" spans="1:28" s="401" customFormat="1" ht="26.45" outlineLevel="1" collapsed="1">
      <c r="A400" s="395"/>
      <c r="B400" s="396" t="s">
        <v>362</v>
      </c>
      <c r="C400" s="396" t="s">
        <v>363</v>
      </c>
      <c r="D400" s="396"/>
      <c r="E400" s="396"/>
      <c r="F400" s="445" t="s">
        <v>364</v>
      </c>
      <c r="G400" s="395"/>
      <c r="H400" s="418">
        <f>H401+H405+H408+H412</f>
        <v>14.203906041162936</v>
      </c>
      <c r="I400" s="423">
        <f>I401+I405+I408+I412</f>
        <v>10</v>
      </c>
      <c r="J400" s="395"/>
      <c r="K400" s="418">
        <f>K401+K405+K408+K412</f>
        <v>0</v>
      </c>
      <c r="L400" s="423">
        <f>L401+L405+L408+L412</f>
        <v>0</v>
      </c>
      <c r="M400" s="395"/>
      <c r="N400" s="385"/>
      <c r="O400" s="389"/>
      <c r="P400" s="400"/>
      <c r="Q400" s="400"/>
      <c r="R400" s="400"/>
      <c r="S400" s="400"/>
      <c r="T400" s="400"/>
      <c r="U400" s="400"/>
      <c r="V400" s="400"/>
      <c r="W400" s="400"/>
      <c r="X400" s="400"/>
      <c r="Y400" s="400"/>
      <c r="Z400" s="400"/>
      <c r="AA400" s="400"/>
      <c r="AB400" s="400"/>
    </row>
    <row r="401" spans="1:28" hidden="1" outlineLevel="2" collapsed="1">
      <c r="A401" s="382"/>
      <c r="B401" s="386" t="s">
        <v>362</v>
      </c>
      <c r="C401" s="382" t="s">
        <v>363</v>
      </c>
      <c r="D401" s="382" t="s">
        <v>18</v>
      </c>
      <c r="E401" s="386"/>
      <c r="F401" s="440" t="s">
        <v>366</v>
      </c>
      <c r="G401" s="382"/>
      <c r="H401" s="411">
        <f>SUM(H402:H404)</f>
        <v>8.7813947704253064</v>
      </c>
      <c r="I401" s="409">
        <f>SUM(I402:I404)</f>
        <v>3</v>
      </c>
      <c r="J401" s="382"/>
      <c r="K401" s="411">
        <f>SUM(K402:K404)</f>
        <v>0</v>
      </c>
      <c r="L401" s="409">
        <f>SUM(L402:L404)</f>
        <v>0</v>
      </c>
      <c r="M401" s="382"/>
      <c r="N401" s="385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</row>
    <row r="402" spans="1:28" hidden="1" outlineLevel="3">
      <c r="A402" s="382"/>
      <c r="B402" s="386" t="s">
        <v>362</v>
      </c>
      <c r="C402" s="382" t="s">
        <v>363</v>
      </c>
      <c r="D402" s="382" t="s">
        <v>18</v>
      </c>
      <c r="E402" s="386" t="s">
        <v>144</v>
      </c>
      <c r="F402" s="440" t="s">
        <v>34</v>
      </c>
      <c r="G402" s="382"/>
      <c r="H402" s="411">
        <v>4.3906973852126532</v>
      </c>
      <c r="I402" s="409">
        <v>1</v>
      </c>
      <c r="J402" s="382"/>
      <c r="K402" s="411">
        <f t="shared" ref="K402:K404" si="55">IF(L402=1,H402,0)</f>
        <v>0</v>
      </c>
      <c r="L402" s="409"/>
      <c r="M402" s="382"/>
      <c r="N402" s="385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</row>
    <row r="403" spans="1:28" hidden="1" outlineLevel="3">
      <c r="A403" s="382"/>
      <c r="B403" s="386" t="s">
        <v>362</v>
      </c>
      <c r="C403" s="382" t="s">
        <v>363</v>
      </c>
      <c r="D403" s="382" t="s">
        <v>18</v>
      </c>
      <c r="E403" s="386" t="s">
        <v>144</v>
      </c>
      <c r="F403" s="440" t="s">
        <v>197</v>
      </c>
      <c r="G403" s="382"/>
      <c r="H403" s="411">
        <v>2.1953486926063266</v>
      </c>
      <c r="I403" s="409">
        <v>1</v>
      </c>
      <c r="J403" s="382"/>
      <c r="K403" s="411">
        <f t="shared" si="55"/>
        <v>0</v>
      </c>
      <c r="L403" s="409"/>
      <c r="M403" s="382"/>
      <c r="N403" s="385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</row>
    <row r="404" spans="1:28" hidden="1" outlineLevel="3">
      <c r="A404" s="382"/>
      <c r="B404" s="386" t="s">
        <v>362</v>
      </c>
      <c r="C404" s="382" t="s">
        <v>363</v>
      </c>
      <c r="D404" s="382" t="s">
        <v>18</v>
      </c>
      <c r="E404" s="386" t="s">
        <v>144</v>
      </c>
      <c r="F404" s="440" t="s">
        <v>335</v>
      </c>
      <c r="G404" s="382"/>
      <c r="H404" s="411">
        <v>2.1953486926063266</v>
      </c>
      <c r="I404" s="409">
        <v>1</v>
      </c>
      <c r="J404" s="382"/>
      <c r="K404" s="411">
        <f t="shared" si="55"/>
        <v>0</v>
      </c>
      <c r="L404" s="409"/>
      <c r="M404" s="382"/>
      <c r="N404" s="385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</row>
    <row r="405" spans="1:28" hidden="1" outlineLevel="2" collapsed="1">
      <c r="A405" s="382"/>
      <c r="B405" s="386" t="s">
        <v>362</v>
      </c>
      <c r="C405" s="382" t="s">
        <v>363</v>
      </c>
      <c r="D405" s="382" t="s">
        <v>26</v>
      </c>
      <c r="E405" s="382"/>
      <c r="F405" s="440" t="s">
        <v>366</v>
      </c>
      <c r="G405" s="382"/>
      <c r="H405" s="411">
        <f>SUM(H406:H407)</f>
        <v>3.257897459827789</v>
      </c>
      <c r="I405" s="409">
        <f>SUM(I406:I407)</f>
        <v>2</v>
      </c>
      <c r="J405" s="382"/>
      <c r="K405" s="411">
        <f>SUM(K406:K407)</f>
        <v>0</v>
      </c>
      <c r="L405" s="409">
        <f>SUM(L406:L407)</f>
        <v>0</v>
      </c>
      <c r="M405" s="382"/>
      <c r="N405" s="385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</row>
    <row r="406" spans="1:28" hidden="1" outlineLevel="3">
      <c r="A406" s="382"/>
      <c r="B406" s="386" t="s">
        <v>362</v>
      </c>
      <c r="C406" s="382" t="s">
        <v>363</v>
      </c>
      <c r="D406" s="382" t="s">
        <v>26</v>
      </c>
      <c r="E406" s="382" t="s">
        <v>27</v>
      </c>
      <c r="F406" s="446" t="s">
        <v>32</v>
      </c>
      <c r="G406" s="382"/>
      <c r="H406" s="411">
        <v>1.3962417684976238</v>
      </c>
      <c r="I406" s="409">
        <v>1</v>
      </c>
      <c r="J406" s="382"/>
      <c r="K406" s="411">
        <f t="shared" ref="K406:K407" si="56">IF(L406=1,H406,0)</f>
        <v>0</v>
      </c>
      <c r="L406" s="409"/>
      <c r="M406" s="382"/>
      <c r="N406" s="385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</row>
    <row r="407" spans="1:28" hidden="1" outlineLevel="3">
      <c r="A407" s="382"/>
      <c r="B407" s="386" t="s">
        <v>362</v>
      </c>
      <c r="C407" s="382" t="s">
        <v>363</v>
      </c>
      <c r="D407" s="382" t="s">
        <v>26</v>
      </c>
      <c r="E407" s="382" t="s">
        <v>27</v>
      </c>
      <c r="F407" s="440" t="s">
        <v>34</v>
      </c>
      <c r="G407" s="382"/>
      <c r="H407" s="411">
        <v>1.8616556913301652</v>
      </c>
      <c r="I407" s="409">
        <v>1</v>
      </c>
      <c r="J407" s="382"/>
      <c r="K407" s="411">
        <f t="shared" si="56"/>
        <v>0</v>
      </c>
      <c r="L407" s="409"/>
      <c r="M407" s="382"/>
      <c r="N407" s="385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</row>
    <row r="408" spans="1:28" hidden="1" outlineLevel="2" collapsed="1">
      <c r="A408" s="382"/>
      <c r="B408" s="386" t="s">
        <v>362</v>
      </c>
      <c r="C408" s="382" t="s">
        <v>363</v>
      </c>
      <c r="D408" s="382" t="s">
        <v>28</v>
      </c>
      <c r="E408" s="382"/>
      <c r="F408" s="440" t="s">
        <v>366</v>
      </c>
      <c r="G408" s="382"/>
      <c r="H408" s="411">
        <f>SUM(H409:H411)</f>
        <v>1.2952557286377333</v>
      </c>
      <c r="I408" s="388">
        <f>SUM(I409:I411)</f>
        <v>3</v>
      </c>
      <c r="J408" s="382"/>
      <c r="K408" s="411">
        <f>SUM(K409:K411)</f>
        <v>0</v>
      </c>
      <c r="L408" s="388">
        <f>SUM(L409:L411)</f>
        <v>0</v>
      </c>
      <c r="M408" s="382"/>
      <c r="N408" s="385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</row>
    <row r="409" spans="1:28" hidden="1" outlineLevel="3">
      <c r="A409" s="382"/>
      <c r="B409" s="386" t="s">
        <v>362</v>
      </c>
      <c r="C409" s="382" t="s">
        <v>363</v>
      </c>
      <c r="D409" s="382" t="s">
        <v>28</v>
      </c>
      <c r="E409" s="382" t="s">
        <v>29</v>
      </c>
      <c r="F409" s="440" t="s">
        <v>32</v>
      </c>
      <c r="G409" s="382"/>
      <c r="H409" s="411">
        <v>0.51810229145509312</v>
      </c>
      <c r="I409" s="409">
        <v>1</v>
      </c>
      <c r="J409" s="382"/>
      <c r="K409" s="411">
        <f t="shared" ref="K409:K411" si="57">IF(L409=1,H409,0)</f>
        <v>0</v>
      </c>
      <c r="L409" s="409"/>
      <c r="M409" s="382"/>
      <c r="N409" s="385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</row>
    <row r="410" spans="1:28" hidden="1" outlineLevel="3">
      <c r="A410" s="382"/>
      <c r="B410" s="386" t="s">
        <v>362</v>
      </c>
      <c r="C410" s="382" t="s">
        <v>363</v>
      </c>
      <c r="D410" s="382" t="s">
        <v>28</v>
      </c>
      <c r="E410" s="382" t="s">
        <v>29</v>
      </c>
      <c r="F410" s="440" t="s">
        <v>34</v>
      </c>
      <c r="G410" s="382"/>
      <c r="H410" s="411">
        <v>0.51810229145509312</v>
      </c>
      <c r="I410" s="409">
        <v>1</v>
      </c>
      <c r="J410" s="382"/>
      <c r="K410" s="411">
        <f t="shared" si="57"/>
        <v>0</v>
      </c>
      <c r="L410" s="409"/>
      <c r="M410" s="382"/>
      <c r="N410" s="385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</row>
    <row r="411" spans="1:28" hidden="1" outlineLevel="3">
      <c r="A411" s="382"/>
      <c r="B411" s="386" t="s">
        <v>362</v>
      </c>
      <c r="C411" s="382" t="s">
        <v>363</v>
      </c>
      <c r="D411" s="382" t="s">
        <v>28</v>
      </c>
      <c r="E411" s="382" t="s">
        <v>29</v>
      </c>
      <c r="F411" s="440" t="s">
        <v>197</v>
      </c>
      <c r="G411" s="382"/>
      <c r="H411" s="411">
        <v>0.25905114572754701</v>
      </c>
      <c r="I411" s="409">
        <v>1</v>
      </c>
      <c r="J411" s="382"/>
      <c r="K411" s="411">
        <f t="shared" si="57"/>
        <v>0</v>
      </c>
      <c r="L411" s="409"/>
      <c r="M411" s="382"/>
      <c r="N411" s="385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</row>
    <row r="412" spans="1:28" hidden="1" outlineLevel="2" collapsed="1">
      <c r="A412" s="382"/>
      <c r="B412" s="386" t="s">
        <v>362</v>
      </c>
      <c r="C412" s="382" t="s">
        <v>363</v>
      </c>
      <c r="D412" s="382" t="s">
        <v>64</v>
      </c>
      <c r="E412" s="382"/>
      <c r="F412" s="440" t="s">
        <v>366</v>
      </c>
      <c r="G412" s="382"/>
      <c r="H412" s="411">
        <f>SUM(H413:H414)</f>
        <v>0.86935808227210531</v>
      </c>
      <c r="I412" s="409">
        <f>SUM(I413:I414)</f>
        <v>2</v>
      </c>
      <c r="J412" s="382"/>
      <c r="K412" s="411">
        <f>SUM(K413:K414)</f>
        <v>0</v>
      </c>
      <c r="L412" s="409">
        <f>SUM(L413:L414)</f>
        <v>0</v>
      </c>
      <c r="M412" s="382"/>
      <c r="N412" s="385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</row>
    <row r="413" spans="1:28" hidden="1" outlineLevel="3">
      <c r="A413" s="382"/>
      <c r="B413" s="386" t="s">
        <v>362</v>
      </c>
      <c r="C413" s="382" t="s">
        <v>363</v>
      </c>
      <c r="D413" s="382" t="s">
        <v>64</v>
      </c>
      <c r="E413" s="382" t="s">
        <v>29</v>
      </c>
      <c r="F413" s="440" t="s">
        <v>32</v>
      </c>
      <c r="G413" s="382"/>
      <c r="H413" s="411">
        <v>0.43467904113605266</v>
      </c>
      <c r="I413" s="409">
        <v>1</v>
      </c>
      <c r="J413" s="382"/>
      <c r="K413" s="411">
        <f t="shared" ref="K413:K414" si="58">IF(L413=1,H413,0)</f>
        <v>0</v>
      </c>
      <c r="L413" s="409"/>
      <c r="M413" s="382"/>
      <c r="N413" s="385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</row>
    <row r="414" spans="1:28" hidden="1" outlineLevel="3">
      <c r="A414" s="382"/>
      <c r="B414" s="386" t="s">
        <v>362</v>
      </c>
      <c r="C414" s="382" t="s">
        <v>363</v>
      </c>
      <c r="D414" s="382" t="s">
        <v>64</v>
      </c>
      <c r="E414" s="382" t="s">
        <v>29</v>
      </c>
      <c r="F414" s="440" t="s">
        <v>34</v>
      </c>
      <c r="G414" s="382"/>
      <c r="H414" s="411">
        <v>0.43467904113605266</v>
      </c>
      <c r="I414" s="409">
        <v>1</v>
      </c>
      <c r="J414" s="382"/>
      <c r="K414" s="411">
        <f t="shared" si="58"/>
        <v>0</v>
      </c>
      <c r="L414" s="409"/>
      <c r="M414" s="382"/>
      <c r="N414" s="385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</row>
    <row r="415" spans="1:28" s="473" customFormat="1" ht="26.45" outlineLevel="1" collapsed="1">
      <c r="A415" s="405"/>
      <c r="B415" s="396" t="s">
        <v>397</v>
      </c>
      <c r="C415" s="396" t="s">
        <v>398</v>
      </c>
      <c r="D415" s="421"/>
      <c r="E415" s="396"/>
      <c r="F415" s="445" t="s">
        <v>399</v>
      </c>
      <c r="G415" s="475"/>
      <c r="H415" s="422">
        <f>SUM(H416,H423,H426,H430)</f>
        <v>18.105283200000006</v>
      </c>
      <c r="I415" s="423">
        <f>I416+I423+I426+I430</f>
        <v>13</v>
      </c>
      <c r="J415" s="475"/>
      <c r="K415" s="422">
        <f>SUM(K416,K423,K426,K430)</f>
        <v>0</v>
      </c>
      <c r="L415" s="423">
        <f>L416+L423+L426+L430</f>
        <v>0</v>
      </c>
      <c r="M415" s="475"/>
      <c r="N415" s="458"/>
      <c r="O415" s="383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</row>
    <row r="416" spans="1:28" s="473" customFormat="1" hidden="1" outlineLevel="2" collapsed="1">
      <c r="A416" s="405"/>
      <c r="B416" s="397" t="s">
        <v>398</v>
      </c>
      <c r="C416" s="397" t="s">
        <v>398</v>
      </c>
      <c r="D416" s="475" t="s">
        <v>18</v>
      </c>
      <c r="E416" s="397"/>
      <c r="F416" s="447" t="s">
        <v>401</v>
      </c>
      <c r="G416" s="475"/>
      <c r="H416" s="398">
        <f>SUM(H417:H422)</f>
        <v>14.323800000000004</v>
      </c>
      <c r="I416" s="399">
        <f>SUM(I417:I422)</f>
        <v>6</v>
      </c>
      <c r="J416" s="475"/>
      <c r="K416" s="398">
        <f>SUM(K417:K422)</f>
        <v>0</v>
      </c>
      <c r="L416" s="399">
        <f>SUM(L417:L422)</f>
        <v>0</v>
      </c>
      <c r="M416" s="475"/>
      <c r="N416" s="458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</row>
    <row r="417" spans="1:28" s="473" customFormat="1" hidden="1" outlineLevel="3">
      <c r="A417" s="405"/>
      <c r="B417" s="397" t="s">
        <v>398</v>
      </c>
      <c r="C417" s="397" t="s">
        <v>398</v>
      </c>
      <c r="D417" s="475" t="s">
        <v>18</v>
      </c>
      <c r="E417" s="397" t="s">
        <v>144</v>
      </c>
      <c r="F417" s="447" t="s">
        <v>334</v>
      </c>
      <c r="G417" s="475"/>
      <c r="H417" s="398">
        <v>4.7746000000000013</v>
      </c>
      <c r="I417" s="399">
        <v>1</v>
      </c>
      <c r="J417" s="475"/>
      <c r="K417" s="411">
        <f t="shared" ref="K417:K422" si="59">IF(L417=1,H417,0)</f>
        <v>0</v>
      </c>
      <c r="L417" s="399"/>
      <c r="M417" s="475"/>
      <c r="N417" s="458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</row>
    <row r="418" spans="1:28" s="473" customFormat="1" hidden="1" outlineLevel="3">
      <c r="A418" s="405"/>
      <c r="B418" s="397" t="s">
        <v>398</v>
      </c>
      <c r="C418" s="397" t="s">
        <v>398</v>
      </c>
      <c r="D418" s="475" t="s">
        <v>18</v>
      </c>
      <c r="E418" s="397" t="s">
        <v>144</v>
      </c>
      <c r="F418" s="447" t="s">
        <v>32</v>
      </c>
      <c r="G418" s="475"/>
      <c r="H418" s="398">
        <v>4.3640000000000008</v>
      </c>
      <c r="I418" s="399">
        <v>1</v>
      </c>
      <c r="J418" s="475"/>
      <c r="K418" s="411">
        <f t="shared" si="59"/>
        <v>0</v>
      </c>
      <c r="L418" s="399"/>
      <c r="M418" s="475"/>
      <c r="N418" s="458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</row>
    <row r="419" spans="1:28" s="473" customFormat="1" hidden="1" outlineLevel="3">
      <c r="A419" s="405"/>
      <c r="B419" s="397" t="s">
        <v>398</v>
      </c>
      <c r="C419" s="397" t="s">
        <v>398</v>
      </c>
      <c r="D419" s="475" t="s">
        <v>18</v>
      </c>
      <c r="E419" s="397" t="s">
        <v>144</v>
      </c>
      <c r="F419" s="447" t="s">
        <v>33</v>
      </c>
      <c r="G419" s="475"/>
      <c r="H419" s="398">
        <v>2.2846500000000005</v>
      </c>
      <c r="I419" s="399">
        <v>1</v>
      </c>
      <c r="J419" s="475"/>
      <c r="K419" s="411">
        <f t="shared" si="59"/>
        <v>0</v>
      </c>
      <c r="L419" s="399"/>
      <c r="M419" s="475"/>
      <c r="N419" s="458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</row>
    <row r="420" spans="1:28" s="473" customFormat="1" hidden="1" outlineLevel="3">
      <c r="A420" s="405"/>
      <c r="B420" s="397" t="s">
        <v>398</v>
      </c>
      <c r="C420" s="397" t="s">
        <v>398</v>
      </c>
      <c r="D420" s="475" t="s">
        <v>18</v>
      </c>
      <c r="E420" s="397" t="s">
        <v>144</v>
      </c>
      <c r="F420" s="447" t="s">
        <v>197</v>
      </c>
      <c r="G420" s="475"/>
      <c r="H420" s="398">
        <v>2.3873000000000006</v>
      </c>
      <c r="I420" s="399">
        <v>1</v>
      </c>
      <c r="J420" s="475"/>
      <c r="K420" s="411">
        <f t="shared" si="59"/>
        <v>0</v>
      </c>
      <c r="L420" s="399"/>
      <c r="M420" s="475"/>
      <c r="N420" s="458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</row>
    <row r="421" spans="1:28" s="473" customFormat="1" hidden="1" outlineLevel="3">
      <c r="A421" s="405"/>
      <c r="B421" s="397" t="s">
        <v>398</v>
      </c>
      <c r="C421" s="397" t="s">
        <v>398</v>
      </c>
      <c r="D421" s="475" t="s">
        <v>18</v>
      </c>
      <c r="E421" s="397" t="s">
        <v>204</v>
      </c>
      <c r="F421" s="447" t="s">
        <v>420</v>
      </c>
      <c r="G421" s="475"/>
      <c r="H421" s="398">
        <v>0.41060000000000008</v>
      </c>
      <c r="I421" s="399">
        <v>1</v>
      </c>
      <c r="J421" s="475"/>
      <c r="K421" s="411">
        <f t="shared" si="59"/>
        <v>0</v>
      </c>
      <c r="L421" s="399"/>
      <c r="M421" s="475"/>
      <c r="N421" s="458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</row>
    <row r="422" spans="1:28" s="473" customFormat="1" hidden="1" outlineLevel="3">
      <c r="A422" s="405"/>
      <c r="B422" s="397" t="s">
        <v>398</v>
      </c>
      <c r="C422" s="397" t="s">
        <v>398</v>
      </c>
      <c r="D422" s="475" t="s">
        <v>18</v>
      </c>
      <c r="E422" s="397" t="s">
        <v>204</v>
      </c>
      <c r="F422" s="447" t="s">
        <v>422</v>
      </c>
      <c r="G422" s="475"/>
      <c r="H422" s="398">
        <v>0.10265000000000002</v>
      </c>
      <c r="I422" s="399">
        <v>1</v>
      </c>
      <c r="J422" s="475"/>
      <c r="K422" s="411">
        <f t="shared" si="59"/>
        <v>0</v>
      </c>
      <c r="L422" s="399"/>
      <c r="M422" s="475"/>
      <c r="N422" s="458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</row>
    <row r="423" spans="1:28" s="473" customFormat="1" hidden="1" outlineLevel="2" collapsed="1">
      <c r="A423" s="405"/>
      <c r="B423" s="397" t="s">
        <v>398</v>
      </c>
      <c r="C423" s="397" t="s">
        <v>398</v>
      </c>
      <c r="D423" s="475" t="s">
        <v>26</v>
      </c>
      <c r="E423" s="475"/>
      <c r="F423" s="447" t="s">
        <v>401</v>
      </c>
      <c r="G423" s="475"/>
      <c r="H423" s="398">
        <f>SUM(H424:H425)</f>
        <v>2.0244304000000004</v>
      </c>
      <c r="I423" s="399">
        <f>SUM(I424:I425)</f>
        <v>2</v>
      </c>
      <c r="J423" s="475"/>
      <c r="K423" s="398">
        <f>SUM(K424:K425)</f>
        <v>0</v>
      </c>
      <c r="L423" s="399">
        <f>SUM(L424:L425)</f>
        <v>0</v>
      </c>
      <c r="M423" s="475"/>
      <c r="N423" s="458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</row>
    <row r="424" spans="1:28" s="473" customFormat="1" hidden="1" outlineLevel="3">
      <c r="A424" s="405"/>
      <c r="B424" s="397" t="s">
        <v>398</v>
      </c>
      <c r="C424" s="397" t="s">
        <v>398</v>
      </c>
      <c r="D424" s="475" t="s">
        <v>26</v>
      </c>
      <c r="E424" s="475" t="s">
        <v>27</v>
      </c>
      <c r="F424" s="447" t="s">
        <v>32</v>
      </c>
      <c r="G424" s="475"/>
      <c r="H424" s="398">
        <v>1.5183228000000002</v>
      </c>
      <c r="I424" s="399">
        <v>1</v>
      </c>
      <c r="J424" s="475"/>
      <c r="K424" s="411">
        <f t="shared" ref="K424:K425" si="60">IF(L424=1,H424,0)</f>
        <v>0</v>
      </c>
      <c r="L424" s="399"/>
      <c r="M424" s="475"/>
      <c r="N424" s="458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</row>
    <row r="425" spans="1:28" s="473" customFormat="1" hidden="1" outlineLevel="3">
      <c r="A425" s="405"/>
      <c r="B425" s="397" t="s">
        <v>398</v>
      </c>
      <c r="C425" s="397" t="s">
        <v>398</v>
      </c>
      <c r="D425" s="475" t="s">
        <v>26</v>
      </c>
      <c r="E425" s="475" t="s">
        <v>27</v>
      </c>
      <c r="F425" s="447" t="s">
        <v>197</v>
      </c>
      <c r="G425" s="475"/>
      <c r="H425" s="398">
        <v>0.5061076000000001</v>
      </c>
      <c r="I425" s="399">
        <v>1</v>
      </c>
      <c r="J425" s="475"/>
      <c r="K425" s="411">
        <f t="shared" si="60"/>
        <v>0</v>
      </c>
      <c r="L425" s="399"/>
      <c r="M425" s="475"/>
      <c r="N425" s="458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</row>
    <row r="426" spans="1:28" s="473" customFormat="1" hidden="1" outlineLevel="2" collapsed="1">
      <c r="A426" s="405"/>
      <c r="B426" s="397" t="s">
        <v>398</v>
      </c>
      <c r="C426" s="397" t="s">
        <v>398</v>
      </c>
      <c r="D426" s="475" t="s">
        <v>28</v>
      </c>
      <c r="E426" s="475"/>
      <c r="F426" s="447" t="s">
        <v>401</v>
      </c>
      <c r="G426" s="475"/>
      <c r="H426" s="398">
        <f>SUM(H427:H429)</f>
        <v>1.1268056000000002</v>
      </c>
      <c r="I426" s="399">
        <f>SUM(I427:I429)</f>
        <v>3</v>
      </c>
      <c r="J426" s="475"/>
      <c r="K426" s="398">
        <f>SUM(K427:K429)</f>
        <v>0</v>
      </c>
      <c r="L426" s="399">
        <f>SUM(L427:L429)</f>
        <v>0</v>
      </c>
      <c r="M426" s="475"/>
      <c r="N426" s="458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</row>
    <row r="427" spans="1:28" s="473" customFormat="1" hidden="1" outlineLevel="3">
      <c r="A427" s="405"/>
      <c r="B427" s="397" t="s">
        <v>398</v>
      </c>
      <c r="C427" s="397" t="s">
        <v>398</v>
      </c>
      <c r="D427" s="475" t="s">
        <v>28</v>
      </c>
      <c r="E427" s="475" t="s">
        <v>29</v>
      </c>
      <c r="F427" s="447" t="s">
        <v>32</v>
      </c>
      <c r="G427" s="475"/>
      <c r="H427" s="398">
        <v>0.56340280000000009</v>
      </c>
      <c r="I427" s="399">
        <v>1</v>
      </c>
      <c r="J427" s="475"/>
      <c r="K427" s="411">
        <f t="shared" ref="K427:K429" si="61">IF(L427=1,H427,0)</f>
        <v>0</v>
      </c>
      <c r="L427" s="399"/>
      <c r="M427" s="475"/>
      <c r="N427" s="458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</row>
    <row r="428" spans="1:28" s="473" customFormat="1" hidden="1" outlineLevel="3">
      <c r="A428" s="405"/>
      <c r="B428" s="397" t="s">
        <v>398</v>
      </c>
      <c r="C428" s="397" t="s">
        <v>398</v>
      </c>
      <c r="D428" s="475" t="s">
        <v>28</v>
      </c>
      <c r="E428" s="475" t="s">
        <v>29</v>
      </c>
      <c r="F428" s="447" t="s">
        <v>33</v>
      </c>
      <c r="G428" s="475"/>
      <c r="H428" s="398">
        <v>0.28170140000000005</v>
      </c>
      <c r="I428" s="399">
        <v>1</v>
      </c>
      <c r="J428" s="475"/>
      <c r="K428" s="411">
        <f t="shared" si="61"/>
        <v>0</v>
      </c>
      <c r="L428" s="399"/>
      <c r="M428" s="475"/>
      <c r="N428" s="458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</row>
    <row r="429" spans="1:28" s="473" customFormat="1" hidden="1" outlineLevel="3">
      <c r="A429" s="405"/>
      <c r="B429" s="397" t="s">
        <v>398</v>
      </c>
      <c r="C429" s="397" t="s">
        <v>398</v>
      </c>
      <c r="D429" s="475" t="s">
        <v>28</v>
      </c>
      <c r="E429" s="475" t="s">
        <v>29</v>
      </c>
      <c r="F429" s="447" t="s">
        <v>197</v>
      </c>
      <c r="G429" s="475"/>
      <c r="H429" s="398">
        <v>0.28170140000000005</v>
      </c>
      <c r="I429" s="399">
        <v>1</v>
      </c>
      <c r="J429" s="475"/>
      <c r="K429" s="411">
        <f t="shared" si="61"/>
        <v>0</v>
      </c>
      <c r="L429" s="399"/>
      <c r="M429" s="475"/>
      <c r="N429" s="458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</row>
    <row r="430" spans="1:28" s="473" customFormat="1" hidden="1" outlineLevel="2" collapsed="1">
      <c r="A430" s="405">
        <v>2</v>
      </c>
      <c r="B430" s="397" t="s">
        <v>398</v>
      </c>
      <c r="C430" s="397" t="s">
        <v>398</v>
      </c>
      <c r="D430" s="475" t="s">
        <v>64</v>
      </c>
      <c r="E430" s="475"/>
      <c r="F430" s="447" t="s">
        <v>438</v>
      </c>
      <c r="G430" s="475"/>
      <c r="H430" s="398">
        <f>SUM(H431:H432)</f>
        <v>0.63024720000000012</v>
      </c>
      <c r="I430" s="399">
        <f>SUM(I431:I432)</f>
        <v>2</v>
      </c>
      <c r="J430" s="475"/>
      <c r="K430" s="398">
        <f>SUM(K431:K432)</f>
        <v>0</v>
      </c>
      <c r="L430" s="399">
        <f>SUM(L431:L432)</f>
        <v>0</v>
      </c>
      <c r="M430" s="475"/>
      <c r="N430" s="458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</row>
    <row r="431" spans="1:28" s="473" customFormat="1" hidden="1" outlineLevel="3">
      <c r="A431" s="405"/>
      <c r="B431" s="397" t="s">
        <v>398</v>
      </c>
      <c r="C431" s="397" t="s">
        <v>398</v>
      </c>
      <c r="D431" s="475" t="s">
        <v>64</v>
      </c>
      <c r="E431" s="475" t="s">
        <v>29</v>
      </c>
      <c r="F431" s="447" t="s">
        <v>32</v>
      </c>
      <c r="G431" s="475"/>
      <c r="H431" s="398">
        <v>0.47268540000000003</v>
      </c>
      <c r="I431" s="399">
        <v>1</v>
      </c>
      <c r="J431" s="475"/>
      <c r="K431" s="411">
        <f t="shared" ref="K431:K432" si="62">IF(L431=1,H431,0)</f>
        <v>0</v>
      </c>
      <c r="L431" s="399"/>
      <c r="M431" s="475"/>
      <c r="N431" s="458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</row>
    <row r="432" spans="1:28" s="473" customFormat="1" hidden="1" outlineLevel="3">
      <c r="A432" s="405"/>
      <c r="B432" s="397" t="s">
        <v>398</v>
      </c>
      <c r="C432" s="397" t="s">
        <v>398</v>
      </c>
      <c r="D432" s="475" t="s">
        <v>64</v>
      </c>
      <c r="E432" s="475" t="s">
        <v>29</v>
      </c>
      <c r="F432" s="447" t="s">
        <v>197</v>
      </c>
      <c r="G432" s="475"/>
      <c r="H432" s="398">
        <v>0.15756180000000003</v>
      </c>
      <c r="I432" s="399">
        <v>1</v>
      </c>
      <c r="J432" s="475"/>
      <c r="K432" s="411">
        <f t="shared" si="62"/>
        <v>0</v>
      </c>
      <c r="L432" s="399"/>
      <c r="M432" s="475"/>
      <c r="N432" s="458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</row>
    <row r="433" spans="1:28" s="473" customFormat="1" outlineLevel="1" collapsed="1">
      <c r="A433" s="405"/>
      <c r="B433" s="396" t="s">
        <v>439</v>
      </c>
      <c r="C433" s="396" t="s">
        <v>440</v>
      </c>
      <c r="D433" s="396"/>
      <c r="E433" s="396"/>
      <c r="F433" s="445" t="s">
        <v>441</v>
      </c>
      <c r="G433" s="475"/>
      <c r="H433" s="422">
        <f>SUM(H434,H438,H440,H443)</f>
        <v>13.48481799</v>
      </c>
      <c r="I433" s="423">
        <f>I434+I438+I440+I443</f>
        <v>6</v>
      </c>
      <c r="J433" s="475"/>
      <c r="K433" s="422">
        <f>SUM(K434,K438,K440,K443)</f>
        <v>0</v>
      </c>
      <c r="L433" s="423">
        <f>L434+L438+L440+L443</f>
        <v>0</v>
      </c>
      <c r="M433" s="475"/>
      <c r="N433" s="458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</row>
    <row r="434" spans="1:28" s="473" customFormat="1" hidden="1" outlineLevel="2" collapsed="1">
      <c r="A434" s="405"/>
      <c r="B434" s="397" t="s">
        <v>440</v>
      </c>
      <c r="C434" s="397" t="s">
        <v>440</v>
      </c>
      <c r="D434" s="475" t="s">
        <v>18</v>
      </c>
      <c r="E434" s="397"/>
      <c r="F434" s="447" t="s">
        <v>442</v>
      </c>
      <c r="G434" s="475"/>
      <c r="H434" s="415">
        <f>SUM(H435:H437)</f>
        <v>11.053129500000001</v>
      </c>
      <c r="I434" s="416">
        <f>SUM(I435:I437)</f>
        <v>3</v>
      </c>
      <c r="J434" s="475"/>
      <c r="K434" s="415">
        <f>SUM(K435:K437)</f>
        <v>0</v>
      </c>
      <c r="L434" s="416">
        <f>SUM(L435:L437)</f>
        <v>0</v>
      </c>
      <c r="M434" s="475"/>
      <c r="N434" s="458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</row>
    <row r="435" spans="1:28" s="473" customFormat="1" hidden="1" outlineLevel="3" collapsed="1">
      <c r="A435" s="405"/>
      <c r="B435" s="397" t="s">
        <v>440</v>
      </c>
      <c r="C435" s="397" t="s">
        <v>440</v>
      </c>
      <c r="D435" s="475" t="s">
        <v>18</v>
      </c>
      <c r="E435" s="397" t="s">
        <v>72</v>
      </c>
      <c r="F435" s="447" t="s">
        <v>334</v>
      </c>
      <c r="G435" s="475"/>
      <c r="H435" s="415">
        <v>3.6843765000000008</v>
      </c>
      <c r="I435" s="416">
        <v>1</v>
      </c>
      <c r="J435" s="475"/>
      <c r="K435" s="411">
        <f t="shared" ref="K435:K437" si="63">IF(L435=1,H435,0)</f>
        <v>0</v>
      </c>
      <c r="L435" s="416"/>
      <c r="M435" s="475"/>
      <c r="N435" s="458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</row>
    <row r="436" spans="1:28" s="473" customFormat="1" hidden="1" outlineLevel="3">
      <c r="A436" s="405"/>
      <c r="B436" s="397" t="s">
        <v>440</v>
      </c>
      <c r="C436" s="397" t="s">
        <v>440</v>
      </c>
      <c r="D436" s="475" t="s">
        <v>18</v>
      </c>
      <c r="E436" s="397" t="s">
        <v>72</v>
      </c>
      <c r="F436" s="447" t="s">
        <v>32</v>
      </c>
      <c r="G436" s="475"/>
      <c r="H436" s="415">
        <v>3.6843765000000008</v>
      </c>
      <c r="I436" s="416">
        <v>1</v>
      </c>
      <c r="J436" s="475"/>
      <c r="K436" s="411">
        <f t="shared" si="63"/>
        <v>0</v>
      </c>
      <c r="L436" s="416"/>
      <c r="M436" s="475"/>
      <c r="N436" s="458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</row>
    <row r="437" spans="1:28" s="473" customFormat="1" hidden="1" outlineLevel="3">
      <c r="A437" s="405"/>
      <c r="B437" s="397" t="s">
        <v>440</v>
      </c>
      <c r="C437" s="397" t="s">
        <v>440</v>
      </c>
      <c r="D437" s="475" t="s">
        <v>18</v>
      </c>
      <c r="E437" s="397" t="s">
        <v>72</v>
      </c>
      <c r="F437" s="447" t="s">
        <v>33</v>
      </c>
      <c r="G437" s="475"/>
      <c r="H437" s="415">
        <v>3.6843764999999999</v>
      </c>
      <c r="I437" s="416">
        <v>1</v>
      </c>
      <c r="J437" s="475"/>
      <c r="K437" s="411">
        <f t="shared" si="63"/>
        <v>0</v>
      </c>
      <c r="L437" s="416"/>
      <c r="M437" s="475"/>
      <c r="N437" s="458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</row>
    <row r="438" spans="1:28" s="473" customFormat="1" hidden="1" outlineLevel="2" collapsed="1">
      <c r="A438" s="405"/>
      <c r="B438" s="397" t="s">
        <v>440</v>
      </c>
      <c r="C438" s="397" t="s">
        <v>440</v>
      </c>
      <c r="D438" s="475" t="s">
        <v>26</v>
      </c>
      <c r="E438" s="475"/>
      <c r="F438" s="447" t="s">
        <v>442</v>
      </c>
      <c r="G438" s="475"/>
      <c r="H438" s="415">
        <f>SUM(H439:H439)</f>
        <v>1.5621756360000001</v>
      </c>
      <c r="I438" s="416">
        <f>SUM(I439:I439)</f>
        <v>1</v>
      </c>
      <c r="J438" s="475"/>
      <c r="K438" s="415">
        <f>SUM(K439:K439)</f>
        <v>0</v>
      </c>
      <c r="L438" s="416">
        <f>SUM(L439:L439)</f>
        <v>0</v>
      </c>
      <c r="M438" s="475"/>
      <c r="N438" s="458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</row>
    <row r="439" spans="1:28" s="473" customFormat="1" hidden="1" outlineLevel="3">
      <c r="A439" s="405"/>
      <c r="B439" s="397" t="s">
        <v>440</v>
      </c>
      <c r="C439" s="397" t="s">
        <v>440</v>
      </c>
      <c r="D439" s="475" t="s">
        <v>26</v>
      </c>
      <c r="E439" s="475" t="s">
        <v>27</v>
      </c>
      <c r="F439" s="447" t="s">
        <v>32</v>
      </c>
      <c r="G439" s="475"/>
      <c r="H439" s="415">
        <v>1.5621756360000001</v>
      </c>
      <c r="I439" s="416">
        <v>1</v>
      </c>
      <c r="J439" s="475"/>
      <c r="K439" s="411">
        <f>IF(L439=1,H439,0)</f>
        <v>0</v>
      </c>
      <c r="L439" s="416"/>
      <c r="M439" s="475"/>
      <c r="N439" s="458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</row>
    <row r="440" spans="1:28" s="473" customFormat="1" hidden="1" outlineLevel="2" collapsed="1">
      <c r="A440" s="405"/>
      <c r="B440" s="397" t="s">
        <v>440</v>
      </c>
      <c r="C440" s="397" t="s">
        <v>440</v>
      </c>
      <c r="D440" s="475" t="s">
        <v>28</v>
      </c>
      <c r="E440" s="475"/>
      <c r="F440" s="447" t="s">
        <v>442</v>
      </c>
      <c r="G440" s="475"/>
      <c r="H440" s="415">
        <f>SUM(H441:H442)</f>
        <v>0.86951285400000011</v>
      </c>
      <c r="I440" s="416">
        <f>SUM(I441:I442)</f>
        <v>2</v>
      </c>
      <c r="J440" s="475"/>
      <c r="K440" s="415">
        <f>SUM(K441:K442)</f>
        <v>0</v>
      </c>
      <c r="L440" s="416">
        <f>SUM(L441:L442)</f>
        <v>0</v>
      </c>
      <c r="M440" s="475"/>
      <c r="N440" s="458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</row>
    <row r="441" spans="1:28" s="473" customFormat="1" hidden="1" outlineLevel="3">
      <c r="A441" s="405"/>
      <c r="B441" s="397" t="s">
        <v>440</v>
      </c>
      <c r="C441" s="397" t="s">
        <v>440</v>
      </c>
      <c r="D441" s="475" t="s">
        <v>28</v>
      </c>
      <c r="E441" s="475" t="s">
        <v>29</v>
      </c>
      <c r="F441" s="447" t="s">
        <v>32</v>
      </c>
      <c r="G441" s="475"/>
      <c r="H441" s="415">
        <v>0.43475642700000006</v>
      </c>
      <c r="I441" s="416">
        <v>1</v>
      </c>
      <c r="J441" s="475"/>
      <c r="K441" s="411">
        <f t="shared" ref="K441:K442" si="64">IF(L441=1,H441,0)</f>
        <v>0</v>
      </c>
      <c r="L441" s="416"/>
      <c r="M441" s="475"/>
      <c r="N441" s="458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</row>
    <row r="442" spans="1:28" s="473" customFormat="1" ht="11.25" hidden="1" customHeight="1" outlineLevel="3">
      <c r="A442" s="405"/>
      <c r="B442" s="397" t="s">
        <v>440</v>
      </c>
      <c r="C442" s="397" t="s">
        <v>440</v>
      </c>
      <c r="D442" s="475" t="s">
        <v>28</v>
      </c>
      <c r="E442" s="475" t="s">
        <v>29</v>
      </c>
      <c r="F442" s="447" t="s">
        <v>33</v>
      </c>
      <c r="G442" s="475"/>
      <c r="H442" s="415">
        <v>0.43475642700000006</v>
      </c>
      <c r="I442" s="416">
        <v>1</v>
      </c>
      <c r="J442" s="475"/>
      <c r="K442" s="411">
        <f t="shared" si="64"/>
        <v>0</v>
      </c>
      <c r="L442" s="416"/>
      <c r="M442" s="475"/>
      <c r="N442" s="458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</row>
    <row r="443" spans="1:28" s="473" customFormat="1" hidden="1" outlineLevel="2">
      <c r="A443" s="405"/>
      <c r="B443" s="397" t="s">
        <v>440</v>
      </c>
      <c r="C443" s="397" t="s">
        <v>440</v>
      </c>
      <c r="D443" s="475" t="s">
        <v>64</v>
      </c>
      <c r="E443" s="475"/>
      <c r="F443" s="447" t="s">
        <v>442</v>
      </c>
      <c r="G443" s="475"/>
      <c r="H443" s="415"/>
      <c r="I443" s="416"/>
      <c r="J443" s="475"/>
      <c r="K443" s="415"/>
      <c r="L443" s="416"/>
      <c r="M443" s="475"/>
      <c r="N443" s="458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</row>
    <row r="444" spans="1:28" s="473" customFormat="1" outlineLevel="1" collapsed="1">
      <c r="A444" s="405"/>
      <c r="B444" s="396" t="s">
        <v>446</v>
      </c>
      <c r="C444" s="396" t="s">
        <v>447</v>
      </c>
      <c r="D444" s="396"/>
      <c r="E444" s="396"/>
      <c r="F444" s="445" t="s">
        <v>441</v>
      </c>
      <c r="G444" s="475"/>
      <c r="H444" s="422">
        <f>SUM(H445,H449,H451,H454)</f>
        <v>4.4949393300000002</v>
      </c>
      <c r="I444" s="423">
        <f>I445+I449+I451+I454</f>
        <v>6</v>
      </c>
      <c r="J444" s="475"/>
      <c r="K444" s="422">
        <f>SUM(K445,K449,K451,K454)</f>
        <v>0</v>
      </c>
      <c r="L444" s="423">
        <f>L445+L449+L451+L454</f>
        <v>0</v>
      </c>
      <c r="M444" s="475"/>
      <c r="N444" s="458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</row>
    <row r="445" spans="1:28" hidden="1" outlineLevel="2" collapsed="1">
      <c r="A445" s="382"/>
      <c r="B445" s="397" t="s">
        <v>447</v>
      </c>
      <c r="C445" s="397" t="s">
        <v>447</v>
      </c>
      <c r="D445" s="382" t="s">
        <v>18</v>
      </c>
      <c r="E445" s="397"/>
      <c r="F445" s="447" t="s">
        <v>442</v>
      </c>
      <c r="G445" s="382"/>
      <c r="H445" s="415">
        <f>SUM(H446:H448)</f>
        <v>3.6843765000000004</v>
      </c>
      <c r="I445" s="416">
        <f>SUM(I446:I448)</f>
        <v>3</v>
      </c>
      <c r="J445" s="382"/>
      <c r="K445" s="415">
        <f>SUM(K446:K448)</f>
        <v>0</v>
      </c>
      <c r="L445" s="416">
        <f>SUM(L446:L448)</f>
        <v>0</v>
      </c>
      <c r="M445" s="382"/>
      <c r="N445" s="385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  <c r="AA445" s="389"/>
      <c r="AB445" s="389"/>
    </row>
    <row r="446" spans="1:28" hidden="1" outlineLevel="3" collapsed="1">
      <c r="A446" s="382"/>
      <c r="B446" s="397" t="s">
        <v>447</v>
      </c>
      <c r="C446" s="397" t="s">
        <v>447</v>
      </c>
      <c r="D446" s="382" t="s">
        <v>18</v>
      </c>
      <c r="E446" s="397" t="s">
        <v>72</v>
      </c>
      <c r="F446" s="447" t="s">
        <v>334</v>
      </c>
      <c r="G446" s="382"/>
      <c r="H446" s="415">
        <v>1.2281255000000002</v>
      </c>
      <c r="I446" s="416">
        <v>1</v>
      </c>
      <c r="J446" s="382"/>
      <c r="K446" s="411">
        <f t="shared" ref="K446:K448" si="65">IF(L446=1,H446,0)</f>
        <v>0</v>
      </c>
      <c r="L446" s="416"/>
      <c r="M446" s="382"/>
      <c r="N446" s="385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  <c r="AA446" s="389"/>
      <c r="AB446" s="389"/>
    </row>
    <row r="447" spans="1:28" hidden="1" outlineLevel="3">
      <c r="A447" s="382"/>
      <c r="B447" s="397" t="s">
        <v>447</v>
      </c>
      <c r="C447" s="397" t="s">
        <v>447</v>
      </c>
      <c r="D447" s="382" t="s">
        <v>18</v>
      </c>
      <c r="E447" s="397" t="s">
        <v>72</v>
      </c>
      <c r="F447" s="447" t="s">
        <v>32</v>
      </c>
      <c r="G447" s="382"/>
      <c r="H447" s="415">
        <v>1.2281255000000002</v>
      </c>
      <c r="I447" s="416">
        <v>1</v>
      </c>
      <c r="J447" s="382"/>
      <c r="K447" s="411">
        <f t="shared" si="65"/>
        <v>0</v>
      </c>
      <c r="L447" s="416"/>
      <c r="M447" s="382"/>
      <c r="N447" s="385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  <c r="AA447" s="389"/>
      <c r="AB447" s="389"/>
    </row>
    <row r="448" spans="1:28" hidden="1" outlineLevel="3">
      <c r="A448" s="382"/>
      <c r="B448" s="397" t="s">
        <v>447</v>
      </c>
      <c r="C448" s="397" t="s">
        <v>447</v>
      </c>
      <c r="D448" s="382" t="s">
        <v>18</v>
      </c>
      <c r="E448" s="397" t="s">
        <v>72</v>
      </c>
      <c r="F448" s="447" t="s">
        <v>33</v>
      </c>
      <c r="G448" s="382"/>
      <c r="H448" s="415">
        <v>1.2281255</v>
      </c>
      <c r="I448" s="416">
        <v>1</v>
      </c>
      <c r="J448" s="382"/>
      <c r="K448" s="411">
        <f t="shared" si="65"/>
        <v>0</v>
      </c>
      <c r="L448" s="416"/>
      <c r="M448" s="382"/>
      <c r="N448" s="385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  <c r="AA448" s="389"/>
      <c r="AB448" s="389"/>
    </row>
    <row r="449" spans="1:28" hidden="1" outlineLevel="2" collapsed="1">
      <c r="A449" s="382"/>
      <c r="B449" s="397" t="s">
        <v>447</v>
      </c>
      <c r="C449" s="397" t="s">
        <v>447</v>
      </c>
      <c r="D449" s="382" t="s">
        <v>26</v>
      </c>
      <c r="E449" s="382"/>
      <c r="F449" s="447" t="s">
        <v>442</v>
      </c>
      <c r="G449" s="382"/>
      <c r="H449" s="415">
        <f>SUM(H450:H450)</f>
        <v>0.52072521199999999</v>
      </c>
      <c r="I449" s="416">
        <f>SUM(I450:I450)</f>
        <v>1</v>
      </c>
      <c r="J449" s="382"/>
      <c r="K449" s="415">
        <f>SUM(K450:K450)</f>
        <v>0</v>
      </c>
      <c r="L449" s="416">
        <f>SUM(L450:L450)</f>
        <v>0</v>
      </c>
      <c r="M449" s="382"/>
      <c r="N449" s="385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  <c r="AA449" s="389"/>
      <c r="AB449" s="389"/>
    </row>
    <row r="450" spans="1:28" hidden="1" outlineLevel="3">
      <c r="A450" s="382"/>
      <c r="B450" s="397" t="s">
        <v>447</v>
      </c>
      <c r="C450" s="397" t="s">
        <v>447</v>
      </c>
      <c r="D450" s="382" t="s">
        <v>26</v>
      </c>
      <c r="E450" s="382" t="s">
        <v>27</v>
      </c>
      <c r="F450" s="447" t="s">
        <v>32</v>
      </c>
      <c r="G450" s="382"/>
      <c r="H450" s="415">
        <v>0.52072521199999999</v>
      </c>
      <c r="I450" s="416">
        <v>1</v>
      </c>
      <c r="J450" s="382"/>
      <c r="K450" s="411">
        <f>IF(L450=1,H450,0)</f>
        <v>0</v>
      </c>
      <c r="L450" s="416"/>
      <c r="M450" s="382"/>
      <c r="N450" s="385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  <c r="AA450" s="389"/>
      <c r="AB450" s="389"/>
    </row>
    <row r="451" spans="1:28" hidden="1" outlineLevel="2" collapsed="1">
      <c r="A451" s="382"/>
      <c r="B451" s="397" t="s">
        <v>447</v>
      </c>
      <c r="C451" s="397" t="s">
        <v>447</v>
      </c>
      <c r="D451" s="382" t="s">
        <v>28</v>
      </c>
      <c r="E451" s="382"/>
      <c r="F451" s="447" t="s">
        <v>449</v>
      </c>
      <c r="G451" s="382"/>
      <c r="H451" s="415">
        <f>SUM(H452:H453)</f>
        <v>0.28983761800000002</v>
      </c>
      <c r="I451" s="416">
        <f>SUM(I452:I453)</f>
        <v>2</v>
      </c>
      <c r="J451" s="382"/>
      <c r="K451" s="415">
        <f>SUM(K452:K453)</f>
        <v>0</v>
      </c>
      <c r="L451" s="416">
        <f>SUM(L452:L453)</f>
        <v>0</v>
      </c>
      <c r="M451" s="382"/>
      <c r="N451" s="385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  <c r="AA451" s="389"/>
      <c r="AB451" s="389"/>
    </row>
    <row r="452" spans="1:28" hidden="1" outlineLevel="3">
      <c r="A452" s="382"/>
      <c r="B452" s="397" t="s">
        <v>447</v>
      </c>
      <c r="C452" s="397" t="s">
        <v>447</v>
      </c>
      <c r="D452" s="382" t="s">
        <v>28</v>
      </c>
      <c r="E452" s="382" t="s">
        <v>29</v>
      </c>
      <c r="F452" s="447" t="s">
        <v>32</v>
      </c>
      <c r="G452" s="382"/>
      <c r="H452" s="415">
        <v>0.14491880900000001</v>
      </c>
      <c r="I452" s="416">
        <v>1</v>
      </c>
      <c r="J452" s="382"/>
      <c r="K452" s="411">
        <f t="shared" ref="K452:K453" si="66">IF(L452=1,H452,0)</f>
        <v>0</v>
      </c>
      <c r="L452" s="416"/>
      <c r="M452" s="382"/>
      <c r="N452" s="385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  <c r="AA452" s="389"/>
      <c r="AB452" s="389"/>
    </row>
    <row r="453" spans="1:28" hidden="1" outlineLevel="3">
      <c r="A453" s="382"/>
      <c r="B453" s="397" t="s">
        <v>447</v>
      </c>
      <c r="C453" s="397" t="s">
        <v>447</v>
      </c>
      <c r="D453" s="382" t="s">
        <v>28</v>
      </c>
      <c r="E453" s="382" t="s">
        <v>29</v>
      </c>
      <c r="F453" s="447" t="s">
        <v>33</v>
      </c>
      <c r="G453" s="382"/>
      <c r="H453" s="415">
        <v>0.14491880900000001</v>
      </c>
      <c r="I453" s="416">
        <v>1</v>
      </c>
      <c r="J453" s="382"/>
      <c r="K453" s="411">
        <f t="shared" si="66"/>
        <v>0</v>
      </c>
      <c r="L453" s="416"/>
      <c r="M453" s="382"/>
      <c r="N453" s="385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  <c r="AA453" s="389"/>
      <c r="AB453" s="389"/>
    </row>
    <row r="454" spans="1:28" hidden="1" outlineLevel="2">
      <c r="A454" s="382"/>
      <c r="B454" s="397" t="s">
        <v>447</v>
      </c>
      <c r="C454" s="397" t="s">
        <v>447</v>
      </c>
      <c r="D454" s="382" t="s">
        <v>64</v>
      </c>
      <c r="E454" s="382"/>
      <c r="F454" s="447" t="s">
        <v>449</v>
      </c>
      <c r="G454" s="382"/>
      <c r="H454" s="415"/>
      <c r="I454" s="416"/>
      <c r="J454" s="382"/>
      <c r="K454" s="415"/>
      <c r="L454" s="416"/>
      <c r="M454" s="382"/>
      <c r="N454" s="385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  <c r="AA454" s="389"/>
      <c r="AB454" s="389"/>
    </row>
    <row r="455" spans="1:28" outlineLevel="1" collapsed="1">
      <c r="A455" s="382"/>
      <c r="B455" s="390" t="s">
        <v>319</v>
      </c>
      <c r="C455" s="390" t="s">
        <v>319</v>
      </c>
      <c r="D455" s="395"/>
      <c r="E455" s="390"/>
      <c r="F455" s="442" t="s">
        <v>450</v>
      </c>
      <c r="G455" s="382"/>
      <c r="H455" s="424">
        <f>SUM(H456,H463,H467,H471,H476)</f>
        <v>3.9379500000000003</v>
      </c>
      <c r="I455" s="408">
        <f>SUM(I456,I463,I467,I471,I476)</f>
        <v>19</v>
      </c>
      <c r="J455" s="382"/>
      <c r="K455" s="424">
        <f>SUM(K456,K463,K467,K471,K476)</f>
        <v>7.9649999999999999E-2</v>
      </c>
      <c r="L455" s="408">
        <f>SUM(L456,L463,L467,L471,L476)</f>
        <v>1</v>
      </c>
      <c r="M455" s="382"/>
      <c r="N455" s="385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  <c r="AA455" s="389"/>
      <c r="AB455" s="389"/>
    </row>
    <row r="456" spans="1:28" hidden="1" outlineLevel="2" collapsed="1">
      <c r="A456" s="382"/>
      <c r="B456" s="382" t="s">
        <v>319</v>
      </c>
      <c r="C456" s="386" t="s">
        <v>319</v>
      </c>
      <c r="D456" s="382" t="s">
        <v>202</v>
      </c>
      <c r="E456" s="382"/>
      <c r="F456" s="440" t="s">
        <v>452</v>
      </c>
      <c r="G456" s="382"/>
      <c r="H456" s="411">
        <f>SUM(H457:H462)</f>
        <v>2.7524999999999999</v>
      </c>
      <c r="I456" s="409">
        <f>SUM(I457:I462)</f>
        <v>6</v>
      </c>
      <c r="J456" s="382"/>
      <c r="K456" s="411">
        <f>SUM(K457:K462)</f>
        <v>0</v>
      </c>
      <c r="L456" s="409">
        <f>SUM(L457:L462)</f>
        <v>0</v>
      </c>
      <c r="M456" s="382"/>
      <c r="N456" s="385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  <c r="AA456" s="389"/>
      <c r="AB456" s="389"/>
    </row>
    <row r="457" spans="1:28" hidden="1" outlineLevel="3">
      <c r="A457" s="382"/>
      <c r="B457" s="382" t="s">
        <v>319</v>
      </c>
      <c r="C457" s="386" t="s">
        <v>319</v>
      </c>
      <c r="D457" s="382" t="s">
        <v>202</v>
      </c>
      <c r="E457" s="382" t="s">
        <v>72</v>
      </c>
      <c r="F457" s="440" t="s">
        <v>453</v>
      </c>
      <c r="G457" s="382"/>
      <c r="H457" s="411">
        <v>0.33750000000000002</v>
      </c>
      <c r="I457" s="409">
        <v>1</v>
      </c>
      <c r="J457" s="382"/>
      <c r="K457" s="411">
        <f t="shared" ref="K457:K462" si="67">IF(L457=1,H457,0)</f>
        <v>0</v>
      </c>
      <c r="L457" s="409"/>
      <c r="M457" s="382"/>
      <c r="N457" s="385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  <c r="AA457" s="389"/>
      <c r="AB457" s="389"/>
    </row>
    <row r="458" spans="1:28" hidden="1" outlineLevel="3">
      <c r="A458" s="382"/>
      <c r="B458" s="382" t="s">
        <v>319</v>
      </c>
      <c r="C458" s="386" t="s">
        <v>319</v>
      </c>
      <c r="D458" s="382" t="s">
        <v>202</v>
      </c>
      <c r="E458" s="382" t="s">
        <v>72</v>
      </c>
      <c r="F458" s="440" t="s">
        <v>32</v>
      </c>
      <c r="G458" s="382"/>
      <c r="H458" s="411">
        <v>0.58000000000000007</v>
      </c>
      <c r="I458" s="388">
        <v>1</v>
      </c>
      <c r="J458" s="382"/>
      <c r="K458" s="411">
        <f t="shared" si="67"/>
        <v>0</v>
      </c>
      <c r="L458" s="388"/>
      <c r="M458" s="382"/>
      <c r="N458" s="385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  <c r="AA458" s="389"/>
      <c r="AB458" s="389"/>
    </row>
    <row r="459" spans="1:28" hidden="1" outlineLevel="3">
      <c r="A459" s="382"/>
      <c r="B459" s="382" t="s">
        <v>319</v>
      </c>
      <c r="C459" s="386" t="s">
        <v>319</v>
      </c>
      <c r="D459" s="382" t="s">
        <v>202</v>
      </c>
      <c r="E459" s="382" t="s">
        <v>72</v>
      </c>
      <c r="F459" s="440" t="s">
        <v>454</v>
      </c>
      <c r="G459" s="382"/>
      <c r="H459" s="411">
        <v>0.58000000000000007</v>
      </c>
      <c r="I459" s="409">
        <v>1</v>
      </c>
      <c r="J459" s="382"/>
      <c r="K459" s="411">
        <f t="shared" si="67"/>
        <v>0</v>
      </c>
      <c r="L459" s="409"/>
      <c r="M459" s="382"/>
      <c r="N459" s="385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  <c r="AA459" s="389"/>
      <c r="AB459" s="389"/>
    </row>
    <row r="460" spans="1:28" hidden="1" outlineLevel="3">
      <c r="A460" s="382"/>
      <c r="B460" s="382" t="s">
        <v>319</v>
      </c>
      <c r="C460" s="386" t="s">
        <v>319</v>
      </c>
      <c r="D460" s="382" t="s">
        <v>202</v>
      </c>
      <c r="E460" s="382" t="s">
        <v>72</v>
      </c>
      <c r="F460" s="440" t="s">
        <v>455</v>
      </c>
      <c r="G460" s="382"/>
      <c r="H460" s="411">
        <v>0.58000000000000007</v>
      </c>
      <c r="I460" s="409">
        <v>1</v>
      </c>
      <c r="J460" s="382"/>
      <c r="K460" s="411">
        <f t="shared" si="67"/>
        <v>0</v>
      </c>
      <c r="L460" s="409"/>
      <c r="M460" s="382"/>
      <c r="N460" s="385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  <c r="AA460" s="389"/>
      <c r="AB460" s="389"/>
    </row>
    <row r="461" spans="1:28" hidden="1" outlineLevel="3">
      <c r="A461" s="382"/>
      <c r="B461" s="382" t="s">
        <v>319</v>
      </c>
      <c r="C461" s="386" t="s">
        <v>319</v>
      </c>
      <c r="D461" s="382" t="s">
        <v>202</v>
      </c>
      <c r="E461" s="382" t="s">
        <v>72</v>
      </c>
      <c r="F461" s="440" t="s">
        <v>335</v>
      </c>
      <c r="G461" s="382"/>
      <c r="H461" s="411">
        <v>0.33750000000000002</v>
      </c>
      <c r="I461" s="409">
        <v>1</v>
      </c>
      <c r="J461" s="382"/>
      <c r="K461" s="411">
        <f t="shared" si="67"/>
        <v>0</v>
      </c>
      <c r="L461" s="409"/>
      <c r="M461" s="382"/>
      <c r="N461" s="385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  <c r="AA461" s="389"/>
      <c r="AB461" s="389"/>
    </row>
    <row r="462" spans="1:28" hidden="1" outlineLevel="3">
      <c r="A462" s="382"/>
      <c r="B462" s="382" t="s">
        <v>319</v>
      </c>
      <c r="C462" s="386" t="s">
        <v>319</v>
      </c>
      <c r="D462" s="382" t="s">
        <v>202</v>
      </c>
      <c r="E462" s="382" t="s">
        <v>72</v>
      </c>
      <c r="F462" s="440" t="s">
        <v>456</v>
      </c>
      <c r="G462" s="382"/>
      <c r="H462" s="411">
        <v>0.33750000000000002</v>
      </c>
      <c r="I462" s="409">
        <v>1</v>
      </c>
      <c r="J462" s="382"/>
      <c r="K462" s="411">
        <f t="shared" si="67"/>
        <v>0</v>
      </c>
      <c r="L462" s="409"/>
      <c r="M462" s="382"/>
      <c r="N462" s="385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  <c r="AA462" s="389"/>
      <c r="AB462" s="389"/>
    </row>
    <row r="463" spans="1:28" hidden="1" outlineLevel="2" collapsed="1">
      <c r="A463" s="382"/>
      <c r="B463" s="382" t="s">
        <v>319</v>
      </c>
      <c r="C463" s="386" t="s">
        <v>319</v>
      </c>
      <c r="D463" s="382" t="s">
        <v>18</v>
      </c>
      <c r="E463" s="386"/>
      <c r="F463" s="440" t="s">
        <v>468</v>
      </c>
      <c r="G463" s="382"/>
      <c r="H463" s="411">
        <f>SUM(H464:H466)</f>
        <v>0.28500000000000003</v>
      </c>
      <c r="I463" s="409">
        <f>SUM(I464:I466)</f>
        <v>3</v>
      </c>
      <c r="J463" s="382"/>
      <c r="K463" s="411">
        <f>SUM(K464:K466)</f>
        <v>0</v>
      </c>
      <c r="L463" s="409">
        <f>SUM(L464:L466)</f>
        <v>0</v>
      </c>
      <c r="M463" s="382"/>
      <c r="N463" s="385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  <c r="AA463" s="389"/>
      <c r="AB463" s="389"/>
    </row>
    <row r="464" spans="1:28" hidden="1" outlineLevel="3">
      <c r="A464" s="382"/>
      <c r="B464" s="382" t="s">
        <v>319</v>
      </c>
      <c r="C464" s="386" t="s">
        <v>319</v>
      </c>
      <c r="D464" s="382" t="s">
        <v>18</v>
      </c>
      <c r="E464" s="386" t="s">
        <v>204</v>
      </c>
      <c r="F464" s="420" t="s">
        <v>341</v>
      </c>
      <c r="G464" s="382"/>
      <c r="H464" s="411">
        <v>9.5000000000000015E-2</v>
      </c>
      <c r="I464" s="409">
        <v>1</v>
      </c>
      <c r="J464" s="382"/>
      <c r="K464" s="411">
        <f t="shared" ref="K464:K466" si="68">IF(L464=1,H464,0)</f>
        <v>0</v>
      </c>
      <c r="L464" s="409"/>
      <c r="M464" s="382"/>
      <c r="N464" s="385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  <c r="AA464" s="389"/>
      <c r="AB464" s="389"/>
    </row>
    <row r="465" spans="1:28" hidden="1" outlineLevel="3">
      <c r="A465" s="382"/>
      <c r="B465" s="382" t="s">
        <v>319</v>
      </c>
      <c r="C465" s="386" t="s">
        <v>319</v>
      </c>
      <c r="D465" s="382" t="s">
        <v>18</v>
      </c>
      <c r="E465" s="386" t="s">
        <v>204</v>
      </c>
      <c r="F465" s="420" t="s">
        <v>342</v>
      </c>
      <c r="G465" s="382"/>
      <c r="H465" s="411">
        <v>9.5000000000000015E-2</v>
      </c>
      <c r="I465" s="409">
        <v>1</v>
      </c>
      <c r="J465" s="382"/>
      <c r="K465" s="411">
        <f t="shared" si="68"/>
        <v>0</v>
      </c>
      <c r="L465" s="409"/>
      <c r="M465" s="382"/>
      <c r="N465" s="385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  <c r="AA465" s="389"/>
      <c r="AB465" s="389"/>
    </row>
    <row r="466" spans="1:28" hidden="1" outlineLevel="3">
      <c r="A466" s="382"/>
      <c r="B466" s="382" t="s">
        <v>319</v>
      </c>
      <c r="C466" s="386" t="s">
        <v>319</v>
      </c>
      <c r="D466" s="382" t="s">
        <v>18</v>
      </c>
      <c r="E466" s="386" t="s">
        <v>204</v>
      </c>
      <c r="F466" s="420" t="s">
        <v>469</v>
      </c>
      <c r="G466" s="382"/>
      <c r="H466" s="411">
        <v>9.5000000000000015E-2</v>
      </c>
      <c r="I466" s="409">
        <v>1</v>
      </c>
      <c r="J466" s="382"/>
      <c r="K466" s="411">
        <f t="shared" si="68"/>
        <v>0</v>
      </c>
      <c r="L466" s="409"/>
      <c r="M466" s="382"/>
      <c r="N466" s="385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  <c r="AA466" s="389"/>
      <c r="AB466" s="389"/>
    </row>
    <row r="467" spans="1:28" hidden="1" outlineLevel="2" collapsed="1">
      <c r="A467" s="382"/>
      <c r="B467" s="382" t="s">
        <v>319</v>
      </c>
      <c r="C467" s="386" t="s">
        <v>319</v>
      </c>
      <c r="D467" s="382" t="s">
        <v>26</v>
      </c>
      <c r="E467" s="382"/>
      <c r="F467" s="440" t="s">
        <v>470</v>
      </c>
      <c r="G467" s="382"/>
      <c r="H467" s="411">
        <f>SUM(H468:H470)</f>
        <v>0.57240000000000002</v>
      </c>
      <c r="I467" s="409">
        <f>SUM(I468:I470)</f>
        <v>3</v>
      </c>
      <c r="J467" s="382"/>
      <c r="K467" s="411">
        <f>SUM(K468:K470)</f>
        <v>0</v>
      </c>
      <c r="L467" s="409">
        <f>SUM(L468:L470)</f>
        <v>0</v>
      </c>
      <c r="M467" s="382"/>
      <c r="N467" s="385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  <c r="AA467" s="389"/>
      <c r="AB467" s="389"/>
    </row>
    <row r="468" spans="1:28" hidden="1" outlineLevel="3">
      <c r="A468" s="382"/>
      <c r="B468" s="382" t="s">
        <v>319</v>
      </c>
      <c r="C468" s="386" t="s">
        <v>319</v>
      </c>
      <c r="D468" s="382" t="s">
        <v>26</v>
      </c>
      <c r="E468" s="382" t="s">
        <v>27</v>
      </c>
      <c r="F468" s="440" t="s">
        <v>32</v>
      </c>
      <c r="G468" s="382"/>
      <c r="H468" s="411">
        <v>0.1431</v>
      </c>
      <c r="I468" s="409">
        <v>1</v>
      </c>
      <c r="J468" s="382"/>
      <c r="K468" s="411">
        <f t="shared" ref="K468:K470" si="69">IF(L468=1,H468,0)</f>
        <v>0</v>
      </c>
      <c r="L468" s="409"/>
      <c r="M468" s="382"/>
      <c r="N468" s="385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  <c r="AA468" s="389"/>
      <c r="AB468" s="389"/>
    </row>
    <row r="469" spans="1:28" hidden="1" outlineLevel="3">
      <c r="A469" s="382"/>
      <c r="B469" s="382" t="s">
        <v>319</v>
      </c>
      <c r="C469" s="386" t="s">
        <v>319</v>
      </c>
      <c r="D469" s="382" t="s">
        <v>26</v>
      </c>
      <c r="E469" s="382" t="s">
        <v>27</v>
      </c>
      <c r="F469" s="440" t="s">
        <v>34</v>
      </c>
      <c r="G469" s="382"/>
      <c r="H469" s="411">
        <v>0.28620000000000001</v>
      </c>
      <c r="I469" s="388">
        <v>1</v>
      </c>
      <c r="J469" s="382"/>
      <c r="K469" s="411">
        <f t="shared" si="69"/>
        <v>0</v>
      </c>
      <c r="L469" s="388"/>
      <c r="M469" s="382"/>
      <c r="N469" s="385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  <c r="AA469" s="389"/>
      <c r="AB469" s="389"/>
    </row>
    <row r="470" spans="1:28" hidden="1" outlineLevel="3">
      <c r="A470" s="382"/>
      <c r="B470" s="382" t="s">
        <v>319</v>
      </c>
      <c r="C470" s="386" t="s">
        <v>319</v>
      </c>
      <c r="D470" s="382" t="s">
        <v>26</v>
      </c>
      <c r="E470" s="382" t="s">
        <v>27</v>
      </c>
      <c r="F470" s="440" t="s">
        <v>471</v>
      </c>
      <c r="G470" s="382"/>
      <c r="H470" s="411">
        <v>0.1431</v>
      </c>
      <c r="I470" s="388">
        <v>1</v>
      </c>
      <c r="J470" s="382"/>
      <c r="K470" s="411">
        <f t="shared" si="69"/>
        <v>0</v>
      </c>
      <c r="L470" s="388"/>
      <c r="M470" s="382"/>
      <c r="N470" s="385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  <c r="AA470" s="389"/>
      <c r="AB470" s="389"/>
    </row>
    <row r="471" spans="1:28" hidden="1" outlineLevel="2" collapsed="1">
      <c r="A471" s="382"/>
      <c r="B471" s="382" t="s">
        <v>319</v>
      </c>
      <c r="C471" s="386" t="s">
        <v>319</v>
      </c>
      <c r="D471" s="382" t="s">
        <v>28</v>
      </c>
      <c r="E471" s="382"/>
      <c r="F471" s="440" t="s">
        <v>472</v>
      </c>
      <c r="G471" s="382"/>
      <c r="H471" s="411">
        <f>SUM(H472:H475)</f>
        <v>0.23895</v>
      </c>
      <c r="I471" s="409">
        <f>SUM(I472:I475)</f>
        <v>4</v>
      </c>
      <c r="J471" s="382"/>
      <c r="K471" s="411">
        <f>SUM(K472:K475)</f>
        <v>7.9649999999999999E-2</v>
      </c>
      <c r="L471" s="409">
        <f>SUM(L472:L475)</f>
        <v>1</v>
      </c>
      <c r="M471" s="382"/>
      <c r="N471" s="385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  <c r="AA471" s="389"/>
      <c r="AB471" s="389"/>
    </row>
    <row r="472" spans="1:28" hidden="1" outlineLevel="3">
      <c r="A472" s="382"/>
      <c r="B472" s="382" t="s">
        <v>319</v>
      </c>
      <c r="C472" s="386" t="s">
        <v>319</v>
      </c>
      <c r="D472" s="382" t="s">
        <v>28</v>
      </c>
      <c r="E472" s="382" t="s">
        <v>29</v>
      </c>
      <c r="F472" s="440" t="s">
        <v>32</v>
      </c>
      <c r="G472" s="382"/>
      <c r="H472" s="411">
        <v>3.9824999999999999E-2</v>
      </c>
      <c r="I472" s="409">
        <v>1</v>
      </c>
      <c r="J472" s="382"/>
      <c r="K472" s="411">
        <f t="shared" ref="K472:K475" si="70">IF(L472=1,H472,0)</f>
        <v>0</v>
      </c>
      <c r="L472" s="409"/>
      <c r="M472" s="382"/>
      <c r="N472" s="385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  <c r="AA472" s="389"/>
      <c r="AB472" s="389"/>
    </row>
    <row r="473" spans="1:28" hidden="1" outlineLevel="3">
      <c r="A473" s="382"/>
      <c r="B473" s="382" t="s">
        <v>319</v>
      </c>
      <c r="C473" s="386" t="s">
        <v>319</v>
      </c>
      <c r="D473" s="382" t="s">
        <v>28</v>
      </c>
      <c r="E473" s="382" t="s">
        <v>29</v>
      </c>
      <c r="F473" s="440" t="s">
        <v>33</v>
      </c>
      <c r="G473" s="382"/>
      <c r="H473" s="411">
        <v>7.9649999999999999E-2</v>
      </c>
      <c r="I473" s="409">
        <v>1</v>
      </c>
      <c r="J473" s="382"/>
      <c r="K473" s="411">
        <f t="shared" si="70"/>
        <v>7.9649999999999999E-2</v>
      </c>
      <c r="L473" s="409">
        <v>1</v>
      </c>
      <c r="M473" s="382"/>
      <c r="N473" s="385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  <c r="AA473" s="389"/>
      <c r="AB473" s="389"/>
    </row>
    <row r="474" spans="1:28" hidden="1" outlineLevel="3">
      <c r="A474" s="382"/>
      <c r="B474" s="382" t="s">
        <v>319</v>
      </c>
      <c r="C474" s="386" t="s">
        <v>319</v>
      </c>
      <c r="D474" s="382" t="s">
        <v>28</v>
      </c>
      <c r="E474" s="382" t="s">
        <v>29</v>
      </c>
      <c r="F474" s="440" t="s">
        <v>34</v>
      </c>
      <c r="G474" s="382"/>
      <c r="H474" s="411">
        <v>7.9649999999999999E-2</v>
      </c>
      <c r="I474" s="409">
        <v>1</v>
      </c>
      <c r="J474" s="382"/>
      <c r="K474" s="411">
        <f t="shared" si="70"/>
        <v>0</v>
      </c>
      <c r="L474" s="409"/>
      <c r="M474" s="382"/>
      <c r="N474" s="385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  <c r="AA474" s="389"/>
      <c r="AB474" s="389"/>
    </row>
    <row r="475" spans="1:28" hidden="1" outlineLevel="3" collapsed="1">
      <c r="A475" s="382"/>
      <c r="B475" s="382" t="s">
        <v>319</v>
      </c>
      <c r="C475" s="386" t="s">
        <v>319</v>
      </c>
      <c r="D475" s="382" t="s">
        <v>28</v>
      </c>
      <c r="E475" s="382" t="s">
        <v>29</v>
      </c>
      <c r="F475" s="440" t="s">
        <v>197</v>
      </c>
      <c r="G475" s="382"/>
      <c r="H475" s="387">
        <v>3.9824999999999999E-2</v>
      </c>
      <c r="I475" s="388">
        <v>1</v>
      </c>
      <c r="J475" s="382"/>
      <c r="K475" s="411">
        <f t="shared" si="70"/>
        <v>0</v>
      </c>
      <c r="L475" s="388"/>
      <c r="M475" s="382"/>
      <c r="N475" s="385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  <c r="AA475" s="389"/>
      <c r="AB475" s="389"/>
    </row>
    <row r="476" spans="1:28" hidden="1" outlineLevel="2" collapsed="1">
      <c r="A476" s="382"/>
      <c r="B476" s="382" t="s">
        <v>319</v>
      </c>
      <c r="C476" s="386" t="s">
        <v>319</v>
      </c>
      <c r="D476" s="382" t="s">
        <v>64</v>
      </c>
      <c r="E476" s="382"/>
      <c r="F476" s="440" t="s">
        <v>472</v>
      </c>
      <c r="G476" s="382"/>
      <c r="H476" s="411">
        <f>SUM(H477:H479)</f>
        <v>8.9100000000000013E-2</v>
      </c>
      <c r="I476" s="409">
        <f>SUM(I477:I479)</f>
        <v>3</v>
      </c>
      <c r="J476" s="382"/>
      <c r="K476" s="411">
        <f>SUM(K477:K479)</f>
        <v>0</v>
      </c>
      <c r="L476" s="409">
        <f>SUM(L477:L479)</f>
        <v>0</v>
      </c>
      <c r="M476" s="382"/>
      <c r="N476" s="385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  <c r="AA476" s="389"/>
      <c r="AB476" s="389"/>
    </row>
    <row r="477" spans="1:28" hidden="1" outlineLevel="3" collapsed="1">
      <c r="A477" s="382"/>
      <c r="B477" s="382" t="s">
        <v>319</v>
      </c>
      <c r="C477" s="386" t="s">
        <v>319</v>
      </c>
      <c r="D477" s="382" t="s">
        <v>64</v>
      </c>
      <c r="E477" s="382" t="s">
        <v>29</v>
      </c>
      <c r="F477" s="553" t="s">
        <v>32</v>
      </c>
      <c r="G477" s="382"/>
      <c r="H477" s="411">
        <v>4.4550000000000006E-2</v>
      </c>
      <c r="I477" s="409">
        <v>1</v>
      </c>
      <c r="J477" s="382"/>
      <c r="K477" s="411">
        <f t="shared" ref="K477:K479" si="71">IF(L477=1,H477,0)</f>
        <v>0</v>
      </c>
      <c r="L477" s="409"/>
      <c r="M477" s="382"/>
      <c r="N477" s="385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  <c r="AA477" s="389"/>
      <c r="AB477" s="389"/>
    </row>
    <row r="478" spans="1:28" hidden="1" outlineLevel="3">
      <c r="A478" s="382"/>
      <c r="B478" s="382" t="s">
        <v>319</v>
      </c>
      <c r="C478" s="386" t="s">
        <v>319</v>
      </c>
      <c r="D478" s="382" t="s">
        <v>64</v>
      </c>
      <c r="E478" s="382" t="s">
        <v>29</v>
      </c>
      <c r="F478" s="440" t="s">
        <v>34</v>
      </c>
      <c r="G478" s="382"/>
      <c r="H478" s="411">
        <v>2.2275000000000003E-2</v>
      </c>
      <c r="I478" s="409">
        <v>1</v>
      </c>
      <c r="J478" s="382"/>
      <c r="K478" s="411">
        <f t="shared" si="71"/>
        <v>0</v>
      </c>
      <c r="L478" s="409"/>
      <c r="M478" s="382"/>
      <c r="N478" s="385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  <c r="AA478" s="389"/>
      <c r="AB478" s="389"/>
    </row>
    <row r="479" spans="1:28" hidden="1" outlineLevel="3">
      <c r="A479" s="382"/>
      <c r="B479" s="382" t="s">
        <v>319</v>
      </c>
      <c r="C479" s="386" t="s">
        <v>319</v>
      </c>
      <c r="D479" s="382" t="s">
        <v>64</v>
      </c>
      <c r="E479" s="382" t="s">
        <v>29</v>
      </c>
      <c r="F479" s="440" t="s">
        <v>471</v>
      </c>
      <c r="G479" s="382"/>
      <c r="H479" s="411">
        <v>2.2275000000000003E-2</v>
      </c>
      <c r="I479" s="409">
        <v>1</v>
      </c>
      <c r="J479" s="382"/>
      <c r="K479" s="411">
        <f t="shared" si="71"/>
        <v>0</v>
      </c>
      <c r="L479" s="409"/>
      <c r="M479" s="382"/>
      <c r="N479" s="385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  <c r="AA479" s="389"/>
      <c r="AB479" s="389"/>
    </row>
    <row r="480" spans="1:28" ht="21" customHeight="1" outlineLevel="1" collapsed="1">
      <c r="A480" s="382"/>
      <c r="B480" s="390" t="s">
        <v>474</v>
      </c>
      <c r="C480" s="390" t="s">
        <v>313</v>
      </c>
      <c r="D480" s="390"/>
      <c r="E480" s="395"/>
      <c r="F480" s="442" t="s">
        <v>475</v>
      </c>
      <c r="G480" s="382"/>
      <c r="H480" s="418">
        <f>H481+H486+H487+H490+H494</f>
        <v>5.9871800000000004</v>
      </c>
      <c r="I480" s="408">
        <f>SUM(I481+I486+I487+I490+I494)</f>
        <v>12</v>
      </c>
      <c r="J480" s="382"/>
      <c r="K480" s="418">
        <f>K481+K486+K487+K490+K494</f>
        <v>0</v>
      </c>
      <c r="L480" s="408">
        <f>SUM(L481+L486+L487+L490+L494)</f>
        <v>0</v>
      </c>
      <c r="M480" s="382"/>
      <c r="N480" s="385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  <c r="AA480" s="389"/>
      <c r="AB480" s="389"/>
    </row>
    <row r="481" spans="1:28" hidden="1" outlineLevel="2" collapsed="1">
      <c r="A481" s="382"/>
      <c r="B481" s="386" t="s">
        <v>474</v>
      </c>
      <c r="C481" s="386" t="s">
        <v>136</v>
      </c>
      <c r="D481" s="382" t="s">
        <v>202</v>
      </c>
      <c r="E481" s="382"/>
      <c r="F481" s="440" t="s">
        <v>477</v>
      </c>
      <c r="G481" s="382"/>
      <c r="H481" s="387">
        <f>SUM(H482:H485)</f>
        <v>4.5200000000000005</v>
      </c>
      <c r="I481" s="388">
        <f>SUM(I482:I485)</f>
        <v>4</v>
      </c>
      <c r="J481" s="382"/>
      <c r="K481" s="387">
        <f>SUM(K482:K485)</f>
        <v>0</v>
      </c>
      <c r="L481" s="388">
        <f>SUM(L482:L485)</f>
        <v>0</v>
      </c>
      <c r="M481" s="382"/>
      <c r="N481" s="385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  <c r="AA481" s="389"/>
      <c r="AB481" s="389"/>
    </row>
    <row r="482" spans="1:28" hidden="1" outlineLevel="3">
      <c r="A482" s="382"/>
      <c r="B482" s="386" t="s">
        <v>474</v>
      </c>
      <c r="C482" s="386" t="s">
        <v>136</v>
      </c>
      <c r="D482" s="382" t="s">
        <v>202</v>
      </c>
      <c r="E482" s="382" t="s">
        <v>29</v>
      </c>
      <c r="F482" s="440" t="s">
        <v>334</v>
      </c>
      <c r="G482" s="382"/>
      <c r="H482" s="387">
        <v>0.85500000000000009</v>
      </c>
      <c r="I482" s="409">
        <v>1</v>
      </c>
      <c r="J482" s="382"/>
      <c r="K482" s="411">
        <f t="shared" ref="K482:K485" si="72">IF(L482=1,H482,0)</f>
        <v>0</v>
      </c>
      <c r="L482" s="409"/>
      <c r="M482" s="382"/>
      <c r="N482" s="385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  <c r="AA482" s="389"/>
      <c r="AB482" s="389"/>
    </row>
    <row r="483" spans="1:28" hidden="1" outlineLevel="3">
      <c r="A483" s="382"/>
      <c r="B483" s="386" t="s">
        <v>474</v>
      </c>
      <c r="C483" s="386" t="s">
        <v>136</v>
      </c>
      <c r="D483" s="382" t="s">
        <v>202</v>
      </c>
      <c r="E483" s="382" t="s">
        <v>29</v>
      </c>
      <c r="F483" s="440" t="s">
        <v>32</v>
      </c>
      <c r="G483" s="382"/>
      <c r="H483" s="387">
        <v>1.4050000000000002</v>
      </c>
      <c r="I483" s="409">
        <v>1</v>
      </c>
      <c r="J483" s="382"/>
      <c r="K483" s="411">
        <f t="shared" si="72"/>
        <v>0</v>
      </c>
      <c r="L483" s="409"/>
      <c r="M483" s="382"/>
      <c r="N483" s="385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  <c r="AA483" s="389"/>
      <c r="AB483" s="389"/>
    </row>
    <row r="484" spans="1:28" hidden="1" outlineLevel="3">
      <c r="A484" s="382"/>
      <c r="B484" s="386" t="s">
        <v>474</v>
      </c>
      <c r="C484" s="386" t="s">
        <v>136</v>
      </c>
      <c r="D484" s="382" t="s">
        <v>202</v>
      </c>
      <c r="E484" s="382" t="s">
        <v>29</v>
      </c>
      <c r="F484" s="440" t="s">
        <v>33</v>
      </c>
      <c r="G484" s="382"/>
      <c r="H484" s="387">
        <v>1.4050000000000002</v>
      </c>
      <c r="I484" s="409">
        <v>1</v>
      </c>
      <c r="J484" s="382"/>
      <c r="K484" s="411">
        <f t="shared" si="72"/>
        <v>0</v>
      </c>
      <c r="L484" s="409"/>
      <c r="M484" s="382"/>
      <c r="N484" s="385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  <c r="AA484" s="389"/>
      <c r="AB484" s="389"/>
    </row>
    <row r="485" spans="1:28" hidden="1" outlineLevel="3">
      <c r="A485" s="382"/>
      <c r="B485" s="386" t="s">
        <v>474</v>
      </c>
      <c r="C485" s="386" t="s">
        <v>136</v>
      </c>
      <c r="D485" s="382" t="s">
        <v>202</v>
      </c>
      <c r="E485" s="382" t="s">
        <v>29</v>
      </c>
      <c r="F485" s="440" t="s">
        <v>471</v>
      </c>
      <c r="G485" s="382"/>
      <c r="H485" s="387">
        <v>0.85500000000000009</v>
      </c>
      <c r="I485" s="409">
        <v>1</v>
      </c>
      <c r="J485" s="382"/>
      <c r="K485" s="411">
        <f t="shared" si="72"/>
        <v>0</v>
      </c>
      <c r="L485" s="409"/>
      <c r="M485" s="382"/>
      <c r="N485" s="385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  <c r="AA485" s="389"/>
      <c r="AB485" s="389"/>
    </row>
    <row r="486" spans="1:28" hidden="1" outlineLevel="2">
      <c r="A486" s="382"/>
      <c r="B486" s="386" t="s">
        <v>474</v>
      </c>
      <c r="C486" s="386" t="s">
        <v>136</v>
      </c>
      <c r="D486" s="382" t="s">
        <v>18</v>
      </c>
      <c r="E486" s="382"/>
      <c r="F486" s="440" t="s">
        <v>468</v>
      </c>
      <c r="G486" s="382"/>
      <c r="H486" s="387"/>
      <c r="I486" s="388"/>
      <c r="J486" s="382"/>
      <c r="K486" s="387"/>
      <c r="L486" s="388"/>
      <c r="M486" s="382"/>
      <c r="N486" s="385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  <c r="AA486" s="389"/>
      <c r="AB486" s="389"/>
    </row>
    <row r="487" spans="1:28" hidden="1" outlineLevel="2" collapsed="1">
      <c r="A487" s="382"/>
      <c r="B487" s="386" t="s">
        <v>474</v>
      </c>
      <c r="C487" s="386" t="s">
        <v>136</v>
      </c>
      <c r="D487" s="382" t="s">
        <v>26</v>
      </c>
      <c r="E487" s="382"/>
      <c r="F487" s="440" t="s">
        <v>482</v>
      </c>
      <c r="G487" s="382"/>
      <c r="H487" s="387">
        <f>SUM(H488:H489)</f>
        <v>0.72504000000000002</v>
      </c>
      <c r="I487" s="388">
        <f>SUM(I488:I489)</f>
        <v>2</v>
      </c>
      <c r="J487" s="382"/>
      <c r="K487" s="387">
        <f>SUM(K488:K489)</f>
        <v>0</v>
      </c>
      <c r="L487" s="388">
        <f>SUM(L488:L489)</f>
        <v>0</v>
      </c>
      <c r="M487" s="382"/>
      <c r="N487" s="385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  <c r="AA487" s="389"/>
      <c r="AB487" s="389"/>
    </row>
    <row r="488" spans="1:28" hidden="1" outlineLevel="3">
      <c r="A488" s="382"/>
      <c r="B488" s="386" t="s">
        <v>474</v>
      </c>
      <c r="C488" s="386" t="s">
        <v>136</v>
      </c>
      <c r="D488" s="382" t="s">
        <v>26</v>
      </c>
      <c r="E488" s="382" t="s">
        <v>27</v>
      </c>
      <c r="F488" s="440" t="s">
        <v>32</v>
      </c>
      <c r="G488" s="382"/>
      <c r="H488" s="387">
        <v>0.36252000000000001</v>
      </c>
      <c r="I488" s="388">
        <v>1</v>
      </c>
      <c r="J488" s="382"/>
      <c r="K488" s="411">
        <f t="shared" ref="K488:K489" si="73">IF(L488=1,H488,0)</f>
        <v>0</v>
      </c>
      <c r="L488" s="388"/>
      <c r="M488" s="382"/>
      <c r="N488" s="385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  <c r="AA488" s="389"/>
      <c r="AB488" s="389"/>
    </row>
    <row r="489" spans="1:28" hidden="1" outlineLevel="3">
      <c r="A489" s="382"/>
      <c r="B489" s="386" t="s">
        <v>474</v>
      </c>
      <c r="C489" s="386" t="s">
        <v>136</v>
      </c>
      <c r="D489" s="382" t="s">
        <v>26</v>
      </c>
      <c r="E489" s="382" t="s">
        <v>27</v>
      </c>
      <c r="F489" s="440" t="s">
        <v>471</v>
      </c>
      <c r="G489" s="382"/>
      <c r="H489" s="411">
        <v>0.36252000000000001</v>
      </c>
      <c r="I489" s="409">
        <v>1</v>
      </c>
      <c r="J489" s="382"/>
      <c r="K489" s="411">
        <f t="shared" si="73"/>
        <v>0</v>
      </c>
      <c r="L489" s="409"/>
      <c r="M489" s="382"/>
      <c r="N489" s="385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  <c r="AA489" s="389"/>
      <c r="AB489" s="389"/>
    </row>
    <row r="490" spans="1:28" hidden="1" outlineLevel="2" collapsed="1">
      <c r="A490" s="382"/>
      <c r="B490" s="386" t="s">
        <v>474</v>
      </c>
      <c r="C490" s="386" t="s">
        <v>136</v>
      </c>
      <c r="D490" s="382" t="s">
        <v>28</v>
      </c>
      <c r="E490" s="382"/>
      <c r="F490" s="440" t="s">
        <v>468</v>
      </c>
      <c r="G490" s="382"/>
      <c r="H490" s="387">
        <f>SUM(H491:H493)</f>
        <v>0.40355999999999997</v>
      </c>
      <c r="I490" s="388">
        <f>SUM(I491:I493)</f>
        <v>3</v>
      </c>
      <c r="J490" s="382"/>
      <c r="K490" s="387">
        <f>SUM(K491:K493)</f>
        <v>0</v>
      </c>
      <c r="L490" s="388">
        <f>SUM(L491:L493)</f>
        <v>0</v>
      </c>
      <c r="M490" s="382"/>
      <c r="N490" s="385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  <c r="AA490" s="389"/>
      <c r="AB490" s="389"/>
    </row>
    <row r="491" spans="1:28" hidden="1" outlineLevel="3">
      <c r="A491" s="382"/>
      <c r="B491" s="386" t="s">
        <v>474</v>
      </c>
      <c r="C491" s="386" t="s">
        <v>136</v>
      </c>
      <c r="D491" s="382" t="s">
        <v>28</v>
      </c>
      <c r="E491" s="382" t="s">
        <v>29</v>
      </c>
      <c r="F491" s="440" t="s">
        <v>32</v>
      </c>
      <c r="G491" s="382"/>
      <c r="H491" s="411">
        <v>0.10088999999999999</v>
      </c>
      <c r="I491" s="409">
        <v>1</v>
      </c>
      <c r="J491" s="382"/>
      <c r="K491" s="411">
        <f t="shared" ref="K491:K493" si="74">IF(L491=1,H491,0)</f>
        <v>0</v>
      </c>
      <c r="L491" s="409"/>
      <c r="M491" s="382"/>
      <c r="N491" s="385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  <c r="AA491" s="389"/>
      <c r="AB491" s="389"/>
    </row>
    <row r="492" spans="1:28" hidden="1" outlineLevel="3">
      <c r="A492" s="382"/>
      <c r="B492" s="386" t="s">
        <v>474</v>
      </c>
      <c r="C492" s="386" t="s">
        <v>136</v>
      </c>
      <c r="D492" s="382" t="s">
        <v>28</v>
      </c>
      <c r="E492" s="382" t="s">
        <v>29</v>
      </c>
      <c r="F492" s="440" t="s">
        <v>33</v>
      </c>
      <c r="G492" s="382"/>
      <c r="H492" s="411">
        <v>0.20177999999999999</v>
      </c>
      <c r="I492" s="409">
        <v>1</v>
      </c>
      <c r="J492" s="382"/>
      <c r="K492" s="411">
        <f t="shared" si="74"/>
        <v>0</v>
      </c>
      <c r="L492" s="409"/>
      <c r="M492" s="382"/>
      <c r="N492" s="385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  <c r="AA492" s="389"/>
      <c r="AB492" s="389"/>
    </row>
    <row r="493" spans="1:28" hidden="1" outlineLevel="3">
      <c r="A493" s="382"/>
      <c r="B493" s="386" t="s">
        <v>474</v>
      </c>
      <c r="C493" s="386" t="s">
        <v>136</v>
      </c>
      <c r="D493" s="382" t="s">
        <v>28</v>
      </c>
      <c r="E493" s="382" t="s">
        <v>29</v>
      </c>
      <c r="F493" s="440" t="s">
        <v>471</v>
      </c>
      <c r="G493" s="382"/>
      <c r="H493" s="387">
        <v>0.10088999999999999</v>
      </c>
      <c r="I493" s="388">
        <v>1</v>
      </c>
      <c r="J493" s="382"/>
      <c r="K493" s="411">
        <f t="shared" si="74"/>
        <v>0</v>
      </c>
      <c r="L493" s="388"/>
      <c r="M493" s="382"/>
      <c r="N493" s="385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  <c r="AA493" s="389"/>
      <c r="AB493" s="389"/>
    </row>
    <row r="494" spans="1:28" hidden="1" outlineLevel="2" collapsed="1">
      <c r="A494" s="382"/>
      <c r="B494" s="386" t="s">
        <v>474</v>
      </c>
      <c r="C494" s="386" t="s">
        <v>136</v>
      </c>
      <c r="D494" s="382" t="s">
        <v>64</v>
      </c>
      <c r="E494" s="382"/>
      <c r="F494" s="440" t="s">
        <v>468</v>
      </c>
      <c r="G494" s="382"/>
      <c r="H494" s="387">
        <f>+SUM(H495:H497)</f>
        <v>0.33857999999999999</v>
      </c>
      <c r="I494" s="388">
        <f>SUM(I495:I497)</f>
        <v>3</v>
      </c>
      <c r="J494" s="382"/>
      <c r="K494" s="387">
        <f>+SUM(K495:K497)</f>
        <v>0</v>
      </c>
      <c r="L494" s="388">
        <f>SUM(L495:L497)</f>
        <v>0</v>
      </c>
      <c r="M494" s="382"/>
      <c r="N494" s="385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  <c r="AA494" s="389"/>
      <c r="AB494" s="389"/>
    </row>
    <row r="495" spans="1:28" hidden="1" outlineLevel="3">
      <c r="A495" s="382"/>
      <c r="B495" s="386" t="s">
        <v>474</v>
      </c>
      <c r="C495" s="386" t="s">
        <v>136</v>
      </c>
      <c r="D495" s="382" t="s">
        <v>64</v>
      </c>
      <c r="E495" s="382" t="s">
        <v>29</v>
      </c>
      <c r="F495" s="440" t="s">
        <v>32</v>
      </c>
      <c r="G495" s="382"/>
      <c r="H495" s="411">
        <v>0.11286000000000002</v>
      </c>
      <c r="I495" s="409">
        <v>1</v>
      </c>
      <c r="J495" s="382"/>
      <c r="K495" s="411">
        <f t="shared" ref="K495:K497" si="75">IF(L495=1,H495,0)</f>
        <v>0</v>
      </c>
      <c r="L495" s="409"/>
      <c r="M495" s="382"/>
      <c r="N495" s="385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  <c r="AA495" s="389"/>
      <c r="AB495" s="389"/>
    </row>
    <row r="496" spans="1:28" hidden="1" outlineLevel="3">
      <c r="A496" s="382"/>
      <c r="B496" s="386" t="s">
        <v>474</v>
      </c>
      <c r="C496" s="386" t="s">
        <v>136</v>
      </c>
      <c r="D496" s="382" t="s">
        <v>64</v>
      </c>
      <c r="E496" s="382" t="s">
        <v>29</v>
      </c>
      <c r="F496" s="440" t="s">
        <v>33</v>
      </c>
      <c r="G496" s="382"/>
      <c r="H496" s="411">
        <v>0.16929</v>
      </c>
      <c r="I496" s="409">
        <v>1</v>
      </c>
      <c r="J496" s="382"/>
      <c r="K496" s="411">
        <f t="shared" si="75"/>
        <v>0</v>
      </c>
      <c r="L496" s="409"/>
      <c r="M496" s="382"/>
      <c r="N496" s="385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  <c r="AA496" s="389"/>
      <c r="AB496" s="389"/>
    </row>
    <row r="497" spans="1:28" hidden="1" outlineLevel="3">
      <c r="A497" s="382"/>
      <c r="B497" s="386" t="s">
        <v>474</v>
      </c>
      <c r="C497" s="386" t="s">
        <v>136</v>
      </c>
      <c r="D497" s="382" t="s">
        <v>64</v>
      </c>
      <c r="E497" s="382" t="s">
        <v>29</v>
      </c>
      <c r="F497" s="440" t="s">
        <v>471</v>
      </c>
      <c r="G497" s="382"/>
      <c r="H497" s="387">
        <v>5.6430000000000008E-2</v>
      </c>
      <c r="I497" s="388">
        <v>1</v>
      </c>
      <c r="J497" s="382"/>
      <c r="K497" s="411">
        <f t="shared" si="75"/>
        <v>0</v>
      </c>
      <c r="L497" s="388"/>
      <c r="M497" s="382"/>
      <c r="N497" s="385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  <c r="AA497" s="389"/>
      <c r="AB497" s="389"/>
    </row>
    <row r="498" spans="1:28" outlineLevel="1" collapsed="1">
      <c r="A498" s="382"/>
      <c r="B498" s="396" t="s">
        <v>486</v>
      </c>
      <c r="C498" s="396" t="s">
        <v>136</v>
      </c>
      <c r="D498" s="403"/>
      <c r="E498" s="395"/>
      <c r="F498" s="442" t="s">
        <v>487</v>
      </c>
      <c r="G498" s="382"/>
      <c r="H498" s="428">
        <f>H499+H503+H505+H507+H510</f>
        <v>2.7968904440006535</v>
      </c>
      <c r="I498" s="429">
        <f>I499+I503+I505+I507+I510</f>
        <v>9</v>
      </c>
      <c r="J498" s="382"/>
      <c r="K498" s="428">
        <f>K499+K503+K505+K507+K510</f>
        <v>0</v>
      </c>
      <c r="L498" s="429">
        <f>L499+L503+L505+L507+L510</f>
        <v>0</v>
      </c>
      <c r="M498" s="382"/>
      <c r="N498" s="385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  <c r="AA498" s="389"/>
      <c r="AB498" s="389"/>
    </row>
    <row r="499" spans="1:28" hidden="1" outlineLevel="2" collapsed="1">
      <c r="A499" s="382"/>
      <c r="B499" s="382" t="s">
        <v>486</v>
      </c>
      <c r="C499" s="397" t="s">
        <v>136</v>
      </c>
      <c r="D499" s="382" t="s">
        <v>202</v>
      </c>
      <c r="E499" s="382"/>
      <c r="F499" s="440" t="s">
        <v>489</v>
      </c>
      <c r="G499" s="382"/>
      <c r="H499" s="411">
        <f>SUM(H500:H502)</f>
        <v>2.184224765452226</v>
      </c>
      <c r="I499" s="409">
        <f>SUM(I500:I502)</f>
        <v>3</v>
      </c>
      <c r="J499" s="382"/>
      <c r="K499" s="411">
        <f>SUM(K500:K502)</f>
        <v>0</v>
      </c>
      <c r="L499" s="409">
        <f>SUM(L500:L502)</f>
        <v>0</v>
      </c>
      <c r="M499" s="382"/>
      <c r="N499" s="385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  <c r="AA499" s="389"/>
      <c r="AB499" s="389"/>
    </row>
    <row r="500" spans="1:28" hidden="1" outlineLevel="3">
      <c r="A500" s="382"/>
      <c r="B500" s="382" t="s">
        <v>486</v>
      </c>
      <c r="C500" s="397" t="s">
        <v>136</v>
      </c>
      <c r="D500" s="382" t="s">
        <v>202</v>
      </c>
      <c r="E500" s="382" t="s">
        <v>29</v>
      </c>
      <c r="F500" s="440" t="s">
        <v>334</v>
      </c>
      <c r="G500" s="382"/>
      <c r="H500" s="411">
        <v>0.4724994626592407</v>
      </c>
      <c r="I500" s="409">
        <v>1</v>
      </c>
      <c r="J500" s="382"/>
      <c r="K500" s="411">
        <f t="shared" ref="K500:K502" si="76">IF(L500=1,H500,0)</f>
        <v>0</v>
      </c>
      <c r="L500" s="409"/>
      <c r="M500" s="382"/>
      <c r="N500" s="385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  <c r="AA500" s="389"/>
      <c r="AB500" s="389"/>
    </row>
    <row r="501" spans="1:28" hidden="1" outlineLevel="3">
      <c r="A501" s="382"/>
      <c r="B501" s="382" t="s">
        <v>486</v>
      </c>
      <c r="C501" s="397" t="s">
        <v>136</v>
      </c>
      <c r="D501" s="382" t="s">
        <v>202</v>
      </c>
      <c r="E501" s="382" t="s">
        <v>29</v>
      </c>
      <c r="F501" s="440" t="s">
        <v>32</v>
      </c>
      <c r="G501" s="382"/>
      <c r="H501" s="411">
        <v>0.85586265139649265</v>
      </c>
      <c r="I501" s="409">
        <v>1</v>
      </c>
      <c r="J501" s="382"/>
      <c r="K501" s="411">
        <f t="shared" si="76"/>
        <v>0</v>
      </c>
      <c r="L501" s="409"/>
      <c r="M501" s="382"/>
      <c r="N501" s="385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  <c r="AA501" s="389"/>
      <c r="AB501" s="389"/>
    </row>
    <row r="502" spans="1:28" hidden="1" outlineLevel="3">
      <c r="A502" s="382"/>
      <c r="B502" s="382" t="s">
        <v>486</v>
      </c>
      <c r="C502" s="397" t="s">
        <v>136</v>
      </c>
      <c r="D502" s="382" t="s">
        <v>202</v>
      </c>
      <c r="E502" s="382" t="s">
        <v>29</v>
      </c>
      <c r="F502" s="440" t="s">
        <v>33</v>
      </c>
      <c r="G502" s="382"/>
      <c r="H502" s="411">
        <v>0.85586265139649265</v>
      </c>
      <c r="I502" s="409">
        <v>1</v>
      </c>
      <c r="J502" s="382"/>
      <c r="K502" s="411">
        <f t="shared" si="76"/>
        <v>0</v>
      </c>
      <c r="L502" s="409"/>
      <c r="M502" s="382"/>
      <c r="N502" s="385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  <c r="AA502" s="389"/>
      <c r="AB502" s="389"/>
    </row>
    <row r="503" spans="1:28" hidden="1" outlineLevel="2" collapsed="1">
      <c r="A503" s="382"/>
      <c r="B503" s="382" t="s">
        <v>486</v>
      </c>
      <c r="C503" s="397" t="s">
        <v>136</v>
      </c>
      <c r="D503" s="382" t="s">
        <v>18</v>
      </c>
      <c r="E503" s="382"/>
      <c r="F503" s="440" t="s">
        <v>489</v>
      </c>
      <c r="G503" s="382"/>
      <c r="H503" s="411">
        <f>SUM(H504:H504)</f>
        <v>8.9136273921988848E-2</v>
      </c>
      <c r="I503" s="409">
        <f>SUM(I504:I504)</f>
        <v>1</v>
      </c>
      <c r="J503" s="382"/>
      <c r="K503" s="411">
        <f>SUM(K504:K504)</f>
        <v>0</v>
      </c>
      <c r="L503" s="409">
        <f>SUM(L504:L504)</f>
        <v>0</v>
      </c>
      <c r="M503" s="382"/>
      <c r="N503" s="385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  <c r="AA503" s="389"/>
      <c r="AB503" s="389"/>
    </row>
    <row r="504" spans="1:28" hidden="1" outlineLevel="3">
      <c r="A504" s="382"/>
      <c r="B504" s="382" t="s">
        <v>486</v>
      </c>
      <c r="C504" s="397" t="s">
        <v>136</v>
      </c>
      <c r="D504" s="382" t="s">
        <v>18</v>
      </c>
      <c r="E504" s="382" t="s">
        <v>204</v>
      </c>
      <c r="F504" s="440" t="s">
        <v>32</v>
      </c>
      <c r="G504" s="382"/>
      <c r="H504" s="411">
        <v>8.9136273921988848E-2</v>
      </c>
      <c r="I504" s="409">
        <v>1</v>
      </c>
      <c r="J504" s="382"/>
      <c r="K504" s="411">
        <f>IF(L504=1,H504,0)</f>
        <v>0</v>
      </c>
      <c r="L504" s="409"/>
      <c r="M504" s="382"/>
      <c r="N504" s="385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  <c r="AA504" s="389"/>
      <c r="AB504" s="389"/>
    </row>
    <row r="505" spans="1:28" hidden="1" outlineLevel="2" collapsed="1">
      <c r="A505" s="382"/>
      <c r="B505" s="382" t="s">
        <v>486</v>
      </c>
      <c r="C505" s="397" t="s">
        <v>136</v>
      </c>
      <c r="D505" s="382" t="s">
        <v>26</v>
      </c>
      <c r="E505" s="382"/>
      <c r="F505" s="440" t="s">
        <v>489</v>
      </c>
      <c r="G505" s="382"/>
      <c r="H505" s="411">
        <f>SUM(H506:H506)</f>
        <v>0.20033977216751808</v>
      </c>
      <c r="I505" s="409">
        <f>SUM(I506:I506)</f>
        <v>1</v>
      </c>
      <c r="J505" s="382"/>
      <c r="K505" s="411">
        <f>SUM(K506:K506)</f>
        <v>0</v>
      </c>
      <c r="L505" s="409">
        <f>SUM(L506:L506)</f>
        <v>0</v>
      </c>
      <c r="M505" s="382"/>
      <c r="N505" s="385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  <c r="AA505" s="389"/>
      <c r="AB505" s="389"/>
    </row>
    <row r="506" spans="1:28" hidden="1" outlineLevel="3">
      <c r="A506" s="382"/>
      <c r="B506" s="382" t="s">
        <v>486</v>
      </c>
      <c r="C506" s="397" t="s">
        <v>136</v>
      </c>
      <c r="D506" s="382" t="s">
        <v>26</v>
      </c>
      <c r="E506" s="382" t="s">
        <v>27</v>
      </c>
      <c r="F506" s="440" t="s">
        <v>32</v>
      </c>
      <c r="G506" s="382"/>
      <c r="H506" s="411">
        <v>0.20033977216751808</v>
      </c>
      <c r="I506" s="409">
        <v>1</v>
      </c>
      <c r="J506" s="382"/>
      <c r="K506" s="411">
        <f>IF(L506=1,H506,0)</f>
        <v>0</v>
      </c>
      <c r="L506" s="409"/>
      <c r="M506" s="382"/>
      <c r="N506" s="385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  <c r="AA506" s="389"/>
      <c r="AB506" s="389"/>
    </row>
    <row r="507" spans="1:28" hidden="1" outlineLevel="2" collapsed="1">
      <c r="A507" s="382"/>
      <c r="B507" s="382" t="s">
        <v>486</v>
      </c>
      <c r="C507" s="397" t="s">
        <v>136</v>
      </c>
      <c r="D507" s="382" t="s">
        <v>28</v>
      </c>
      <c r="E507" s="382"/>
      <c r="F507" s="440" t="s">
        <v>489</v>
      </c>
      <c r="G507" s="382"/>
      <c r="H507" s="411">
        <f>SUM(H508:H509)</f>
        <v>0.1672648097813712</v>
      </c>
      <c r="I507" s="409">
        <f>SUM(I508:I509)</f>
        <v>2</v>
      </c>
      <c r="J507" s="382"/>
      <c r="K507" s="411">
        <f>SUM(K508:K509)</f>
        <v>0</v>
      </c>
      <c r="L507" s="409">
        <f>SUM(L508:L509)</f>
        <v>0</v>
      </c>
      <c r="M507" s="382"/>
      <c r="N507" s="385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  <c r="AA507" s="389"/>
      <c r="AB507" s="389"/>
    </row>
    <row r="508" spans="1:28" hidden="1" outlineLevel="3">
      <c r="A508" s="382"/>
      <c r="B508" s="382" t="s">
        <v>486</v>
      </c>
      <c r="C508" s="397" t="s">
        <v>136</v>
      </c>
      <c r="D508" s="383" t="s">
        <v>28</v>
      </c>
      <c r="E508" s="383" t="s">
        <v>29</v>
      </c>
      <c r="F508" s="440" t="s">
        <v>32</v>
      </c>
      <c r="G508" s="382"/>
      <c r="H508" s="411">
        <v>5.5754936593790397E-2</v>
      </c>
      <c r="I508" s="409">
        <v>1</v>
      </c>
      <c r="J508" s="382"/>
      <c r="K508" s="411">
        <f t="shared" ref="K508:K509" si="77">IF(L508=1,H508,0)</f>
        <v>0</v>
      </c>
      <c r="L508" s="409"/>
      <c r="M508" s="382"/>
      <c r="N508" s="385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  <c r="AA508" s="389"/>
      <c r="AB508" s="389"/>
    </row>
    <row r="509" spans="1:28" hidden="1" outlineLevel="3">
      <c r="A509" s="382"/>
      <c r="B509" s="382" t="s">
        <v>486</v>
      </c>
      <c r="C509" s="397" t="s">
        <v>136</v>
      </c>
      <c r="D509" s="383" t="s">
        <v>28</v>
      </c>
      <c r="E509" s="383" t="s">
        <v>29</v>
      </c>
      <c r="F509" s="440" t="s">
        <v>33</v>
      </c>
      <c r="G509" s="382"/>
      <c r="H509" s="411">
        <v>0.11150987318758079</v>
      </c>
      <c r="I509" s="409">
        <v>1</v>
      </c>
      <c r="J509" s="382"/>
      <c r="K509" s="411">
        <f t="shared" si="77"/>
        <v>0</v>
      </c>
      <c r="L509" s="409"/>
      <c r="M509" s="382"/>
      <c r="N509" s="385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  <c r="AA509" s="389"/>
      <c r="AB509" s="389"/>
    </row>
    <row r="510" spans="1:28" hidden="1" outlineLevel="2" collapsed="1">
      <c r="A510" s="382"/>
      <c r="B510" s="382" t="s">
        <v>486</v>
      </c>
      <c r="C510" s="397" t="s">
        <v>136</v>
      </c>
      <c r="D510" s="382" t="s">
        <v>64</v>
      </c>
      <c r="E510" s="382"/>
      <c r="F510" s="440" t="s">
        <v>489</v>
      </c>
      <c r="G510" s="382"/>
      <c r="H510" s="411">
        <f>SUM(H511:H512)</f>
        <v>0.15592482267754942</v>
      </c>
      <c r="I510" s="409">
        <f>SUM(I511:I512)</f>
        <v>2</v>
      </c>
      <c r="J510" s="382"/>
      <c r="K510" s="411">
        <f>SUM(K511:K512)</f>
        <v>0</v>
      </c>
      <c r="L510" s="409">
        <f>SUM(L511:L512)</f>
        <v>0</v>
      </c>
      <c r="M510" s="382"/>
      <c r="N510" s="385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  <c r="AA510" s="389"/>
      <c r="AB510" s="389"/>
    </row>
    <row r="511" spans="1:28" hidden="1" outlineLevel="4">
      <c r="A511" s="382"/>
      <c r="B511" s="382" t="s">
        <v>486</v>
      </c>
      <c r="C511" s="397" t="s">
        <v>136</v>
      </c>
      <c r="D511" s="382" t="s">
        <v>64</v>
      </c>
      <c r="E511" s="383" t="s">
        <v>29</v>
      </c>
      <c r="F511" s="440" t="s">
        <v>32</v>
      </c>
      <c r="G511" s="382"/>
      <c r="H511" s="411">
        <v>6.2369929071019771E-2</v>
      </c>
      <c r="I511" s="409">
        <v>1</v>
      </c>
      <c r="J511" s="382"/>
      <c r="K511" s="411">
        <f t="shared" ref="K511:K512" si="78">IF(L511=1,H511,0)</f>
        <v>0</v>
      </c>
      <c r="L511" s="409"/>
      <c r="M511" s="382"/>
      <c r="N511" s="385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  <c r="AA511" s="389"/>
      <c r="AB511" s="389"/>
    </row>
    <row r="512" spans="1:28" hidden="1" outlineLevel="4">
      <c r="A512" s="382"/>
      <c r="B512" s="382" t="s">
        <v>486</v>
      </c>
      <c r="C512" s="397" t="s">
        <v>136</v>
      </c>
      <c r="D512" s="382" t="s">
        <v>64</v>
      </c>
      <c r="E512" s="383" t="s">
        <v>29</v>
      </c>
      <c r="F512" s="440" t="s">
        <v>33</v>
      </c>
      <c r="G512" s="382"/>
      <c r="H512" s="411">
        <v>9.3554893606529646E-2</v>
      </c>
      <c r="I512" s="409">
        <v>1</v>
      </c>
      <c r="J512" s="382"/>
      <c r="K512" s="411">
        <f t="shared" si="78"/>
        <v>0</v>
      </c>
      <c r="L512" s="409"/>
      <c r="M512" s="382"/>
      <c r="N512" s="385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  <c r="AA512" s="389"/>
      <c r="AB512" s="389"/>
    </row>
    <row r="513" spans="1:28" outlineLevel="1">
      <c r="A513" s="382"/>
      <c r="B513" s="396" t="s">
        <v>490</v>
      </c>
      <c r="C513" s="396" t="s">
        <v>136</v>
      </c>
      <c r="D513" s="403" t="s">
        <v>13</v>
      </c>
      <c r="E513" s="395"/>
      <c r="F513" s="442" t="s">
        <v>487</v>
      </c>
      <c r="G513" s="382"/>
      <c r="H513" s="428">
        <f>H514+H521+H523+H528+H534</f>
        <v>3.4256928234375006</v>
      </c>
      <c r="I513" s="423">
        <f>I514+I521+I523+I528+I534</f>
        <v>21</v>
      </c>
      <c r="J513" s="382"/>
      <c r="K513" s="428">
        <f>K514+K521+K523+K528+K534</f>
        <v>2.0642246026479003</v>
      </c>
      <c r="L513" s="423">
        <f>L514+L521+L523+L528+L534</f>
        <v>6</v>
      </c>
      <c r="M513" s="382"/>
      <c r="N513" s="385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  <c r="AA513" s="389"/>
      <c r="AB513" s="389"/>
    </row>
    <row r="514" spans="1:28" outlineLevel="2" collapsed="1">
      <c r="A514" s="382"/>
      <c r="B514" s="382" t="s">
        <v>490</v>
      </c>
      <c r="C514" s="397" t="s">
        <v>136</v>
      </c>
      <c r="D514" s="382" t="s">
        <v>202</v>
      </c>
      <c r="E514" s="382"/>
      <c r="F514" s="440" t="s">
        <v>489</v>
      </c>
      <c r="G514" s="382"/>
      <c r="H514" s="411">
        <f>SUM(H515:H520)</f>
        <v>2.4260957513100001</v>
      </c>
      <c r="I514" s="409">
        <f>SUM(I515:I520)</f>
        <v>6</v>
      </c>
      <c r="J514" s="382"/>
      <c r="K514" s="411">
        <f>SUM(K515:K520)</f>
        <v>1.9564517164500002</v>
      </c>
      <c r="L514" s="409">
        <f>SUM(L515:L520)</f>
        <v>4</v>
      </c>
      <c r="M514" s="382"/>
      <c r="N514" s="385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  <c r="AA514" s="389"/>
      <c r="AB514" s="389"/>
    </row>
    <row r="515" spans="1:28" hidden="1" outlineLevel="3">
      <c r="A515" s="382"/>
      <c r="B515" s="382" t="s">
        <v>490</v>
      </c>
      <c r="C515" s="397" t="s">
        <v>136</v>
      </c>
      <c r="D515" s="382" t="s">
        <v>202</v>
      </c>
      <c r="E515" s="382" t="s">
        <v>29</v>
      </c>
      <c r="F515" s="440" t="s">
        <v>492</v>
      </c>
      <c r="G515" s="382"/>
      <c r="H515" s="411">
        <v>0.55066951170000011</v>
      </c>
      <c r="I515" s="409">
        <v>1</v>
      </c>
      <c r="J515" s="382"/>
      <c r="K515" s="411">
        <f t="shared" ref="K515:K520" si="79">IF(L515=1,H515,0)</f>
        <v>0.55066951170000011</v>
      </c>
      <c r="L515" s="409">
        <v>1</v>
      </c>
      <c r="M515" s="382"/>
      <c r="N515" s="385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  <c r="AA515" s="389"/>
      <c r="AB515" s="389"/>
    </row>
    <row r="516" spans="1:28" hidden="1" outlineLevel="3">
      <c r="A516" s="382"/>
      <c r="B516" s="382" t="s">
        <v>490</v>
      </c>
      <c r="C516" s="397" t="s">
        <v>136</v>
      </c>
      <c r="D516" s="382" t="s">
        <v>202</v>
      </c>
      <c r="E516" s="382" t="s">
        <v>29</v>
      </c>
      <c r="F516" s="440" t="s">
        <v>493</v>
      </c>
      <c r="G516" s="382"/>
      <c r="H516" s="411">
        <v>0.55066951170000011</v>
      </c>
      <c r="I516" s="409">
        <v>1</v>
      </c>
      <c r="J516" s="382"/>
      <c r="K516" s="411">
        <f t="shared" si="79"/>
        <v>0.55066951170000011</v>
      </c>
      <c r="L516" s="409">
        <v>1</v>
      </c>
      <c r="M516" s="382"/>
      <c r="N516" s="385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  <c r="AA516" s="389"/>
      <c r="AB516" s="389"/>
    </row>
    <row r="517" spans="1:28" hidden="1" outlineLevel="3">
      <c r="A517" s="382"/>
      <c r="B517" s="382" t="s">
        <v>490</v>
      </c>
      <c r="C517" s="397" t="s">
        <v>136</v>
      </c>
      <c r="D517" s="382" t="s">
        <v>202</v>
      </c>
      <c r="E517" s="382" t="s">
        <v>29</v>
      </c>
      <c r="F517" s="440" t="s">
        <v>34</v>
      </c>
      <c r="G517" s="382"/>
      <c r="H517" s="411">
        <v>0.55066951170000011</v>
      </c>
      <c r="I517" s="409">
        <v>1</v>
      </c>
      <c r="J517" s="382"/>
      <c r="K517" s="411">
        <f t="shared" si="79"/>
        <v>0.55066951170000011</v>
      </c>
      <c r="L517" s="409">
        <v>1</v>
      </c>
      <c r="M517" s="382"/>
      <c r="N517" s="385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  <c r="AA517" s="389"/>
      <c r="AB517" s="389"/>
    </row>
    <row r="518" spans="1:28" hidden="1" outlineLevel="3">
      <c r="A518" s="382"/>
      <c r="B518" s="382" t="s">
        <v>490</v>
      </c>
      <c r="C518" s="397" t="s">
        <v>136</v>
      </c>
      <c r="D518" s="382" t="s">
        <v>202</v>
      </c>
      <c r="E518" s="382" t="s">
        <v>29</v>
      </c>
      <c r="F518" s="440" t="s">
        <v>471</v>
      </c>
      <c r="G518" s="382"/>
      <c r="H518" s="411">
        <v>0.30444318135000004</v>
      </c>
      <c r="I518" s="409">
        <v>1</v>
      </c>
      <c r="J518" s="382"/>
      <c r="K518" s="411">
        <f t="shared" si="79"/>
        <v>0</v>
      </c>
      <c r="L518" s="409"/>
      <c r="M518" s="382"/>
      <c r="N518" s="385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  <c r="AA518" s="389"/>
      <c r="AB518" s="389"/>
    </row>
    <row r="519" spans="1:28" hidden="1" outlineLevel="3">
      <c r="A519" s="382"/>
      <c r="B519" s="382" t="s">
        <v>490</v>
      </c>
      <c r="C519" s="397" t="s">
        <v>136</v>
      </c>
      <c r="D519" s="382" t="s">
        <v>202</v>
      </c>
      <c r="E519" s="382" t="s">
        <v>29</v>
      </c>
      <c r="F519" s="440" t="s">
        <v>335</v>
      </c>
      <c r="G519" s="382"/>
      <c r="H519" s="411">
        <v>0.30444318135000004</v>
      </c>
      <c r="I519" s="409">
        <v>1</v>
      </c>
      <c r="J519" s="382"/>
      <c r="K519" s="411">
        <f t="shared" si="79"/>
        <v>0.30444318135000004</v>
      </c>
      <c r="L519" s="409">
        <v>1</v>
      </c>
      <c r="M519" s="382"/>
      <c r="N519" s="385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  <c r="AA519" s="389"/>
      <c r="AB519" s="389"/>
    </row>
    <row r="520" spans="1:28" hidden="1" outlineLevel="3">
      <c r="A520" s="382"/>
      <c r="B520" s="382" t="s">
        <v>490</v>
      </c>
      <c r="C520" s="397" t="s">
        <v>136</v>
      </c>
      <c r="D520" s="382" t="s">
        <v>202</v>
      </c>
      <c r="E520" s="382" t="s">
        <v>29</v>
      </c>
      <c r="F520" s="440" t="s">
        <v>494</v>
      </c>
      <c r="G520" s="382"/>
      <c r="H520" s="411">
        <v>0.16520085351</v>
      </c>
      <c r="I520" s="409">
        <v>1</v>
      </c>
      <c r="J520" s="382"/>
      <c r="K520" s="411">
        <f t="shared" si="79"/>
        <v>0</v>
      </c>
      <c r="L520" s="409"/>
      <c r="M520" s="382"/>
      <c r="N520" s="385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  <c r="AA520" s="389"/>
      <c r="AB520" s="389"/>
    </row>
    <row r="521" spans="1:28" outlineLevel="2" collapsed="1">
      <c r="A521" s="382"/>
      <c r="B521" s="382" t="s">
        <v>490</v>
      </c>
      <c r="C521" s="397" t="s">
        <v>136</v>
      </c>
      <c r="D521" s="382" t="s">
        <v>18</v>
      </c>
      <c r="E521" s="382"/>
      <c r="F521" s="440" t="s">
        <v>489</v>
      </c>
      <c r="G521" s="382"/>
      <c r="H521" s="411">
        <f>SUM(H522:H522)</f>
        <v>5.8216850999999993E-2</v>
      </c>
      <c r="I521" s="409">
        <f>SUM(I522:I522)</f>
        <v>1</v>
      </c>
      <c r="J521" s="382"/>
      <c r="K521" s="411">
        <f>SUM(K522:K522)</f>
        <v>0</v>
      </c>
      <c r="L521" s="409">
        <f>SUM(L522:L522)</f>
        <v>0</v>
      </c>
      <c r="M521" s="382"/>
      <c r="N521" s="385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  <c r="AA521" s="389"/>
      <c r="AB521" s="389"/>
    </row>
    <row r="522" spans="1:28" hidden="1" outlineLevel="3">
      <c r="A522" s="382"/>
      <c r="B522" s="382" t="s">
        <v>490</v>
      </c>
      <c r="C522" s="397" t="s">
        <v>136</v>
      </c>
      <c r="D522" s="382" t="s">
        <v>18</v>
      </c>
      <c r="E522" s="382" t="s">
        <v>204</v>
      </c>
      <c r="F522" s="440" t="s">
        <v>32</v>
      </c>
      <c r="G522" s="382"/>
      <c r="H522" s="411">
        <v>5.8216850999999993E-2</v>
      </c>
      <c r="I522" s="409">
        <v>1</v>
      </c>
      <c r="J522" s="382"/>
      <c r="K522" s="411">
        <f>IF(L522=1,H522,0)</f>
        <v>0</v>
      </c>
      <c r="L522" s="409"/>
      <c r="M522" s="382"/>
      <c r="N522" s="385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  <c r="AA522" s="389"/>
      <c r="AB522" s="389"/>
    </row>
    <row r="523" spans="1:28" outlineLevel="2" collapsed="1">
      <c r="A523" s="382"/>
      <c r="B523" s="382" t="s">
        <v>490</v>
      </c>
      <c r="C523" s="397" t="s">
        <v>136</v>
      </c>
      <c r="D523" s="382" t="s">
        <v>26</v>
      </c>
      <c r="E523" s="382"/>
      <c r="F523" s="440" t="s">
        <v>489</v>
      </c>
      <c r="G523" s="382"/>
      <c r="H523" s="411">
        <f>SUM(H524:H527)</f>
        <v>0.5747066038098001</v>
      </c>
      <c r="I523" s="409">
        <f>SUM(I524:I527)</f>
        <v>4</v>
      </c>
      <c r="J523" s="382"/>
      <c r="K523" s="411">
        <f>SUM(K524:K527)</f>
        <v>0</v>
      </c>
      <c r="L523" s="409">
        <f>SUM(L524:L527)</f>
        <v>0</v>
      </c>
      <c r="M523" s="382"/>
      <c r="N523" s="385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  <c r="AA523" s="389"/>
      <c r="AB523" s="389"/>
    </row>
    <row r="524" spans="1:28" hidden="1" outlineLevel="3">
      <c r="A524" s="382"/>
      <c r="B524" s="382" t="s">
        <v>490</v>
      </c>
      <c r="C524" s="397" t="s">
        <v>136</v>
      </c>
      <c r="D524" s="382" t="s">
        <v>26</v>
      </c>
      <c r="E524" s="382" t="s">
        <v>27</v>
      </c>
      <c r="F524" s="440" t="s">
        <v>32</v>
      </c>
      <c r="G524" s="382"/>
      <c r="H524" s="411">
        <v>0.12908390889240001</v>
      </c>
      <c r="I524" s="409">
        <v>1</v>
      </c>
      <c r="J524" s="382"/>
      <c r="K524" s="411">
        <f t="shared" ref="K524:K527" si="80">IF(L524=1,H524,0)</f>
        <v>0</v>
      </c>
      <c r="L524" s="409"/>
      <c r="M524" s="382"/>
      <c r="N524" s="385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  <c r="AA524" s="389"/>
      <c r="AB524" s="389"/>
    </row>
    <row r="525" spans="1:28" hidden="1" outlineLevel="3">
      <c r="A525" s="382"/>
      <c r="B525" s="382" t="s">
        <v>490</v>
      </c>
      <c r="C525" s="397" t="s">
        <v>136</v>
      </c>
      <c r="D525" s="382" t="s">
        <v>26</v>
      </c>
      <c r="E525" s="382" t="s">
        <v>27</v>
      </c>
      <c r="F525" s="440" t="s">
        <v>34</v>
      </c>
      <c r="G525" s="382"/>
      <c r="H525" s="411">
        <v>0.25816781778480002</v>
      </c>
      <c r="I525" s="409">
        <v>1</v>
      </c>
      <c r="J525" s="382"/>
      <c r="K525" s="411">
        <f t="shared" si="80"/>
        <v>0</v>
      </c>
      <c r="L525" s="409"/>
      <c r="M525" s="382"/>
      <c r="N525" s="385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  <c r="AA525" s="389"/>
      <c r="AB525" s="389"/>
    </row>
    <row r="526" spans="1:28" hidden="1" outlineLevel="3">
      <c r="A526" s="382"/>
      <c r="B526" s="382" t="s">
        <v>490</v>
      </c>
      <c r="C526" s="397" t="s">
        <v>136</v>
      </c>
      <c r="D526" s="382" t="s">
        <v>26</v>
      </c>
      <c r="E526" s="382" t="s">
        <v>27</v>
      </c>
      <c r="F526" s="440" t="s">
        <v>471</v>
      </c>
      <c r="G526" s="382"/>
      <c r="H526" s="411">
        <v>0.12908390889240001</v>
      </c>
      <c r="I526" s="409">
        <v>1</v>
      </c>
      <c r="J526" s="382"/>
      <c r="K526" s="411">
        <f t="shared" si="80"/>
        <v>0</v>
      </c>
      <c r="L526" s="409"/>
      <c r="M526" s="382"/>
      <c r="N526" s="385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  <c r="AA526" s="389"/>
      <c r="AB526" s="389"/>
    </row>
    <row r="527" spans="1:28" hidden="1" outlineLevel="3">
      <c r="A527" s="382"/>
      <c r="B527" s="382" t="s">
        <v>490</v>
      </c>
      <c r="C527" s="397" t="s">
        <v>136</v>
      </c>
      <c r="D527" s="382" t="s">
        <v>26</v>
      </c>
      <c r="E527" s="382" t="s">
        <v>27</v>
      </c>
      <c r="F527" s="440" t="s">
        <v>494</v>
      </c>
      <c r="G527" s="382"/>
      <c r="H527" s="411">
        <v>5.8370968240200008E-2</v>
      </c>
      <c r="I527" s="409">
        <v>1</v>
      </c>
      <c r="J527" s="382"/>
      <c r="K527" s="411">
        <f t="shared" si="80"/>
        <v>0</v>
      </c>
      <c r="L527" s="409"/>
      <c r="M527" s="382"/>
      <c r="N527" s="385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  <c r="AA527" s="389"/>
      <c r="AB527" s="389"/>
    </row>
    <row r="528" spans="1:28" outlineLevel="2" collapsed="1">
      <c r="A528" s="382"/>
      <c r="B528" s="382" t="s">
        <v>490</v>
      </c>
      <c r="C528" s="397" t="s">
        <v>136</v>
      </c>
      <c r="D528" s="382" t="s">
        <v>28</v>
      </c>
      <c r="E528" s="382"/>
      <c r="F528" s="440" t="s">
        <v>489</v>
      </c>
      <c r="G528" s="382"/>
      <c r="H528" s="411">
        <f>SUM(H529:H533)</f>
        <v>0.2480352735861</v>
      </c>
      <c r="I528" s="409">
        <f>SUM(I529:I533)</f>
        <v>5</v>
      </c>
      <c r="J528" s="382"/>
      <c r="K528" s="411">
        <f>SUM(K529:K533)</f>
        <v>0.10777288619789999</v>
      </c>
      <c r="L528" s="409">
        <f>SUM(L529:L533)</f>
        <v>2</v>
      </c>
      <c r="M528" s="382"/>
      <c r="N528" s="385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  <c r="AA528" s="389"/>
      <c r="AB528" s="389"/>
    </row>
    <row r="529" spans="1:28" hidden="1" outlineLevel="3">
      <c r="A529" s="382"/>
      <c r="B529" s="382" t="s">
        <v>490</v>
      </c>
      <c r="C529" s="397" t="s">
        <v>136</v>
      </c>
      <c r="D529" s="382" t="s">
        <v>28</v>
      </c>
      <c r="E529" s="382" t="s">
        <v>29</v>
      </c>
      <c r="F529" s="440" t="s">
        <v>32</v>
      </c>
      <c r="G529" s="382"/>
      <c r="H529" s="411">
        <v>3.5924295399299998E-2</v>
      </c>
      <c r="I529" s="409">
        <v>1</v>
      </c>
      <c r="J529" s="382"/>
      <c r="K529" s="411">
        <f t="shared" ref="K529:K533" si="81">IF(L529=1,H529,0)</f>
        <v>3.5924295399299998E-2</v>
      </c>
      <c r="L529" s="409">
        <v>1</v>
      </c>
      <c r="M529" s="382"/>
      <c r="N529" s="385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  <c r="AA529" s="389"/>
      <c r="AB529" s="389"/>
    </row>
    <row r="530" spans="1:28" hidden="1" outlineLevel="3">
      <c r="A530" s="382" t="s">
        <v>497</v>
      </c>
      <c r="B530" s="382" t="s">
        <v>490</v>
      </c>
      <c r="C530" s="397" t="s">
        <v>136</v>
      </c>
      <c r="D530" s="382" t="s">
        <v>28</v>
      </c>
      <c r="E530" s="382" t="s">
        <v>29</v>
      </c>
      <c r="F530" s="440" t="s">
        <v>493</v>
      </c>
      <c r="G530" s="382"/>
      <c r="H530" s="411">
        <v>7.1848590798599996E-2</v>
      </c>
      <c r="I530" s="409">
        <v>1</v>
      </c>
      <c r="J530" s="382"/>
      <c r="K530" s="411">
        <f t="shared" si="81"/>
        <v>7.1848590798599996E-2</v>
      </c>
      <c r="L530" s="409">
        <v>1</v>
      </c>
      <c r="M530" s="382"/>
      <c r="N530" s="385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  <c r="AA530" s="389"/>
      <c r="AB530" s="389"/>
    </row>
    <row r="531" spans="1:28" hidden="1" outlineLevel="3">
      <c r="A531" s="382"/>
      <c r="B531" s="382" t="s">
        <v>490</v>
      </c>
      <c r="C531" s="397" t="s">
        <v>136</v>
      </c>
      <c r="D531" s="382" t="s">
        <v>28</v>
      </c>
      <c r="E531" s="382" t="s">
        <v>29</v>
      </c>
      <c r="F531" s="440" t="s">
        <v>34</v>
      </c>
      <c r="G531" s="382"/>
      <c r="H531" s="411">
        <v>7.1848590798599996E-2</v>
      </c>
      <c r="I531" s="409">
        <v>1</v>
      </c>
      <c r="J531" s="382"/>
      <c r="K531" s="411">
        <f t="shared" si="81"/>
        <v>0</v>
      </c>
      <c r="L531" s="409"/>
      <c r="M531" s="382"/>
      <c r="N531" s="385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  <c r="AA531" s="389"/>
      <c r="AB531" s="389"/>
    </row>
    <row r="532" spans="1:28" hidden="1" outlineLevel="3">
      <c r="A532" s="382"/>
      <c r="B532" s="382" t="s">
        <v>490</v>
      </c>
      <c r="C532" s="397" t="s">
        <v>136</v>
      </c>
      <c r="D532" s="382" t="s">
        <v>28</v>
      </c>
      <c r="E532" s="382" t="s">
        <v>29</v>
      </c>
      <c r="F532" s="440" t="s">
        <v>471</v>
      </c>
      <c r="G532" s="382"/>
      <c r="H532" s="411">
        <v>3.5924295399299998E-2</v>
      </c>
      <c r="I532" s="409">
        <v>1</v>
      </c>
      <c r="J532" s="382"/>
      <c r="K532" s="411">
        <f t="shared" si="81"/>
        <v>0</v>
      </c>
      <c r="L532" s="409"/>
      <c r="M532" s="382"/>
      <c r="N532" s="385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  <c r="AA532" s="389"/>
      <c r="AB532" s="389"/>
    </row>
    <row r="533" spans="1:28" hidden="1" outlineLevel="3">
      <c r="A533" s="382"/>
      <c r="B533" s="382" t="s">
        <v>490</v>
      </c>
      <c r="C533" s="397" t="s">
        <v>136</v>
      </c>
      <c r="D533" s="382" t="s">
        <v>28</v>
      </c>
      <c r="E533" s="382" t="s">
        <v>29</v>
      </c>
      <c r="F533" s="440" t="s">
        <v>460</v>
      </c>
      <c r="G533" s="382"/>
      <c r="H533" s="411">
        <v>3.2489501190300002E-2</v>
      </c>
      <c r="I533" s="409">
        <v>1</v>
      </c>
      <c r="J533" s="382"/>
      <c r="K533" s="411">
        <f t="shared" si="81"/>
        <v>0</v>
      </c>
      <c r="L533" s="409"/>
      <c r="M533" s="382"/>
      <c r="N533" s="385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  <c r="AA533" s="389"/>
      <c r="AB533" s="389"/>
    </row>
    <row r="534" spans="1:28" outlineLevel="2" collapsed="1">
      <c r="A534" s="382"/>
      <c r="B534" s="382" t="s">
        <v>490</v>
      </c>
      <c r="C534" s="397" t="s">
        <v>136</v>
      </c>
      <c r="D534" s="382" t="s">
        <v>64</v>
      </c>
      <c r="E534" s="382"/>
      <c r="F534" s="440" t="s">
        <v>489</v>
      </c>
      <c r="G534" s="382"/>
      <c r="H534" s="411">
        <f>SUM(H535:H539)</f>
        <v>0.11863834373160001</v>
      </c>
      <c r="I534" s="409">
        <f>SUM(I535:I539)</f>
        <v>5</v>
      </c>
      <c r="J534" s="382"/>
      <c r="K534" s="411">
        <f>SUM(K535:K539)</f>
        <v>0</v>
      </c>
      <c r="L534" s="409">
        <f>SUM(L535:L539)</f>
        <v>0</v>
      </c>
      <c r="M534" s="382"/>
      <c r="N534" s="385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  <c r="AA534" s="389"/>
      <c r="AB534" s="389"/>
    </row>
    <row r="535" spans="1:28" hidden="1" outlineLevel="4">
      <c r="A535" s="382"/>
      <c r="B535" s="382" t="s">
        <v>490</v>
      </c>
      <c r="C535" s="397" t="s">
        <v>136</v>
      </c>
      <c r="D535" s="382" t="s">
        <v>64</v>
      </c>
      <c r="E535" s="382" t="s">
        <v>29</v>
      </c>
      <c r="F535" s="440" t="s">
        <v>32</v>
      </c>
      <c r="G535" s="382"/>
      <c r="H535" s="411">
        <v>4.0186499938200004E-2</v>
      </c>
      <c r="I535" s="409">
        <v>1</v>
      </c>
      <c r="J535" s="382"/>
      <c r="K535" s="411">
        <f t="shared" ref="K535:K539" si="82">IF(L535=1,H535,0)</f>
        <v>0</v>
      </c>
      <c r="L535" s="409"/>
      <c r="M535" s="382"/>
      <c r="N535" s="385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  <c r="AA535" s="389"/>
      <c r="AB535" s="389"/>
    </row>
    <row r="536" spans="1:28" hidden="1" outlineLevel="4">
      <c r="A536" s="382"/>
      <c r="B536" s="382" t="s">
        <v>490</v>
      </c>
      <c r="C536" s="397" t="s">
        <v>136</v>
      </c>
      <c r="D536" s="382" t="s">
        <v>64</v>
      </c>
      <c r="E536" s="382" t="s">
        <v>29</v>
      </c>
      <c r="F536" s="440" t="s">
        <v>34</v>
      </c>
      <c r="G536" s="382"/>
      <c r="H536" s="411">
        <v>2.0093249969100002E-2</v>
      </c>
      <c r="I536" s="409">
        <v>1</v>
      </c>
      <c r="J536" s="382"/>
      <c r="K536" s="411">
        <f t="shared" si="82"/>
        <v>0</v>
      </c>
      <c r="L536" s="409"/>
      <c r="M536" s="382"/>
      <c r="N536" s="385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  <c r="AA536" s="389"/>
      <c r="AB536" s="389"/>
    </row>
    <row r="537" spans="1:28" hidden="1" outlineLevel="4">
      <c r="A537" s="382"/>
      <c r="B537" s="382" t="s">
        <v>490</v>
      </c>
      <c r="C537" s="397" t="s">
        <v>136</v>
      </c>
      <c r="D537" s="382" t="s">
        <v>64</v>
      </c>
      <c r="E537" s="382" t="s">
        <v>29</v>
      </c>
      <c r="F537" s="440" t="s">
        <v>471</v>
      </c>
      <c r="G537" s="382"/>
      <c r="H537" s="411">
        <v>2.0093249969100002E-2</v>
      </c>
      <c r="I537" s="409">
        <v>1</v>
      </c>
      <c r="J537" s="382"/>
      <c r="K537" s="411">
        <f t="shared" si="82"/>
        <v>0</v>
      </c>
      <c r="L537" s="409"/>
      <c r="M537" s="382"/>
      <c r="N537" s="385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  <c r="AA537" s="389"/>
      <c r="AB537" s="389"/>
    </row>
    <row r="538" spans="1:28" hidden="1" outlineLevel="4">
      <c r="A538" s="382"/>
      <c r="B538" s="382" t="s">
        <v>490</v>
      </c>
      <c r="C538" s="397" t="s">
        <v>136</v>
      </c>
      <c r="D538" s="382" t="s">
        <v>64</v>
      </c>
      <c r="E538" s="382" t="s">
        <v>29</v>
      </c>
      <c r="F538" s="440" t="s">
        <v>335</v>
      </c>
      <c r="G538" s="382"/>
      <c r="H538" s="411">
        <v>2.0093249969100002E-2</v>
      </c>
      <c r="I538" s="409">
        <v>1</v>
      </c>
      <c r="J538" s="382"/>
      <c r="K538" s="411">
        <f t="shared" si="82"/>
        <v>0</v>
      </c>
      <c r="L538" s="409"/>
      <c r="M538" s="382"/>
      <c r="N538" s="385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  <c r="AA538" s="389"/>
      <c r="AB538" s="389"/>
    </row>
    <row r="539" spans="1:28" hidden="1" outlineLevel="4">
      <c r="A539" s="382"/>
      <c r="B539" s="382" t="s">
        <v>490</v>
      </c>
      <c r="C539" s="397" t="s">
        <v>136</v>
      </c>
      <c r="D539" s="382" t="s">
        <v>64</v>
      </c>
      <c r="E539" s="382" t="s">
        <v>29</v>
      </c>
      <c r="F539" s="440" t="s">
        <v>460</v>
      </c>
      <c r="G539" s="382"/>
      <c r="H539" s="411">
        <v>1.8172093886100003E-2</v>
      </c>
      <c r="I539" s="409">
        <v>1</v>
      </c>
      <c r="J539" s="382"/>
      <c r="K539" s="411">
        <f t="shared" si="82"/>
        <v>0</v>
      </c>
      <c r="L539" s="409"/>
      <c r="M539" s="382"/>
      <c r="N539" s="385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  <c r="AA539" s="389"/>
      <c r="AB539" s="389"/>
    </row>
    <row r="540" spans="1:28" outlineLevel="1" collapsed="1">
      <c r="A540" s="382"/>
      <c r="B540" s="390" t="s">
        <v>498</v>
      </c>
      <c r="C540" s="390" t="s">
        <v>498</v>
      </c>
      <c r="D540" s="390" t="s">
        <v>499</v>
      </c>
      <c r="E540" s="395"/>
      <c r="F540" s="442" t="s">
        <v>500</v>
      </c>
      <c r="G540" s="382"/>
      <c r="H540" s="418"/>
      <c r="I540" s="718"/>
      <c r="J540" s="382"/>
      <c r="K540" s="418"/>
      <c r="L540" s="718"/>
      <c r="M540" s="382"/>
      <c r="N540" s="385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  <c r="AA540" s="389"/>
      <c r="AB540" s="389"/>
    </row>
    <row r="541" spans="1:28" hidden="1" outlineLevel="2">
      <c r="A541" s="382"/>
      <c r="B541" s="386" t="s">
        <v>498</v>
      </c>
      <c r="C541" s="386" t="s">
        <v>136</v>
      </c>
      <c r="D541" s="382" t="s">
        <v>202</v>
      </c>
      <c r="E541" s="382"/>
      <c r="F541" s="440" t="s">
        <v>477</v>
      </c>
      <c r="G541" s="382"/>
      <c r="H541" s="411"/>
      <c r="I541" s="409"/>
      <c r="J541" s="382"/>
      <c r="K541" s="411"/>
      <c r="L541" s="409"/>
      <c r="M541" s="382"/>
      <c r="N541" s="385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  <c r="AA541" s="389"/>
      <c r="AB541" s="389"/>
    </row>
    <row r="542" spans="1:28" hidden="1" outlineLevel="2">
      <c r="A542" s="382"/>
      <c r="B542" s="386" t="s">
        <v>498</v>
      </c>
      <c r="C542" s="386" t="s">
        <v>136</v>
      </c>
      <c r="D542" s="382" t="s">
        <v>18</v>
      </c>
      <c r="E542" s="382"/>
      <c r="F542" s="440" t="s">
        <v>468</v>
      </c>
      <c r="G542" s="382"/>
      <c r="H542" s="411"/>
      <c r="I542" s="409"/>
      <c r="J542" s="382"/>
      <c r="K542" s="411"/>
      <c r="L542" s="409"/>
      <c r="M542" s="382"/>
      <c r="N542" s="385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  <c r="AA542" s="389"/>
      <c r="AB542" s="389"/>
    </row>
    <row r="543" spans="1:28" hidden="1" outlineLevel="2">
      <c r="A543" s="382"/>
      <c r="B543" s="386" t="s">
        <v>498</v>
      </c>
      <c r="C543" s="386" t="s">
        <v>136</v>
      </c>
      <c r="D543" s="382" t="s">
        <v>26</v>
      </c>
      <c r="E543" s="382"/>
      <c r="F543" s="440" t="s">
        <v>502</v>
      </c>
      <c r="G543" s="382"/>
      <c r="H543" s="411"/>
      <c r="I543" s="409"/>
      <c r="J543" s="382"/>
      <c r="K543" s="411"/>
      <c r="L543" s="409"/>
      <c r="M543" s="382"/>
      <c r="N543" s="385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  <c r="AA543" s="389"/>
      <c r="AB543" s="389"/>
    </row>
    <row r="544" spans="1:28" hidden="1" outlineLevel="2">
      <c r="A544" s="382"/>
      <c r="B544" s="386" t="s">
        <v>498</v>
      </c>
      <c r="C544" s="386" t="s">
        <v>136</v>
      </c>
      <c r="D544" s="382" t="s">
        <v>28</v>
      </c>
      <c r="E544" s="382"/>
      <c r="F544" s="440" t="s">
        <v>468</v>
      </c>
      <c r="G544" s="382"/>
      <c r="H544" s="411"/>
      <c r="I544" s="409"/>
      <c r="J544" s="382"/>
      <c r="K544" s="411"/>
      <c r="L544" s="409"/>
      <c r="M544" s="382"/>
      <c r="N544" s="385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  <c r="AA544" s="389"/>
      <c r="AB544" s="389"/>
    </row>
    <row r="545" spans="1:28" hidden="1" outlineLevel="2">
      <c r="A545" s="382"/>
      <c r="B545" s="386" t="s">
        <v>498</v>
      </c>
      <c r="C545" s="386" t="s">
        <v>136</v>
      </c>
      <c r="D545" s="382" t="s">
        <v>64</v>
      </c>
      <c r="E545" s="382"/>
      <c r="F545" s="440" t="s">
        <v>468</v>
      </c>
      <c r="G545" s="382"/>
      <c r="H545" s="411"/>
      <c r="I545" s="409"/>
      <c r="J545" s="382"/>
      <c r="K545" s="411"/>
      <c r="L545" s="409"/>
      <c r="M545" s="382"/>
      <c r="N545" s="385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  <c r="AA545" s="389"/>
      <c r="AB545" s="389"/>
    </row>
    <row r="546" spans="1:28" ht="16.350000000000001" customHeight="1" outlineLevel="1" collapsed="1">
      <c r="A546" s="382"/>
      <c r="B546" s="396" t="s">
        <v>503</v>
      </c>
      <c r="C546" s="390" t="s">
        <v>503</v>
      </c>
      <c r="D546" s="403"/>
      <c r="E546" s="390"/>
      <c r="F546" s="445" t="s">
        <v>504</v>
      </c>
      <c r="G546" s="382"/>
      <c r="H546" s="418">
        <f>H547+H549+H550+H551</f>
        <v>1.6141000000000003</v>
      </c>
      <c r="I546" s="718">
        <f>I547+I549+I550+I551</f>
        <v>1</v>
      </c>
      <c r="J546" s="382"/>
      <c r="K546" s="418">
        <f>K547+K549+K550+K551</f>
        <v>0</v>
      </c>
      <c r="L546" s="718">
        <f>L547+L549+L550+L551</f>
        <v>0</v>
      </c>
      <c r="M546" s="382"/>
      <c r="N546" s="385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  <c r="AA546" s="389"/>
      <c r="AB546" s="389"/>
    </row>
    <row r="547" spans="1:28" hidden="1" outlineLevel="2" collapsed="1">
      <c r="A547" s="382"/>
      <c r="B547" s="382" t="s">
        <v>503</v>
      </c>
      <c r="C547" s="382" t="s">
        <v>503</v>
      </c>
      <c r="D547" s="382" t="s">
        <v>18</v>
      </c>
      <c r="E547" s="386"/>
      <c r="F547" s="440" t="s">
        <v>506</v>
      </c>
      <c r="G547" s="382"/>
      <c r="H547" s="387">
        <f>SUM(H548:H548)</f>
        <v>1.6141000000000003</v>
      </c>
      <c r="I547" s="409">
        <f>SUM(I548:I548)</f>
        <v>1</v>
      </c>
      <c r="J547" s="382"/>
      <c r="K547" s="387">
        <f>SUM(K548:K548)</f>
        <v>0</v>
      </c>
      <c r="L547" s="409">
        <f>SUM(L548:L548)</f>
        <v>0</v>
      </c>
      <c r="M547" s="382"/>
      <c r="N547" s="385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  <c r="AA547" s="389"/>
      <c r="AB547" s="389"/>
    </row>
    <row r="548" spans="1:28" hidden="1" outlineLevel="3">
      <c r="A548" s="382"/>
      <c r="B548" s="382" t="s">
        <v>503</v>
      </c>
      <c r="C548" s="382" t="s">
        <v>503</v>
      </c>
      <c r="D548" s="382" t="s">
        <v>18</v>
      </c>
      <c r="E548" s="386" t="s">
        <v>204</v>
      </c>
      <c r="F548" s="440" t="s">
        <v>334</v>
      </c>
      <c r="G548" s="382"/>
      <c r="H548" s="387">
        <v>1.6141000000000003</v>
      </c>
      <c r="I548" s="388">
        <v>1</v>
      </c>
      <c r="J548" s="382"/>
      <c r="K548" s="411">
        <f>IF(L548=1,H548,0)</f>
        <v>0</v>
      </c>
      <c r="L548" s="388"/>
      <c r="M548" s="382"/>
      <c r="N548" s="385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  <c r="AA548" s="389"/>
      <c r="AB548" s="389"/>
    </row>
    <row r="549" spans="1:28" hidden="1" outlineLevel="2">
      <c r="A549" s="382"/>
      <c r="B549" s="382" t="s">
        <v>503</v>
      </c>
      <c r="C549" s="382" t="s">
        <v>503</v>
      </c>
      <c r="D549" s="382" t="s">
        <v>26</v>
      </c>
      <c r="E549" s="382"/>
      <c r="F549" s="440" t="s">
        <v>470</v>
      </c>
      <c r="G549" s="382"/>
      <c r="H549" s="411"/>
      <c r="I549" s="409"/>
      <c r="J549" s="382"/>
      <c r="K549" s="411"/>
      <c r="L549" s="409"/>
      <c r="M549" s="382"/>
      <c r="N549" s="385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  <c r="AA549" s="389"/>
      <c r="AB549" s="389"/>
    </row>
    <row r="550" spans="1:28" hidden="1" outlineLevel="2">
      <c r="A550" s="382"/>
      <c r="B550" s="382" t="s">
        <v>503</v>
      </c>
      <c r="C550" s="382" t="s">
        <v>503</v>
      </c>
      <c r="D550" s="382" t="s">
        <v>28</v>
      </c>
      <c r="E550" s="382"/>
      <c r="F550" s="440" t="s">
        <v>507</v>
      </c>
      <c r="G550" s="382"/>
      <c r="H550" s="387"/>
      <c r="I550" s="409"/>
      <c r="J550" s="382"/>
      <c r="K550" s="387"/>
      <c r="L550" s="409"/>
      <c r="M550" s="382"/>
      <c r="N550" s="385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  <c r="AA550" s="389"/>
      <c r="AB550" s="389"/>
    </row>
    <row r="551" spans="1:28" hidden="1" outlineLevel="2">
      <c r="A551" s="382"/>
      <c r="B551" s="382" t="s">
        <v>503</v>
      </c>
      <c r="C551" s="382" t="s">
        <v>503</v>
      </c>
      <c r="D551" s="382" t="s">
        <v>64</v>
      </c>
      <c r="E551" s="382"/>
      <c r="F551" s="440" t="s">
        <v>507</v>
      </c>
      <c r="G551" s="382"/>
      <c r="H551" s="387"/>
      <c r="I551" s="409"/>
      <c r="J551" s="382"/>
      <c r="K551" s="387"/>
      <c r="L551" s="409"/>
      <c r="M551" s="382"/>
      <c r="N551" s="385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  <c r="AA551" s="389"/>
      <c r="AB551" s="389"/>
    </row>
    <row r="552" spans="1:28" ht="26.45" outlineLevel="1" collapsed="1">
      <c r="A552" s="382"/>
      <c r="B552" s="396" t="s">
        <v>508</v>
      </c>
      <c r="C552" s="396" t="s">
        <v>509</v>
      </c>
      <c r="D552" s="396"/>
      <c r="E552" s="421"/>
      <c r="F552" s="445" t="s">
        <v>504</v>
      </c>
      <c r="G552" s="382"/>
      <c r="H552" s="418">
        <f>H553+H554+H555+H556</f>
        <v>0</v>
      </c>
      <c r="I552" s="718">
        <f>I553+I554+I555+I556</f>
        <v>0</v>
      </c>
      <c r="J552" s="382"/>
      <c r="K552" s="418">
        <f>K553+K554+K555+K556</f>
        <v>0</v>
      </c>
      <c r="L552" s="718">
        <f>L553+L554+L555+L556</f>
        <v>0</v>
      </c>
      <c r="M552" s="382"/>
      <c r="N552" s="385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  <c r="AA552" s="389"/>
      <c r="AB552" s="389"/>
    </row>
    <row r="553" spans="1:28" hidden="1" outlineLevel="2">
      <c r="A553" s="382"/>
      <c r="B553" s="382" t="s">
        <v>510</v>
      </c>
      <c r="C553" s="382" t="s">
        <v>510</v>
      </c>
      <c r="D553" s="382" t="s">
        <v>18</v>
      </c>
      <c r="E553" s="386"/>
      <c r="F553" s="440" t="s">
        <v>506</v>
      </c>
      <c r="G553" s="382"/>
      <c r="H553" s="387"/>
      <c r="I553" s="409"/>
      <c r="J553" s="382"/>
      <c r="K553" s="387"/>
      <c r="L553" s="409"/>
      <c r="M553" s="382"/>
      <c r="N553" s="385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  <c r="AA553" s="389"/>
      <c r="AB553" s="389"/>
    </row>
    <row r="554" spans="1:28" hidden="1" outlineLevel="2">
      <c r="A554" s="382"/>
      <c r="B554" s="382" t="s">
        <v>510</v>
      </c>
      <c r="C554" s="382" t="s">
        <v>510</v>
      </c>
      <c r="D554" s="382" t="s">
        <v>26</v>
      </c>
      <c r="E554" s="382"/>
      <c r="F554" s="440" t="s">
        <v>470</v>
      </c>
      <c r="G554" s="382"/>
      <c r="H554" s="387"/>
      <c r="I554" s="409"/>
      <c r="J554" s="382"/>
      <c r="K554" s="387"/>
      <c r="L554" s="409"/>
      <c r="M554" s="382"/>
      <c r="N554" s="385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  <c r="AA554" s="389"/>
      <c r="AB554" s="389"/>
    </row>
    <row r="555" spans="1:28" hidden="1" outlineLevel="2">
      <c r="A555" s="382"/>
      <c r="B555" s="382" t="s">
        <v>510</v>
      </c>
      <c r="C555" s="382" t="s">
        <v>510</v>
      </c>
      <c r="D555" s="382" t="s">
        <v>28</v>
      </c>
      <c r="E555" s="382"/>
      <c r="F555" s="440" t="s">
        <v>507</v>
      </c>
      <c r="G555" s="382"/>
      <c r="H555" s="387"/>
      <c r="I555" s="409"/>
      <c r="J555" s="382"/>
      <c r="K555" s="387"/>
      <c r="L555" s="409"/>
      <c r="M555" s="382"/>
      <c r="N555" s="385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  <c r="AA555" s="389"/>
      <c r="AB555" s="389"/>
    </row>
    <row r="556" spans="1:28" hidden="1" outlineLevel="2">
      <c r="A556" s="382"/>
      <c r="B556" s="382" t="s">
        <v>510</v>
      </c>
      <c r="C556" s="382" t="s">
        <v>510</v>
      </c>
      <c r="D556" s="382" t="s">
        <v>64</v>
      </c>
      <c r="E556" s="382"/>
      <c r="F556" s="440" t="s">
        <v>507</v>
      </c>
      <c r="G556" s="382"/>
      <c r="H556" s="387"/>
      <c r="I556" s="409"/>
      <c r="J556" s="382"/>
      <c r="K556" s="387"/>
      <c r="L556" s="409"/>
      <c r="M556" s="382"/>
      <c r="N556" s="385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  <c r="AA556" s="389"/>
      <c r="AB556" s="389"/>
    </row>
    <row r="557" spans="1:28" outlineLevel="1" collapsed="1">
      <c r="A557" s="382"/>
      <c r="B557" s="390" t="s">
        <v>512</v>
      </c>
      <c r="C557" s="390" t="s">
        <v>512</v>
      </c>
      <c r="D557" s="390"/>
      <c r="E557" s="390"/>
      <c r="F557" s="442" t="s">
        <v>277</v>
      </c>
      <c r="G557" s="382"/>
      <c r="H557" s="424">
        <f>SUM(H558:H567)</f>
        <v>0</v>
      </c>
      <c r="I557" s="408">
        <f>SUM(I558,I562,I564,I567)</f>
        <v>8</v>
      </c>
      <c r="J557" s="382"/>
      <c r="K557" s="424">
        <f>SUM(K558:K567)</f>
        <v>0</v>
      </c>
      <c r="L557" s="408">
        <f>SUM(L558,L562,L564,L567)</f>
        <v>0</v>
      </c>
      <c r="M557" s="382"/>
      <c r="N557" s="385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  <c r="AA557" s="389"/>
      <c r="AB557" s="389"/>
    </row>
    <row r="558" spans="1:28" hidden="1" outlineLevel="2" collapsed="1">
      <c r="A558" s="382"/>
      <c r="B558" s="386" t="s">
        <v>512</v>
      </c>
      <c r="C558" s="386" t="s">
        <v>512</v>
      </c>
      <c r="D558" s="382" t="s">
        <v>202</v>
      </c>
      <c r="E558" s="386"/>
      <c r="F558" s="440" t="s">
        <v>513</v>
      </c>
      <c r="G558" s="382"/>
      <c r="H558" s="387"/>
      <c r="I558" s="388">
        <f>SUM(I559:I561)</f>
        <v>3</v>
      </c>
      <c r="J558" s="382"/>
      <c r="K558" s="387"/>
      <c r="L558" s="388">
        <f>SUM(L559:L561)</f>
        <v>0</v>
      </c>
      <c r="M558" s="382"/>
      <c r="N558" s="385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  <c r="AA558" s="389"/>
      <c r="AB558" s="389"/>
    </row>
    <row r="559" spans="1:28" hidden="1" outlineLevel="3">
      <c r="A559" s="382"/>
      <c r="B559" s="386" t="s">
        <v>512</v>
      </c>
      <c r="C559" s="386" t="s">
        <v>512</v>
      </c>
      <c r="D559" s="382" t="s">
        <v>202</v>
      </c>
      <c r="E559" s="386" t="s">
        <v>29</v>
      </c>
      <c r="F559" s="440" t="s">
        <v>334</v>
      </c>
      <c r="G559" s="382"/>
      <c r="H559" s="387"/>
      <c r="I559" s="388">
        <v>1</v>
      </c>
      <c r="J559" s="382"/>
      <c r="K559" s="411">
        <f t="shared" ref="K559:K561" si="83">IF(L559=1,H559,0)</f>
        <v>0</v>
      </c>
      <c r="L559" s="388"/>
      <c r="M559" s="382"/>
      <c r="N559" s="385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  <c r="AA559" s="389"/>
      <c r="AB559" s="389"/>
    </row>
    <row r="560" spans="1:28" hidden="1" outlineLevel="3">
      <c r="A560" s="382"/>
      <c r="B560" s="386" t="s">
        <v>512</v>
      </c>
      <c r="C560" s="386" t="s">
        <v>512</v>
      </c>
      <c r="D560" s="382" t="s">
        <v>202</v>
      </c>
      <c r="E560" s="386" t="s">
        <v>29</v>
      </c>
      <c r="F560" s="440" t="s">
        <v>279</v>
      </c>
      <c r="G560" s="382"/>
      <c r="H560" s="387"/>
      <c r="I560" s="388">
        <v>1</v>
      </c>
      <c r="J560" s="382"/>
      <c r="K560" s="411">
        <f t="shared" si="83"/>
        <v>0</v>
      </c>
      <c r="L560" s="388"/>
      <c r="M560" s="382"/>
      <c r="N560" s="385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  <c r="AA560" s="389"/>
      <c r="AB560" s="389"/>
    </row>
    <row r="561" spans="1:28" hidden="1" outlineLevel="3">
      <c r="A561" s="382"/>
      <c r="B561" s="386" t="s">
        <v>512</v>
      </c>
      <c r="C561" s="386" t="s">
        <v>512</v>
      </c>
      <c r="D561" s="382" t="s">
        <v>202</v>
      </c>
      <c r="E561" s="386" t="s">
        <v>29</v>
      </c>
      <c r="F561" s="440" t="s">
        <v>33</v>
      </c>
      <c r="G561" s="382"/>
      <c r="H561" s="387"/>
      <c r="I561" s="388">
        <v>1</v>
      </c>
      <c r="J561" s="382"/>
      <c r="K561" s="411">
        <f t="shared" si="83"/>
        <v>0</v>
      </c>
      <c r="L561" s="388"/>
      <c r="M561" s="382"/>
      <c r="N561" s="385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  <c r="AA561" s="389"/>
      <c r="AB561" s="389"/>
    </row>
    <row r="562" spans="1:28" hidden="1" outlineLevel="2" collapsed="1">
      <c r="A562" s="382"/>
      <c r="B562" s="386" t="s">
        <v>512</v>
      </c>
      <c r="C562" s="386" t="s">
        <v>512</v>
      </c>
      <c r="D562" s="382" t="s">
        <v>26</v>
      </c>
      <c r="E562" s="382"/>
      <c r="F562" s="440" t="s">
        <v>513</v>
      </c>
      <c r="G562" s="382"/>
      <c r="H562" s="387"/>
      <c r="I562" s="388">
        <f>SUM(I563:I563)</f>
        <v>1</v>
      </c>
      <c r="J562" s="382"/>
      <c r="K562" s="387"/>
      <c r="L562" s="388">
        <f>SUM(L563:L563)</f>
        <v>0</v>
      </c>
      <c r="M562" s="382"/>
      <c r="N562" s="385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  <c r="AA562" s="389"/>
      <c r="AB562" s="389"/>
    </row>
    <row r="563" spans="1:28" hidden="1" outlineLevel="3">
      <c r="A563" s="382"/>
      <c r="B563" s="386" t="s">
        <v>512</v>
      </c>
      <c r="C563" s="386" t="s">
        <v>512</v>
      </c>
      <c r="D563" s="382" t="s">
        <v>26</v>
      </c>
      <c r="E563" s="382" t="s">
        <v>27</v>
      </c>
      <c r="F563" s="440" t="s">
        <v>279</v>
      </c>
      <c r="G563" s="382"/>
      <c r="H563" s="387"/>
      <c r="I563" s="388">
        <v>1</v>
      </c>
      <c r="J563" s="382"/>
      <c r="K563" s="411">
        <f>IF(L563=1,H563,0)</f>
        <v>0</v>
      </c>
      <c r="L563" s="388"/>
      <c r="M563" s="382"/>
      <c r="N563" s="385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  <c r="AA563" s="389"/>
      <c r="AB563" s="389"/>
    </row>
    <row r="564" spans="1:28" hidden="1" outlineLevel="2" collapsed="1">
      <c r="A564" s="382"/>
      <c r="B564" s="386" t="s">
        <v>512</v>
      </c>
      <c r="C564" s="386" t="s">
        <v>512</v>
      </c>
      <c r="D564" s="382" t="s">
        <v>28</v>
      </c>
      <c r="E564" s="382"/>
      <c r="F564" s="440" t="s">
        <v>513</v>
      </c>
      <c r="G564" s="382"/>
      <c r="H564" s="387"/>
      <c r="I564" s="388">
        <f>SUM(I565:I566)</f>
        <v>2</v>
      </c>
      <c r="J564" s="382"/>
      <c r="K564" s="387"/>
      <c r="L564" s="388">
        <f>SUM(L565:L566)</f>
        <v>0</v>
      </c>
      <c r="M564" s="382"/>
      <c r="N564" s="385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  <c r="AA564" s="389"/>
      <c r="AB564" s="389"/>
    </row>
    <row r="565" spans="1:28" hidden="1" outlineLevel="3">
      <c r="A565" s="382"/>
      <c r="B565" s="386" t="s">
        <v>512</v>
      </c>
      <c r="C565" s="386" t="s">
        <v>512</v>
      </c>
      <c r="D565" s="382" t="s">
        <v>28</v>
      </c>
      <c r="E565" s="382" t="s">
        <v>29</v>
      </c>
      <c r="F565" s="440" t="s">
        <v>279</v>
      </c>
      <c r="G565" s="382"/>
      <c r="H565" s="387"/>
      <c r="I565" s="388">
        <v>1</v>
      </c>
      <c r="J565" s="382"/>
      <c r="K565" s="411">
        <f t="shared" ref="K565:K566" si="84">IF(L565=1,H565,0)</f>
        <v>0</v>
      </c>
      <c r="L565" s="388"/>
      <c r="M565" s="382"/>
      <c r="N565" s="385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  <c r="AA565" s="389"/>
      <c r="AB565" s="389"/>
    </row>
    <row r="566" spans="1:28" hidden="1" outlineLevel="3">
      <c r="A566" s="382"/>
      <c r="B566" s="386" t="s">
        <v>512</v>
      </c>
      <c r="C566" s="386" t="s">
        <v>512</v>
      </c>
      <c r="D566" s="382" t="s">
        <v>28</v>
      </c>
      <c r="E566" s="382" t="s">
        <v>29</v>
      </c>
      <c r="F566" s="440" t="s">
        <v>33</v>
      </c>
      <c r="G566" s="382"/>
      <c r="H566" s="387"/>
      <c r="I566" s="388">
        <v>1</v>
      </c>
      <c r="J566" s="382"/>
      <c r="K566" s="411">
        <f t="shared" si="84"/>
        <v>0</v>
      </c>
      <c r="L566" s="388"/>
      <c r="M566" s="382"/>
      <c r="N566" s="385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  <c r="AA566" s="389"/>
      <c r="AB566" s="389"/>
    </row>
    <row r="567" spans="1:28" hidden="1" outlineLevel="2" collapsed="1">
      <c r="A567" s="382"/>
      <c r="B567" s="386" t="s">
        <v>512</v>
      </c>
      <c r="C567" s="386" t="s">
        <v>512</v>
      </c>
      <c r="D567" s="382" t="s">
        <v>64</v>
      </c>
      <c r="E567" s="382"/>
      <c r="F567" s="440" t="s">
        <v>513</v>
      </c>
      <c r="G567" s="382"/>
      <c r="H567" s="387"/>
      <c r="I567" s="388">
        <f>SUM(I568:I569)</f>
        <v>2</v>
      </c>
      <c r="J567" s="382"/>
      <c r="K567" s="387"/>
      <c r="L567" s="388">
        <f>SUM(L568:L569)</f>
        <v>0</v>
      </c>
      <c r="M567" s="382"/>
      <c r="N567" s="385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  <c r="AA567" s="389"/>
      <c r="AB567" s="389"/>
    </row>
    <row r="568" spans="1:28" hidden="1" outlineLevel="3">
      <c r="A568" s="382"/>
      <c r="B568" s="386" t="s">
        <v>512</v>
      </c>
      <c r="C568" s="386" t="s">
        <v>512</v>
      </c>
      <c r="D568" s="382" t="s">
        <v>64</v>
      </c>
      <c r="E568" s="382" t="s">
        <v>29</v>
      </c>
      <c r="F568" s="440" t="s">
        <v>279</v>
      </c>
      <c r="G568" s="382"/>
      <c r="H568" s="387"/>
      <c r="I568" s="388">
        <v>1</v>
      </c>
      <c r="J568" s="382"/>
      <c r="K568" s="411">
        <f t="shared" ref="K568:K569" si="85">IF(L568=1,H568,0)</f>
        <v>0</v>
      </c>
      <c r="L568" s="388"/>
      <c r="M568" s="382"/>
      <c r="N568" s="385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  <c r="AA568" s="389"/>
      <c r="AB568" s="389"/>
    </row>
    <row r="569" spans="1:28" hidden="1" outlineLevel="3">
      <c r="A569" s="382"/>
      <c r="B569" s="386" t="s">
        <v>512</v>
      </c>
      <c r="C569" s="386" t="s">
        <v>512</v>
      </c>
      <c r="D569" s="382" t="s">
        <v>64</v>
      </c>
      <c r="E569" s="382" t="s">
        <v>29</v>
      </c>
      <c r="F569" s="440" t="s">
        <v>33</v>
      </c>
      <c r="G569" s="382"/>
      <c r="H569" s="387"/>
      <c r="I569" s="388">
        <v>1</v>
      </c>
      <c r="J569" s="382"/>
      <c r="K569" s="411">
        <f t="shared" si="85"/>
        <v>0</v>
      </c>
      <c r="L569" s="388"/>
      <c r="M569" s="382"/>
      <c r="N569" s="385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  <c r="AA569" s="389"/>
      <c r="AB569" s="389"/>
    </row>
    <row r="570" spans="1:28" outlineLevel="1" collapsed="1">
      <c r="A570" s="382"/>
      <c r="B570" s="390" t="s">
        <v>516</v>
      </c>
      <c r="C570" s="395" t="s">
        <v>517</v>
      </c>
      <c r="D570" s="395"/>
      <c r="E570" s="390"/>
      <c r="F570" s="442" t="s">
        <v>277</v>
      </c>
      <c r="G570" s="382"/>
      <c r="H570" s="418">
        <f>SUM(H571,H575,H577,H580)</f>
        <v>1.95</v>
      </c>
      <c r="I570" s="408">
        <f>SUM(I571,I575,I577,I580)</f>
        <v>7</v>
      </c>
      <c r="J570" s="382"/>
      <c r="K570" s="418">
        <f>SUM(K571,K575,K577,K580)</f>
        <v>0.46</v>
      </c>
      <c r="L570" s="408">
        <f>SUM(L571,L575,L577,L580)</f>
        <v>1</v>
      </c>
      <c r="M570" s="382"/>
      <c r="N570" s="385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  <c r="AA570" s="389"/>
      <c r="AB570" s="389"/>
    </row>
    <row r="571" spans="1:28" hidden="1" outlineLevel="2" collapsed="1">
      <c r="A571" s="382"/>
      <c r="B571" s="382" t="s">
        <v>516</v>
      </c>
      <c r="C571" s="382" t="s">
        <v>517</v>
      </c>
      <c r="D571" s="382" t="s">
        <v>18</v>
      </c>
      <c r="E571" s="386"/>
      <c r="F571" s="440" t="s">
        <v>277</v>
      </c>
      <c r="G571" s="382"/>
      <c r="H571" s="411">
        <f>SUM(H572:H574)</f>
        <v>1.6099999999999999</v>
      </c>
      <c r="I571" s="388">
        <f>SUM(I572:I574)</f>
        <v>3</v>
      </c>
      <c r="J571" s="382"/>
      <c r="K571" s="411">
        <f>SUM(K572:K574)</f>
        <v>0.46</v>
      </c>
      <c r="L571" s="388">
        <f>SUM(L572:L574)</f>
        <v>1</v>
      </c>
      <c r="M571" s="382"/>
      <c r="N571" s="385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  <c r="AA571" s="389"/>
      <c r="AB571" s="389"/>
    </row>
    <row r="572" spans="1:28" hidden="1" outlineLevel="3">
      <c r="A572" s="382"/>
      <c r="B572" s="382" t="s">
        <v>516</v>
      </c>
      <c r="C572" s="382" t="s">
        <v>517</v>
      </c>
      <c r="D572" s="382" t="s">
        <v>18</v>
      </c>
      <c r="E572" s="386" t="s">
        <v>72</v>
      </c>
      <c r="F572" s="440" t="s">
        <v>278</v>
      </c>
      <c r="G572" s="382"/>
      <c r="H572" s="387">
        <v>0.46</v>
      </c>
      <c r="I572" s="388">
        <v>1</v>
      </c>
      <c r="J572" s="382"/>
      <c r="K572" s="411">
        <f t="shared" ref="K572:K574" si="86">IF(L572=1,H572,0)</f>
        <v>0.46</v>
      </c>
      <c r="L572" s="388">
        <v>1</v>
      </c>
      <c r="M572" s="382"/>
      <c r="N572" s="385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  <c r="AA572" s="389"/>
      <c r="AB572" s="389"/>
    </row>
    <row r="573" spans="1:28" hidden="1" outlineLevel="3">
      <c r="A573" s="382"/>
      <c r="B573" s="382" t="s">
        <v>516</v>
      </c>
      <c r="C573" s="382" t="s">
        <v>517</v>
      </c>
      <c r="D573" s="382" t="s">
        <v>18</v>
      </c>
      <c r="E573" s="386" t="s">
        <v>72</v>
      </c>
      <c r="F573" s="440" t="s">
        <v>279</v>
      </c>
      <c r="G573" s="382"/>
      <c r="H573" s="411">
        <v>0.69</v>
      </c>
      <c r="I573" s="409">
        <v>1</v>
      </c>
      <c r="J573" s="382"/>
      <c r="K573" s="411">
        <f t="shared" si="86"/>
        <v>0</v>
      </c>
      <c r="L573" s="409"/>
      <c r="M573" s="382"/>
      <c r="N573" s="385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  <c r="AA573" s="389"/>
      <c r="AB573" s="389"/>
    </row>
    <row r="574" spans="1:28" hidden="1" outlineLevel="3">
      <c r="A574" s="382"/>
      <c r="B574" s="382" t="s">
        <v>516</v>
      </c>
      <c r="C574" s="382" t="s">
        <v>517</v>
      </c>
      <c r="D574" s="382" t="s">
        <v>18</v>
      </c>
      <c r="E574" s="386" t="s">
        <v>72</v>
      </c>
      <c r="F574" s="440" t="s">
        <v>33</v>
      </c>
      <c r="G574" s="382"/>
      <c r="H574" s="411">
        <v>0.46</v>
      </c>
      <c r="I574" s="409">
        <v>1</v>
      </c>
      <c r="J574" s="382"/>
      <c r="K574" s="411">
        <f t="shared" si="86"/>
        <v>0</v>
      </c>
      <c r="L574" s="409"/>
      <c r="M574" s="382"/>
      <c r="N574" s="385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  <c r="AA574" s="389"/>
      <c r="AB574" s="389"/>
    </row>
    <row r="575" spans="1:28" hidden="1" outlineLevel="2" collapsed="1">
      <c r="A575" s="382"/>
      <c r="B575" s="382" t="s">
        <v>516</v>
      </c>
      <c r="C575" s="382" t="s">
        <v>517</v>
      </c>
      <c r="D575" s="382" t="s">
        <v>26</v>
      </c>
      <c r="E575" s="382"/>
      <c r="F575" s="440" t="s">
        <v>277</v>
      </c>
      <c r="G575" s="382"/>
      <c r="H575" s="411">
        <f>SUM(H576:H576)</f>
        <v>0.19</v>
      </c>
      <c r="I575" s="388">
        <f>SUM(I576:I576)</f>
        <v>1</v>
      </c>
      <c r="J575" s="382"/>
      <c r="K575" s="411">
        <f>SUM(K576:K576)</f>
        <v>0</v>
      </c>
      <c r="L575" s="388">
        <f>SUM(L576:L576)</f>
        <v>0</v>
      </c>
      <c r="M575" s="382"/>
      <c r="N575" s="385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  <c r="AA575" s="389"/>
      <c r="AB575" s="389"/>
    </row>
    <row r="576" spans="1:28" hidden="1" outlineLevel="3">
      <c r="A576" s="382"/>
      <c r="B576" s="382" t="s">
        <v>516</v>
      </c>
      <c r="C576" s="382" t="s">
        <v>517</v>
      </c>
      <c r="D576" s="382" t="s">
        <v>26</v>
      </c>
      <c r="E576" s="382" t="s">
        <v>27</v>
      </c>
      <c r="F576" s="440" t="s">
        <v>279</v>
      </c>
      <c r="G576" s="382"/>
      <c r="H576" s="387">
        <v>0.19</v>
      </c>
      <c r="I576" s="388">
        <v>1</v>
      </c>
      <c r="J576" s="382"/>
      <c r="K576" s="411">
        <f>IF(L576=1,H576,0)</f>
        <v>0</v>
      </c>
      <c r="L576" s="388"/>
      <c r="M576" s="382"/>
      <c r="N576" s="385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  <c r="AA576" s="389"/>
      <c r="AB576" s="389"/>
    </row>
    <row r="577" spans="1:28" hidden="1" outlineLevel="2" collapsed="1">
      <c r="A577" s="382"/>
      <c r="B577" s="382" t="s">
        <v>516</v>
      </c>
      <c r="C577" s="382" t="s">
        <v>517</v>
      </c>
      <c r="D577" s="382" t="s">
        <v>28</v>
      </c>
      <c r="E577" s="382"/>
      <c r="F577" s="440" t="s">
        <v>277</v>
      </c>
      <c r="G577" s="409">
        <f t="shared" ref="G577:M577" si="87">SUM(G578:G579)</f>
        <v>0</v>
      </c>
      <c r="H577" s="411">
        <f t="shared" si="87"/>
        <v>0.1</v>
      </c>
      <c r="I577" s="388">
        <f t="shared" si="87"/>
        <v>2</v>
      </c>
      <c r="J577" s="409">
        <f t="shared" si="87"/>
        <v>0</v>
      </c>
      <c r="K577" s="411">
        <f t="shared" si="87"/>
        <v>0</v>
      </c>
      <c r="L577" s="388">
        <f t="shared" si="87"/>
        <v>0</v>
      </c>
      <c r="M577" s="409">
        <f t="shared" si="87"/>
        <v>0</v>
      </c>
      <c r="N577" s="385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  <c r="AA577" s="389"/>
      <c r="AB577" s="389"/>
    </row>
    <row r="578" spans="1:28" hidden="1" outlineLevel="3">
      <c r="A578" s="382"/>
      <c r="B578" s="382" t="s">
        <v>516</v>
      </c>
      <c r="C578" s="382" t="s">
        <v>517</v>
      </c>
      <c r="D578" s="382" t="s">
        <v>28</v>
      </c>
      <c r="E578" s="382" t="s">
        <v>29</v>
      </c>
      <c r="F578" s="440" t="s">
        <v>279</v>
      </c>
      <c r="G578" s="382"/>
      <c r="H578" s="387">
        <v>0.05</v>
      </c>
      <c r="I578" s="388">
        <v>1</v>
      </c>
      <c r="J578" s="382"/>
      <c r="K578" s="411">
        <f t="shared" ref="K578:K579" si="88">IF(L578=1,H578,0)</f>
        <v>0</v>
      </c>
      <c r="L578" s="388"/>
      <c r="M578" s="382"/>
      <c r="N578" s="385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  <c r="AA578" s="389"/>
      <c r="AB578" s="389"/>
    </row>
    <row r="579" spans="1:28" hidden="1" outlineLevel="3">
      <c r="A579" s="382"/>
      <c r="B579" s="382" t="s">
        <v>516</v>
      </c>
      <c r="C579" s="382" t="s">
        <v>517</v>
      </c>
      <c r="D579" s="382" t="s">
        <v>28</v>
      </c>
      <c r="E579" s="382" t="s">
        <v>29</v>
      </c>
      <c r="F579" s="440" t="s">
        <v>33</v>
      </c>
      <c r="G579" s="382"/>
      <c r="H579" s="387">
        <v>0.05</v>
      </c>
      <c r="I579" s="388">
        <v>1</v>
      </c>
      <c r="J579" s="382"/>
      <c r="K579" s="411">
        <f t="shared" si="88"/>
        <v>0</v>
      </c>
      <c r="L579" s="388"/>
      <c r="M579" s="382"/>
      <c r="N579" s="385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  <c r="AB579" s="389"/>
    </row>
    <row r="580" spans="1:28" hidden="1" outlineLevel="2" collapsed="1">
      <c r="A580" s="382"/>
      <c r="B580" s="382" t="s">
        <v>516</v>
      </c>
      <c r="C580" s="382" t="s">
        <v>517</v>
      </c>
      <c r="D580" s="382" t="s">
        <v>64</v>
      </c>
      <c r="E580" s="382"/>
      <c r="F580" s="440" t="s">
        <v>277</v>
      </c>
      <c r="G580" s="382"/>
      <c r="H580" s="411">
        <f>SUM(H581:H581)</f>
        <v>0.05</v>
      </c>
      <c r="I580" s="388">
        <f>SUM(I581:I581)</f>
        <v>1</v>
      </c>
      <c r="J580" s="382"/>
      <c r="K580" s="411">
        <f>SUM(K581:K581)</f>
        <v>0</v>
      </c>
      <c r="L580" s="388">
        <f>SUM(L581:L581)</f>
        <v>0</v>
      </c>
      <c r="M580" s="382"/>
      <c r="N580" s="385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  <c r="AB580" s="389"/>
    </row>
    <row r="581" spans="1:28" hidden="1" outlineLevel="3">
      <c r="A581" s="382"/>
      <c r="B581" s="382" t="s">
        <v>516</v>
      </c>
      <c r="C581" s="382" t="s">
        <v>517</v>
      </c>
      <c r="D581" s="382" t="s">
        <v>64</v>
      </c>
      <c r="E581" s="382" t="s">
        <v>29</v>
      </c>
      <c r="F581" s="440" t="s">
        <v>33</v>
      </c>
      <c r="G581" s="382"/>
      <c r="H581" s="387">
        <v>0.05</v>
      </c>
      <c r="I581" s="388">
        <v>1</v>
      </c>
      <c r="J581" s="382"/>
      <c r="K581" s="411">
        <f>IF(L581=1,H581,0)</f>
        <v>0</v>
      </c>
      <c r="L581" s="388"/>
      <c r="M581" s="382"/>
      <c r="N581" s="385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  <c r="AA581" s="389"/>
      <c r="AB581" s="389"/>
    </row>
    <row r="582" spans="1:28" outlineLevel="1" collapsed="1">
      <c r="A582" s="382"/>
      <c r="B582" s="517" t="s">
        <v>520</v>
      </c>
      <c r="C582" s="517" t="s">
        <v>521</v>
      </c>
      <c r="D582" s="518"/>
      <c r="E582" s="517"/>
      <c r="F582" s="519" t="s">
        <v>522</v>
      </c>
      <c r="G582" s="382"/>
      <c r="H582" s="520">
        <f>SUM(H583,H587,H589,H592)</f>
        <v>0.19417209600000002</v>
      </c>
      <c r="I582" s="521">
        <f>I583+I587+I589+I592</f>
        <v>8</v>
      </c>
      <c r="J582" s="382"/>
      <c r="K582" s="520">
        <f>SUM(K583,K587,K589,K592)</f>
        <v>0</v>
      </c>
      <c r="L582" s="521">
        <f>L583+L587+L589+L592</f>
        <v>0</v>
      </c>
      <c r="M582" s="382"/>
      <c r="N582" s="385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  <c r="AA582" s="389"/>
      <c r="AB582" s="389"/>
    </row>
    <row r="583" spans="1:28" hidden="1" outlineLevel="2" collapsed="1">
      <c r="A583" s="382"/>
      <c r="B583" s="523" t="s">
        <v>521</v>
      </c>
      <c r="C583" s="523" t="s">
        <v>521</v>
      </c>
      <c r="D583" s="524" t="s">
        <v>18</v>
      </c>
      <c r="E583" s="523"/>
      <c r="F583" s="444" t="s">
        <v>87</v>
      </c>
      <c r="G583" s="382"/>
      <c r="H583" s="411">
        <f>SUM(H584:H586)</f>
        <v>0.153458592</v>
      </c>
      <c r="I583" s="522">
        <f>SUM(I584:I586)</f>
        <v>3</v>
      </c>
      <c r="J583" s="382"/>
      <c r="K583" s="411">
        <f>SUM(K584:K586)</f>
        <v>0</v>
      </c>
      <c r="L583" s="522">
        <f>SUM(L584:L586)</f>
        <v>0</v>
      </c>
      <c r="M583" s="382"/>
      <c r="N583" s="385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  <c r="AA583" s="389"/>
      <c r="AB583" s="389"/>
    </row>
    <row r="584" spans="1:28" hidden="1" outlineLevel="3">
      <c r="A584" s="382"/>
      <c r="B584" s="523" t="s">
        <v>521</v>
      </c>
      <c r="C584" s="523" t="s">
        <v>521</v>
      </c>
      <c r="D584" s="524" t="s">
        <v>18</v>
      </c>
      <c r="E584" s="523" t="s">
        <v>286</v>
      </c>
      <c r="F584" s="444" t="s">
        <v>278</v>
      </c>
      <c r="G584" s="382"/>
      <c r="H584" s="525">
        <v>4.3845312000000004E-2</v>
      </c>
      <c r="I584" s="522">
        <v>1</v>
      </c>
      <c r="J584" s="382"/>
      <c r="K584" s="411">
        <f t="shared" ref="K584:K586" si="89">IF(L584=1,H584,0)</f>
        <v>0</v>
      </c>
      <c r="L584" s="522"/>
      <c r="M584" s="382"/>
      <c r="N584" s="385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  <c r="AA584" s="389"/>
      <c r="AB584" s="389"/>
    </row>
    <row r="585" spans="1:28" hidden="1" outlineLevel="3">
      <c r="A585" s="382"/>
      <c r="B585" s="523" t="s">
        <v>521</v>
      </c>
      <c r="C585" s="523" t="s">
        <v>521</v>
      </c>
      <c r="D585" s="524" t="s">
        <v>18</v>
      </c>
      <c r="E585" s="523" t="s">
        <v>286</v>
      </c>
      <c r="F585" s="444" t="s">
        <v>279</v>
      </c>
      <c r="G585" s="382"/>
      <c r="H585" s="525">
        <v>6.576796800000001E-2</v>
      </c>
      <c r="I585" s="522">
        <v>1</v>
      </c>
      <c r="J585" s="382"/>
      <c r="K585" s="411">
        <f t="shared" si="89"/>
        <v>0</v>
      </c>
      <c r="L585" s="522"/>
      <c r="M585" s="382"/>
      <c r="N585" s="385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  <c r="AA585" s="389"/>
      <c r="AB585" s="389"/>
    </row>
    <row r="586" spans="1:28" hidden="1" outlineLevel="3">
      <c r="A586" s="382"/>
      <c r="B586" s="523" t="s">
        <v>521</v>
      </c>
      <c r="C586" s="523" t="s">
        <v>521</v>
      </c>
      <c r="D586" s="524" t="s">
        <v>18</v>
      </c>
      <c r="E586" s="523" t="s">
        <v>286</v>
      </c>
      <c r="F586" s="444" t="s">
        <v>33</v>
      </c>
      <c r="G586" s="382"/>
      <c r="H586" s="525">
        <v>4.3845312000000004E-2</v>
      </c>
      <c r="I586" s="522">
        <v>1</v>
      </c>
      <c r="J586" s="382"/>
      <c r="K586" s="411">
        <f t="shared" si="89"/>
        <v>0</v>
      </c>
      <c r="L586" s="522"/>
      <c r="M586" s="382"/>
      <c r="N586" s="385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  <c r="AA586" s="389"/>
      <c r="AB586" s="389"/>
    </row>
    <row r="587" spans="1:28" hidden="1" outlineLevel="2" collapsed="1">
      <c r="A587" s="382"/>
      <c r="B587" s="523" t="s">
        <v>521</v>
      </c>
      <c r="C587" s="523" t="s">
        <v>521</v>
      </c>
      <c r="D587" s="524" t="s">
        <v>26</v>
      </c>
      <c r="E587" s="524"/>
      <c r="F587" s="444" t="s">
        <v>87</v>
      </c>
      <c r="G587" s="382"/>
      <c r="H587" s="411">
        <f>SUM(H588:H588)</f>
        <v>2.0043571200000002E-2</v>
      </c>
      <c r="I587" s="522">
        <f>SUM(I588:I588)</f>
        <v>1</v>
      </c>
      <c r="J587" s="382"/>
      <c r="K587" s="411">
        <f>SUM(K588:K588)</f>
        <v>0</v>
      </c>
      <c r="L587" s="522">
        <f>SUM(L588:L588)</f>
        <v>0</v>
      </c>
      <c r="M587" s="382"/>
      <c r="N587" s="385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  <c r="AA587" s="389"/>
      <c r="AB587" s="389"/>
    </row>
    <row r="588" spans="1:28" hidden="1" outlineLevel="3">
      <c r="A588" s="382"/>
      <c r="B588" s="523" t="s">
        <v>521</v>
      </c>
      <c r="C588" s="523" t="s">
        <v>521</v>
      </c>
      <c r="D588" s="524" t="s">
        <v>26</v>
      </c>
      <c r="E588" s="524" t="s">
        <v>27</v>
      </c>
      <c r="F588" s="444" t="s">
        <v>279</v>
      </c>
      <c r="G588" s="382"/>
      <c r="H588" s="525">
        <v>2.0043571200000002E-2</v>
      </c>
      <c r="I588" s="522">
        <v>1</v>
      </c>
      <c r="J588" s="382"/>
      <c r="K588" s="411">
        <f>IF(L588=1,H588,0)</f>
        <v>0</v>
      </c>
      <c r="L588" s="522"/>
      <c r="M588" s="382"/>
      <c r="N588" s="385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  <c r="AA588" s="389"/>
      <c r="AB588" s="389"/>
    </row>
    <row r="589" spans="1:28" hidden="1" outlineLevel="2" collapsed="1">
      <c r="A589" s="382"/>
      <c r="B589" s="523" t="s">
        <v>521</v>
      </c>
      <c r="C589" s="523" t="s">
        <v>521</v>
      </c>
      <c r="D589" s="524" t="s">
        <v>28</v>
      </c>
      <c r="E589" s="524"/>
      <c r="F589" s="444" t="s">
        <v>87</v>
      </c>
      <c r="G589" s="382"/>
      <c r="H589" s="411">
        <f>SUM(H590:H591)</f>
        <v>1.1274508799999999E-2</v>
      </c>
      <c r="I589" s="522">
        <f>SUM(I590:I591)</f>
        <v>2</v>
      </c>
      <c r="J589" s="382"/>
      <c r="K589" s="411">
        <f>SUM(K590:K591)</f>
        <v>0</v>
      </c>
      <c r="L589" s="522">
        <f>SUM(L590:L591)</f>
        <v>0</v>
      </c>
      <c r="M589" s="382"/>
      <c r="N589" s="385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  <c r="AA589" s="389"/>
      <c r="AB589" s="389"/>
    </row>
    <row r="590" spans="1:28" hidden="1" outlineLevel="3">
      <c r="A590" s="382"/>
      <c r="B590" s="523" t="s">
        <v>521</v>
      </c>
      <c r="C590" s="523" t="s">
        <v>521</v>
      </c>
      <c r="D590" s="524" t="s">
        <v>28</v>
      </c>
      <c r="E590" s="524" t="s">
        <v>29</v>
      </c>
      <c r="F590" s="444" t="s">
        <v>279</v>
      </c>
      <c r="G590" s="382"/>
      <c r="H590" s="525">
        <v>5.6372543999999997E-3</v>
      </c>
      <c r="I590" s="522">
        <v>1</v>
      </c>
      <c r="J590" s="382"/>
      <c r="K590" s="411">
        <f t="shared" ref="K590:K591" si="90">IF(L590=1,H590,0)</f>
        <v>0</v>
      </c>
      <c r="L590" s="522"/>
      <c r="M590" s="382"/>
      <c r="N590" s="385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  <c r="AA590" s="389"/>
      <c r="AB590" s="389"/>
    </row>
    <row r="591" spans="1:28" hidden="1" outlineLevel="3">
      <c r="A591" s="382"/>
      <c r="B591" s="523" t="s">
        <v>521</v>
      </c>
      <c r="C591" s="523" t="s">
        <v>521</v>
      </c>
      <c r="D591" s="524" t="s">
        <v>28</v>
      </c>
      <c r="E591" s="524" t="s">
        <v>29</v>
      </c>
      <c r="F591" s="444" t="s">
        <v>33</v>
      </c>
      <c r="G591" s="382"/>
      <c r="H591" s="525">
        <v>5.6372543999999997E-3</v>
      </c>
      <c r="I591" s="522">
        <v>1</v>
      </c>
      <c r="J591" s="382"/>
      <c r="K591" s="411">
        <f t="shared" si="90"/>
        <v>0</v>
      </c>
      <c r="L591" s="522"/>
      <c r="M591" s="382"/>
      <c r="N591" s="385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  <c r="AA591" s="389"/>
      <c r="AB591" s="389"/>
    </row>
    <row r="592" spans="1:28" hidden="1" outlineLevel="2" collapsed="1">
      <c r="A592" s="382"/>
      <c r="B592" s="523" t="s">
        <v>521</v>
      </c>
      <c r="C592" s="523" t="s">
        <v>521</v>
      </c>
      <c r="D592" s="524" t="s">
        <v>64</v>
      </c>
      <c r="E592" s="524"/>
      <c r="F592" s="444" t="s">
        <v>87</v>
      </c>
      <c r="G592" s="382"/>
      <c r="H592" s="411">
        <f>SUM(H593:H594)</f>
        <v>9.3954239999999994E-3</v>
      </c>
      <c r="I592" s="522">
        <f>SUM(I593:I594)</f>
        <v>2</v>
      </c>
      <c r="J592" s="382"/>
      <c r="K592" s="411">
        <f>SUM(K593:K594)</f>
        <v>0</v>
      </c>
      <c r="L592" s="522">
        <f>SUM(L593:L594)</f>
        <v>0</v>
      </c>
      <c r="M592" s="382"/>
      <c r="N592" s="385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  <c r="AA592" s="389"/>
      <c r="AB592" s="389"/>
    </row>
    <row r="593" spans="1:28" hidden="1" outlineLevel="3">
      <c r="A593" s="382"/>
      <c r="B593" s="523" t="s">
        <v>521</v>
      </c>
      <c r="C593" s="523" t="s">
        <v>521</v>
      </c>
      <c r="D593" s="524" t="s">
        <v>64</v>
      </c>
      <c r="E593" s="524" t="s">
        <v>29</v>
      </c>
      <c r="F593" s="444" t="s">
        <v>279</v>
      </c>
      <c r="G593" s="382"/>
      <c r="H593" s="525">
        <v>4.6977119999999997E-3</v>
      </c>
      <c r="I593" s="522">
        <v>1</v>
      </c>
      <c r="J593" s="382"/>
      <c r="K593" s="411">
        <f t="shared" ref="K593:K594" si="91">IF(L593=1,H593,0)</f>
        <v>0</v>
      </c>
      <c r="L593" s="522"/>
      <c r="M593" s="382"/>
      <c r="N593" s="385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  <c r="AA593" s="389"/>
      <c r="AB593" s="389"/>
    </row>
    <row r="594" spans="1:28" hidden="1" outlineLevel="3">
      <c r="A594" s="382"/>
      <c r="B594" s="523" t="s">
        <v>521</v>
      </c>
      <c r="C594" s="523" t="s">
        <v>521</v>
      </c>
      <c r="D594" s="524" t="s">
        <v>64</v>
      </c>
      <c r="E594" s="524" t="s">
        <v>29</v>
      </c>
      <c r="F594" s="444" t="s">
        <v>33</v>
      </c>
      <c r="G594" s="382"/>
      <c r="H594" s="525">
        <v>4.6977119999999997E-3</v>
      </c>
      <c r="I594" s="522">
        <v>1</v>
      </c>
      <c r="J594" s="382"/>
      <c r="K594" s="411">
        <f t="shared" si="91"/>
        <v>0</v>
      </c>
      <c r="L594" s="522"/>
      <c r="M594" s="382"/>
      <c r="N594" s="385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  <c r="AA594" s="389"/>
      <c r="AB594" s="389"/>
    </row>
    <row r="595" spans="1:28" s="556" customFormat="1" ht="26.45" outlineLevel="1" collapsed="1">
      <c r="A595" s="524"/>
      <c r="B595" s="517" t="s">
        <v>536</v>
      </c>
      <c r="C595" s="517" t="s">
        <v>537</v>
      </c>
      <c r="D595" s="517"/>
      <c r="E595" s="517"/>
      <c r="F595" s="519" t="s">
        <v>538</v>
      </c>
      <c r="G595" s="524"/>
      <c r="H595" s="520">
        <f>SUM(H596,H602,H605,H609)</f>
        <v>4.4898450109999999</v>
      </c>
      <c r="I595" s="521">
        <f>SUM(I596,I602,I605,I609)</f>
        <v>12</v>
      </c>
      <c r="J595" s="524"/>
      <c r="K595" s="520">
        <f>SUM(K596,K602,K605,K609)</f>
        <v>0</v>
      </c>
      <c r="L595" s="521">
        <f>SUM(L596,L602,L605,L609)</f>
        <v>0</v>
      </c>
      <c r="M595" s="524"/>
      <c r="N595" s="554"/>
      <c r="O595" s="555"/>
      <c r="P595" s="555"/>
      <c r="Q595" s="555"/>
      <c r="R595" s="555"/>
      <c r="S595" s="555"/>
      <c r="T595" s="555"/>
      <c r="U595" s="555"/>
      <c r="V595" s="555"/>
      <c r="W595" s="555"/>
      <c r="X595" s="555"/>
      <c r="Y595" s="555"/>
      <c r="Z595" s="555"/>
      <c r="AA595" s="555"/>
      <c r="AB595" s="555"/>
    </row>
    <row r="596" spans="1:28" hidden="1" outlineLevel="2" collapsed="1">
      <c r="A596" s="382"/>
      <c r="B596" s="382" t="s">
        <v>536</v>
      </c>
      <c r="C596" s="386" t="s">
        <v>537</v>
      </c>
      <c r="D596" s="382" t="s">
        <v>18</v>
      </c>
      <c r="E596" s="386"/>
      <c r="F596" s="440" t="s">
        <v>539</v>
      </c>
      <c r="G596" s="382"/>
      <c r="H596" s="411">
        <f>SUM(H597:H601)</f>
        <v>3.4099999999999997</v>
      </c>
      <c r="I596" s="409">
        <f>SUM(I597:I601)</f>
        <v>5</v>
      </c>
      <c r="J596" s="382"/>
      <c r="K596" s="411">
        <f>SUM(K597:K601)</f>
        <v>0</v>
      </c>
      <c r="L596" s="409">
        <f>SUM(L597:L601)</f>
        <v>0</v>
      </c>
      <c r="M596" s="382"/>
      <c r="N596" s="385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  <c r="AA596" s="389"/>
      <c r="AB596" s="389"/>
    </row>
    <row r="597" spans="1:28" hidden="1" outlineLevel="3">
      <c r="A597" s="382"/>
      <c r="B597" s="382" t="s">
        <v>536</v>
      </c>
      <c r="C597" s="386" t="s">
        <v>537</v>
      </c>
      <c r="D597" s="382" t="s">
        <v>18</v>
      </c>
      <c r="E597" s="386" t="s">
        <v>72</v>
      </c>
      <c r="F597" s="440" t="s">
        <v>540</v>
      </c>
      <c r="G597" s="382"/>
      <c r="H597" s="411">
        <v>1.34</v>
      </c>
      <c r="I597" s="409">
        <v>1</v>
      </c>
      <c r="J597" s="382"/>
      <c r="K597" s="411">
        <f t="shared" ref="K597:K601" si="92">IF(L597=1,H597,0)</f>
        <v>0</v>
      </c>
      <c r="L597" s="409"/>
      <c r="M597" s="382"/>
      <c r="N597" s="385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  <c r="AA597" s="389"/>
      <c r="AB597" s="389"/>
    </row>
    <row r="598" spans="1:28" hidden="1" outlineLevel="3">
      <c r="A598" s="382"/>
      <c r="B598" s="382" t="s">
        <v>536</v>
      </c>
      <c r="C598" s="386" t="s">
        <v>537</v>
      </c>
      <c r="D598" s="382" t="s">
        <v>18</v>
      </c>
      <c r="E598" s="386" t="s">
        <v>72</v>
      </c>
      <c r="F598" s="440" t="s">
        <v>353</v>
      </c>
      <c r="G598" s="382"/>
      <c r="H598" s="411">
        <v>1.34</v>
      </c>
      <c r="I598" s="409">
        <v>1</v>
      </c>
      <c r="J598" s="382"/>
      <c r="K598" s="411">
        <f t="shared" si="92"/>
        <v>0</v>
      </c>
      <c r="L598" s="409"/>
      <c r="M598" s="382"/>
      <c r="N598" s="385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  <c r="AA598" s="389"/>
      <c r="AB598" s="389"/>
    </row>
    <row r="599" spans="1:28" hidden="1" outlineLevel="3">
      <c r="A599" s="382"/>
      <c r="B599" s="382" t="s">
        <v>536</v>
      </c>
      <c r="C599" s="386" t="s">
        <v>537</v>
      </c>
      <c r="D599" s="382" t="s">
        <v>18</v>
      </c>
      <c r="E599" s="386" t="s">
        <v>72</v>
      </c>
      <c r="F599" s="440" t="s">
        <v>33</v>
      </c>
      <c r="G599" s="382"/>
      <c r="H599" s="411">
        <v>0.67</v>
      </c>
      <c r="I599" s="409">
        <v>1</v>
      </c>
      <c r="J599" s="382"/>
      <c r="K599" s="411">
        <f t="shared" si="92"/>
        <v>0</v>
      </c>
      <c r="L599" s="409"/>
      <c r="M599" s="382"/>
      <c r="N599" s="385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  <c r="AA599" s="389"/>
      <c r="AB599" s="389"/>
    </row>
    <row r="600" spans="1:28" hidden="1" outlineLevel="3">
      <c r="A600" s="382"/>
      <c r="B600" s="382" t="s">
        <v>536</v>
      </c>
      <c r="C600" s="386" t="s">
        <v>537</v>
      </c>
      <c r="D600" s="382" t="s">
        <v>18</v>
      </c>
      <c r="E600" s="386" t="s">
        <v>204</v>
      </c>
      <c r="F600" s="420" t="s">
        <v>565</v>
      </c>
      <c r="G600" s="382"/>
      <c r="H600" s="411">
        <v>0.03</v>
      </c>
      <c r="I600" s="409">
        <v>1</v>
      </c>
      <c r="J600" s="382"/>
      <c r="K600" s="411">
        <f t="shared" si="92"/>
        <v>0</v>
      </c>
      <c r="L600" s="409"/>
      <c r="M600" s="382"/>
      <c r="N600" s="385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  <c r="AA600" s="389"/>
      <c r="AB600" s="389"/>
    </row>
    <row r="601" spans="1:28" hidden="1" outlineLevel="3">
      <c r="A601" s="382"/>
      <c r="B601" s="382" t="s">
        <v>536</v>
      </c>
      <c r="C601" s="386" t="s">
        <v>537</v>
      </c>
      <c r="D601" s="382" t="s">
        <v>18</v>
      </c>
      <c r="E601" s="386" t="s">
        <v>204</v>
      </c>
      <c r="F601" s="420" t="s">
        <v>566</v>
      </c>
      <c r="G601" s="382"/>
      <c r="H601" s="411">
        <v>0.03</v>
      </c>
      <c r="I601" s="409">
        <v>1</v>
      </c>
      <c r="J601" s="382"/>
      <c r="K601" s="411">
        <f t="shared" si="92"/>
        <v>0</v>
      </c>
      <c r="L601" s="409"/>
      <c r="M601" s="382"/>
      <c r="N601" s="385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  <c r="AA601" s="389"/>
      <c r="AB601" s="389"/>
    </row>
    <row r="602" spans="1:28" hidden="1" outlineLevel="2" collapsed="1">
      <c r="A602" s="382"/>
      <c r="B602" s="382" t="s">
        <v>536</v>
      </c>
      <c r="C602" s="386" t="s">
        <v>537</v>
      </c>
      <c r="D602" s="382" t="s">
        <v>26</v>
      </c>
      <c r="E602" s="382"/>
      <c r="F602" s="440" t="s">
        <v>470</v>
      </c>
      <c r="G602" s="382"/>
      <c r="H602" s="411">
        <f>SUM(H603:H604)</f>
        <v>0.62984501100000001</v>
      </c>
      <c r="I602" s="409">
        <f>SUM(I603:I604)</f>
        <v>2</v>
      </c>
      <c r="J602" s="382"/>
      <c r="K602" s="411">
        <f>SUM(K603:K604)</f>
        <v>0</v>
      </c>
      <c r="L602" s="409">
        <f>SUM(L603:L604)</f>
        <v>0</v>
      </c>
      <c r="M602" s="382"/>
      <c r="N602" s="385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  <c r="AA602" s="389"/>
      <c r="AB602" s="389"/>
    </row>
    <row r="603" spans="1:28" hidden="1" outlineLevel="3">
      <c r="A603" s="382"/>
      <c r="B603" s="382" t="s">
        <v>536</v>
      </c>
      <c r="C603" s="386" t="s">
        <v>537</v>
      </c>
      <c r="D603" s="382" t="s">
        <v>26</v>
      </c>
      <c r="E603" s="382" t="s">
        <v>27</v>
      </c>
      <c r="F603" s="440" t="s">
        <v>540</v>
      </c>
      <c r="G603" s="382"/>
      <c r="H603" s="411">
        <v>0.26984501099999997</v>
      </c>
      <c r="I603" s="409">
        <v>1</v>
      </c>
      <c r="J603" s="382"/>
      <c r="K603" s="411">
        <f t="shared" ref="K603:K604" si="93">IF(L603=1,H603,0)</f>
        <v>0</v>
      </c>
      <c r="L603" s="409"/>
      <c r="M603" s="382"/>
      <c r="N603" s="385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  <c r="AA603" s="389"/>
      <c r="AB603" s="389"/>
    </row>
    <row r="604" spans="1:28" hidden="1" outlineLevel="3">
      <c r="A604" s="382"/>
      <c r="B604" s="382" t="s">
        <v>536</v>
      </c>
      <c r="C604" s="386" t="s">
        <v>537</v>
      </c>
      <c r="D604" s="382" t="s">
        <v>26</v>
      </c>
      <c r="E604" s="382" t="s">
        <v>27</v>
      </c>
      <c r="F604" s="440" t="s">
        <v>353</v>
      </c>
      <c r="G604" s="382"/>
      <c r="H604" s="411">
        <v>0.36</v>
      </c>
      <c r="I604" s="409">
        <v>1</v>
      </c>
      <c r="J604" s="382"/>
      <c r="K604" s="411">
        <f t="shared" si="93"/>
        <v>0</v>
      </c>
      <c r="L604" s="409"/>
      <c r="M604" s="382"/>
      <c r="N604" s="385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  <c r="AA604" s="389"/>
      <c r="AB604" s="389"/>
    </row>
    <row r="605" spans="1:28" hidden="1" outlineLevel="2" collapsed="1">
      <c r="A605" s="382"/>
      <c r="B605" s="382" t="s">
        <v>536</v>
      </c>
      <c r="C605" s="386" t="s">
        <v>537</v>
      </c>
      <c r="D605" s="382" t="s">
        <v>28</v>
      </c>
      <c r="E605" s="382"/>
      <c r="F605" s="440" t="s">
        <v>570</v>
      </c>
      <c r="G605" s="382"/>
      <c r="H605" s="411">
        <f>SUM(H606:H608)</f>
        <v>0.25</v>
      </c>
      <c r="I605" s="409">
        <f>SUM(I606:I608)</f>
        <v>3</v>
      </c>
      <c r="J605" s="382"/>
      <c r="K605" s="411">
        <f>SUM(K606:K608)</f>
        <v>0</v>
      </c>
      <c r="L605" s="409">
        <f>SUM(L606:L608)</f>
        <v>0</v>
      </c>
      <c r="M605" s="382"/>
      <c r="N605" s="385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  <c r="AA605" s="389"/>
      <c r="AB605" s="389"/>
    </row>
    <row r="606" spans="1:28" hidden="1" outlineLevel="3">
      <c r="A606" s="382"/>
      <c r="B606" s="382" t="s">
        <v>536</v>
      </c>
      <c r="C606" s="386" t="s">
        <v>537</v>
      </c>
      <c r="D606" s="382" t="s">
        <v>28</v>
      </c>
      <c r="E606" s="382" t="s">
        <v>29</v>
      </c>
      <c r="F606" s="440" t="s">
        <v>32</v>
      </c>
      <c r="G606" s="382"/>
      <c r="H606" s="411">
        <v>0.1</v>
      </c>
      <c r="I606" s="409">
        <v>1</v>
      </c>
      <c r="J606" s="382"/>
      <c r="K606" s="411">
        <f t="shared" ref="K606:K608" si="94">IF(L606=1,H606,0)</f>
        <v>0</v>
      </c>
      <c r="L606" s="409"/>
      <c r="M606" s="382"/>
      <c r="N606" s="385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  <c r="AA606" s="389"/>
      <c r="AB606" s="389"/>
    </row>
    <row r="607" spans="1:28" hidden="1" outlineLevel="3">
      <c r="A607" s="382"/>
      <c r="B607" s="382" t="s">
        <v>536</v>
      </c>
      <c r="C607" s="386" t="s">
        <v>537</v>
      </c>
      <c r="D607" s="382" t="s">
        <v>28</v>
      </c>
      <c r="E607" s="382" t="s">
        <v>29</v>
      </c>
      <c r="F607" s="440" t="s">
        <v>33</v>
      </c>
      <c r="G607" s="382"/>
      <c r="H607" s="411">
        <v>0.05</v>
      </c>
      <c r="I607" s="409">
        <v>1</v>
      </c>
      <c r="J607" s="382"/>
      <c r="K607" s="411">
        <f t="shared" si="94"/>
        <v>0</v>
      </c>
      <c r="L607" s="409"/>
      <c r="M607" s="382"/>
      <c r="N607" s="385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  <c r="AA607" s="389"/>
      <c r="AB607" s="389"/>
    </row>
    <row r="608" spans="1:28" hidden="1" outlineLevel="3">
      <c r="A608" s="382"/>
      <c r="B608" s="382" t="s">
        <v>536</v>
      </c>
      <c r="C608" s="386" t="s">
        <v>537</v>
      </c>
      <c r="D608" s="382" t="s">
        <v>28</v>
      </c>
      <c r="E608" s="382" t="s">
        <v>29</v>
      </c>
      <c r="F608" s="440" t="s">
        <v>353</v>
      </c>
      <c r="G608" s="382"/>
      <c r="H608" s="411">
        <v>0.1</v>
      </c>
      <c r="I608" s="409">
        <v>1</v>
      </c>
      <c r="J608" s="382"/>
      <c r="K608" s="411">
        <f t="shared" si="94"/>
        <v>0</v>
      </c>
      <c r="L608" s="409"/>
      <c r="M608" s="382"/>
      <c r="N608" s="385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  <c r="AA608" s="389"/>
      <c r="AB608" s="389"/>
    </row>
    <row r="609" spans="1:28" hidden="1" outlineLevel="2" collapsed="1">
      <c r="A609" s="382"/>
      <c r="B609" s="382" t="s">
        <v>536</v>
      </c>
      <c r="C609" s="386" t="s">
        <v>537</v>
      </c>
      <c r="D609" s="382" t="s">
        <v>64</v>
      </c>
      <c r="E609" s="382"/>
      <c r="F609" s="440" t="s">
        <v>570</v>
      </c>
      <c r="G609" s="382"/>
      <c r="H609" s="411">
        <f>SUM(H610:H611)</f>
        <v>0.2</v>
      </c>
      <c r="I609" s="409">
        <f>SUM(I610:I611)</f>
        <v>2</v>
      </c>
      <c r="J609" s="382"/>
      <c r="K609" s="411">
        <f>SUM(K610:K611)</f>
        <v>0</v>
      </c>
      <c r="L609" s="409">
        <f>SUM(L610:L611)</f>
        <v>0</v>
      </c>
      <c r="M609" s="382"/>
      <c r="N609" s="385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  <c r="AA609" s="389"/>
      <c r="AB609" s="389"/>
    </row>
    <row r="610" spans="1:28" hidden="1" outlineLevel="3">
      <c r="A610" s="382"/>
      <c r="B610" s="382" t="s">
        <v>536</v>
      </c>
      <c r="C610" s="386" t="s">
        <v>537</v>
      </c>
      <c r="D610" s="382" t="s">
        <v>64</v>
      </c>
      <c r="E610" s="382" t="s">
        <v>29</v>
      </c>
      <c r="F610" s="440" t="s">
        <v>32</v>
      </c>
      <c r="G610" s="382"/>
      <c r="H610" s="411">
        <v>0.15</v>
      </c>
      <c r="I610" s="409">
        <v>1</v>
      </c>
      <c r="J610" s="382"/>
      <c r="K610" s="411">
        <f t="shared" ref="K610:K611" si="95">IF(L610=1,H610,0)</f>
        <v>0</v>
      </c>
      <c r="L610" s="409"/>
      <c r="M610" s="382"/>
      <c r="N610" s="385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  <c r="AA610" s="389"/>
      <c r="AB610" s="389"/>
    </row>
    <row r="611" spans="1:28" hidden="1" outlineLevel="3">
      <c r="A611" s="382"/>
      <c r="B611" s="382" t="s">
        <v>536</v>
      </c>
      <c r="C611" s="386" t="s">
        <v>537</v>
      </c>
      <c r="D611" s="382" t="s">
        <v>64</v>
      </c>
      <c r="E611" s="382" t="s">
        <v>29</v>
      </c>
      <c r="F611" s="440" t="s">
        <v>33</v>
      </c>
      <c r="G611" s="382"/>
      <c r="H611" s="411">
        <v>0.05</v>
      </c>
      <c r="I611" s="409">
        <v>1</v>
      </c>
      <c r="J611" s="382"/>
      <c r="K611" s="411">
        <f t="shared" si="95"/>
        <v>0</v>
      </c>
      <c r="L611" s="409"/>
      <c r="M611" s="382"/>
      <c r="N611" s="385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  <c r="AA611" s="389"/>
      <c r="AB611" s="389"/>
    </row>
    <row r="612" spans="1:28">
      <c r="I612" s="407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7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1:X52"/>
  <sheetViews>
    <sheetView zoomScaleNormal="100" zoomScaleSheetLayoutView="90" workbookViewId="0">
      <pane xSplit="2" ySplit="4" topLeftCell="C18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3.7109375" style="383" bestFit="1" customWidth="1"/>
    <col min="6" max="6" width="47.5703125" style="584" bestFit="1" customWidth="1"/>
    <col min="7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4" ht="17.100000000000001" customHeight="1">
      <c r="A1" s="382"/>
      <c r="B1" s="382"/>
      <c r="C1" s="382"/>
      <c r="D1" s="382"/>
      <c r="E1" s="382"/>
      <c r="F1" s="561"/>
      <c r="G1" s="382"/>
      <c r="H1" s="382"/>
      <c r="I1" s="382"/>
    </row>
    <row r="2" spans="1:24" s="434" customFormat="1" ht="17.45">
      <c r="A2" s="386"/>
      <c r="B2" s="436" t="s">
        <v>1659</v>
      </c>
      <c r="C2" s="436"/>
      <c r="D2" s="436"/>
      <c r="E2" s="436"/>
      <c r="F2" s="562"/>
      <c r="G2" s="437" t="s">
        <v>1</v>
      </c>
      <c r="H2" s="437" t="s">
        <v>6</v>
      </c>
      <c r="I2" s="386"/>
      <c r="L2" s="474"/>
    </row>
    <row r="3" spans="1:24" ht="3" customHeight="1">
      <c r="A3" s="382"/>
      <c r="B3" s="382"/>
      <c r="C3" s="382"/>
      <c r="D3" s="382"/>
      <c r="E3" s="382"/>
      <c r="F3" s="561"/>
      <c r="G3" s="382"/>
      <c r="H3" s="382"/>
      <c r="I3" s="382"/>
    </row>
    <row r="4" spans="1:24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453">
        <f>SUM(G7)</f>
        <v>28.983259913425307</v>
      </c>
      <c r="H4" s="453">
        <f>SUM(H7)</f>
        <v>32</v>
      </c>
      <c r="I4" s="384"/>
      <c r="O4" s="509"/>
      <c r="U4" s="383"/>
      <c r="V4" s="383"/>
      <c r="W4" s="383"/>
    </row>
    <row r="5" spans="1:24" ht="10.35" customHeight="1">
      <c r="A5" s="382"/>
      <c r="B5" s="386"/>
      <c r="C5" s="382"/>
      <c r="D5" s="386"/>
      <c r="E5" s="386" t="s">
        <v>13</v>
      </c>
      <c r="F5" s="561"/>
      <c r="G5" s="387"/>
      <c r="H5" s="387"/>
      <c r="I5" s="382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</row>
    <row r="6" spans="1:24" ht="3" customHeight="1">
      <c r="A6" s="382"/>
      <c r="B6" s="382"/>
      <c r="C6" s="382"/>
      <c r="D6" s="382"/>
      <c r="E6" s="382"/>
      <c r="F6" s="561"/>
      <c r="G6" s="382"/>
      <c r="H6" s="382"/>
      <c r="I6" s="382"/>
    </row>
    <row r="7" spans="1:24" s="434" customFormat="1" ht="15.6">
      <c r="A7" s="386"/>
      <c r="B7" s="563" t="s">
        <v>144</v>
      </c>
      <c r="C7" s="564"/>
      <c r="D7" s="564"/>
      <c r="E7" s="564"/>
      <c r="F7" s="565"/>
      <c r="G7" s="566">
        <f>SUM(G9,G10,G13,G18,G22,G26,G32,G35,G40,G43,G47)</f>
        <v>28.983259913425307</v>
      </c>
      <c r="H7" s="566">
        <f>SUM(H9,H10,H13,H18,H22,H26,H32,H35,H40,H43,H47)</f>
        <v>32</v>
      </c>
      <c r="I7" s="386"/>
      <c r="L7" s="474"/>
    </row>
    <row r="8" spans="1:24" ht="3" customHeight="1" outlineLevel="1">
      <c r="A8" s="382"/>
      <c r="B8" s="382"/>
      <c r="C8" s="382"/>
      <c r="D8" s="382"/>
      <c r="E8" s="382"/>
      <c r="F8" s="561"/>
      <c r="G8" s="567"/>
      <c r="H8" s="567"/>
      <c r="I8" s="382"/>
    </row>
    <row r="9" spans="1:24" outlineLevel="1">
      <c r="B9" s="568" t="s">
        <v>135</v>
      </c>
      <c r="C9" s="568" t="s">
        <v>136</v>
      </c>
      <c r="D9" s="568" t="s">
        <v>18</v>
      </c>
      <c r="E9" s="568" t="s">
        <v>144</v>
      </c>
      <c r="F9" s="568" t="s">
        <v>1660</v>
      </c>
      <c r="G9" s="569">
        <v>0</v>
      </c>
      <c r="H9" s="569">
        <v>0</v>
      </c>
    </row>
    <row r="10" spans="1:24" outlineLevel="1">
      <c r="B10" s="568" t="s">
        <v>142</v>
      </c>
      <c r="C10" s="500" t="s">
        <v>143</v>
      </c>
      <c r="D10" s="499" t="s">
        <v>18</v>
      </c>
      <c r="E10" s="500" t="s">
        <v>144</v>
      </c>
      <c r="F10" s="568" t="s">
        <v>1661</v>
      </c>
      <c r="G10" s="569">
        <f>SUM(G11:G12)</f>
        <v>0.25</v>
      </c>
      <c r="H10" s="569">
        <f>SUM(H11:H12)</f>
        <v>2</v>
      </c>
    </row>
    <row r="11" spans="1:24" outlineLevel="2">
      <c r="B11" s="570" t="s">
        <v>142</v>
      </c>
      <c r="C11" s="502" t="s">
        <v>143</v>
      </c>
      <c r="D11" s="483" t="s">
        <v>18</v>
      </c>
      <c r="E11" s="502" t="s">
        <v>144</v>
      </c>
      <c r="F11" s="570" t="s">
        <v>137</v>
      </c>
      <c r="G11" s="571">
        <v>7.0000000000000007E-2</v>
      </c>
      <c r="H11" s="571">
        <v>1</v>
      </c>
    </row>
    <row r="12" spans="1:24" outlineLevel="2">
      <c r="B12" s="570" t="s">
        <v>142</v>
      </c>
      <c r="C12" s="502" t="s">
        <v>143</v>
      </c>
      <c r="D12" s="483" t="s">
        <v>18</v>
      </c>
      <c r="E12" s="502" t="s">
        <v>144</v>
      </c>
      <c r="F12" s="570" t="s">
        <v>145</v>
      </c>
      <c r="G12" s="571">
        <v>0.18</v>
      </c>
      <c r="H12" s="571">
        <v>1</v>
      </c>
    </row>
    <row r="13" spans="1:24" outlineLevel="1">
      <c r="B13" s="568" t="s">
        <v>147</v>
      </c>
      <c r="C13" s="500" t="s">
        <v>148</v>
      </c>
      <c r="D13" s="499" t="s">
        <v>18</v>
      </c>
      <c r="E13" s="500" t="s">
        <v>144</v>
      </c>
      <c r="F13" s="568" t="s">
        <v>1662</v>
      </c>
      <c r="G13" s="569">
        <f>SUM(G14:G17)</f>
        <v>2.3753571</v>
      </c>
      <c r="H13" s="569">
        <f>SUM(H14:H17)</f>
        <v>4</v>
      </c>
    </row>
    <row r="14" spans="1:24" outlineLevel="2">
      <c r="B14" s="570" t="s">
        <v>147</v>
      </c>
      <c r="C14" s="502" t="s">
        <v>148</v>
      </c>
      <c r="D14" s="483" t="s">
        <v>18</v>
      </c>
      <c r="E14" s="502" t="s">
        <v>144</v>
      </c>
      <c r="F14" s="570" t="s">
        <v>156</v>
      </c>
      <c r="G14" s="571">
        <v>0.3</v>
      </c>
      <c r="H14" s="571">
        <v>1</v>
      </c>
    </row>
    <row r="15" spans="1:24" outlineLevel="2">
      <c r="B15" s="570" t="s">
        <v>147</v>
      </c>
      <c r="C15" s="502" t="s">
        <v>148</v>
      </c>
      <c r="D15" s="483" t="s">
        <v>18</v>
      </c>
      <c r="E15" s="502" t="s">
        <v>144</v>
      </c>
      <c r="F15" s="570" t="s">
        <v>157</v>
      </c>
      <c r="G15" s="571">
        <v>0.3</v>
      </c>
      <c r="H15" s="571">
        <v>1</v>
      </c>
    </row>
    <row r="16" spans="1:24" outlineLevel="2">
      <c r="B16" s="570" t="s">
        <v>147</v>
      </c>
      <c r="C16" s="502" t="s">
        <v>148</v>
      </c>
      <c r="D16" s="483" t="s">
        <v>18</v>
      </c>
      <c r="E16" s="502" t="s">
        <v>144</v>
      </c>
      <c r="F16" s="570" t="s">
        <v>158</v>
      </c>
      <c r="G16" s="571">
        <v>0.03</v>
      </c>
      <c r="H16" s="571">
        <v>1</v>
      </c>
    </row>
    <row r="17" spans="2:8" outlineLevel="2">
      <c r="B17" s="570" t="s">
        <v>147</v>
      </c>
      <c r="C17" s="502" t="s">
        <v>148</v>
      </c>
      <c r="D17" s="483" t="s">
        <v>18</v>
      </c>
      <c r="E17" s="502" t="s">
        <v>144</v>
      </c>
      <c r="F17" s="570" t="s">
        <v>163</v>
      </c>
      <c r="G17" s="571">
        <v>1.7453571000000001</v>
      </c>
      <c r="H17" s="571">
        <v>1</v>
      </c>
    </row>
    <row r="18" spans="2:8" outlineLevel="1">
      <c r="B18" s="568" t="s">
        <v>180</v>
      </c>
      <c r="C18" s="500" t="s">
        <v>23</v>
      </c>
      <c r="D18" s="499" t="s">
        <v>18</v>
      </c>
      <c r="E18" s="500" t="s">
        <v>144</v>
      </c>
      <c r="F18" s="568" t="s">
        <v>1663</v>
      </c>
      <c r="G18" s="569">
        <v>0.30105801900000001</v>
      </c>
      <c r="H18" s="569">
        <f>SUM(H19:H21)</f>
        <v>3</v>
      </c>
    </row>
    <row r="19" spans="2:8" outlineLevel="2">
      <c r="B19" s="570" t="s">
        <v>180</v>
      </c>
      <c r="C19" s="502" t="s">
        <v>23</v>
      </c>
      <c r="D19" s="483" t="s">
        <v>18</v>
      </c>
      <c r="E19" s="502" t="s">
        <v>144</v>
      </c>
      <c r="F19" s="570" t="s">
        <v>183</v>
      </c>
      <c r="G19" s="571">
        <v>9.2092275000000001E-2</v>
      </c>
      <c r="H19" s="571">
        <v>1</v>
      </c>
    </row>
    <row r="20" spans="2:8" outlineLevel="2">
      <c r="B20" s="570" t="s">
        <v>180</v>
      </c>
      <c r="C20" s="502" t="s">
        <v>23</v>
      </c>
      <c r="D20" s="483" t="s">
        <v>18</v>
      </c>
      <c r="E20" s="502" t="s">
        <v>144</v>
      </c>
      <c r="F20" s="570" t="s">
        <v>187</v>
      </c>
      <c r="G20" s="571">
        <v>0.13060359000000002</v>
      </c>
      <c r="H20" s="571">
        <v>1</v>
      </c>
    </row>
    <row r="21" spans="2:8" outlineLevel="2">
      <c r="B21" s="570" t="s">
        <v>180</v>
      </c>
      <c r="C21" s="502" t="s">
        <v>23</v>
      </c>
      <c r="D21" s="483" t="s">
        <v>18</v>
      </c>
      <c r="E21" s="502" t="s">
        <v>144</v>
      </c>
      <c r="F21" s="570" t="s">
        <v>188</v>
      </c>
      <c r="G21" s="571">
        <v>7.8362154000000003E-2</v>
      </c>
      <c r="H21" s="571">
        <v>1</v>
      </c>
    </row>
    <row r="22" spans="2:8" outlineLevel="1">
      <c r="B22" s="568" t="s">
        <v>362</v>
      </c>
      <c r="C22" s="500" t="s">
        <v>363</v>
      </c>
      <c r="D22" s="499" t="s">
        <v>18</v>
      </c>
      <c r="E22" s="500" t="s">
        <v>144</v>
      </c>
      <c r="F22" s="568" t="s">
        <v>1664</v>
      </c>
      <c r="G22" s="569">
        <v>8.7813947704253064</v>
      </c>
      <c r="H22" s="569">
        <f>SUM(H23:H25)</f>
        <v>3</v>
      </c>
    </row>
    <row r="23" spans="2:8" outlineLevel="2">
      <c r="B23" s="570" t="s">
        <v>362</v>
      </c>
      <c r="C23" s="502" t="s">
        <v>363</v>
      </c>
      <c r="D23" s="483" t="s">
        <v>18</v>
      </c>
      <c r="E23" s="502" t="s">
        <v>144</v>
      </c>
      <c r="F23" s="570" t="s">
        <v>34</v>
      </c>
      <c r="G23" s="571">
        <v>4.3906973852126532</v>
      </c>
      <c r="H23" s="571">
        <v>1</v>
      </c>
    </row>
    <row r="24" spans="2:8" outlineLevel="2">
      <c r="B24" s="570" t="s">
        <v>362</v>
      </c>
      <c r="C24" s="502" t="s">
        <v>363</v>
      </c>
      <c r="D24" s="483" t="s">
        <v>18</v>
      </c>
      <c r="E24" s="502" t="s">
        <v>144</v>
      </c>
      <c r="F24" s="570" t="s">
        <v>197</v>
      </c>
      <c r="G24" s="571">
        <v>2.1953486926063266</v>
      </c>
      <c r="H24" s="571">
        <v>1</v>
      </c>
    </row>
    <row r="25" spans="2:8" outlineLevel="2">
      <c r="B25" s="570" t="s">
        <v>362</v>
      </c>
      <c r="C25" s="502" t="s">
        <v>363</v>
      </c>
      <c r="D25" s="483" t="s">
        <v>18</v>
      </c>
      <c r="E25" s="502" t="s">
        <v>144</v>
      </c>
      <c r="F25" s="570" t="s">
        <v>335</v>
      </c>
      <c r="G25" s="571">
        <v>2.1953486926063266</v>
      </c>
      <c r="H25" s="571">
        <v>1</v>
      </c>
    </row>
    <row r="26" spans="2:8" outlineLevel="1">
      <c r="B26" s="568" t="s">
        <v>194</v>
      </c>
      <c r="C26" s="500" t="s">
        <v>136</v>
      </c>
      <c r="D26" s="499" t="s">
        <v>18</v>
      </c>
      <c r="E26" s="500" t="s">
        <v>144</v>
      </c>
      <c r="F26" s="568" t="s">
        <v>1665</v>
      </c>
      <c r="G26" s="569">
        <v>0.96000000000000008</v>
      </c>
      <c r="H26" s="569">
        <f>SUM(H27:H31)</f>
        <v>5</v>
      </c>
    </row>
    <row r="27" spans="2:8" outlineLevel="2">
      <c r="B27" s="570" t="s">
        <v>194</v>
      </c>
      <c r="C27" s="502" t="s">
        <v>136</v>
      </c>
      <c r="D27" s="483" t="s">
        <v>18</v>
      </c>
      <c r="E27" s="502" t="s">
        <v>144</v>
      </c>
      <c r="F27" s="570" t="s">
        <v>195</v>
      </c>
      <c r="G27" s="571">
        <v>0.51</v>
      </c>
      <c r="H27" s="571">
        <v>1</v>
      </c>
    </row>
    <row r="28" spans="2:8" outlineLevel="2">
      <c r="B28" s="570" t="s">
        <v>194</v>
      </c>
      <c r="C28" s="502" t="s">
        <v>136</v>
      </c>
      <c r="D28" s="483" t="s">
        <v>18</v>
      </c>
      <c r="E28" s="502" t="s">
        <v>144</v>
      </c>
      <c r="F28" s="570" t="s">
        <v>196</v>
      </c>
      <c r="G28" s="571">
        <v>0.3</v>
      </c>
      <c r="H28" s="571">
        <v>1</v>
      </c>
    </row>
    <row r="29" spans="2:8" outlineLevel="2">
      <c r="B29" s="570" t="s">
        <v>194</v>
      </c>
      <c r="C29" s="502" t="s">
        <v>136</v>
      </c>
      <c r="D29" s="483" t="s">
        <v>18</v>
      </c>
      <c r="E29" s="502" t="s">
        <v>144</v>
      </c>
      <c r="F29" s="570" t="s">
        <v>158</v>
      </c>
      <c r="G29" s="571">
        <v>0.09</v>
      </c>
      <c r="H29" s="571">
        <v>1</v>
      </c>
    </row>
    <row r="30" spans="2:8" outlineLevel="2">
      <c r="B30" s="570" t="s">
        <v>194</v>
      </c>
      <c r="C30" s="502" t="s">
        <v>136</v>
      </c>
      <c r="D30" s="483" t="s">
        <v>18</v>
      </c>
      <c r="E30" s="502" t="s">
        <v>144</v>
      </c>
      <c r="F30" s="570" t="s">
        <v>137</v>
      </c>
      <c r="G30" s="571">
        <v>0.03</v>
      </c>
      <c r="H30" s="571">
        <v>1</v>
      </c>
    </row>
    <row r="31" spans="2:8" outlineLevel="2">
      <c r="B31" s="570" t="s">
        <v>194</v>
      </c>
      <c r="C31" s="502" t="s">
        <v>136</v>
      </c>
      <c r="D31" s="483" t="s">
        <v>18</v>
      </c>
      <c r="E31" s="502" t="s">
        <v>144</v>
      </c>
      <c r="F31" s="570" t="s">
        <v>146</v>
      </c>
      <c r="G31" s="571">
        <v>0.03</v>
      </c>
      <c r="H31" s="571">
        <v>1</v>
      </c>
    </row>
    <row r="32" spans="2:8" outlineLevel="1">
      <c r="B32" s="568" t="s">
        <v>290</v>
      </c>
      <c r="C32" s="500" t="s">
        <v>291</v>
      </c>
      <c r="D32" s="499" t="s">
        <v>18</v>
      </c>
      <c r="E32" s="500" t="s">
        <v>144</v>
      </c>
      <c r="F32" s="568" t="s">
        <v>1666</v>
      </c>
      <c r="G32" s="569">
        <v>0.10500000000000001</v>
      </c>
      <c r="H32" s="569">
        <f>SUM(H33:H34)</f>
        <v>2</v>
      </c>
    </row>
    <row r="33" spans="2:8" outlineLevel="2">
      <c r="B33" s="570" t="s">
        <v>290</v>
      </c>
      <c r="C33" s="502" t="s">
        <v>291</v>
      </c>
      <c r="D33" s="483" t="s">
        <v>18</v>
      </c>
      <c r="E33" s="502" t="s">
        <v>144</v>
      </c>
      <c r="F33" s="570" t="s">
        <v>279</v>
      </c>
      <c r="G33" s="571">
        <v>6.3E-2</v>
      </c>
      <c r="H33" s="571">
        <v>1</v>
      </c>
    </row>
    <row r="34" spans="2:8" outlineLevel="2">
      <c r="B34" s="570" t="s">
        <v>290</v>
      </c>
      <c r="C34" s="502" t="s">
        <v>291</v>
      </c>
      <c r="D34" s="483" t="s">
        <v>18</v>
      </c>
      <c r="E34" s="502" t="s">
        <v>144</v>
      </c>
      <c r="F34" s="570" t="s">
        <v>33</v>
      </c>
      <c r="G34" s="571">
        <v>4.2000000000000003E-2</v>
      </c>
      <c r="H34" s="571">
        <v>1</v>
      </c>
    </row>
    <row r="35" spans="2:8" outlineLevel="1">
      <c r="B35" s="568" t="s">
        <v>293</v>
      </c>
      <c r="C35" s="500" t="s">
        <v>294</v>
      </c>
      <c r="D35" s="499" t="s">
        <v>18</v>
      </c>
      <c r="E35" s="572" t="s">
        <v>144</v>
      </c>
      <c r="F35" s="568" t="s">
        <v>1667</v>
      </c>
      <c r="G35" s="569">
        <v>0.77993999999999997</v>
      </c>
      <c r="H35" s="569">
        <f>SUM(H36:H39)</f>
        <v>4</v>
      </c>
    </row>
    <row r="36" spans="2:8" outlineLevel="2">
      <c r="B36" s="570" t="s">
        <v>293</v>
      </c>
      <c r="C36" s="502" t="s">
        <v>294</v>
      </c>
      <c r="D36" s="483" t="s">
        <v>18</v>
      </c>
      <c r="E36" s="392" t="s">
        <v>144</v>
      </c>
      <c r="F36" s="570" t="s">
        <v>280</v>
      </c>
      <c r="G36" s="571">
        <v>0.12999000000000002</v>
      </c>
      <c r="H36" s="571">
        <v>1</v>
      </c>
    </row>
    <row r="37" spans="2:8" outlineLevel="2">
      <c r="B37" s="570" t="s">
        <v>293</v>
      </c>
      <c r="C37" s="502" t="s">
        <v>294</v>
      </c>
      <c r="D37" s="483" t="s">
        <v>18</v>
      </c>
      <c r="E37" s="392" t="s">
        <v>144</v>
      </c>
      <c r="F37" s="570" t="s">
        <v>281</v>
      </c>
      <c r="G37" s="571">
        <v>0.25998000000000004</v>
      </c>
      <c r="H37" s="571">
        <v>1</v>
      </c>
    </row>
    <row r="38" spans="2:8" outlineLevel="2">
      <c r="B38" s="570" t="s">
        <v>293</v>
      </c>
      <c r="C38" s="502" t="s">
        <v>294</v>
      </c>
      <c r="D38" s="483" t="s">
        <v>18</v>
      </c>
      <c r="E38" s="392" t="s">
        <v>144</v>
      </c>
      <c r="F38" s="570" t="s">
        <v>287</v>
      </c>
      <c r="G38" s="571">
        <v>0.19498499999999999</v>
      </c>
      <c r="H38" s="571">
        <v>1</v>
      </c>
    </row>
    <row r="39" spans="2:8" outlineLevel="2">
      <c r="B39" s="570" t="s">
        <v>293</v>
      </c>
      <c r="C39" s="502" t="s">
        <v>294</v>
      </c>
      <c r="D39" s="483" t="s">
        <v>18</v>
      </c>
      <c r="E39" s="392" t="s">
        <v>144</v>
      </c>
      <c r="F39" s="570" t="s">
        <v>284</v>
      </c>
      <c r="G39" s="571">
        <v>0.19498499999999999</v>
      </c>
      <c r="H39" s="571">
        <v>1</v>
      </c>
    </row>
    <row r="40" spans="2:8" outlineLevel="1">
      <c r="B40" s="568" t="s">
        <v>305</v>
      </c>
      <c r="C40" s="500" t="s">
        <v>306</v>
      </c>
      <c r="D40" s="499" t="s">
        <v>18</v>
      </c>
      <c r="E40" s="500" t="s">
        <v>144</v>
      </c>
      <c r="F40" s="568" t="s">
        <v>1668</v>
      </c>
      <c r="G40" s="569">
        <v>0.43996002400000001</v>
      </c>
      <c r="H40" s="569">
        <f>SUM(H41:H42)</f>
        <v>2</v>
      </c>
    </row>
    <row r="41" spans="2:8" outlineLevel="2">
      <c r="B41" s="570" t="s">
        <v>305</v>
      </c>
      <c r="C41" s="502" t="s">
        <v>306</v>
      </c>
      <c r="D41" s="483" t="s">
        <v>18</v>
      </c>
      <c r="E41" s="502" t="s">
        <v>144</v>
      </c>
      <c r="F41" s="561" t="s">
        <v>278</v>
      </c>
      <c r="G41" s="573">
        <v>0.17598400959999999</v>
      </c>
      <c r="H41" s="571">
        <v>1</v>
      </c>
    </row>
    <row r="42" spans="2:8" outlineLevel="2">
      <c r="B42" s="570" t="s">
        <v>305</v>
      </c>
      <c r="C42" s="502" t="s">
        <v>306</v>
      </c>
      <c r="D42" s="483" t="s">
        <v>18</v>
      </c>
      <c r="E42" s="502" t="s">
        <v>144</v>
      </c>
      <c r="F42" s="561" t="s">
        <v>279</v>
      </c>
      <c r="G42" s="573">
        <v>0.26397601440000001</v>
      </c>
      <c r="H42" s="571">
        <v>1</v>
      </c>
    </row>
    <row r="43" spans="2:8" outlineLevel="1">
      <c r="B43" s="568" t="s">
        <v>330</v>
      </c>
      <c r="C43" s="500" t="s">
        <v>80</v>
      </c>
      <c r="D43" s="499" t="s">
        <v>18</v>
      </c>
      <c r="E43" s="500" t="s">
        <v>144</v>
      </c>
      <c r="F43" s="568" t="s">
        <v>1669</v>
      </c>
      <c r="G43" s="569">
        <v>1.18</v>
      </c>
      <c r="H43" s="569">
        <f>SUM(H44:H46)</f>
        <v>3</v>
      </c>
    </row>
    <row r="44" spans="2:8" outlineLevel="2">
      <c r="B44" s="570" t="s">
        <v>330</v>
      </c>
      <c r="C44" s="502" t="s">
        <v>80</v>
      </c>
      <c r="D44" s="483" t="s">
        <v>18</v>
      </c>
      <c r="E44" s="502" t="s">
        <v>144</v>
      </c>
      <c r="F44" s="570" t="s">
        <v>334</v>
      </c>
      <c r="G44" s="571">
        <v>0.54</v>
      </c>
      <c r="H44" s="571">
        <v>1</v>
      </c>
    </row>
    <row r="45" spans="2:8" outlineLevel="2">
      <c r="B45" s="570" t="s">
        <v>330</v>
      </c>
      <c r="C45" s="502" t="s">
        <v>80</v>
      </c>
      <c r="D45" s="483" t="s">
        <v>18</v>
      </c>
      <c r="E45" s="502" t="s">
        <v>144</v>
      </c>
      <c r="F45" s="570" t="s">
        <v>32</v>
      </c>
      <c r="G45" s="571">
        <v>0.43</v>
      </c>
      <c r="H45" s="571">
        <v>1</v>
      </c>
    </row>
    <row r="46" spans="2:8" outlineLevel="2">
      <c r="B46" s="570" t="s">
        <v>330</v>
      </c>
      <c r="C46" s="502" t="s">
        <v>80</v>
      </c>
      <c r="D46" s="483" t="s">
        <v>18</v>
      </c>
      <c r="E46" s="502" t="s">
        <v>144</v>
      </c>
      <c r="F46" s="570" t="s">
        <v>33</v>
      </c>
      <c r="G46" s="571">
        <v>0.21</v>
      </c>
      <c r="H46" s="571">
        <v>1</v>
      </c>
    </row>
    <row r="47" spans="2:8" outlineLevel="1">
      <c r="B47" s="568" t="s">
        <v>398</v>
      </c>
      <c r="C47" s="500" t="s">
        <v>398</v>
      </c>
      <c r="D47" s="499" t="s">
        <v>18</v>
      </c>
      <c r="E47" s="574" t="s">
        <v>144</v>
      </c>
      <c r="F47" s="568" t="s">
        <v>1670</v>
      </c>
      <c r="G47" s="569">
        <v>13.810550000000003</v>
      </c>
      <c r="H47" s="569">
        <f>SUM(H48:H51)</f>
        <v>4</v>
      </c>
    </row>
    <row r="48" spans="2:8" outlineLevel="2">
      <c r="B48" s="570" t="s">
        <v>398</v>
      </c>
      <c r="C48" s="502" t="s">
        <v>398</v>
      </c>
      <c r="D48" s="483" t="s">
        <v>18</v>
      </c>
      <c r="E48" s="504" t="s">
        <v>144</v>
      </c>
      <c r="F48" s="575" t="s">
        <v>334</v>
      </c>
      <c r="G48" s="576">
        <v>4.7746000000000013</v>
      </c>
      <c r="H48" s="571">
        <v>1</v>
      </c>
    </row>
    <row r="49" spans="1:9" outlineLevel="2">
      <c r="B49" s="570" t="s">
        <v>398</v>
      </c>
      <c r="C49" s="502" t="s">
        <v>398</v>
      </c>
      <c r="D49" s="483" t="s">
        <v>18</v>
      </c>
      <c r="E49" s="504" t="s">
        <v>144</v>
      </c>
      <c r="F49" s="575" t="s">
        <v>32</v>
      </c>
      <c r="G49" s="576">
        <v>4.3640000000000008</v>
      </c>
      <c r="H49" s="571">
        <v>1</v>
      </c>
    </row>
    <row r="50" spans="1:9" outlineLevel="2">
      <c r="B50" s="570" t="s">
        <v>398</v>
      </c>
      <c r="C50" s="502" t="s">
        <v>398</v>
      </c>
      <c r="D50" s="483" t="s">
        <v>18</v>
      </c>
      <c r="E50" s="504" t="s">
        <v>144</v>
      </c>
      <c r="F50" s="575" t="s">
        <v>33</v>
      </c>
      <c r="G50" s="576">
        <v>2.2846500000000005</v>
      </c>
      <c r="H50" s="571">
        <v>1</v>
      </c>
    </row>
    <row r="51" spans="1:9" outlineLevel="2">
      <c r="B51" s="570" t="s">
        <v>398</v>
      </c>
      <c r="C51" s="502" t="s">
        <v>398</v>
      </c>
      <c r="D51" s="483" t="s">
        <v>18</v>
      </c>
      <c r="E51" s="504" t="s">
        <v>144</v>
      </c>
      <c r="F51" s="575" t="s">
        <v>197</v>
      </c>
      <c r="G51" s="576">
        <v>2.3873000000000006</v>
      </c>
      <c r="H51" s="571">
        <v>1</v>
      </c>
    </row>
    <row r="52" spans="1:9" ht="3" customHeight="1">
      <c r="A52" s="382"/>
      <c r="B52" s="382"/>
      <c r="C52" s="382"/>
      <c r="D52" s="382"/>
      <c r="E52" s="382"/>
      <c r="F52" s="561"/>
      <c r="G52" s="567"/>
      <c r="H52" s="567"/>
      <c r="I52" s="382"/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1:Y61"/>
  <sheetViews>
    <sheetView zoomScaleNormal="100" workbookViewId="0">
      <pane xSplit="3" ySplit="4" topLeftCell="D4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588" customWidth="1"/>
    <col min="2" max="2" width="6.42578125" style="588" bestFit="1" customWidth="1"/>
    <col min="3" max="3" width="19.42578125" style="588" customWidth="1"/>
    <col min="4" max="4" width="16.28515625" style="588" bestFit="1" customWidth="1"/>
    <col min="5" max="5" width="12.5703125" style="588" customWidth="1"/>
    <col min="6" max="6" width="13.7109375" style="588" bestFit="1" customWidth="1"/>
    <col min="7" max="7" width="66.28515625" style="591" bestFit="1" customWidth="1"/>
    <col min="8" max="9" width="11" style="588" customWidth="1"/>
    <col min="10" max="10" width="0.5703125" style="588" customWidth="1"/>
    <col min="11" max="12" width="9.42578125" style="588" bestFit="1"/>
    <col min="13" max="14" width="9.5703125" style="588" bestFit="1" customWidth="1"/>
    <col min="15" max="15" width="7" style="588" bestFit="1" customWidth="1"/>
    <col min="16" max="16" width="8.5703125" style="588" bestFit="1" customWidth="1"/>
    <col min="17" max="17" width="12.5703125" style="588" customWidth="1"/>
    <col min="18" max="18" width="7.5703125" style="588" bestFit="1" customWidth="1"/>
    <col min="19" max="19" width="5.5703125" style="588" bestFit="1" customWidth="1"/>
    <col min="20" max="20" width="9.42578125" style="588" bestFit="1" customWidth="1"/>
    <col min="21" max="24" width="9.42578125" style="588" bestFit="1"/>
    <col min="25" max="25" width="9.42578125" style="588" bestFit="1" customWidth="1"/>
    <col min="26" max="34" width="9.42578125" style="588" bestFit="1"/>
    <col min="35" max="16384" width="9.42578125" style="588"/>
  </cols>
  <sheetData>
    <row r="1" spans="1:25" ht="17.100000000000001" customHeight="1">
      <c r="A1" s="382"/>
      <c r="B1" s="382"/>
      <c r="C1" s="382"/>
      <c r="D1" s="382"/>
      <c r="E1" s="382"/>
      <c r="F1" s="382"/>
      <c r="G1" s="561"/>
      <c r="H1" s="382"/>
      <c r="I1" s="382"/>
      <c r="J1" s="382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</row>
    <row r="2" spans="1:25" s="589" customFormat="1" ht="17.45">
      <c r="A2" s="386"/>
      <c r="B2" s="386"/>
      <c r="C2" s="436" t="s">
        <v>1659</v>
      </c>
      <c r="D2" s="436"/>
      <c r="E2" s="436"/>
      <c r="F2" s="436"/>
      <c r="G2" s="562"/>
      <c r="H2" s="437" t="s">
        <v>1</v>
      </c>
      <c r="I2" s="437" t="s">
        <v>6</v>
      </c>
      <c r="J2" s="386"/>
      <c r="K2" s="434"/>
      <c r="L2" s="434"/>
      <c r="M2" s="47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  <c r="Y2" s="434"/>
    </row>
    <row r="3" spans="1:25" ht="3" customHeight="1">
      <c r="A3" s="382"/>
      <c r="B3" s="382"/>
      <c r="C3" s="382"/>
      <c r="D3" s="382"/>
      <c r="E3" s="382"/>
      <c r="F3" s="382"/>
      <c r="G3" s="561"/>
      <c r="H3" s="382"/>
      <c r="I3" s="382"/>
      <c r="J3" s="382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</row>
    <row r="4" spans="1:25" s="590" customFormat="1" ht="15">
      <c r="A4" s="384"/>
      <c r="B4" s="384"/>
      <c r="C4" s="435" t="s">
        <v>8</v>
      </c>
      <c r="D4" s="435" t="s">
        <v>9</v>
      </c>
      <c r="E4" s="435" t="s">
        <v>10</v>
      </c>
      <c r="F4" s="435" t="s">
        <v>11</v>
      </c>
      <c r="G4" s="452" t="s">
        <v>12</v>
      </c>
      <c r="H4" s="453">
        <f>SUM(H7)</f>
        <v>12.655551378481437</v>
      </c>
      <c r="I4" s="453">
        <f>SUM(I7)</f>
        <v>45</v>
      </c>
      <c r="J4" s="384"/>
      <c r="K4" s="385"/>
      <c r="L4" s="385"/>
      <c r="M4" s="385"/>
      <c r="N4" s="385"/>
      <c r="O4" s="385"/>
      <c r="P4" s="509"/>
      <c r="Q4" s="385"/>
      <c r="R4" s="385"/>
      <c r="S4" s="385"/>
      <c r="T4" s="385"/>
      <c r="U4" s="385"/>
      <c r="V4" s="383"/>
      <c r="W4" s="383"/>
      <c r="X4" s="383"/>
      <c r="Y4" s="385"/>
    </row>
    <row r="5" spans="1:25" ht="10.35" hidden="1" customHeight="1">
      <c r="A5" s="382"/>
      <c r="B5" s="382"/>
      <c r="C5" s="386"/>
      <c r="D5" s="382"/>
      <c r="E5" s="386"/>
      <c r="F5" s="386" t="s">
        <v>13</v>
      </c>
      <c r="G5" s="561"/>
      <c r="H5" s="411"/>
      <c r="I5" s="411"/>
      <c r="J5" s="382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</row>
    <row r="6" spans="1:25" ht="3" customHeight="1">
      <c r="A6" s="382"/>
      <c r="B6" s="382"/>
      <c r="C6" s="382"/>
      <c r="D6" s="382"/>
      <c r="E6" s="382"/>
      <c r="F6" s="382"/>
      <c r="G6" s="561"/>
      <c r="H6" s="382"/>
      <c r="I6" s="382"/>
      <c r="J6" s="382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</row>
    <row r="7" spans="1:25" s="589" customFormat="1" ht="15.6">
      <c r="A7" s="386"/>
      <c r="B7" s="386" t="s">
        <v>1671</v>
      </c>
      <c r="C7" s="563" t="s">
        <v>20</v>
      </c>
      <c r="D7" s="564"/>
      <c r="E7" s="564"/>
      <c r="F7" s="564"/>
      <c r="G7" s="565"/>
      <c r="H7" s="566">
        <f>SUM(H9,H12,H15,H31,H40,H59)</f>
        <v>12.655551378481437</v>
      </c>
      <c r="I7" s="566">
        <f>SUM(I9,I12,I15,I31,I40,I59)</f>
        <v>45</v>
      </c>
      <c r="J7" s="386"/>
      <c r="K7" s="434"/>
      <c r="L7" s="434"/>
      <c r="M7" s="47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</row>
    <row r="8" spans="1:25" ht="3" customHeight="1" outlineLevel="1">
      <c r="A8" s="382"/>
      <c r="B8" s="382"/>
      <c r="C8" s="382"/>
      <c r="D8" s="382"/>
      <c r="E8" s="382"/>
      <c r="F8" s="382"/>
      <c r="G8" s="561"/>
      <c r="H8" s="567"/>
      <c r="I8" s="567"/>
      <c r="J8" s="382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</row>
    <row r="9" spans="1:25" outlineLevel="1">
      <c r="A9" s="383"/>
      <c r="B9" s="383"/>
      <c r="C9" s="568" t="s">
        <v>15</v>
      </c>
      <c r="D9" s="500" t="s">
        <v>19</v>
      </c>
      <c r="E9" s="499" t="s">
        <v>18</v>
      </c>
      <c r="F9" s="500" t="s">
        <v>20</v>
      </c>
      <c r="G9" s="568" t="s">
        <v>1672</v>
      </c>
      <c r="H9" s="569">
        <f>SUM(H10:H11)</f>
        <v>0.31537703586000004</v>
      </c>
      <c r="I9" s="569">
        <f>SUM(I10:I11)</f>
        <v>2</v>
      </c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</row>
    <row r="10" spans="1:25" outlineLevel="2">
      <c r="A10" s="383"/>
      <c r="B10" s="383">
        <v>1</v>
      </c>
      <c r="C10" s="570" t="s">
        <v>15</v>
      </c>
      <c r="D10" s="502" t="s">
        <v>19</v>
      </c>
      <c r="E10" s="483" t="s">
        <v>18</v>
      </c>
      <c r="F10" s="502" t="s">
        <v>20</v>
      </c>
      <c r="G10" s="570" t="s">
        <v>21</v>
      </c>
      <c r="H10" s="571">
        <v>0.27</v>
      </c>
      <c r="I10" s="571">
        <v>1</v>
      </c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</row>
    <row r="11" spans="1:25" outlineLevel="2">
      <c r="A11" s="383"/>
      <c r="B11" s="383">
        <v>1</v>
      </c>
      <c r="C11" s="570" t="s">
        <v>15</v>
      </c>
      <c r="D11" s="502" t="s">
        <v>19</v>
      </c>
      <c r="E11" s="483" t="s">
        <v>18</v>
      </c>
      <c r="F11" s="502" t="s">
        <v>20</v>
      </c>
      <c r="G11" s="570" t="s">
        <v>22</v>
      </c>
      <c r="H11" s="571">
        <v>4.5377035860000005E-2</v>
      </c>
      <c r="I11" s="571">
        <v>1</v>
      </c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</row>
    <row r="12" spans="1:25" outlineLevel="1">
      <c r="A12" s="383"/>
      <c r="B12" s="383"/>
      <c r="C12" s="568" t="s">
        <v>15</v>
      </c>
      <c r="D12" s="500" t="s">
        <v>23</v>
      </c>
      <c r="E12" s="499" t="s">
        <v>18</v>
      </c>
      <c r="F12" s="500" t="s">
        <v>20</v>
      </c>
      <c r="G12" s="568" t="s">
        <v>1672</v>
      </c>
      <c r="H12" s="569">
        <f>SUM(H13:H14)</f>
        <v>8.1654546317853002E-2</v>
      </c>
      <c r="I12" s="569">
        <f>SUM(I13:I14)</f>
        <v>2</v>
      </c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</row>
    <row r="13" spans="1:25" outlineLevel="2">
      <c r="A13" s="383"/>
      <c r="B13" s="383">
        <v>1</v>
      </c>
      <c r="C13" s="570" t="s">
        <v>15</v>
      </c>
      <c r="D13" s="502" t="s">
        <v>23</v>
      </c>
      <c r="E13" s="483" t="s">
        <v>18</v>
      </c>
      <c r="F13" s="502" t="s">
        <v>20</v>
      </c>
      <c r="G13" s="570" t="s">
        <v>24</v>
      </c>
      <c r="H13" s="571">
        <v>4.2238262499999998E-2</v>
      </c>
      <c r="I13" s="571">
        <v>1</v>
      </c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</row>
    <row r="14" spans="1:25" outlineLevel="2">
      <c r="A14" s="383"/>
      <c r="B14" s="383">
        <v>1</v>
      </c>
      <c r="C14" s="570" t="s">
        <v>15</v>
      </c>
      <c r="D14" s="502" t="s">
        <v>23</v>
      </c>
      <c r="E14" s="483" t="s">
        <v>18</v>
      </c>
      <c r="F14" s="502" t="s">
        <v>20</v>
      </c>
      <c r="G14" s="570" t="s">
        <v>25</v>
      </c>
      <c r="H14" s="571">
        <v>3.9416283817853004E-2</v>
      </c>
      <c r="I14" s="571">
        <v>1</v>
      </c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</row>
    <row r="15" spans="1:25" outlineLevel="1">
      <c r="A15" s="383"/>
      <c r="B15" s="383"/>
      <c r="C15" s="568" t="s">
        <v>15</v>
      </c>
      <c r="D15" s="500" t="s">
        <v>30</v>
      </c>
      <c r="E15" s="499" t="s">
        <v>18</v>
      </c>
      <c r="F15" s="500" t="s">
        <v>20</v>
      </c>
      <c r="G15" s="568" t="s">
        <v>1672</v>
      </c>
      <c r="H15" s="569">
        <f>SUM(H16:H30)</f>
        <v>1.8087697963035858</v>
      </c>
      <c r="I15" s="569">
        <f>SUM(I16:I30)</f>
        <v>15</v>
      </c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</row>
    <row r="16" spans="1:25" outlineLevel="2">
      <c r="A16" s="383"/>
      <c r="B16" s="383">
        <v>1</v>
      </c>
      <c r="C16" s="570" t="s">
        <v>15</v>
      </c>
      <c r="D16" s="502" t="s">
        <v>30</v>
      </c>
      <c r="E16" s="483" t="s">
        <v>18</v>
      </c>
      <c r="F16" s="502" t="s">
        <v>20</v>
      </c>
      <c r="G16" s="561" t="s">
        <v>31</v>
      </c>
      <c r="H16" s="573">
        <v>0.27398366869616486</v>
      </c>
      <c r="I16" s="571">
        <v>1</v>
      </c>
      <c r="J16" s="383"/>
      <c r="K16" s="383"/>
      <c r="L16" s="383"/>
      <c r="M16" s="383"/>
      <c r="N16" s="383"/>
      <c r="O16" s="383"/>
      <c r="P16" s="383"/>
      <c r="Q16" s="383"/>
      <c r="R16" s="383"/>
      <c r="S16" s="383"/>
      <c r="T16" s="383"/>
      <c r="U16" s="383"/>
      <c r="V16" s="383"/>
      <c r="W16" s="383"/>
      <c r="X16" s="383"/>
      <c r="Y16" s="383"/>
    </row>
    <row r="17" spans="2:9" outlineLevel="2">
      <c r="B17" s="383">
        <v>1</v>
      </c>
      <c r="C17" s="570" t="s">
        <v>15</v>
      </c>
      <c r="D17" s="502" t="s">
        <v>30</v>
      </c>
      <c r="E17" s="483" t="s">
        <v>18</v>
      </c>
      <c r="F17" s="502" t="s">
        <v>20</v>
      </c>
      <c r="G17" s="561" t="s">
        <v>32</v>
      </c>
      <c r="H17" s="573">
        <v>0.27398366869616486</v>
      </c>
      <c r="I17" s="571">
        <v>1</v>
      </c>
    </row>
    <row r="18" spans="2:9" outlineLevel="2">
      <c r="B18" s="383">
        <v>1</v>
      </c>
      <c r="C18" s="570" t="s">
        <v>15</v>
      </c>
      <c r="D18" s="502" t="s">
        <v>30</v>
      </c>
      <c r="E18" s="483" t="s">
        <v>18</v>
      </c>
      <c r="F18" s="502" t="s">
        <v>20</v>
      </c>
      <c r="G18" s="561" t="s">
        <v>33</v>
      </c>
      <c r="H18" s="573">
        <v>0.13699183434808243</v>
      </c>
      <c r="I18" s="571">
        <v>1</v>
      </c>
    </row>
    <row r="19" spans="2:9" outlineLevel="2">
      <c r="B19" s="383">
        <v>1</v>
      </c>
      <c r="C19" s="570" t="s">
        <v>15</v>
      </c>
      <c r="D19" s="502" t="s">
        <v>30</v>
      </c>
      <c r="E19" s="483" t="s">
        <v>18</v>
      </c>
      <c r="F19" s="502" t="s">
        <v>20</v>
      </c>
      <c r="G19" s="561" t="s">
        <v>34</v>
      </c>
      <c r="H19" s="573">
        <v>0.27398366869616486</v>
      </c>
      <c r="I19" s="571">
        <v>1</v>
      </c>
    </row>
    <row r="20" spans="2:9" outlineLevel="2">
      <c r="B20" s="383">
        <v>1</v>
      </c>
      <c r="C20" s="570" t="s">
        <v>15</v>
      </c>
      <c r="D20" s="502" t="s">
        <v>30</v>
      </c>
      <c r="E20" s="483" t="s">
        <v>18</v>
      </c>
      <c r="F20" s="502" t="s">
        <v>20</v>
      </c>
      <c r="G20" s="561" t="s">
        <v>35</v>
      </c>
      <c r="H20" s="573">
        <v>0.36</v>
      </c>
      <c r="I20" s="571">
        <v>1</v>
      </c>
    </row>
    <row r="21" spans="2:9" outlineLevel="2">
      <c r="B21" s="383">
        <v>1</v>
      </c>
      <c r="C21" s="570" t="s">
        <v>15</v>
      </c>
      <c r="D21" s="502" t="s">
        <v>30</v>
      </c>
      <c r="E21" s="483" t="s">
        <v>18</v>
      </c>
      <c r="F21" s="502" t="s">
        <v>20</v>
      </c>
      <c r="G21" s="561" t="s">
        <v>38</v>
      </c>
      <c r="H21" s="573">
        <v>4.3982695586700871E-2</v>
      </c>
      <c r="I21" s="571">
        <v>1</v>
      </c>
    </row>
    <row r="22" spans="2:9" outlineLevel="2">
      <c r="B22" s="383">
        <v>1</v>
      </c>
      <c r="C22" s="570" t="s">
        <v>15</v>
      </c>
      <c r="D22" s="502" t="s">
        <v>30</v>
      </c>
      <c r="E22" s="483" t="s">
        <v>18</v>
      </c>
      <c r="F22" s="502" t="s">
        <v>20</v>
      </c>
      <c r="G22" s="561" t="s">
        <v>39</v>
      </c>
      <c r="H22" s="573">
        <v>6.5974043380051306E-2</v>
      </c>
      <c r="I22" s="571">
        <v>1</v>
      </c>
    </row>
    <row r="23" spans="2:9" outlineLevel="2">
      <c r="B23" s="383">
        <v>1</v>
      </c>
      <c r="C23" s="570" t="s">
        <v>15</v>
      </c>
      <c r="D23" s="502" t="s">
        <v>30</v>
      </c>
      <c r="E23" s="483" t="s">
        <v>18</v>
      </c>
      <c r="F23" s="502" t="s">
        <v>20</v>
      </c>
      <c r="G23" s="561" t="s">
        <v>41</v>
      </c>
      <c r="H23" s="573">
        <v>6.5974043380051306E-2</v>
      </c>
      <c r="I23" s="571">
        <v>1</v>
      </c>
    </row>
    <row r="24" spans="2:9" outlineLevel="2">
      <c r="B24" s="383">
        <v>2</v>
      </c>
      <c r="C24" s="570" t="s">
        <v>15</v>
      </c>
      <c r="D24" s="502" t="s">
        <v>30</v>
      </c>
      <c r="E24" s="483" t="s">
        <v>18</v>
      </c>
      <c r="F24" s="502" t="s">
        <v>20</v>
      </c>
      <c r="G24" s="561" t="s">
        <v>37</v>
      </c>
      <c r="H24" s="573">
        <v>4.3982695586700871E-2</v>
      </c>
      <c r="I24" s="571">
        <v>1</v>
      </c>
    </row>
    <row r="25" spans="2:9" outlineLevel="2">
      <c r="B25" s="383">
        <v>2</v>
      </c>
      <c r="C25" s="570" t="s">
        <v>15</v>
      </c>
      <c r="D25" s="502" t="s">
        <v>30</v>
      </c>
      <c r="E25" s="483" t="s">
        <v>18</v>
      </c>
      <c r="F25" s="502" t="s">
        <v>20</v>
      </c>
      <c r="G25" s="561" t="s">
        <v>40</v>
      </c>
      <c r="H25" s="573">
        <v>6.5974043380051306E-2</v>
      </c>
      <c r="I25" s="571">
        <v>1</v>
      </c>
    </row>
    <row r="26" spans="2:9" outlineLevel="2">
      <c r="B26" s="383">
        <v>2</v>
      </c>
      <c r="C26" s="570" t="s">
        <v>15</v>
      </c>
      <c r="D26" s="502" t="s">
        <v>30</v>
      </c>
      <c r="E26" s="483" t="s">
        <v>18</v>
      </c>
      <c r="F26" s="502" t="s">
        <v>20</v>
      </c>
      <c r="G26" s="561" t="s">
        <v>42</v>
      </c>
      <c r="H26" s="573">
        <v>6.5974043380051306E-2</v>
      </c>
      <c r="I26" s="571">
        <v>1</v>
      </c>
    </row>
    <row r="27" spans="2:9" outlineLevel="2">
      <c r="B27" s="383">
        <v>2</v>
      </c>
      <c r="C27" s="570" t="s">
        <v>15</v>
      </c>
      <c r="D27" s="502" t="s">
        <v>30</v>
      </c>
      <c r="E27" s="483" t="s">
        <v>18</v>
      </c>
      <c r="F27" s="502" t="s">
        <v>20</v>
      </c>
      <c r="G27" s="561" t="s">
        <v>43</v>
      </c>
      <c r="H27" s="573">
        <v>1.466089852890029E-2</v>
      </c>
      <c r="I27" s="571">
        <v>1</v>
      </c>
    </row>
    <row r="28" spans="2:9" outlineLevel="2">
      <c r="B28" s="383">
        <v>2</v>
      </c>
      <c r="C28" s="570" t="s">
        <v>15</v>
      </c>
      <c r="D28" s="502" t="s">
        <v>30</v>
      </c>
      <c r="E28" s="483" t="s">
        <v>18</v>
      </c>
      <c r="F28" s="502" t="s">
        <v>20</v>
      </c>
      <c r="G28" s="561" t="s">
        <v>44</v>
      </c>
      <c r="H28" s="573">
        <v>2.932179705780058E-2</v>
      </c>
      <c r="I28" s="571">
        <v>1</v>
      </c>
    </row>
    <row r="29" spans="2:9" outlineLevel="2">
      <c r="B29" s="383">
        <v>2</v>
      </c>
      <c r="C29" s="570" t="s">
        <v>15</v>
      </c>
      <c r="D29" s="502" t="s">
        <v>30</v>
      </c>
      <c r="E29" s="483" t="s">
        <v>18</v>
      </c>
      <c r="F29" s="502" t="s">
        <v>20</v>
      </c>
      <c r="G29" s="561" t="s">
        <v>46</v>
      </c>
      <c r="H29" s="573">
        <v>4.3982695586700871E-2</v>
      </c>
      <c r="I29" s="571">
        <v>1</v>
      </c>
    </row>
    <row r="30" spans="2:9" outlineLevel="2">
      <c r="B30" s="383">
        <v>2</v>
      </c>
      <c r="C30" s="570" t="s">
        <v>15</v>
      </c>
      <c r="D30" s="502" t="s">
        <v>30</v>
      </c>
      <c r="E30" s="483" t="s">
        <v>18</v>
      </c>
      <c r="F30" s="502" t="s">
        <v>20</v>
      </c>
      <c r="G30" s="561" t="s">
        <v>47</v>
      </c>
      <c r="H30" s="573">
        <v>0.05</v>
      </c>
      <c r="I30" s="571">
        <v>1</v>
      </c>
    </row>
    <row r="31" spans="2:9" outlineLevel="1">
      <c r="B31" s="383"/>
      <c r="C31" s="568" t="s">
        <v>84</v>
      </c>
      <c r="D31" s="500" t="s">
        <v>85</v>
      </c>
      <c r="E31" s="499" t="s">
        <v>18</v>
      </c>
      <c r="F31" s="500" t="s">
        <v>20</v>
      </c>
      <c r="G31" s="568" t="s">
        <v>1673</v>
      </c>
      <c r="H31" s="569">
        <f>SUM(H32:H39)</f>
        <v>3.3658999999999999</v>
      </c>
      <c r="I31" s="569">
        <f>SUM(I32:I39)</f>
        <v>8</v>
      </c>
    </row>
    <row r="32" spans="2:9" outlineLevel="2">
      <c r="B32" s="383">
        <v>1</v>
      </c>
      <c r="C32" s="570" t="s">
        <v>84</v>
      </c>
      <c r="D32" s="502" t="s">
        <v>85</v>
      </c>
      <c r="E32" s="483" t="s">
        <v>18</v>
      </c>
      <c r="F32" s="502" t="s">
        <v>20</v>
      </c>
      <c r="G32" s="570" t="s">
        <v>88</v>
      </c>
      <c r="H32" s="571">
        <v>0.17</v>
      </c>
      <c r="I32" s="571">
        <v>1</v>
      </c>
    </row>
    <row r="33" spans="1:10" outlineLevel="2">
      <c r="A33" s="383"/>
      <c r="B33" s="383">
        <v>1</v>
      </c>
      <c r="C33" s="570" t="s">
        <v>84</v>
      </c>
      <c r="D33" s="502" t="s">
        <v>85</v>
      </c>
      <c r="E33" s="483" t="s">
        <v>18</v>
      </c>
      <c r="F33" s="502" t="s">
        <v>20</v>
      </c>
      <c r="G33" s="570" t="s">
        <v>89</v>
      </c>
      <c r="H33" s="571">
        <v>0.17</v>
      </c>
      <c r="I33" s="571">
        <v>1</v>
      </c>
      <c r="J33" s="383"/>
    </row>
    <row r="34" spans="1:10" outlineLevel="2">
      <c r="A34" s="383"/>
      <c r="B34" s="383">
        <v>1</v>
      </c>
      <c r="C34" s="570" t="s">
        <v>84</v>
      </c>
      <c r="D34" s="502" t="s">
        <v>85</v>
      </c>
      <c r="E34" s="483" t="s">
        <v>18</v>
      </c>
      <c r="F34" s="502" t="s">
        <v>20</v>
      </c>
      <c r="G34" s="570" t="s">
        <v>90</v>
      </c>
      <c r="H34" s="571">
        <v>1.18</v>
      </c>
      <c r="I34" s="571">
        <v>1</v>
      </c>
      <c r="J34" s="383"/>
    </row>
    <row r="35" spans="1:10" outlineLevel="2">
      <c r="A35" s="383"/>
      <c r="B35" s="383">
        <v>1</v>
      </c>
      <c r="C35" s="570" t="s">
        <v>84</v>
      </c>
      <c r="D35" s="502" t="s">
        <v>85</v>
      </c>
      <c r="E35" s="483" t="s">
        <v>18</v>
      </c>
      <c r="F35" s="502" t="s">
        <v>20</v>
      </c>
      <c r="G35" s="570" t="s">
        <v>91</v>
      </c>
      <c r="H35" s="571">
        <v>1.0659000000000001</v>
      </c>
      <c r="I35" s="571">
        <v>1</v>
      </c>
      <c r="J35" s="383"/>
    </row>
    <row r="36" spans="1:10" outlineLevel="2">
      <c r="A36" s="383"/>
      <c r="B36" s="383">
        <v>1</v>
      </c>
      <c r="C36" s="570" t="s">
        <v>84</v>
      </c>
      <c r="D36" s="502" t="s">
        <v>85</v>
      </c>
      <c r="E36" s="483" t="s">
        <v>18</v>
      </c>
      <c r="F36" s="502" t="s">
        <v>20</v>
      </c>
      <c r="G36" s="570" t="s">
        <v>92</v>
      </c>
      <c r="H36" s="571">
        <v>0.45</v>
      </c>
      <c r="I36" s="571">
        <v>1</v>
      </c>
      <c r="J36" s="383"/>
    </row>
    <row r="37" spans="1:10" outlineLevel="2">
      <c r="A37" s="383"/>
      <c r="B37" s="383">
        <v>1</v>
      </c>
      <c r="C37" s="570" t="s">
        <v>84</v>
      </c>
      <c r="D37" s="502" t="s">
        <v>85</v>
      </c>
      <c r="E37" s="483" t="s">
        <v>18</v>
      </c>
      <c r="F37" s="502" t="s">
        <v>20</v>
      </c>
      <c r="G37" s="570" t="s">
        <v>93</v>
      </c>
      <c r="H37" s="571">
        <v>0.15</v>
      </c>
      <c r="I37" s="571">
        <v>1</v>
      </c>
      <c r="J37" s="383"/>
    </row>
    <row r="38" spans="1:10" outlineLevel="2">
      <c r="A38" s="383"/>
      <c r="B38" s="383">
        <v>1</v>
      </c>
      <c r="C38" s="570" t="s">
        <v>84</v>
      </c>
      <c r="D38" s="502" t="s">
        <v>85</v>
      </c>
      <c r="E38" s="483" t="s">
        <v>18</v>
      </c>
      <c r="F38" s="502" t="s">
        <v>20</v>
      </c>
      <c r="G38" s="570" t="s">
        <v>94</v>
      </c>
      <c r="H38" s="571">
        <v>0.15</v>
      </c>
      <c r="I38" s="571">
        <v>1</v>
      </c>
      <c r="J38" s="383"/>
    </row>
    <row r="39" spans="1:10" outlineLevel="2">
      <c r="A39" s="383"/>
      <c r="B39" s="383">
        <v>1</v>
      </c>
      <c r="C39" s="570" t="s">
        <v>84</v>
      </c>
      <c r="D39" s="502" t="s">
        <v>85</v>
      </c>
      <c r="E39" s="483" t="s">
        <v>18</v>
      </c>
      <c r="F39" s="502" t="s">
        <v>20</v>
      </c>
      <c r="G39" s="570" t="s">
        <v>95</v>
      </c>
      <c r="H39" s="571">
        <v>0.03</v>
      </c>
      <c r="I39" s="571">
        <v>1</v>
      </c>
      <c r="J39" s="383"/>
    </row>
    <row r="40" spans="1:10" outlineLevel="1">
      <c r="A40" s="383"/>
      <c r="B40" s="383"/>
      <c r="C40" s="568" t="s">
        <v>101</v>
      </c>
      <c r="D40" s="500" t="s">
        <v>102</v>
      </c>
      <c r="E40" s="499" t="s">
        <v>18</v>
      </c>
      <c r="F40" s="500" t="s">
        <v>20</v>
      </c>
      <c r="G40" s="568" t="s">
        <v>1674</v>
      </c>
      <c r="H40" s="569">
        <f>SUM(H41:H58)</f>
        <v>7.0838499999999991</v>
      </c>
      <c r="I40" s="569">
        <f>SUM(I41:I58)</f>
        <v>18</v>
      </c>
      <c r="J40" s="383"/>
    </row>
    <row r="41" spans="1:10" outlineLevel="2">
      <c r="A41" s="383"/>
      <c r="B41" s="383">
        <v>1</v>
      </c>
      <c r="C41" s="570" t="s">
        <v>101</v>
      </c>
      <c r="D41" s="502" t="s">
        <v>102</v>
      </c>
      <c r="E41" s="483" t="s">
        <v>18</v>
      </c>
      <c r="F41" s="502" t="s">
        <v>20</v>
      </c>
      <c r="G41" s="570" t="s">
        <v>104</v>
      </c>
      <c r="H41" s="571">
        <v>0.2</v>
      </c>
      <c r="I41" s="571">
        <v>1</v>
      </c>
      <c r="J41" s="383"/>
    </row>
    <row r="42" spans="1:10" outlineLevel="2">
      <c r="A42" s="383"/>
      <c r="B42" s="383">
        <v>1</v>
      </c>
      <c r="C42" s="570" t="s">
        <v>101</v>
      </c>
      <c r="D42" s="502" t="s">
        <v>102</v>
      </c>
      <c r="E42" s="483" t="s">
        <v>18</v>
      </c>
      <c r="F42" s="502" t="s">
        <v>20</v>
      </c>
      <c r="G42" s="570" t="s">
        <v>105</v>
      </c>
      <c r="H42" s="571">
        <v>0.41</v>
      </c>
      <c r="I42" s="571">
        <v>1</v>
      </c>
      <c r="J42" s="383"/>
    </row>
    <row r="43" spans="1:10" outlineLevel="2">
      <c r="A43" s="383"/>
      <c r="B43" s="383">
        <v>1</v>
      </c>
      <c r="C43" s="570" t="s">
        <v>101</v>
      </c>
      <c r="D43" s="502" t="s">
        <v>102</v>
      </c>
      <c r="E43" s="483" t="s">
        <v>18</v>
      </c>
      <c r="F43" s="502" t="s">
        <v>20</v>
      </c>
      <c r="G43" s="570" t="s">
        <v>106</v>
      </c>
      <c r="H43" s="571">
        <v>0.61</v>
      </c>
      <c r="I43" s="571">
        <v>1</v>
      </c>
      <c r="J43" s="383"/>
    </row>
    <row r="44" spans="1:10" outlineLevel="2">
      <c r="A44" s="383"/>
      <c r="B44" s="383">
        <v>1</v>
      </c>
      <c r="C44" s="570" t="s">
        <v>101</v>
      </c>
      <c r="D44" s="502" t="s">
        <v>102</v>
      </c>
      <c r="E44" s="483" t="s">
        <v>18</v>
      </c>
      <c r="F44" s="502" t="s">
        <v>20</v>
      </c>
      <c r="G44" s="570" t="s">
        <v>107</v>
      </c>
      <c r="H44" s="571">
        <v>0.82</v>
      </c>
      <c r="I44" s="571">
        <v>1</v>
      </c>
      <c r="J44" s="383"/>
    </row>
    <row r="45" spans="1:10" outlineLevel="2">
      <c r="A45" s="383"/>
      <c r="B45" s="383">
        <v>1</v>
      </c>
      <c r="C45" s="570" t="s">
        <v>101</v>
      </c>
      <c r="D45" s="502" t="s">
        <v>102</v>
      </c>
      <c r="E45" s="483" t="s">
        <v>18</v>
      </c>
      <c r="F45" s="502" t="s">
        <v>20</v>
      </c>
      <c r="G45" s="570" t="s">
        <v>108</v>
      </c>
      <c r="H45" s="571">
        <v>0.48</v>
      </c>
      <c r="I45" s="571">
        <v>1</v>
      </c>
      <c r="J45" s="383"/>
    </row>
    <row r="46" spans="1:10" outlineLevel="2">
      <c r="A46" s="383"/>
      <c r="B46" s="383">
        <v>1</v>
      </c>
      <c r="C46" s="570" t="s">
        <v>101</v>
      </c>
      <c r="D46" s="502" t="s">
        <v>102</v>
      </c>
      <c r="E46" s="483" t="s">
        <v>18</v>
      </c>
      <c r="F46" s="502" t="s">
        <v>20</v>
      </c>
      <c r="G46" s="570" t="s">
        <v>109</v>
      </c>
      <c r="H46" s="571">
        <v>0.9638500000000001</v>
      </c>
      <c r="I46" s="571">
        <v>1</v>
      </c>
      <c r="J46" s="383"/>
    </row>
    <row r="47" spans="1:10" outlineLevel="2">
      <c r="A47" s="383"/>
      <c r="B47" s="383">
        <v>1</v>
      </c>
      <c r="C47" s="570" t="s">
        <v>101</v>
      </c>
      <c r="D47" s="502" t="s">
        <v>102</v>
      </c>
      <c r="E47" s="483" t="s">
        <v>18</v>
      </c>
      <c r="F47" s="502" t="s">
        <v>20</v>
      </c>
      <c r="G47" s="570" t="s">
        <v>111</v>
      </c>
      <c r="H47" s="571">
        <v>0.52</v>
      </c>
      <c r="I47" s="571">
        <v>1</v>
      </c>
      <c r="J47" s="383"/>
    </row>
    <row r="48" spans="1:10" outlineLevel="2">
      <c r="A48" s="383"/>
      <c r="B48" s="383">
        <v>1</v>
      </c>
      <c r="C48" s="570" t="s">
        <v>101</v>
      </c>
      <c r="D48" s="502" t="s">
        <v>102</v>
      </c>
      <c r="E48" s="483" t="s">
        <v>18</v>
      </c>
      <c r="F48" s="502" t="s">
        <v>20</v>
      </c>
      <c r="G48" s="570" t="s">
        <v>112</v>
      </c>
      <c r="H48" s="571">
        <v>0.52</v>
      </c>
      <c r="I48" s="571">
        <v>1</v>
      </c>
      <c r="J48" s="383"/>
    </row>
    <row r="49" spans="1:10" outlineLevel="2">
      <c r="A49" s="383"/>
      <c r="B49" s="383">
        <v>1</v>
      </c>
      <c r="C49" s="570" t="s">
        <v>101</v>
      </c>
      <c r="D49" s="502" t="s">
        <v>102</v>
      </c>
      <c r="E49" s="483" t="s">
        <v>18</v>
      </c>
      <c r="F49" s="502" t="s">
        <v>20</v>
      </c>
      <c r="G49" s="570" t="s">
        <v>69</v>
      </c>
      <c r="H49" s="571">
        <v>0.17</v>
      </c>
      <c r="I49" s="571">
        <v>1</v>
      </c>
      <c r="J49" s="383"/>
    </row>
    <row r="50" spans="1:10" outlineLevel="2">
      <c r="A50" s="383"/>
      <c r="B50" s="383">
        <v>1</v>
      </c>
      <c r="C50" s="570" t="s">
        <v>101</v>
      </c>
      <c r="D50" s="502" t="s">
        <v>102</v>
      </c>
      <c r="E50" s="483" t="s">
        <v>18</v>
      </c>
      <c r="F50" s="502" t="s">
        <v>20</v>
      </c>
      <c r="G50" s="570" t="s">
        <v>64</v>
      </c>
      <c r="H50" s="571">
        <v>0.03</v>
      </c>
      <c r="I50" s="571">
        <v>1</v>
      </c>
      <c r="J50" s="383"/>
    </row>
    <row r="51" spans="1:10" outlineLevel="2">
      <c r="A51" s="383"/>
      <c r="B51" s="383">
        <v>1</v>
      </c>
      <c r="C51" s="570" t="s">
        <v>101</v>
      </c>
      <c r="D51" s="502" t="s">
        <v>102</v>
      </c>
      <c r="E51" s="483" t="s">
        <v>18</v>
      </c>
      <c r="F51" s="502" t="s">
        <v>20</v>
      </c>
      <c r="G51" s="570" t="s">
        <v>97</v>
      </c>
      <c r="H51" s="571">
        <v>0.03</v>
      </c>
      <c r="I51" s="571">
        <v>1</v>
      </c>
      <c r="J51" s="383"/>
    </row>
    <row r="52" spans="1:10" outlineLevel="2">
      <c r="A52" s="383"/>
      <c r="B52" s="383">
        <v>1</v>
      </c>
      <c r="C52" s="570" t="s">
        <v>101</v>
      </c>
      <c r="D52" s="502" t="s">
        <v>102</v>
      </c>
      <c r="E52" s="483" t="s">
        <v>18</v>
      </c>
      <c r="F52" s="502" t="s">
        <v>20</v>
      </c>
      <c r="G52" s="570" t="s">
        <v>117</v>
      </c>
      <c r="H52" s="571">
        <v>1.4999999999999999E-2</v>
      </c>
      <c r="I52" s="571">
        <v>1</v>
      </c>
      <c r="J52" s="383"/>
    </row>
    <row r="53" spans="1:10" outlineLevel="2">
      <c r="A53" s="383"/>
      <c r="B53" s="383">
        <v>1</v>
      </c>
      <c r="C53" s="570" t="s">
        <v>101</v>
      </c>
      <c r="D53" s="502" t="s">
        <v>102</v>
      </c>
      <c r="E53" s="483" t="s">
        <v>18</v>
      </c>
      <c r="F53" s="502" t="s">
        <v>20</v>
      </c>
      <c r="G53" s="570" t="s">
        <v>118</v>
      </c>
      <c r="H53" s="571">
        <v>1.4999999999999999E-2</v>
      </c>
      <c r="I53" s="571">
        <v>1</v>
      </c>
      <c r="J53" s="383"/>
    </row>
    <row r="54" spans="1:10" outlineLevel="2">
      <c r="A54" s="383"/>
      <c r="B54" s="383">
        <v>1</v>
      </c>
      <c r="C54" s="570" t="s">
        <v>101</v>
      </c>
      <c r="D54" s="502" t="s">
        <v>102</v>
      </c>
      <c r="E54" s="483" t="s">
        <v>18</v>
      </c>
      <c r="F54" s="502" t="s">
        <v>20</v>
      </c>
      <c r="G54" s="570" t="s">
        <v>96</v>
      </c>
      <c r="H54" s="571">
        <v>0.1</v>
      </c>
      <c r="I54" s="571">
        <v>1</v>
      </c>
      <c r="J54" s="383"/>
    </row>
    <row r="55" spans="1:10" outlineLevel="2">
      <c r="A55" s="383"/>
      <c r="B55" s="383">
        <v>2</v>
      </c>
      <c r="C55" s="570" t="s">
        <v>101</v>
      </c>
      <c r="D55" s="502" t="s">
        <v>102</v>
      </c>
      <c r="E55" s="483" t="s">
        <v>18</v>
      </c>
      <c r="F55" s="502" t="s">
        <v>20</v>
      </c>
      <c r="G55" s="570" t="s">
        <v>110</v>
      </c>
      <c r="H55" s="571">
        <v>0.52</v>
      </c>
      <c r="I55" s="571">
        <v>1</v>
      </c>
      <c r="J55" s="383"/>
    </row>
    <row r="56" spans="1:10" outlineLevel="2">
      <c r="A56" s="383"/>
      <c r="B56" s="383">
        <v>2</v>
      </c>
      <c r="C56" s="570" t="s">
        <v>101</v>
      </c>
      <c r="D56" s="502" t="s">
        <v>102</v>
      </c>
      <c r="E56" s="483" t="s">
        <v>18</v>
      </c>
      <c r="F56" s="502" t="s">
        <v>20</v>
      </c>
      <c r="G56" s="570" t="s">
        <v>113</v>
      </c>
      <c r="H56" s="571">
        <v>0.48</v>
      </c>
      <c r="I56" s="571">
        <v>1</v>
      </c>
      <c r="J56" s="383"/>
    </row>
    <row r="57" spans="1:10" outlineLevel="2">
      <c r="A57" s="383"/>
      <c r="B57" s="383">
        <v>2</v>
      </c>
      <c r="C57" s="570" t="s">
        <v>101</v>
      </c>
      <c r="D57" s="502" t="s">
        <v>102</v>
      </c>
      <c r="E57" s="483" t="s">
        <v>18</v>
      </c>
      <c r="F57" s="502" t="s">
        <v>20</v>
      </c>
      <c r="G57" s="570" t="s">
        <v>114</v>
      </c>
      <c r="H57" s="571">
        <v>0.24</v>
      </c>
      <c r="I57" s="571">
        <v>1</v>
      </c>
      <c r="J57" s="383"/>
    </row>
    <row r="58" spans="1:10" outlineLevel="2">
      <c r="A58" s="383"/>
      <c r="B58" s="383">
        <v>2</v>
      </c>
      <c r="C58" s="570" t="s">
        <v>101</v>
      </c>
      <c r="D58" s="502" t="s">
        <v>102</v>
      </c>
      <c r="E58" s="483" t="s">
        <v>18</v>
      </c>
      <c r="F58" s="502" t="s">
        <v>20</v>
      </c>
      <c r="G58" s="570" t="s">
        <v>115</v>
      </c>
      <c r="H58" s="571">
        <v>0.96</v>
      </c>
      <c r="I58" s="571">
        <v>1</v>
      </c>
      <c r="J58" s="383"/>
    </row>
    <row r="59" spans="1:10" outlineLevel="1">
      <c r="A59" s="383"/>
      <c r="B59" s="383"/>
      <c r="C59" s="568" t="s">
        <v>510</v>
      </c>
      <c r="D59" s="500" t="s">
        <v>510</v>
      </c>
      <c r="E59" s="499" t="s">
        <v>18</v>
      </c>
      <c r="F59" s="500" t="s">
        <v>20</v>
      </c>
      <c r="G59" s="568" t="s">
        <v>1675</v>
      </c>
      <c r="H59" s="569">
        <v>0</v>
      </c>
      <c r="I59" s="569">
        <v>0</v>
      </c>
      <c r="J59" s="383"/>
    </row>
    <row r="60" spans="1:10" ht="3" customHeight="1">
      <c r="A60" s="382"/>
      <c r="B60" s="382"/>
      <c r="C60" s="382"/>
      <c r="D60" s="382"/>
      <c r="E60" s="382"/>
      <c r="F60" s="382"/>
      <c r="G60" s="561"/>
      <c r="H60" s="567"/>
      <c r="I60" s="567"/>
      <c r="J60" s="382"/>
    </row>
    <row r="61" spans="1:10">
      <c r="A61" s="383"/>
      <c r="B61" s="383"/>
      <c r="C61" s="383"/>
      <c r="D61" s="383"/>
      <c r="E61" s="383"/>
      <c r="F61" s="383"/>
      <c r="G61" s="584"/>
      <c r="H61" s="383"/>
      <c r="I61" s="383"/>
      <c r="J61" s="38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8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3.7109375" style="383" bestFit="1" customWidth="1"/>
    <col min="6" max="6" width="66.28515625" style="584" bestFit="1" customWidth="1"/>
    <col min="7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3" s="434" customFormat="1" ht="17.45">
      <c r="A1" s="386"/>
      <c r="B1" s="436" t="s">
        <v>1659</v>
      </c>
      <c r="C1" s="436"/>
      <c r="D1" s="436"/>
      <c r="E1" s="436"/>
      <c r="F1" s="562"/>
      <c r="G1" s="437" t="s">
        <v>1</v>
      </c>
      <c r="H1" s="437" t="s">
        <v>6</v>
      </c>
      <c r="I1" s="386"/>
      <c r="L1" s="474"/>
    </row>
    <row r="2" spans="1:23" ht="3" customHeight="1">
      <c r="A2" s="382"/>
      <c r="B2" s="382"/>
      <c r="C2" s="382"/>
      <c r="D2" s="382"/>
      <c r="E2" s="382"/>
      <c r="F2" s="561"/>
      <c r="G2" s="382"/>
      <c r="H2" s="382"/>
      <c r="I2" s="382"/>
    </row>
    <row r="3" spans="1:23" s="385" customFormat="1" ht="15">
      <c r="A3" s="384"/>
      <c r="B3" s="435" t="s">
        <v>8</v>
      </c>
      <c r="C3" s="435" t="s">
        <v>9</v>
      </c>
      <c r="D3" s="435" t="s">
        <v>10</v>
      </c>
      <c r="E3" s="435" t="s">
        <v>11</v>
      </c>
      <c r="F3" s="452" t="s">
        <v>12</v>
      </c>
      <c r="G3" s="453">
        <f>SUM(G5)</f>
        <v>23.432420772299601</v>
      </c>
      <c r="H3" s="453">
        <f>SUM(H5)</f>
        <v>24</v>
      </c>
      <c r="I3" s="384"/>
      <c r="O3" s="509"/>
      <c r="U3" s="383"/>
      <c r="V3" s="383"/>
      <c r="W3" s="383"/>
    </row>
    <row r="4" spans="1:23" ht="3" customHeight="1">
      <c r="A4" s="382"/>
      <c r="B4" s="382"/>
      <c r="C4" s="382"/>
      <c r="D4" s="382"/>
      <c r="E4" s="382"/>
      <c r="F4" s="561"/>
      <c r="G4" s="382"/>
      <c r="H4" s="382"/>
      <c r="I4" s="382"/>
    </row>
    <row r="5" spans="1:23" s="434" customFormat="1" ht="15.6">
      <c r="A5" s="386"/>
      <c r="B5" s="563" t="s">
        <v>72</v>
      </c>
      <c r="C5" s="564"/>
      <c r="D5" s="564"/>
      <c r="E5" s="564"/>
      <c r="F5" s="565"/>
      <c r="G5" s="566">
        <f>SUM(G7,G11,G15,G19,G23,G30,G34)</f>
        <v>23.432420772299601</v>
      </c>
      <c r="H5" s="566">
        <f>SUM(H7,H11,H15,H19,H23,H30,H34)</f>
        <v>24</v>
      </c>
      <c r="I5" s="386"/>
      <c r="L5" s="474"/>
    </row>
    <row r="6" spans="1:23" ht="3" customHeight="1" outlineLevel="1">
      <c r="A6" s="382"/>
      <c r="B6" s="382"/>
      <c r="C6" s="382"/>
      <c r="D6" s="382"/>
      <c r="E6" s="382"/>
      <c r="F6" s="561"/>
      <c r="G6" s="567"/>
      <c r="H6" s="567"/>
      <c r="I6" s="382"/>
    </row>
    <row r="7" spans="1:23" outlineLevel="1">
      <c r="B7" s="568" t="s">
        <v>70</v>
      </c>
      <c r="C7" s="500" t="s">
        <v>71</v>
      </c>
      <c r="D7" s="499" t="s">
        <v>18</v>
      </c>
      <c r="E7" s="500" t="s">
        <v>72</v>
      </c>
      <c r="F7" s="568" t="s">
        <v>1676</v>
      </c>
      <c r="G7" s="569">
        <v>0.3642147722995997</v>
      </c>
      <c r="H7" s="569">
        <v>3</v>
      </c>
    </row>
    <row r="8" spans="1:23" outlineLevel="2">
      <c r="B8" s="570" t="s">
        <v>70</v>
      </c>
      <c r="C8" s="502" t="s">
        <v>71</v>
      </c>
      <c r="D8" s="483" t="s">
        <v>18</v>
      </c>
      <c r="E8" s="502" t="s">
        <v>72</v>
      </c>
      <c r="F8" s="570" t="s">
        <v>73</v>
      </c>
      <c r="G8" s="573">
        <v>0.13658053961234987</v>
      </c>
      <c r="H8" s="571">
        <v>1</v>
      </c>
    </row>
    <row r="9" spans="1:23" outlineLevel="2">
      <c r="B9" s="570" t="s">
        <v>70</v>
      </c>
      <c r="C9" s="502" t="s">
        <v>71</v>
      </c>
      <c r="D9" s="483" t="s">
        <v>18</v>
      </c>
      <c r="E9" s="502" t="s">
        <v>72</v>
      </c>
      <c r="F9" s="570" t="s">
        <v>24</v>
      </c>
      <c r="G9" s="573">
        <v>0.18210738614979985</v>
      </c>
      <c r="H9" s="571">
        <v>1</v>
      </c>
    </row>
    <row r="10" spans="1:23" outlineLevel="2">
      <c r="B10" s="570" t="s">
        <v>70</v>
      </c>
      <c r="C10" s="502" t="s">
        <v>71</v>
      </c>
      <c r="D10" s="483" t="s">
        <v>18</v>
      </c>
      <c r="E10" s="502" t="s">
        <v>72</v>
      </c>
      <c r="F10" s="570" t="s">
        <v>74</v>
      </c>
      <c r="G10" s="573">
        <v>4.5526846537449962E-2</v>
      </c>
      <c r="H10" s="571">
        <v>1</v>
      </c>
    </row>
    <row r="11" spans="1:23" outlineLevel="1">
      <c r="B11" s="568" t="s">
        <v>516</v>
      </c>
      <c r="C11" s="500" t="s">
        <v>517</v>
      </c>
      <c r="D11" s="499" t="s">
        <v>18</v>
      </c>
      <c r="E11" s="500" t="s">
        <v>72</v>
      </c>
      <c r="F11" s="568" t="s">
        <v>1677</v>
      </c>
      <c r="G11" s="569">
        <v>1.6099999999999999</v>
      </c>
      <c r="H11" s="569">
        <v>3</v>
      </c>
    </row>
    <row r="12" spans="1:23" outlineLevel="2">
      <c r="B12" s="570" t="s">
        <v>516</v>
      </c>
      <c r="C12" s="502" t="s">
        <v>517</v>
      </c>
      <c r="D12" s="483" t="s">
        <v>18</v>
      </c>
      <c r="E12" s="502" t="s">
        <v>72</v>
      </c>
      <c r="F12" s="570" t="s">
        <v>278</v>
      </c>
      <c r="G12" s="573">
        <v>0.46</v>
      </c>
      <c r="H12" s="571">
        <v>1</v>
      </c>
    </row>
    <row r="13" spans="1:23" outlineLevel="2">
      <c r="B13" s="570" t="s">
        <v>516</v>
      </c>
      <c r="C13" s="502" t="s">
        <v>517</v>
      </c>
      <c r="D13" s="483" t="s">
        <v>18</v>
      </c>
      <c r="E13" s="502" t="s">
        <v>72</v>
      </c>
      <c r="F13" s="570" t="s">
        <v>279</v>
      </c>
      <c r="G13" s="573">
        <v>0.69</v>
      </c>
      <c r="H13" s="571">
        <v>1</v>
      </c>
    </row>
    <row r="14" spans="1:23" outlineLevel="2">
      <c r="B14" s="570" t="s">
        <v>516</v>
      </c>
      <c r="C14" s="502" t="s">
        <v>517</v>
      </c>
      <c r="D14" s="483" t="s">
        <v>18</v>
      </c>
      <c r="E14" s="502" t="s">
        <v>72</v>
      </c>
      <c r="F14" s="570" t="s">
        <v>33</v>
      </c>
      <c r="G14" s="573">
        <v>0.46</v>
      </c>
      <c r="H14" s="571">
        <v>1</v>
      </c>
    </row>
    <row r="15" spans="1:23" outlineLevel="1">
      <c r="B15" s="568" t="s">
        <v>349</v>
      </c>
      <c r="C15" s="500" t="s">
        <v>30</v>
      </c>
      <c r="D15" s="499" t="s">
        <v>18</v>
      </c>
      <c r="E15" s="500" t="s">
        <v>72</v>
      </c>
      <c r="F15" s="568" t="s">
        <v>1678</v>
      </c>
      <c r="G15" s="569">
        <v>0.61820000000000008</v>
      </c>
      <c r="H15" s="569">
        <v>3</v>
      </c>
    </row>
    <row r="16" spans="1:23" outlineLevel="2">
      <c r="B16" s="570" t="s">
        <v>349</v>
      </c>
      <c r="C16" s="502" t="s">
        <v>30</v>
      </c>
      <c r="D16" s="483" t="s">
        <v>18</v>
      </c>
      <c r="E16" s="502" t="s">
        <v>72</v>
      </c>
      <c r="F16" s="570" t="s">
        <v>334</v>
      </c>
      <c r="G16" s="573">
        <v>0.24728000000000006</v>
      </c>
      <c r="H16" s="571">
        <v>1</v>
      </c>
    </row>
    <row r="17" spans="2:8" outlineLevel="2">
      <c r="B17" s="570" t="s">
        <v>349</v>
      </c>
      <c r="C17" s="502" t="s">
        <v>30</v>
      </c>
      <c r="D17" s="483" t="s">
        <v>18</v>
      </c>
      <c r="E17" s="502" t="s">
        <v>72</v>
      </c>
      <c r="F17" s="570" t="s">
        <v>32</v>
      </c>
      <c r="G17" s="573">
        <v>0.24728000000000006</v>
      </c>
      <c r="H17" s="571">
        <v>1</v>
      </c>
    </row>
    <row r="18" spans="2:8" outlineLevel="2">
      <c r="B18" s="570" t="s">
        <v>349</v>
      </c>
      <c r="C18" s="502" t="s">
        <v>30</v>
      </c>
      <c r="D18" s="483" t="s">
        <v>18</v>
      </c>
      <c r="E18" s="502" t="s">
        <v>72</v>
      </c>
      <c r="F18" s="570" t="s">
        <v>33</v>
      </c>
      <c r="G18" s="573">
        <v>0.12364000000000003</v>
      </c>
      <c r="H18" s="571">
        <v>1</v>
      </c>
    </row>
    <row r="19" spans="2:8" outlineLevel="1">
      <c r="B19" s="568" t="s">
        <v>447</v>
      </c>
      <c r="C19" s="500" t="s">
        <v>447</v>
      </c>
      <c r="D19" s="499" t="s">
        <v>18</v>
      </c>
      <c r="E19" s="500" t="s">
        <v>72</v>
      </c>
      <c r="F19" s="568" t="s">
        <v>1679</v>
      </c>
      <c r="G19" s="569">
        <v>3.6843765000000004</v>
      </c>
      <c r="H19" s="569">
        <v>3</v>
      </c>
    </row>
    <row r="20" spans="2:8" outlineLevel="2">
      <c r="B20" s="570" t="s">
        <v>447</v>
      </c>
      <c r="C20" s="502" t="s">
        <v>447</v>
      </c>
      <c r="D20" s="483" t="s">
        <v>18</v>
      </c>
      <c r="E20" s="502" t="s">
        <v>72</v>
      </c>
      <c r="F20" s="570" t="s">
        <v>334</v>
      </c>
      <c r="G20" s="576">
        <v>1.2281255000000002</v>
      </c>
      <c r="H20" s="571">
        <v>1</v>
      </c>
    </row>
    <row r="21" spans="2:8" outlineLevel="2">
      <c r="B21" s="570" t="s">
        <v>447</v>
      </c>
      <c r="C21" s="502" t="s">
        <v>447</v>
      </c>
      <c r="D21" s="483" t="s">
        <v>18</v>
      </c>
      <c r="E21" s="502" t="s">
        <v>72</v>
      </c>
      <c r="F21" s="570" t="s">
        <v>32</v>
      </c>
      <c r="G21" s="576">
        <v>1.2281255000000002</v>
      </c>
      <c r="H21" s="571">
        <v>1</v>
      </c>
    </row>
    <row r="22" spans="2:8" outlineLevel="2">
      <c r="B22" s="570" t="s">
        <v>447</v>
      </c>
      <c r="C22" s="502" t="s">
        <v>447</v>
      </c>
      <c r="D22" s="483" t="s">
        <v>18</v>
      </c>
      <c r="E22" s="502" t="s">
        <v>72</v>
      </c>
      <c r="F22" s="570" t="s">
        <v>33</v>
      </c>
      <c r="G22" s="576">
        <v>1.2281255</v>
      </c>
      <c r="H22" s="571">
        <v>1</v>
      </c>
    </row>
    <row r="23" spans="2:8" outlineLevel="1">
      <c r="B23" s="568" t="s">
        <v>319</v>
      </c>
      <c r="C23" s="500" t="s">
        <v>319</v>
      </c>
      <c r="D23" s="499" t="s">
        <v>18</v>
      </c>
      <c r="E23" s="500" t="s">
        <v>72</v>
      </c>
      <c r="F23" s="568" t="s">
        <v>1680</v>
      </c>
      <c r="G23" s="569">
        <v>2.7524999999999999</v>
      </c>
      <c r="H23" s="569">
        <v>6</v>
      </c>
    </row>
    <row r="24" spans="2:8" outlineLevel="2">
      <c r="B24" s="570" t="s">
        <v>319</v>
      </c>
      <c r="C24" s="502" t="s">
        <v>319</v>
      </c>
      <c r="D24" s="483" t="s">
        <v>202</v>
      </c>
      <c r="E24" s="502" t="s">
        <v>72</v>
      </c>
      <c r="F24" s="570" t="s">
        <v>453</v>
      </c>
      <c r="G24" s="573">
        <v>0.33750000000000002</v>
      </c>
      <c r="H24" s="571">
        <v>1</v>
      </c>
    </row>
    <row r="25" spans="2:8" outlineLevel="2">
      <c r="B25" s="570" t="s">
        <v>319</v>
      </c>
      <c r="C25" s="502" t="s">
        <v>319</v>
      </c>
      <c r="D25" s="483" t="s">
        <v>202</v>
      </c>
      <c r="E25" s="502" t="s">
        <v>72</v>
      </c>
      <c r="F25" s="570" t="s">
        <v>32</v>
      </c>
      <c r="G25" s="573">
        <v>0.58000000000000007</v>
      </c>
      <c r="H25" s="571">
        <v>1</v>
      </c>
    </row>
    <row r="26" spans="2:8" outlineLevel="2">
      <c r="B26" s="570" t="s">
        <v>319</v>
      </c>
      <c r="C26" s="502" t="s">
        <v>319</v>
      </c>
      <c r="D26" s="483" t="s">
        <v>202</v>
      </c>
      <c r="E26" s="502" t="s">
        <v>72</v>
      </c>
      <c r="F26" s="570" t="s">
        <v>454</v>
      </c>
      <c r="G26" s="573">
        <v>0.58000000000000007</v>
      </c>
      <c r="H26" s="571">
        <v>1</v>
      </c>
    </row>
    <row r="27" spans="2:8" outlineLevel="2">
      <c r="B27" s="570" t="s">
        <v>319</v>
      </c>
      <c r="C27" s="502" t="s">
        <v>319</v>
      </c>
      <c r="D27" s="483" t="s">
        <v>202</v>
      </c>
      <c r="E27" s="502" t="s">
        <v>72</v>
      </c>
      <c r="F27" s="570" t="s">
        <v>455</v>
      </c>
      <c r="G27" s="573">
        <v>0.58000000000000007</v>
      </c>
      <c r="H27" s="571">
        <v>1</v>
      </c>
    </row>
    <row r="28" spans="2:8" outlineLevel="2">
      <c r="B28" s="570" t="s">
        <v>319</v>
      </c>
      <c r="C28" s="502" t="s">
        <v>319</v>
      </c>
      <c r="D28" s="483" t="s">
        <v>202</v>
      </c>
      <c r="E28" s="502" t="s">
        <v>72</v>
      </c>
      <c r="F28" s="570" t="s">
        <v>335</v>
      </c>
      <c r="G28" s="573">
        <v>0.33750000000000002</v>
      </c>
      <c r="H28" s="571">
        <v>1</v>
      </c>
    </row>
    <row r="29" spans="2:8" outlineLevel="2">
      <c r="B29" s="570" t="s">
        <v>319</v>
      </c>
      <c r="C29" s="502" t="s">
        <v>319</v>
      </c>
      <c r="D29" s="483" t="s">
        <v>202</v>
      </c>
      <c r="E29" s="502" t="s">
        <v>72</v>
      </c>
      <c r="F29" s="570" t="s">
        <v>456</v>
      </c>
      <c r="G29" s="573">
        <v>0.33750000000000002</v>
      </c>
      <c r="H29" s="571">
        <v>1</v>
      </c>
    </row>
    <row r="30" spans="2:8" outlineLevel="1">
      <c r="B30" s="568" t="s">
        <v>440</v>
      </c>
      <c r="C30" s="500" t="s">
        <v>440</v>
      </c>
      <c r="D30" s="499" t="s">
        <v>18</v>
      </c>
      <c r="E30" s="500" t="s">
        <v>72</v>
      </c>
      <c r="F30" s="568" t="s">
        <v>1681</v>
      </c>
      <c r="G30" s="569">
        <v>11.053129500000001</v>
      </c>
      <c r="H30" s="569">
        <v>3</v>
      </c>
    </row>
    <row r="31" spans="2:8" outlineLevel="2">
      <c r="B31" s="570" t="s">
        <v>440</v>
      </c>
      <c r="C31" s="502" t="s">
        <v>440</v>
      </c>
      <c r="D31" s="483" t="s">
        <v>18</v>
      </c>
      <c r="E31" s="502" t="s">
        <v>72</v>
      </c>
      <c r="F31" s="570" t="s">
        <v>334</v>
      </c>
      <c r="G31" s="576">
        <v>3.6843765000000008</v>
      </c>
      <c r="H31" s="571">
        <v>1</v>
      </c>
    </row>
    <row r="32" spans="2:8" outlineLevel="2">
      <c r="B32" s="570" t="s">
        <v>440</v>
      </c>
      <c r="C32" s="502" t="s">
        <v>440</v>
      </c>
      <c r="D32" s="483" t="s">
        <v>18</v>
      </c>
      <c r="E32" s="502" t="s">
        <v>72</v>
      </c>
      <c r="F32" s="570" t="s">
        <v>32</v>
      </c>
      <c r="G32" s="576">
        <v>3.6843765000000008</v>
      </c>
      <c r="H32" s="571">
        <v>1</v>
      </c>
    </row>
    <row r="33" spans="1:9" outlineLevel="2">
      <c r="B33" s="570" t="s">
        <v>440</v>
      </c>
      <c r="C33" s="502" t="s">
        <v>440</v>
      </c>
      <c r="D33" s="483" t="s">
        <v>18</v>
      </c>
      <c r="E33" s="502" t="s">
        <v>72</v>
      </c>
      <c r="F33" s="570" t="s">
        <v>33</v>
      </c>
      <c r="G33" s="576">
        <v>3.6843764999999999</v>
      </c>
      <c r="H33" s="571">
        <v>1</v>
      </c>
    </row>
    <row r="34" spans="1:9" outlineLevel="1">
      <c r="B34" s="568" t="s">
        <v>536</v>
      </c>
      <c r="C34" s="500" t="s">
        <v>537</v>
      </c>
      <c r="D34" s="499" t="s">
        <v>18</v>
      </c>
      <c r="E34" s="500" t="s">
        <v>72</v>
      </c>
      <c r="F34" s="568" t="s">
        <v>1682</v>
      </c>
      <c r="G34" s="569">
        <v>3.35</v>
      </c>
      <c r="H34" s="569">
        <v>3</v>
      </c>
    </row>
    <row r="35" spans="1:9" outlineLevel="2">
      <c r="B35" s="570" t="s">
        <v>536</v>
      </c>
      <c r="C35" s="502" t="s">
        <v>537</v>
      </c>
      <c r="D35" s="483" t="s">
        <v>18</v>
      </c>
      <c r="E35" s="502" t="s">
        <v>72</v>
      </c>
      <c r="F35" s="570" t="s">
        <v>540</v>
      </c>
      <c r="G35" s="573">
        <v>1.34</v>
      </c>
      <c r="H35" s="571">
        <v>1</v>
      </c>
    </row>
    <row r="36" spans="1:9" outlineLevel="2">
      <c r="B36" s="570" t="s">
        <v>536</v>
      </c>
      <c r="C36" s="502" t="s">
        <v>537</v>
      </c>
      <c r="D36" s="483" t="s">
        <v>18</v>
      </c>
      <c r="E36" s="502" t="s">
        <v>72</v>
      </c>
      <c r="F36" s="570" t="s">
        <v>353</v>
      </c>
      <c r="G36" s="573">
        <v>1.34</v>
      </c>
      <c r="H36" s="571">
        <v>1</v>
      </c>
    </row>
    <row r="37" spans="1:9" outlineLevel="2">
      <c r="B37" s="570" t="s">
        <v>536</v>
      </c>
      <c r="C37" s="502" t="s">
        <v>537</v>
      </c>
      <c r="D37" s="483" t="s">
        <v>18</v>
      </c>
      <c r="E37" s="502" t="s">
        <v>72</v>
      </c>
      <c r="F37" s="570" t="s">
        <v>33</v>
      </c>
      <c r="G37" s="573">
        <v>0.67</v>
      </c>
      <c r="H37" s="571">
        <v>1</v>
      </c>
    </row>
    <row r="38" spans="1:9" ht="3" customHeight="1">
      <c r="A38" s="382"/>
      <c r="B38" s="382"/>
      <c r="C38" s="382"/>
      <c r="D38" s="382"/>
      <c r="E38" s="382"/>
      <c r="F38" s="561"/>
      <c r="G38" s="567"/>
      <c r="H38" s="567"/>
      <c r="I38" s="382"/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1:W56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3.7109375" style="383" bestFit="1" customWidth="1"/>
    <col min="6" max="6" width="47.28515625" style="584" bestFit="1" customWidth="1"/>
    <col min="7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3" ht="17.100000000000001" customHeight="1">
      <c r="A1" s="382"/>
      <c r="B1" s="382"/>
      <c r="C1" s="382"/>
      <c r="D1" s="382"/>
      <c r="E1" s="382"/>
      <c r="F1" s="561"/>
      <c r="G1" s="382"/>
      <c r="H1" s="382"/>
      <c r="I1" s="382"/>
    </row>
    <row r="2" spans="1:23" s="434" customFormat="1" ht="17.45">
      <c r="A2" s="386"/>
      <c r="B2" s="436" t="s">
        <v>1659</v>
      </c>
      <c r="C2" s="436"/>
      <c r="D2" s="436"/>
      <c r="E2" s="436"/>
      <c r="F2" s="562"/>
      <c r="G2" s="437" t="s">
        <v>1</v>
      </c>
      <c r="H2" s="437" t="s">
        <v>6</v>
      </c>
      <c r="I2" s="386"/>
      <c r="L2" s="474"/>
    </row>
    <row r="3" spans="1:23" ht="3" customHeight="1">
      <c r="A3" s="382"/>
      <c r="B3" s="382"/>
      <c r="C3" s="382"/>
      <c r="D3" s="382"/>
      <c r="E3" s="382"/>
      <c r="F3" s="561"/>
      <c r="G3" s="382"/>
      <c r="H3" s="382"/>
      <c r="I3" s="382"/>
    </row>
    <row r="4" spans="1:23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453">
        <f>SUM(G6)</f>
        <v>10.209466636198616</v>
      </c>
      <c r="H4" s="453">
        <f>SUM(H6)</f>
        <v>35</v>
      </c>
      <c r="I4" s="384"/>
      <c r="O4" s="509"/>
      <c r="U4" s="383"/>
      <c r="V4" s="383"/>
      <c r="W4" s="383"/>
    </row>
    <row r="5" spans="1:23" ht="3" customHeight="1">
      <c r="A5" s="382"/>
      <c r="B5" s="382"/>
      <c r="C5" s="382"/>
      <c r="D5" s="382"/>
      <c r="E5" s="382"/>
      <c r="F5" s="561"/>
      <c r="G5" s="382"/>
      <c r="H5" s="382"/>
      <c r="I5" s="382"/>
    </row>
    <row r="6" spans="1:23" s="434" customFormat="1" ht="15.6">
      <c r="A6" s="386"/>
      <c r="B6" s="563" t="s">
        <v>204</v>
      </c>
      <c r="C6" s="564"/>
      <c r="D6" s="564"/>
      <c r="E6" s="564"/>
      <c r="F6" s="565"/>
      <c r="G6" s="566">
        <f>SUM(G8,G11,G22,G32,G35,G38,G42,G43,G45,G47,G48,G50,G53)</f>
        <v>10.209466636198616</v>
      </c>
      <c r="H6" s="566">
        <f>SUM(H8,H11,H22,H32,H35,H38,H42,H43,H45,H47,H48,H50,H53)</f>
        <v>35</v>
      </c>
      <c r="I6" s="386"/>
      <c r="L6" s="474"/>
    </row>
    <row r="7" spans="1:23" ht="3" customHeight="1" outlineLevel="1">
      <c r="A7" s="382"/>
      <c r="B7" s="382"/>
      <c r="C7" s="382"/>
      <c r="D7" s="382"/>
      <c r="E7" s="382"/>
      <c r="F7" s="561"/>
      <c r="G7" s="567"/>
      <c r="H7" s="567"/>
      <c r="I7" s="382"/>
    </row>
    <row r="8" spans="1:23" outlineLevel="1">
      <c r="B8" s="401" t="s">
        <v>200</v>
      </c>
      <c r="C8" s="500" t="s">
        <v>200</v>
      </c>
      <c r="D8" s="499" t="s">
        <v>18</v>
      </c>
      <c r="E8" s="500" t="s">
        <v>204</v>
      </c>
      <c r="F8" s="568" t="s">
        <v>1683</v>
      </c>
      <c r="G8" s="569">
        <f>SUM(G9:G10)</f>
        <v>0.309550952606017</v>
      </c>
      <c r="H8" s="569">
        <f>SUM(H9:H10)</f>
        <v>2</v>
      </c>
    </row>
    <row r="9" spans="1:23" outlineLevel="2">
      <c r="B9" s="383" t="s">
        <v>200</v>
      </c>
      <c r="C9" s="502" t="s">
        <v>200</v>
      </c>
      <c r="D9" s="483" t="s">
        <v>18</v>
      </c>
      <c r="E9" s="502" t="s">
        <v>204</v>
      </c>
      <c r="F9" s="570" t="s">
        <v>117</v>
      </c>
      <c r="G9" s="571">
        <v>0.1547754763030085</v>
      </c>
      <c r="H9" s="571">
        <v>1</v>
      </c>
    </row>
    <row r="10" spans="1:23" outlineLevel="2">
      <c r="B10" s="383" t="s">
        <v>200</v>
      </c>
      <c r="C10" s="502" t="s">
        <v>200</v>
      </c>
      <c r="D10" s="483" t="s">
        <v>18</v>
      </c>
      <c r="E10" s="502" t="s">
        <v>204</v>
      </c>
      <c r="F10" s="570" t="s">
        <v>118</v>
      </c>
      <c r="G10" s="571">
        <v>0.1547754763030085</v>
      </c>
      <c r="H10" s="571">
        <v>1</v>
      </c>
    </row>
    <row r="11" spans="1:23" outlineLevel="1">
      <c r="B11" s="401" t="s">
        <v>212</v>
      </c>
      <c r="C11" s="500" t="s">
        <v>212</v>
      </c>
      <c r="D11" s="499" t="s">
        <v>18</v>
      </c>
      <c r="E11" s="500" t="s">
        <v>204</v>
      </c>
      <c r="F11" s="568" t="s">
        <v>1684</v>
      </c>
      <c r="G11" s="569">
        <f>SUM(G12:G21)</f>
        <v>5.8780133279200006</v>
      </c>
      <c r="H11" s="569">
        <f>SUM(H12:H21)</f>
        <v>10</v>
      </c>
    </row>
    <row r="12" spans="1:23" outlineLevel="2">
      <c r="B12" s="383" t="s">
        <v>212</v>
      </c>
      <c r="C12" s="502" t="s">
        <v>212</v>
      </c>
      <c r="D12" s="483" t="s">
        <v>18</v>
      </c>
      <c r="E12" s="502" t="s">
        <v>204</v>
      </c>
      <c r="F12" s="561" t="s">
        <v>215</v>
      </c>
      <c r="G12" s="573">
        <v>0.22115071539599998</v>
      </c>
      <c r="H12" s="571">
        <v>1</v>
      </c>
    </row>
    <row r="13" spans="1:23" outlineLevel="2">
      <c r="B13" s="383" t="s">
        <v>212</v>
      </c>
      <c r="C13" s="502" t="s">
        <v>212</v>
      </c>
      <c r="D13" s="483" t="s">
        <v>18</v>
      </c>
      <c r="E13" s="502" t="s">
        <v>204</v>
      </c>
      <c r="F13" s="561" t="s">
        <v>217</v>
      </c>
      <c r="G13" s="573">
        <v>7.3716905132000007E-2</v>
      </c>
      <c r="H13" s="571">
        <v>1</v>
      </c>
    </row>
    <row r="14" spans="1:23" outlineLevel="2">
      <c r="B14" s="383" t="s">
        <v>212</v>
      </c>
      <c r="C14" s="502" t="s">
        <v>212</v>
      </c>
      <c r="D14" s="483" t="s">
        <v>18</v>
      </c>
      <c r="E14" s="502" t="s">
        <v>204</v>
      </c>
      <c r="F14" s="561" t="s">
        <v>218</v>
      </c>
      <c r="G14" s="573">
        <v>7.3716905132000007E-2</v>
      </c>
      <c r="H14" s="571">
        <v>1</v>
      </c>
    </row>
    <row r="15" spans="1:23" outlineLevel="2">
      <c r="B15" s="383" t="s">
        <v>212</v>
      </c>
      <c r="C15" s="502" t="s">
        <v>212</v>
      </c>
      <c r="D15" s="483" t="s">
        <v>18</v>
      </c>
      <c r="E15" s="502" t="s">
        <v>204</v>
      </c>
      <c r="F15" s="561" t="s">
        <v>222</v>
      </c>
      <c r="G15" s="573">
        <v>6.4031962499999998E-2</v>
      </c>
      <c r="H15" s="571">
        <v>1</v>
      </c>
    </row>
    <row r="16" spans="1:23" outlineLevel="2">
      <c r="B16" s="383" t="s">
        <v>212</v>
      </c>
      <c r="C16" s="502" t="s">
        <v>212</v>
      </c>
      <c r="D16" s="483" t="s">
        <v>18</v>
      </c>
      <c r="E16" s="502" t="s">
        <v>204</v>
      </c>
      <c r="F16" s="561" t="s">
        <v>224</v>
      </c>
      <c r="G16" s="573">
        <v>0.54994955184000005</v>
      </c>
      <c r="H16" s="571">
        <v>1</v>
      </c>
    </row>
    <row r="17" spans="2:8" outlineLevel="2">
      <c r="B17" s="383" t="s">
        <v>212</v>
      </c>
      <c r="C17" s="502" t="s">
        <v>212</v>
      </c>
      <c r="D17" s="483" t="s">
        <v>18</v>
      </c>
      <c r="E17" s="502" t="s">
        <v>204</v>
      </c>
      <c r="F17" s="561" t="s">
        <v>225</v>
      </c>
      <c r="G17" s="573">
        <v>0.27497477592000003</v>
      </c>
      <c r="H17" s="571">
        <v>1</v>
      </c>
    </row>
    <row r="18" spans="2:8" outlineLevel="2">
      <c r="B18" s="383" t="s">
        <v>212</v>
      </c>
      <c r="C18" s="502" t="s">
        <v>212</v>
      </c>
      <c r="D18" s="483" t="s">
        <v>18</v>
      </c>
      <c r="E18" s="502" t="s">
        <v>204</v>
      </c>
      <c r="F18" s="561" t="s">
        <v>226</v>
      </c>
      <c r="G18" s="573">
        <v>2.2352362560000003</v>
      </c>
      <c r="H18" s="571">
        <v>1</v>
      </c>
    </row>
    <row r="19" spans="2:8" outlineLevel="2">
      <c r="B19" s="383" t="s">
        <v>212</v>
      </c>
      <c r="C19" s="502" t="s">
        <v>212</v>
      </c>
      <c r="D19" s="483" t="s">
        <v>18</v>
      </c>
      <c r="E19" s="502" t="s">
        <v>204</v>
      </c>
      <c r="F19" s="561" t="s">
        <v>228</v>
      </c>
      <c r="G19" s="573">
        <v>2.2352362560000003</v>
      </c>
      <c r="H19" s="571">
        <v>1</v>
      </c>
    </row>
    <row r="20" spans="2:8" outlineLevel="2">
      <c r="B20" s="383" t="s">
        <v>212</v>
      </c>
      <c r="C20" s="502" t="s">
        <v>212</v>
      </c>
      <c r="D20" s="483" t="s">
        <v>18</v>
      </c>
      <c r="E20" s="502" t="s">
        <v>204</v>
      </c>
      <c r="F20" s="561" t="s">
        <v>229</v>
      </c>
      <c r="G20" s="573">
        <v>0.1125</v>
      </c>
      <c r="H20" s="571">
        <v>1</v>
      </c>
    </row>
    <row r="21" spans="2:8" outlineLevel="2">
      <c r="B21" s="383" t="s">
        <v>212</v>
      </c>
      <c r="C21" s="502" t="s">
        <v>212</v>
      </c>
      <c r="D21" s="483" t="s">
        <v>18</v>
      </c>
      <c r="E21" s="502" t="s">
        <v>204</v>
      </c>
      <c r="F21" s="561" t="s">
        <v>230</v>
      </c>
      <c r="G21" s="573">
        <v>3.7499999999999999E-2</v>
      </c>
      <c r="H21" s="571">
        <v>1</v>
      </c>
    </row>
    <row r="22" spans="2:8" outlineLevel="1">
      <c r="B22" s="401" t="s">
        <v>263</v>
      </c>
      <c r="C22" s="500" t="s">
        <v>263</v>
      </c>
      <c r="D22" s="499" t="s">
        <v>18</v>
      </c>
      <c r="E22" s="500" t="s">
        <v>204</v>
      </c>
      <c r="F22" s="568" t="s">
        <v>1685</v>
      </c>
      <c r="G22" s="569">
        <f>SUM(G23:G31)</f>
        <v>0.85178143075061052</v>
      </c>
      <c r="H22" s="569">
        <f>SUM(H23:H31)</f>
        <v>9</v>
      </c>
    </row>
    <row r="23" spans="2:8" outlineLevel="2">
      <c r="B23" s="383" t="s">
        <v>263</v>
      </c>
      <c r="C23" s="502" t="s">
        <v>263</v>
      </c>
      <c r="D23" s="483" t="s">
        <v>18</v>
      </c>
      <c r="E23" s="502" t="s">
        <v>204</v>
      </c>
      <c r="F23" s="561" t="s">
        <v>265</v>
      </c>
      <c r="G23" s="573">
        <v>0.25575333042562204</v>
      </c>
      <c r="H23" s="571">
        <v>1</v>
      </c>
    </row>
    <row r="24" spans="2:8" outlineLevel="2">
      <c r="B24" s="383" t="s">
        <v>263</v>
      </c>
      <c r="C24" s="502" t="s">
        <v>263</v>
      </c>
      <c r="D24" s="483" t="s">
        <v>18</v>
      </c>
      <c r="E24" s="502" t="s">
        <v>204</v>
      </c>
      <c r="F24" s="561" t="s">
        <v>205</v>
      </c>
      <c r="G24" s="573">
        <v>8.1564148364617506E-2</v>
      </c>
      <c r="H24" s="571">
        <v>1</v>
      </c>
    </row>
    <row r="25" spans="2:8" outlineLevel="2">
      <c r="B25" s="383" t="s">
        <v>263</v>
      </c>
      <c r="C25" s="502" t="s">
        <v>263</v>
      </c>
      <c r="D25" s="483" t="s">
        <v>18</v>
      </c>
      <c r="E25" s="502" t="s">
        <v>204</v>
      </c>
      <c r="F25" s="561" t="s">
        <v>47</v>
      </c>
      <c r="G25" s="573">
        <v>0.18696938245168926</v>
      </c>
      <c r="H25" s="571">
        <v>1</v>
      </c>
    </row>
    <row r="26" spans="2:8" outlineLevel="2">
      <c r="B26" s="383" t="s">
        <v>263</v>
      </c>
      <c r="C26" s="502" t="s">
        <v>263</v>
      </c>
      <c r="D26" s="483" t="s">
        <v>18</v>
      </c>
      <c r="E26" s="502" t="s">
        <v>204</v>
      </c>
      <c r="F26" s="561" t="s">
        <v>117</v>
      </c>
      <c r="G26" s="573">
        <v>2.7188049454872507E-2</v>
      </c>
      <c r="H26" s="571">
        <v>1</v>
      </c>
    </row>
    <row r="27" spans="2:8" outlineLevel="2">
      <c r="B27" s="383" t="s">
        <v>263</v>
      </c>
      <c r="C27" s="502" t="s">
        <v>263</v>
      </c>
      <c r="D27" s="483" t="s">
        <v>18</v>
      </c>
      <c r="E27" s="502" t="s">
        <v>204</v>
      </c>
      <c r="F27" s="561" t="s">
        <v>73</v>
      </c>
      <c r="G27" s="573">
        <v>0.11218162947101355</v>
      </c>
      <c r="H27" s="571">
        <v>1</v>
      </c>
    </row>
    <row r="28" spans="2:8" outlineLevel="2">
      <c r="B28" s="383" t="s">
        <v>263</v>
      </c>
      <c r="C28" s="502" t="s">
        <v>263</v>
      </c>
      <c r="D28" s="483" t="s">
        <v>18</v>
      </c>
      <c r="E28" s="502" t="s">
        <v>204</v>
      </c>
      <c r="F28" s="561" t="s">
        <v>24</v>
      </c>
      <c r="G28" s="573">
        <v>3.7393876490337853E-2</v>
      </c>
      <c r="H28" s="571">
        <v>1</v>
      </c>
    </row>
    <row r="29" spans="2:8" outlineLevel="2">
      <c r="B29" s="383" t="s">
        <v>263</v>
      </c>
      <c r="C29" s="502" t="s">
        <v>263</v>
      </c>
      <c r="D29" s="483" t="s">
        <v>18</v>
      </c>
      <c r="E29" s="502" t="s">
        <v>204</v>
      </c>
      <c r="F29" s="561" t="s">
        <v>74</v>
      </c>
      <c r="G29" s="573">
        <v>3.7393876490337853E-2</v>
      </c>
      <c r="H29" s="571">
        <v>1</v>
      </c>
    </row>
    <row r="30" spans="2:8" outlineLevel="2">
      <c r="B30" s="383" t="s">
        <v>263</v>
      </c>
      <c r="C30" s="502" t="s">
        <v>263</v>
      </c>
      <c r="D30" s="483" t="s">
        <v>18</v>
      </c>
      <c r="E30" s="502" t="s">
        <v>204</v>
      </c>
      <c r="F30" s="561" t="s">
        <v>25</v>
      </c>
      <c r="G30" s="573">
        <v>2.7188049454872507E-2</v>
      </c>
      <c r="H30" s="571">
        <v>1</v>
      </c>
    </row>
    <row r="31" spans="2:8" outlineLevel="2">
      <c r="B31" s="383" t="s">
        <v>263</v>
      </c>
      <c r="C31" s="502" t="s">
        <v>263</v>
      </c>
      <c r="D31" s="483" t="s">
        <v>18</v>
      </c>
      <c r="E31" s="502" t="s">
        <v>204</v>
      </c>
      <c r="F31" s="561" t="s">
        <v>267</v>
      </c>
      <c r="G31" s="573">
        <v>8.6149088147247421E-2</v>
      </c>
      <c r="H31" s="571">
        <v>1</v>
      </c>
    </row>
    <row r="32" spans="2:8" outlineLevel="1">
      <c r="B32" s="401" t="s">
        <v>276</v>
      </c>
      <c r="C32" s="500" t="s">
        <v>276</v>
      </c>
      <c r="D32" s="499" t="s">
        <v>18</v>
      </c>
      <c r="E32" s="500" t="s">
        <v>204</v>
      </c>
      <c r="F32" s="568" t="s">
        <v>1686</v>
      </c>
      <c r="G32" s="569">
        <f>SUM(G33:G34)</f>
        <v>0.38041780000000003</v>
      </c>
      <c r="H32" s="569">
        <f>SUM(H33:H34)</f>
        <v>2</v>
      </c>
    </row>
    <row r="33" spans="2:8" outlineLevel="2">
      <c r="B33" s="383" t="s">
        <v>276</v>
      </c>
      <c r="C33" s="502" t="s">
        <v>276</v>
      </c>
      <c r="D33" s="483" t="s">
        <v>18</v>
      </c>
      <c r="E33" s="502" t="s">
        <v>204</v>
      </c>
      <c r="F33" s="561" t="s">
        <v>278</v>
      </c>
      <c r="G33" s="573">
        <v>0.15216712000000002</v>
      </c>
      <c r="H33" s="571">
        <v>1</v>
      </c>
    </row>
    <row r="34" spans="2:8" outlineLevel="2">
      <c r="B34" s="383" t="s">
        <v>276</v>
      </c>
      <c r="C34" s="502" t="s">
        <v>276</v>
      </c>
      <c r="D34" s="483" t="s">
        <v>18</v>
      </c>
      <c r="E34" s="502" t="s">
        <v>204</v>
      </c>
      <c r="F34" s="561" t="s">
        <v>279</v>
      </c>
      <c r="G34" s="573">
        <v>0.22825067999999998</v>
      </c>
      <c r="H34" s="571">
        <v>1</v>
      </c>
    </row>
    <row r="35" spans="2:8" outlineLevel="1">
      <c r="B35" s="401" t="s">
        <v>398</v>
      </c>
      <c r="C35" s="500" t="s">
        <v>398</v>
      </c>
      <c r="D35" s="499" t="s">
        <v>18</v>
      </c>
      <c r="E35" s="500" t="s">
        <v>204</v>
      </c>
      <c r="F35" s="568" t="s">
        <v>1670</v>
      </c>
      <c r="G35" s="569">
        <f>SUM(G36:G37)</f>
        <v>0.5132500000000001</v>
      </c>
      <c r="H35" s="569">
        <f>SUM(H36:H37)</f>
        <v>2</v>
      </c>
    </row>
    <row r="36" spans="2:8" outlineLevel="2">
      <c r="B36" s="383" t="s">
        <v>398</v>
      </c>
      <c r="C36" s="502" t="s">
        <v>398</v>
      </c>
      <c r="D36" s="483" t="s">
        <v>18</v>
      </c>
      <c r="E36" s="502" t="s">
        <v>204</v>
      </c>
      <c r="F36" s="575" t="s">
        <v>420</v>
      </c>
      <c r="G36" s="576">
        <v>0.41060000000000008</v>
      </c>
      <c r="H36" s="571">
        <v>1</v>
      </c>
    </row>
    <row r="37" spans="2:8" outlineLevel="2">
      <c r="B37" s="383" t="s">
        <v>398</v>
      </c>
      <c r="C37" s="502" t="s">
        <v>398</v>
      </c>
      <c r="D37" s="483" t="s">
        <v>18</v>
      </c>
      <c r="E37" s="502" t="s">
        <v>204</v>
      </c>
      <c r="F37" s="575" t="s">
        <v>422</v>
      </c>
      <c r="G37" s="576">
        <v>0.10265000000000002</v>
      </c>
      <c r="H37" s="571">
        <v>1</v>
      </c>
    </row>
    <row r="38" spans="2:8" outlineLevel="1">
      <c r="B38" s="401" t="s">
        <v>319</v>
      </c>
      <c r="C38" s="500" t="s">
        <v>319</v>
      </c>
      <c r="D38" s="499" t="s">
        <v>18</v>
      </c>
      <c r="E38" s="500" t="s">
        <v>204</v>
      </c>
      <c r="F38" s="568" t="s">
        <v>1680</v>
      </c>
      <c r="G38" s="569">
        <f>SUM(G39:G41)</f>
        <v>0.28500000000000003</v>
      </c>
      <c r="H38" s="569">
        <f>SUM(H39:H41)</f>
        <v>3</v>
      </c>
    </row>
    <row r="39" spans="2:8" outlineLevel="2">
      <c r="B39" s="383" t="s">
        <v>319</v>
      </c>
      <c r="C39" s="502" t="s">
        <v>319</v>
      </c>
      <c r="D39" s="483" t="s">
        <v>18</v>
      </c>
      <c r="E39" s="502" t="s">
        <v>204</v>
      </c>
      <c r="F39" s="420" t="s">
        <v>341</v>
      </c>
      <c r="G39" s="573">
        <v>9.5000000000000015E-2</v>
      </c>
      <c r="H39" s="571">
        <v>1</v>
      </c>
    </row>
    <row r="40" spans="2:8" outlineLevel="2">
      <c r="B40" s="383" t="s">
        <v>319</v>
      </c>
      <c r="C40" s="502" t="s">
        <v>319</v>
      </c>
      <c r="D40" s="483" t="s">
        <v>18</v>
      </c>
      <c r="E40" s="502" t="s">
        <v>204</v>
      </c>
      <c r="F40" s="420" t="s">
        <v>342</v>
      </c>
      <c r="G40" s="573">
        <v>9.5000000000000015E-2</v>
      </c>
      <c r="H40" s="571">
        <v>1</v>
      </c>
    </row>
    <row r="41" spans="2:8" outlineLevel="2">
      <c r="B41" s="383" t="s">
        <v>319</v>
      </c>
      <c r="C41" s="502" t="s">
        <v>319</v>
      </c>
      <c r="D41" s="483" t="s">
        <v>18</v>
      </c>
      <c r="E41" s="502" t="s">
        <v>204</v>
      </c>
      <c r="F41" s="420" t="s">
        <v>469</v>
      </c>
      <c r="G41" s="573">
        <v>9.5000000000000015E-2</v>
      </c>
      <c r="H41" s="571">
        <v>1</v>
      </c>
    </row>
    <row r="42" spans="2:8" outlineLevel="1">
      <c r="B42" s="401" t="s">
        <v>474</v>
      </c>
      <c r="C42" s="500" t="s">
        <v>136</v>
      </c>
      <c r="D42" s="499" t="s">
        <v>18</v>
      </c>
      <c r="E42" s="500" t="s">
        <v>204</v>
      </c>
      <c r="F42" s="568" t="s">
        <v>1687</v>
      </c>
      <c r="G42" s="569">
        <v>0</v>
      </c>
      <c r="H42" s="569">
        <v>0</v>
      </c>
    </row>
    <row r="43" spans="2:8" outlineLevel="1">
      <c r="B43" s="401" t="s">
        <v>486</v>
      </c>
      <c r="C43" s="500" t="s">
        <v>136</v>
      </c>
      <c r="D43" s="499" t="s">
        <v>18</v>
      </c>
      <c r="E43" s="500" t="s">
        <v>204</v>
      </c>
      <c r="F43" s="568" t="s">
        <v>1688</v>
      </c>
      <c r="G43" s="569">
        <f>SUM(G44)</f>
        <v>8.9136273921988848E-2</v>
      </c>
      <c r="H43" s="569">
        <f>SUM(H44)</f>
        <v>1</v>
      </c>
    </row>
    <row r="44" spans="2:8" outlineLevel="2">
      <c r="B44" s="383" t="s">
        <v>486</v>
      </c>
      <c r="C44" s="502" t="s">
        <v>136</v>
      </c>
      <c r="D44" s="483" t="s">
        <v>18</v>
      </c>
      <c r="E44" s="502" t="s">
        <v>204</v>
      </c>
      <c r="F44" s="561" t="s">
        <v>32</v>
      </c>
      <c r="G44" s="573">
        <v>8.9136273921988848E-2</v>
      </c>
      <c r="H44" s="571">
        <v>1</v>
      </c>
    </row>
    <row r="45" spans="2:8" outlineLevel="1">
      <c r="B45" s="401" t="s">
        <v>490</v>
      </c>
      <c r="C45" s="500" t="s">
        <v>136</v>
      </c>
      <c r="D45" s="499" t="s">
        <v>18</v>
      </c>
      <c r="E45" s="500" t="s">
        <v>204</v>
      </c>
      <c r="F45" s="568" t="s">
        <v>1689</v>
      </c>
      <c r="G45" s="569">
        <f>SUM(G46)</f>
        <v>5.8216850999999993E-2</v>
      </c>
      <c r="H45" s="569">
        <f>SUM(H46)</f>
        <v>1</v>
      </c>
    </row>
    <row r="46" spans="2:8" outlineLevel="2">
      <c r="B46" s="383" t="s">
        <v>490</v>
      </c>
      <c r="C46" s="502" t="s">
        <v>136</v>
      </c>
      <c r="D46" s="483" t="s">
        <v>18</v>
      </c>
      <c r="E46" s="502" t="s">
        <v>204</v>
      </c>
      <c r="F46" s="561" t="s">
        <v>32</v>
      </c>
      <c r="G46" s="573">
        <v>5.8216850999999993E-2</v>
      </c>
      <c r="H46" s="571">
        <v>1</v>
      </c>
    </row>
    <row r="47" spans="2:8" outlineLevel="1">
      <c r="B47" s="401" t="s">
        <v>498</v>
      </c>
      <c r="C47" s="500" t="s">
        <v>136</v>
      </c>
      <c r="D47" s="499" t="s">
        <v>18</v>
      </c>
      <c r="E47" s="500" t="s">
        <v>204</v>
      </c>
      <c r="F47" s="568" t="s">
        <v>1690</v>
      </c>
      <c r="G47" s="569">
        <v>0</v>
      </c>
      <c r="H47" s="569">
        <v>0</v>
      </c>
    </row>
    <row r="48" spans="2:8" outlineLevel="1">
      <c r="B48" s="401" t="s">
        <v>503</v>
      </c>
      <c r="C48" s="500" t="s">
        <v>503</v>
      </c>
      <c r="D48" s="499" t="s">
        <v>18</v>
      </c>
      <c r="E48" s="500" t="s">
        <v>204</v>
      </c>
      <c r="F48" s="568" t="s">
        <v>1691</v>
      </c>
      <c r="G48" s="569">
        <f>SUM(G49)</f>
        <v>1.6141000000000003</v>
      </c>
      <c r="H48" s="569">
        <f>SUM(H49)</f>
        <v>1</v>
      </c>
    </row>
    <row r="49" spans="1:9" outlineLevel="2">
      <c r="B49" s="383" t="s">
        <v>503</v>
      </c>
      <c r="C49" s="502" t="s">
        <v>503</v>
      </c>
      <c r="D49" s="483" t="s">
        <v>18</v>
      </c>
      <c r="E49" s="502" t="s">
        <v>204</v>
      </c>
      <c r="F49" s="561" t="s">
        <v>334</v>
      </c>
      <c r="G49" s="573">
        <v>1.6141000000000003</v>
      </c>
      <c r="H49" s="571">
        <v>1</v>
      </c>
    </row>
    <row r="50" spans="1:9" outlineLevel="1">
      <c r="B50" s="401" t="s">
        <v>330</v>
      </c>
      <c r="C50" s="500" t="s">
        <v>80</v>
      </c>
      <c r="D50" s="499" t="s">
        <v>18</v>
      </c>
      <c r="E50" s="500" t="s">
        <v>204</v>
      </c>
      <c r="F50" s="568" t="s">
        <v>1669</v>
      </c>
      <c r="G50" s="569">
        <f>SUM(G51:G52)</f>
        <v>0.16999999999999998</v>
      </c>
      <c r="H50" s="569">
        <f>SUM(H51:H52)</f>
        <v>2</v>
      </c>
    </row>
    <row r="51" spans="1:9" outlineLevel="2">
      <c r="B51" s="383" t="s">
        <v>330</v>
      </c>
      <c r="C51" s="502" t="s">
        <v>80</v>
      </c>
      <c r="D51" s="483" t="s">
        <v>18</v>
      </c>
      <c r="E51" s="502" t="s">
        <v>204</v>
      </c>
      <c r="F51" s="561" t="s">
        <v>341</v>
      </c>
      <c r="G51" s="573">
        <v>0.11</v>
      </c>
      <c r="H51" s="571">
        <v>1</v>
      </c>
    </row>
    <row r="52" spans="1:9" outlineLevel="2">
      <c r="B52" s="383" t="s">
        <v>330</v>
      </c>
      <c r="C52" s="502" t="s">
        <v>80</v>
      </c>
      <c r="D52" s="483" t="s">
        <v>18</v>
      </c>
      <c r="E52" s="502" t="s">
        <v>204</v>
      </c>
      <c r="F52" s="561" t="s">
        <v>342</v>
      </c>
      <c r="G52" s="573">
        <v>0.06</v>
      </c>
      <c r="H52" s="571">
        <v>1</v>
      </c>
    </row>
    <row r="53" spans="1:9" outlineLevel="1">
      <c r="B53" s="401" t="s">
        <v>536</v>
      </c>
      <c r="C53" s="500" t="s">
        <v>537</v>
      </c>
      <c r="D53" s="499" t="s">
        <v>18</v>
      </c>
      <c r="E53" s="500" t="s">
        <v>204</v>
      </c>
      <c r="F53" s="568" t="s">
        <v>1682</v>
      </c>
      <c r="G53" s="569">
        <f>SUM(G54:G55)</f>
        <v>0.06</v>
      </c>
      <c r="H53" s="569">
        <f>SUM(H54:H55)</f>
        <v>2</v>
      </c>
    </row>
    <row r="54" spans="1:9" outlineLevel="2">
      <c r="B54" s="383" t="s">
        <v>536</v>
      </c>
      <c r="C54" s="502" t="s">
        <v>537</v>
      </c>
      <c r="D54" s="483" t="s">
        <v>18</v>
      </c>
      <c r="E54" s="502" t="s">
        <v>204</v>
      </c>
      <c r="F54" s="420" t="s">
        <v>565</v>
      </c>
      <c r="G54" s="573">
        <v>0.03</v>
      </c>
      <c r="H54" s="571">
        <v>1</v>
      </c>
    </row>
    <row r="55" spans="1:9" outlineLevel="2">
      <c r="B55" s="383" t="s">
        <v>536</v>
      </c>
      <c r="C55" s="502" t="s">
        <v>537</v>
      </c>
      <c r="D55" s="483" t="s">
        <v>18</v>
      </c>
      <c r="E55" s="502" t="s">
        <v>204</v>
      </c>
      <c r="F55" s="420" t="s">
        <v>566</v>
      </c>
      <c r="G55" s="573">
        <v>0.03</v>
      </c>
      <c r="H55" s="571">
        <v>1</v>
      </c>
    </row>
    <row r="56" spans="1:9" ht="3" customHeight="1">
      <c r="A56" s="382"/>
      <c r="B56" s="382"/>
      <c r="C56" s="382"/>
      <c r="D56" s="382"/>
      <c r="E56" s="382"/>
      <c r="F56" s="561"/>
      <c r="G56" s="567"/>
      <c r="H56" s="567"/>
      <c r="I56" s="382"/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83" customWidth="1"/>
    <col min="2" max="2" width="25.7109375" style="383" customWidth="1"/>
    <col min="3" max="3" width="18.28515625" style="383" customWidth="1"/>
    <col min="4" max="4" width="12.5703125" style="383" customWidth="1"/>
    <col min="5" max="5" width="13.7109375" style="383" bestFit="1" customWidth="1"/>
    <col min="6" max="6" width="49.28515625" style="584" bestFit="1" customWidth="1"/>
    <col min="7" max="7" width="12.7109375" style="383" bestFit="1" customWidth="1"/>
    <col min="8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4" ht="17.100000000000001" customHeight="1">
      <c r="A1" s="382"/>
      <c r="B1" s="382"/>
      <c r="C1" s="382"/>
      <c r="D1" s="382"/>
      <c r="E1" s="382"/>
      <c r="F1" s="561"/>
      <c r="G1" s="382"/>
      <c r="H1" s="382"/>
      <c r="I1" s="382"/>
    </row>
    <row r="2" spans="1:24" s="434" customFormat="1" ht="17.45">
      <c r="A2" s="386"/>
      <c r="B2" s="436" t="s">
        <v>1659</v>
      </c>
      <c r="C2" s="436"/>
      <c r="D2" s="436"/>
      <c r="E2" s="436"/>
      <c r="F2" s="562"/>
      <c r="G2" s="439" t="s">
        <v>1</v>
      </c>
      <c r="H2" s="439" t="s">
        <v>6</v>
      </c>
      <c r="I2" s="386"/>
      <c r="L2" s="474"/>
    </row>
    <row r="3" spans="1:24" ht="3" customHeight="1">
      <c r="A3" s="382"/>
      <c r="B3" s="382"/>
      <c r="C3" s="382"/>
      <c r="D3" s="382"/>
      <c r="E3" s="382"/>
      <c r="F3" s="561"/>
      <c r="G3" s="382"/>
      <c r="H3" s="382"/>
      <c r="I3" s="382"/>
    </row>
    <row r="4" spans="1:24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453">
        <f>SUM(G7)</f>
        <v>0.85280446699999979</v>
      </c>
      <c r="H4" s="453">
        <f>SUM(H7)</f>
        <v>42</v>
      </c>
      <c r="I4" s="384"/>
      <c r="O4" s="509"/>
      <c r="U4" s="383"/>
      <c r="V4" s="383"/>
      <c r="W4" s="383"/>
    </row>
    <row r="5" spans="1:24" ht="10.35" hidden="1" customHeight="1">
      <c r="A5" s="382"/>
      <c r="B5" s="386"/>
      <c r="C5" s="382"/>
      <c r="D5" s="386"/>
      <c r="E5" s="386" t="s">
        <v>13</v>
      </c>
      <c r="F5" s="561"/>
      <c r="G5" s="387"/>
      <c r="H5" s="387"/>
      <c r="I5" s="382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</row>
    <row r="6" spans="1:24" ht="3" customHeight="1">
      <c r="A6" s="382"/>
      <c r="B6" s="382"/>
      <c r="C6" s="382"/>
      <c r="D6" s="382"/>
      <c r="E6" s="382"/>
      <c r="F6" s="561"/>
      <c r="G6" s="382"/>
      <c r="H6" s="382"/>
      <c r="I6" s="382"/>
    </row>
    <row r="7" spans="1:24" s="434" customFormat="1" ht="15.6">
      <c r="A7" s="386"/>
      <c r="B7" s="563" t="s">
        <v>286</v>
      </c>
      <c r="C7" s="564"/>
      <c r="D7" s="564"/>
      <c r="E7" s="564"/>
      <c r="F7" s="565"/>
      <c r="G7" s="566">
        <f>SUM(G9,G10,G20,G25,G29,G40,G46,G49,G53,G55,G59)</f>
        <v>0.85280446699999979</v>
      </c>
      <c r="H7" s="566">
        <f>SUM(H9,H10,H20,H25,H29,H40,H46,H49,H53,H55,H59)</f>
        <v>42</v>
      </c>
      <c r="I7" s="386"/>
      <c r="L7" s="474"/>
    </row>
    <row r="8" spans="1:24" ht="3" customHeight="1" outlineLevel="1">
      <c r="A8" s="382"/>
      <c r="B8" s="382"/>
      <c r="C8" s="382"/>
      <c r="D8" s="382"/>
      <c r="E8" s="382"/>
      <c r="F8" s="561"/>
      <c r="G8" s="567"/>
      <c r="H8" s="567"/>
      <c r="I8" s="382"/>
    </row>
    <row r="9" spans="1:24" outlineLevel="1">
      <c r="A9" s="382"/>
      <c r="B9" s="395" t="s">
        <v>285</v>
      </c>
      <c r="C9" s="390" t="s">
        <v>285</v>
      </c>
      <c r="D9" s="621" t="s">
        <v>18</v>
      </c>
      <c r="E9" s="390" t="s">
        <v>286</v>
      </c>
      <c r="F9" s="622" t="s">
        <v>1692</v>
      </c>
      <c r="G9" s="623">
        <v>0</v>
      </c>
      <c r="H9" s="623">
        <v>0</v>
      </c>
      <c r="I9" s="382"/>
    </row>
    <row r="10" spans="1:24" outlineLevel="1">
      <c r="A10" s="382"/>
      <c r="B10" s="395" t="s">
        <v>1693</v>
      </c>
      <c r="C10" s="390" t="s">
        <v>1694</v>
      </c>
      <c r="D10" s="621" t="s">
        <v>18</v>
      </c>
      <c r="E10" s="390" t="s">
        <v>286</v>
      </c>
      <c r="F10" s="622" t="s">
        <v>1695</v>
      </c>
      <c r="G10" s="623">
        <f>SUM(G11:G19)</f>
        <v>0.69534587499999978</v>
      </c>
      <c r="H10" s="623">
        <f>SUM(H11:H19)</f>
        <v>9</v>
      </c>
      <c r="I10" s="382"/>
    </row>
    <row r="11" spans="1:24" outlineLevel="2">
      <c r="A11" s="382"/>
      <c r="B11" s="382" t="s">
        <v>1693</v>
      </c>
      <c r="C11" s="386" t="s">
        <v>1694</v>
      </c>
      <c r="D11" s="624" t="s">
        <v>18</v>
      </c>
      <c r="E11" s="386" t="s">
        <v>286</v>
      </c>
      <c r="F11" s="625" t="s">
        <v>278</v>
      </c>
      <c r="G11" s="626">
        <v>0.15625749999999999</v>
      </c>
      <c r="H11" s="626">
        <v>1</v>
      </c>
      <c r="I11" s="382"/>
    </row>
    <row r="12" spans="1:24" outlineLevel="2">
      <c r="A12" s="382"/>
      <c r="B12" s="382" t="s">
        <v>1693</v>
      </c>
      <c r="C12" s="386" t="s">
        <v>1694</v>
      </c>
      <c r="D12" s="624" t="s">
        <v>18</v>
      </c>
      <c r="E12" s="386" t="s">
        <v>286</v>
      </c>
      <c r="F12" s="625" t="s">
        <v>279</v>
      </c>
      <c r="G12" s="626">
        <v>0.23438624999999996</v>
      </c>
      <c r="H12" s="626">
        <v>1</v>
      </c>
      <c r="I12" s="382"/>
    </row>
    <row r="13" spans="1:24" outlineLevel="2">
      <c r="A13" s="382"/>
      <c r="B13" s="382" t="s">
        <v>1693</v>
      </c>
      <c r="C13" s="386" t="s">
        <v>1694</v>
      </c>
      <c r="D13" s="624" t="s">
        <v>18</v>
      </c>
      <c r="E13" s="386" t="s">
        <v>286</v>
      </c>
      <c r="F13" s="625" t="s">
        <v>33</v>
      </c>
      <c r="G13" s="626">
        <v>0.15625749999999999</v>
      </c>
      <c r="H13" s="626">
        <v>1</v>
      </c>
      <c r="I13" s="382"/>
    </row>
    <row r="14" spans="1:24" outlineLevel="2">
      <c r="A14" s="382"/>
      <c r="B14" s="475" t="s">
        <v>1693</v>
      </c>
      <c r="C14" s="397" t="s">
        <v>1694</v>
      </c>
      <c r="D14" s="627" t="s">
        <v>18</v>
      </c>
      <c r="E14" s="397" t="s">
        <v>286</v>
      </c>
      <c r="F14" s="628" t="s">
        <v>1696</v>
      </c>
      <c r="G14" s="629">
        <v>7.1431999999999995E-2</v>
      </c>
      <c r="H14" s="629">
        <v>1</v>
      </c>
      <c r="I14" s="382"/>
    </row>
    <row r="15" spans="1:24" outlineLevel="2">
      <c r="A15" s="382"/>
      <c r="B15" s="475" t="s">
        <v>1693</v>
      </c>
      <c r="C15" s="397" t="s">
        <v>1694</v>
      </c>
      <c r="D15" s="627" t="s">
        <v>18</v>
      </c>
      <c r="E15" s="397" t="s">
        <v>286</v>
      </c>
      <c r="F15" s="628" t="s">
        <v>1697</v>
      </c>
      <c r="G15" s="629">
        <v>2.009025E-2</v>
      </c>
      <c r="H15" s="629">
        <v>1</v>
      </c>
      <c r="I15" s="382"/>
    </row>
    <row r="16" spans="1:24" outlineLevel="2">
      <c r="A16" s="382"/>
      <c r="B16" s="475" t="s">
        <v>1693</v>
      </c>
      <c r="C16" s="397" t="s">
        <v>1694</v>
      </c>
      <c r="D16" s="627" t="s">
        <v>18</v>
      </c>
      <c r="E16" s="397" t="s">
        <v>286</v>
      </c>
      <c r="F16" s="628" t="s">
        <v>1698</v>
      </c>
      <c r="G16" s="629">
        <v>2.009025E-2</v>
      </c>
      <c r="H16" s="629">
        <v>1</v>
      </c>
      <c r="I16" s="382"/>
    </row>
    <row r="17" spans="1:11" outlineLevel="2">
      <c r="A17" s="382"/>
      <c r="B17" s="475" t="s">
        <v>1693</v>
      </c>
      <c r="C17" s="397" t="s">
        <v>1694</v>
      </c>
      <c r="D17" s="627" t="s">
        <v>18</v>
      </c>
      <c r="E17" s="397" t="s">
        <v>286</v>
      </c>
      <c r="F17" s="628" t="s">
        <v>1699</v>
      </c>
      <c r="G17" s="629">
        <v>1.6741875E-2</v>
      </c>
      <c r="H17" s="629">
        <v>1</v>
      </c>
      <c r="I17" s="382"/>
    </row>
    <row r="18" spans="1:11" outlineLevel="2">
      <c r="A18" s="382"/>
      <c r="B18" s="475" t="s">
        <v>1693</v>
      </c>
      <c r="C18" s="397" t="s">
        <v>1694</v>
      </c>
      <c r="D18" s="627" t="s">
        <v>18</v>
      </c>
      <c r="E18" s="397" t="s">
        <v>286</v>
      </c>
      <c r="F18" s="628" t="s">
        <v>1700</v>
      </c>
      <c r="G18" s="629">
        <v>2.009025E-2</v>
      </c>
      <c r="H18" s="629">
        <v>1</v>
      </c>
      <c r="I18" s="382"/>
    </row>
    <row r="19" spans="1:11" outlineLevel="2">
      <c r="A19" s="382"/>
      <c r="B19" s="382" t="s">
        <v>288</v>
      </c>
      <c r="C19" s="386" t="s">
        <v>288</v>
      </c>
      <c r="D19" s="624" t="s">
        <v>18</v>
      </c>
      <c r="E19" s="386" t="s">
        <v>286</v>
      </c>
      <c r="F19" s="625" t="s">
        <v>1701</v>
      </c>
      <c r="G19" s="626"/>
      <c r="H19" s="626">
        <v>1</v>
      </c>
      <c r="I19" s="382"/>
    </row>
    <row r="20" spans="1:11" outlineLevel="1">
      <c r="A20" s="382"/>
      <c r="B20" s="395" t="s">
        <v>297</v>
      </c>
      <c r="C20" s="390" t="s">
        <v>297</v>
      </c>
      <c r="D20" s="621" t="s">
        <v>18</v>
      </c>
      <c r="E20" s="390" t="s">
        <v>286</v>
      </c>
      <c r="F20" s="622" t="s">
        <v>1702</v>
      </c>
      <c r="G20" s="623">
        <f>SUM(G21:G24)</f>
        <v>4.0000000000000001E-3</v>
      </c>
      <c r="H20" s="623">
        <f>SUM(H21:H24)</f>
        <v>4</v>
      </c>
      <c r="I20" s="382"/>
    </row>
    <row r="21" spans="1:11" outlineLevel="2">
      <c r="A21" s="382"/>
      <c r="B21" s="382" t="s">
        <v>297</v>
      </c>
      <c r="C21" s="386" t="s">
        <v>297</v>
      </c>
      <c r="D21" s="624" t="s">
        <v>18</v>
      </c>
      <c r="E21" s="386" t="s">
        <v>286</v>
      </c>
      <c r="F21" s="625" t="s">
        <v>300</v>
      </c>
      <c r="G21" s="626">
        <v>2.0999999999999999E-3</v>
      </c>
      <c r="H21" s="626">
        <v>1</v>
      </c>
      <c r="I21" s="382"/>
    </row>
    <row r="22" spans="1:11" outlineLevel="2">
      <c r="A22" s="382"/>
      <c r="B22" s="382" t="s">
        <v>297</v>
      </c>
      <c r="C22" s="386" t="s">
        <v>297</v>
      </c>
      <c r="D22" s="624" t="s">
        <v>18</v>
      </c>
      <c r="E22" s="386" t="s">
        <v>286</v>
      </c>
      <c r="F22" s="625" t="s">
        <v>301</v>
      </c>
      <c r="G22" s="626">
        <v>8.7500000000000002E-4</v>
      </c>
      <c r="H22" s="626">
        <v>1</v>
      </c>
      <c r="I22" s="382"/>
    </row>
    <row r="23" spans="1:11" outlineLevel="2">
      <c r="A23" s="382"/>
      <c r="B23" s="382" t="s">
        <v>297</v>
      </c>
      <c r="C23" s="386" t="s">
        <v>297</v>
      </c>
      <c r="D23" s="624" t="s">
        <v>18</v>
      </c>
      <c r="E23" s="386" t="s">
        <v>286</v>
      </c>
      <c r="F23" s="625" t="s">
        <v>302</v>
      </c>
      <c r="G23" s="626">
        <v>5.2499999999999997E-4</v>
      </c>
      <c r="H23" s="626">
        <v>1</v>
      </c>
      <c r="I23" s="382"/>
    </row>
    <row r="24" spans="1:11" outlineLevel="2">
      <c r="A24" s="382"/>
      <c r="B24" s="382" t="s">
        <v>297</v>
      </c>
      <c r="C24" s="386" t="s">
        <v>297</v>
      </c>
      <c r="D24" s="624" t="s">
        <v>18</v>
      </c>
      <c r="E24" s="386" t="s">
        <v>286</v>
      </c>
      <c r="F24" s="625" t="s">
        <v>303</v>
      </c>
      <c r="G24" s="626">
        <v>5.0000000000000001E-4</v>
      </c>
      <c r="H24" s="626">
        <v>1</v>
      </c>
      <c r="I24" s="382"/>
      <c r="K24" s="383" t="s">
        <v>1703</v>
      </c>
    </row>
    <row r="25" spans="1:11" outlineLevel="1">
      <c r="A25" s="382"/>
      <c r="B25" s="395" t="s">
        <v>521</v>
      </c>
      <c r="C25" s="390" t="s">
        <v>521</v>
      </c>
      <c r="D25" s="621" t="s">
        <v>18</v>
      </c>
      <c r="E25" s="390" t="s">
        <v>286</v>
      </c>
      <c r="F25" s="622" t="s">
        <v>1704</v>
      </c>
      <c r="G25" s="623">
        <f>SUM(G26:G28)</f>
        <v>0.153458592</v>
      </c>
      <c r="H25" s="623">
        <f>SUM(H26:H28)</f>
        <v>3</v>
      </c>
      <c r="I25" s="382"/>
    </row>
    <row r="26" spans="1:11" outlineLevel="2">
      <c r="A26" s="382"/>
      <c r="B26" s="382" t="s">
        <v>521</v>
      </c>
      <c r="C26" s="386" t="s">
        <v>521</v>
      </c>
      <c r="D26" s="624" t="s">
        <v>18</v>
      </c>
      <c r="E26" s="386" t="s">
        <v>286</v>
      </c>
      <c r="F26" s="625" t="s">
        <v>278</v>
      </c>
      <c r="G26" s="626">
        <v>4.3845312000000004E-2</v>
      </c>
      <c r="H26" s="626">
        <v>1</v>
      </c>
      <c r="I26" s="382"/>
    </row>
    <row r="27" spans="1:11" outlineLevel="2">
      <c r="A27" s="382"/>
      <c r="B27" s="382" t="s">
        <v>521</v>
      </c>
      <c r="C27" s="386" t="s">
        <v>521</v>
      </c>
      <c r="D27" s="624" t="s">
        <v>18</v>
      </c>
      <c r="E27" s="386" t="s">
        <v>286</v>
      </c>
      <c r="F27" s="625" t="s">
        <v>279</v>
      </c>
      <c r="G27" s="626">
        <v>6.576796800000001E-2</v>
      </c>
      <c r="H27" s="626">
        <v>1</v>
      </c>
      <c r="I27" s="382"/>
    </row>
    <row r="28" spans="1:11" outlineLevel="2">
      <c r="A28" s="382"/>
      <c r="B28" s="382" t="s">
        <v>521</v>
      </c>
      <c r="C28" s="386" t="s">
        <v>521</v>
      </c>
      <c r="D28" s="624" t="s">
        <v>18</v>
      </c>
      <c r="E28" s="386" t="s">
        <v>286</v>
      </c>
      <c r="F28" s="625" t="s">
        <v>33</v>
      </c>
      <c r="G28" s="626">
        <v>4.3845312000000004E-2</v>
      </c>
      <c r="H28" s="626">
        <v>1</v>
      </c>
      <c r="I28" s="382"/>
    </row>
    <row r="29" spans="1:11" outlineLevel="1">
      <c r="A29" s="382"/>
      <c r="B29" s="395" t="s">
        <v>949</v>
      </c>
      <c r="C29" s="395" t="s">
        <v>949</v>
      </c>
      <c r="D29" s="621" t="s">
        <v>18</v>
      </c>
      <c r="E29" s="390" t="s">
        <v>286</v>
      </c>
      <c r="F29" s="622" t="s">
        <v>1705</v>
      </c>
      <c r="G29" s="623">
        <f>SUM(G30:G39)</f>
        <v>0</v>
      </c>
      <c r="H29" s="623">
        <f>SUM(H30:H39)</f>
        <v>10</v>
      </c>
      <c r="I29" s="382"/>
    </row>
    <row r="30" spans="1:11" outlineLevel="2">
      <c r="A30" s="382"/>
      <c r="B30" s="382" t="s">
        <v>949</v>
      </c>
      <c r="C30" s="386" t="s">
        <v>949</v>
      </c>
      <c r="D30" s="624" t="s">
        <v>18</v>
      </c>
      <c r="E30" s="386" t="s">
        <v>286</v>
      </c>
      <c r="F30" s="625" t="s">
        <v>1706</v>
      </c>
      <c r="G30" s="626"/>
      <c r="H30" s="626">
        <v>1</v>
      </c>
      <c r="I30" s="382"/>
    </row>
    <row r="31" spans="1:11" outlineLevel="2">
      <c r="A31" s="382"/>
      <c r="B31" s="382" t="s">
        <v>949</v>
      </c>
      <c r="C31" s="386" t="s">
        <v>949</v>
      </c>
      <c r="D31" s="624" t="s">
        <v>18</v>
      </c>
      <c r="E31" s="386" t="s">
        <v>286</v>
      </c>
      <c r="F31" s="625" t="s">
        <v>1707</v>
      </c>
      <c r="G31" s="626"/>
      <c r="H31" s="626">
        <v>1</v>
      </c>
      <c r="I31" s="382"/>
    </row>
    <row r="32" spans="1:11" outlineLevel="2">
      <c r="A32" s="382"/>
      <c r="B32" s="382" t="s">
        <v>949</v>
      </c>
      <c r="C32" s="386" t="s">
        <v>949</v>
      </c>
      <c r="D32" s="624" t="s">
        <v>18</v>
      </c>
      <c r="E32" s="386" t="s">
        <v>286</v>
      </c>
      <c r="F32" s="625" t="s">
        <v>1708</v>
      </c>
      <c r="G32" s="626"/>
      <c r="H32" s="626">
        <v>1</v>
      </c>
      <c r="I32" s="382"/>
    </row>
    <row r="33" spans="1:9" outlineLevel="2">
      <c r="A33" s="382"/>
      <c r="B33" s="382" t="s">
        <v>949</v>
      </c>
      <c r="C33" s="386" t="s">
        <v>949</v>
      </c>
      <c r="D33" s="624" t="s">
        <v>18</v>
      </c>
      <c r="E33" s="386" t="s">
        <v>286</v>
      </c>
      <c r="F33" s="625" t="s">
        <v>1709</v>
      </c>
      <c r="G33" s="626"/>
      <c r="H33" s="626">
        <v>1</v>
      </c>
      <c r="I33" s="382"/>
    </row>
    <row r="34" spans="1:9" outlineLevel="2">
      <c r="A34" s="382"/>
      <c r="B34" s="382" t="s">
        <v>949</v>
      </c>
      <c r="C34" s="386" t="s">
        <v>949</v>
      </c>
      <c r="D34" s="624" t="s">
        <v>18</v>
      </c>
      <c r="E34" s="386" t="s">
        <v>286</v>
      </c>
      <c r="F34" s="625" t="s">
        <v>1710</v>
      </c>
      <c r="G34" s="626"/>
      <c r="H34" s="626">
        <v>1</v>
      </c>
      <c r="I34" s="382"/>
    </row>
    <row r="35" spans="1:9" outlineLevel="2">
      <c r="A35" s="382"/>
      <c r="B35" s="382" t="s">
        <v>949</v>
      </c>
      <c r="C35" s="386" t="s">
        <v>949</v>
      </c>
      <c r="D35" s="624" t="s">
        <v>18</v>
      </c>
      <c r="E35" s="386" t="s">
        <v>286</v>
      </c>
      <c r="F35" s="625" t="s">
        <v>1711</v>
      </c>
      <c r="G35" s="626"/>
      <c r="H35" s="626">
        <v>1</v>
      </c>
      <c r="I35" s="382"/>
    </row>
    <row r="36" spans="1:9" outlineLevel="2">
      <c r="A36" s="382"/>
      <c r="B36" s="382" t="s">
        <v>949</v>
      </c>
      <c r="C36" s="386" t="s">
        <v>949</v>
      </c>
      <c r="D36" s="624" t="s">
        <v>18</v>
      </c>
      <c r="E36" s="386" t="s">
        <v>286</v>
      </c>
      <c r="F36" s="625" t="s">
        <v>1712</v>
      </c>
      <c r="G36" s="626"/>
      <c r="H36" s="626">
        <v>1</v>
      </c>
      <c r="I36" s="382"/>
    </row>
    <row r="37" spans="1:9" outlineLevel="2">
      <c r="A37" s="382"/>
      <c r="B37" s="382" t="s">
        <v>949</v>
      </c>
      <c r="C37" s="386" t="s">
        <v>949</v>
      </c>
      <c r="D37" s="624" t="s">
        <v>18</v>
      </c>
      <c r="E37" s="386" t="s">
        <v>286</v>
      </c>
      <c r="F37" s="625" t="s">
        <v>1713</v>
      </c>
      <c r="G37" s="626"/>
      <c r="H37" s="626">
        <v>1</v>
      </c>
      <c r="I37" s="382"/>
    </row>
    <row r="38" spans="1:9" outlineLevel="2">
      <c r="A38" s="382"/>
      <c r="B38" s="382" t="s">
        <v>949</v>
      </c>
      <c r="C38" s="386" t="s">
        <v>949</v>
      </c>
      <c r="D38" s="624" t="s">
        <v>18</v>
      </c>
      <c r="E38" s="386" t="s">
        <v>286</v>
      </c>
      <c r="F38" s="625" t="s">
        <v>1714</v>
      </c>
      <c r="G38" s="626"/>
      <c r="H38" s="626">
        <v>1</v>
      </c>
      <c r="I38" s="382"/>
    </row>
    <row r="39" spans="1:9" outlineLevel="2">
      <c r="A39" s="382"/>
      <c r="B39" s="382" t="s">
        <v>949</v>
      </c>
      <c r="C39" s="386" t="s">
        <v>949</v>
      </c>
      <c r="D39" s="624" t="s">
        <v>18</v>
      </c>
      <c r="E39" s="386" t="s">
        <v>286</v>
      </c>
      <c r="F39" s="625" t="s">
        <v>1715</v>
      </c>
      <c r="G39" s="626"/>
      <c r="H39" s="626">
        <v>1</v>
      </c>
      <c r="I39" s="382"/>
    </row>
    <row r="40" spans="1:9" outlineLevel="1">
      <c r="A40" s="382"/>
      <c r="B40" s="630" t="s">
        <v>1716</v>
      </c>
      <c r="C40" s="395" t="s">
        <v>1717</v>
      </c>
      <c r="D40" s="621" t="s">
        <v>18</v>
      </c>
      <c r="E40" s="390" t="s">
        <v>286</v>
      </c>
      <c r="F40" s="622" t="s">
        <v>1718</v>
      </c>
      <c r="G40" s="623">
        <f>SUM(G41:G45)</f>
        <v>0</v>
      </c>
      <c r="H40" s="623">
        <f>SUM(H41:H45)</f>
        <v>5</v>
      </c>
      <c r="I40" s="382"/>
    </row>
    <row r="41" spans="1:9" outlineLevel="2">
      <c r="A41" s="382"/>
      <c r="B41" s="382" t="s">
        <v>1716</v>
      </c>
      <c r="C41" s="386" t="s">
        <v>1717</v>
      </c>
      <c r="D41" s="624" t="s">
        <v>18</v>
      </c>
      <c r="E41" s="386" t="s">
        <v>286</v>
      </c>
      <c r="F41" s="625" t="s">
        <v>1719</v>
      </c>
      <c r="G41" s="626"/>
      <c r="H41" s="626">
        <v>1</v>
      </c>
      <c r="I41" s="382"/>
    </row>
    <row r="42" spans="1:9" outlineLevel="2">
      <c r="A42" s="382"/>
      <c r="B42" s="382" t="s">
        <v>1716</v>
      </c>
      <c r="C42" s="386" t="s">
        <v>1717</v>
      </c>
      <c r="D42" s="624" t="s">
        <v>18</v>
      </c>
      <c r="E42" s="386" t="s">
        <v>286</v>
      </c>
      <c r="F42" s="625" t="s">
        <v>1720</v>
      </c>
      <c r="G42" s="626"/>
      <c r="H42" s="626">
        <v>1</v>
      </c>
      <c r="I42" s="382"/>
    </row>
    <row r="43" spans="1:9" outlineLevel="2">
      <c r="A43" s="382"/>
      <c r="B43" s="382" t="s">
        <v>1716</v>
      </c>
      <c r="C43" s="386" t="s">
        <v>1717</v>
      </c>
      <c r="D43" s="624" t="s">
        <v>18</v>
      </c>
      <c r="E43" s="386" t="s">
        <v>286</v>
      </c>
      <c r="F43" s="625" t="s">
        <v>1721</v>
      </c>
      <c r="G43" s="626"/>
      <c r="H43" s="626">
        <v>1</v>
      </c>
      <c r="I43" s="382"/>
    </row>
    <row r="44" spans="1:9" outlineLevel="2">
      <c r="A44" s="382"/>
      <c r="B44" s="382" t="s">
        <v>1716</v>
      </c>
      <c r="C44" s="386" t="s">
        <v>1717</v>
      </c>
      <c r="D44" s="624" t="s">
        <v>18</v>
      </c>
      <c r="E44" s="386" t="s">
        <v>286</v>
      </c>
      <c r="F44" s="625" t="s">
        <v>1722</v>
      </c>
      <c r="G44" s="626"/>
      <c r="H44" s="626">
        <v>1</v>
      </c>
      <c r="I44" s="382"/>
    </row>
    <row r="45" spans="1:9" outlineLevel="2">
      <c r="A45" s="382"/>
      <c r="B45" s="382" t="s">
        <v>1716</v>
      </c>
      <c r="C45" s="386" t="s">
        <v>1717</v>
      </c>
      <c r="D45" s="624" t="s">
        <v>18</v>
      </c>
      <c r="E45" s="386" t="s">
        <v>286</v>
      </c>
      <c r="F45" s="625" t="s">
        <v>1723</v>
      </c>
      <c r="G45" s="626"/>
      <c r="H45" s="626">
        <v>1</v>
      </c>
      <c r="I45" s="382"/>
    </row>
    <row r="46" spans="1:9" outlineLevel="1">
      <c r="A46" s="382"/>
      <c r="B46" s="395" t="s">
        <v>1724</v>
      </c>
      <c r="C46" s="395" t="s">
        <v>1725</v>
      </c>
      <c r="D46" s="621" t="s">
        <v>18</v>
      </c>
      <c r="E46" s="390" t="s">
        <v>286</v>
      </c>
      <c r="F46" s="622" t="s">
        <v>1724</v>
      </c>
      <c r="G46" s="623">
        <f>SUM(G47:G48)</f>
        <v>0</v>
      </c>
      <c r="H46" s="623">
        <f>SUM(H47:H48)</f>
        <v>2</v>
      </c>
      <c r="I46" s="382"/>
    </row>
    <row r="47" spans="1:9" outlineLevel="2">
      <c r="A47" s="382"/>
      <c r="B47" s="382" t="s">
        <v>1724</v>
      </c>
      <c r="C47" s="382" t="s">
        <v>1725</v>
      </c>
      <c r="D47" s="624" t="s">
        <v>18</v>
      </c>
      <c r="E47" s="386" t="s">
        <v>286</v>
      </c>
      <c r="F47" s="625" t="s">
        <v>334</v>
      </c>
      <c r="G47" s="626"/>
      <c r="H47" s="626">
        <v>1</v>
      </c>
      <c r="I47" s="382"/>
    </row>
    <row r="48" spans="1:9" outlineLevel="2">
      <c r="A48" s="382"/>
      <c r="B48" s="382" t="s">
        <v>1724</v>
      </c>
      <c r="C48" s="382" t="s">
        <v>1725</v>
      </c>
      <c r="D48" s="624" t="s">
        <v>18</v>
      </c>
      <c r="E48" s="386" t="s">
        <v>286</v>
      </c>
      <c r="F48" s="625" t="s">
        <v>32</v>
      </c>
      <c r="G48" s="626"/>
      <c r="H48" s="626">
        <v>1</v>
      </c>
      <c r="I48" s="382"/>
    </row>
    <row r="49" spans="1:9" outlineLevel="1">
      <c r="A49" s="382"/>
      <c r="B49" s="395" t="s">
        <v>1726</v>
      </c>
      <c r="C49" s="630" t="s">
        <v>1389</v>
      </c>
      <c r="D49" s="621" t="s">
        <v>18</v>
      </c>
      <c r="E49" s="390" t="s">
        <v>286</v>
      </c>
      <c r="F49" s="622" t="s">
        <v>1726</v>
      </c>
      <c r="G49" s="623">
        <f>SUM(G50:G52)</f>
        <v>0</v>
      </c>
      <c r="H49" s="623">
        <f>SUM(H50:H52)</f>
        <v>3</v>
      </c>
      <c r="I49" s="382"/>
    </row>
    <row r="50" spans="1:9" outlineLevel="2">
      <c r="A50" s="382"/>
      <c r="B50" s="382" t="s">
        <v>1726</v>
      </c>
      <c r="C50" s="386" t="s">
        <v>1389</v>
      </c>
      <c r="D50" s="624" t="s">
        <v>18</v>
      </c>
      <c r="E50" s="386" t="s">
        <v>286</v>
      </c>
      <c r="F50" s="625" t="s">
        <v>1727</v>
      </c>
      <c r="G50" s="626"/>
      <c r="H50" s="626">
        <v>1</v>
      </c>
      <c r="I50" s="382"/>
    </row>
    <row r="51" spans="1:9" outlineLevel="2">
      <c r="A51" s="382"/>
      <c r="B51" s="382" t="s">
        <v>1726</v>
      </c>
      <c r="C51" s="386" t="s">
        <v>1389</v>
      </c>
      <c r="D51" s="624" t="s">
        <v>18</v>
      </c>
      <c r="E51" s="386" t="s">
        <v>286</v>
      </c>
      <c r="F51" s="625" t="s">
        <v>1728</v>
      </c>
      <c r="G51" s="626"/>
      <c r="H51" s="626">
        <v>1</v>
      </c>
      <c r="I51" s="382"/>
    </row>
    <row r="52" spans="1:9" outlineLevel="2">
      <c r="A52" s="382"/>
      <c r="B52" s="382" t="s">
        <v>1726</v>
      </c>
      <c r="C52" s="386" t="s">
        <v>1389</v>
      </c>
      <c r="D52" s="624" t="s">
        <v>18</v>
      </c>
      <c r="E52" s="386" t="s">
        <v>286</v>
      </c>
      <c r="F52" s="625" t="s">
        <v>1729</v>
      </c>
      <c r="G52" s="626"/>
      <c r="H52" s="626">
        <v>1</v>
      </c>
      <c r="I52" s="382"/>
    </row>
    <row r="53" spans="1:9" outlineLevel="1">
      <c r="A53" s="382"/>
      <c r="B53" s="395" t="s">
        <v>1730</v>
      </c>
      <c r="C53" s="390" t="s">
        <v>1731</v>
      </c>
      <c r="D53" s="621" t="s">
        <v>18</v>
      </c>
      <c r="E53" s="390" t="s">
        <v>286</v>
      </c>
      <c r="F53" s="622" t="s">
        <v>935</v>
      </c>
      <c r="G53" s="623">
        <f>SUM(G54)</f>
        <v>0</v>
      </c>
      <c r="H53" s="623">
        <f>SUM(H54)</f>
        <v>1</v>
      </c>
      <c r="I53" s="382"/>
    </row>
    <row r="54" spans="1:9" outlineLevel="2">
      <c r="A54" s="382"/>
      <c r="B54" s="382" t="s">
        <v>1730</v>
      </c>
      <c r="C54" s="386" t="s">
        <v>1731</v>
      </c>
      <c r="D54" s="624" t="s">
        <v>18</v>
      </c>
      <c r="E54" s="386" t="s">
        <v>286</v>
      </c>
      <c r="F54" s="625" t="s">
        <v>334</v>
      </c>
      <c r="G54" s="626"/>
      <c r="H54" s="626">
        <v>1</v>
      </c>
      <c r="I54" s="382"/>
    </row>
    <row r="55" spans="1:9" outlineLevel="1">
      <c r="A55" s="382"/>
      <c r="B55" s="395" t="s">
        <v>1732</v>
      </c>
      <c r="C55" s="395" t="s">
        <v>1732</v>
      </c>
      <c r="D55" s="621" t="s">
        <v>18</v>
      </c>
      <c r="E55" s="390" t="s">
        <v>286</v>
      </c>
      <c r="F55" s="622" t="s">
        <v>1733</v>
      </c>
      <c r="G55" s="623">
        <f>SUM(G56:G58)</f>
        <v>0</v>
      </c>
      <c r="H55" s="623">
        <f>SUM(H56:H58)</f>
        <v>3</v>
      </c>
      <c r="I55" s="382"/>
    </row>
    <row r="56" spans="1:9" outlineLevel="2">
      <c r="A56" s="382"/>
      <c r="B56" s="382" t="s">
        <v>1732</v>
      </c>
      <c r="C56" s="382" t="s">
        <v>1732</v>
      </c>
      <c r="D56" s="624" t="s">
        <v>18</v>
      </c>
      <c r="E56" s="386" t="s">
        <v>286</v>
      </c>
      <c r="F56" s="625" t="s">
        <v>1734</v>
      </c>
      <c r="G56" s="626"/>
      <c r="H56" s="626">
        <v>1</v>
      </c>
      <c r="I56" s="382"/>
    </row>
    <row r="57" spans="1:9" outlineLevel="2">
      <c r="A57" s="382"/>
      <c r="B57" s="382" t="s">
        <v>1732</v>
      </c>
      <c r="C57" s="382" t="s">
        <v>1732</v>
      </c>
      <c r="D57" s="624" t="s">
        <v>18</v>
      </c>
      <c r="E57" s="386" t="s">
        <v>286</v>
      </c>
      <c r="F57" s="625" t="s">
        <v>1735</v>
      </c>
      <c r="G57" s="626"/>
      <c r="H57" s="626">
        <v>1</v>
      </c>
      <c r="I57" s="382"/>
    </row>
    <row r="58" spans="1:9" outlineLevel="2">
      <c r="A58" s="382"/>
      <c r="B58" s="382" t="s">
        <v>1732</v>
      </c>
      <c r="C58" s="382" t="s">
        <v>1732</v>
      </c>
      <c r="D58" s="624" t="s">
        <v>18</v>
      </c>
      <c r="E58" s="386" t="s">
        <v>286</v>
      </c>
      <c r="F58" s="625" t="s">
        <v>1736</v>
      </c>
      <c r="G58" s="626"/>
      <c r="H58" s="626">
        <v>1</v>
      </c>
      <c r="I58" s="382"/>
    </row>
    <row r="59" spans="1:9" outlineLevel="1">
      <c r="A59" s="382"/>
      <c r="B59" s="395" t="s">
        <v>1737</v>
      </c>
      <c r="C59" s="395" t="s">
        <v>1737</v>
      </c>
      <c r="D59" s="621" t="s">
        <v>18</v>
      </c>
      <c r="E59" s="390" t="s">
        <v>286</v>
      </c>
      <c r="F59" s="622" t="s">
        <v>1738</v>
      </c>
      <c r="G59" s="623">
        <f>SUM(G60:G61)</f>
        <v>0</v>
      </c>
      <c r="H59" s="623">
        <f>SUM(H60:H61)</f>
        <v>2</v>
      </c>
      <c r="I59" s="382"/>
    </row>
    <row r="60" spans="1:9" outlineLevel="2">
      <c r="A60" s="382"/>
      <c r="B60" s="382" t="s">
        <v>1737</v>
      </c>
      <c r="C60" s="382" t="s">
        <v>1737</v>
      </c>
      <c r="D60" s="624" t="s">
        <v>18</v>
      </c>
      <c r="E60" s="386" t="s">
        <v>286</v>
      </c>
      <c r="F60" s="625" t="s">
        <v>334</v>
      </c>
      <c r="G60" s="626"/>
      <c r="H60" s="626">
        <v>1</v>
      </c>
      <c r="I60" s="382"/>
    </row>
    <row r="61" spans="1:9" outlineLevel="2">
      <c r="A61" s="382"/>
      <c r="B61" s="382" t="s">
        <v>1737</v>
      </c>
      <c r="C61" s="382" t="s">
        <v>1737</v>
      </c>
      <c r="D61" s="624" t="s">
        <v>18</v>
      </c>
      <c r="E61" s="386" t="s">
        <v>286</v>
      </c>
      <c r="F61" s="625" t="s">
        <v>32</v>
      </c>
      <c r="G61" s="626"/>
      <c r="H61" s="626">
        <v>1</v>
      </c>
      <c r="I61" s="382"/>
    </row>
    <row r="62" spans="1:9" ht="3" customHeight="1">
      <c r="A62" s="382"/>
      <c r="B62" s="382"/>
      <c r="C62" s="382"/>
      <c r="D62" s="382"/>
      <c r="E62" s="382"/>
      <c r="F62" s="561"/>
      <c r="G62" s="567"/>
      <c r="H62" s="567"/>
      <c r="I62" s="38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1:X16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3.7109375" style="383" bestFit="1" customWidth="1"/>
    <col min="6" max="6" width="66.28515625" style="584" bestFit="1" customWidth="1"/>
    <col min="7" max="7" width="12.7109375" style="383" bestFit="1" customWidth="1"/>
    <col min="8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4" ht="17.100000000000001" customHeight="1">
      <c r="A1" s="392"/>
      <c r="B1" s="392"/>
      <c r="C1" s="392"/>
      <c r="D1" s="392"/>
      <c r="E1" s="392"/>
      <c r="F1" s="637"/>
      <c r="G1" s="392"/>
      <c r="H1" s="392"/>
      <c r="I1" s="392"/>
    </row>
    <row r="2" spans="1:24" s="434" customFormat="1" ht="17.45">
      <c r="A2" s="502"/>
      <c r="B2" s="638" t="s">
        <v>1659</v>
      </c>
      <c r="C2" s="638"/>
      <c r="D2" s="638"/>
      <c r="E2" s="638"/>
      <c r="F2" s="639"/>
      <c r="G2" s="640" t="s">
        <v>1</v>
      </c>
      <c r="H2" s="640" t="s">
        <v>6</v>
      </c>
      <c r="I2" s="502"/>
      <c r="L2" s="474"/>
    </row>
    <row r="3" spans="1:24" ht="3" customHeight="1">
      <c r="A3" s="392"/>
      <c r="B3" s="392"/>
      <c r="C3" s="392"/>
      <c r="D3" s="392"/>
      <c r="E3" s="392"/>
      <c r="F3" s="637"/>
      <c r="G3" s="392"/>
      <c r="H3" s="392"/>
      <c r="I3" s="392"/>
    </row>
    <row r="4" spans="1:24" s="385" customFormat="1" ht="15">
      <c r="A4" s="641"/>
      <c r="B4" s="486" t="s">
        <v>8</v>
      </c>
      <c r="C4" s="486" t="s">
        <v>9</v>
      </c>
      <c r="D4" s="486" t="s">
        <v>10</v>
      </c>
      <c r="E4" s="486" t="s">
        <v>11</v>
      </c>
      <c r="F4" s="642" t="s">
        <v>12</v>
      </c>
      <c r="G4" s="643">
        <f>SUM(G7)</f>
        <v>0</v>
      </c>
      <c r="H4" s="643">
        <f>SUM(H7)</f>
        <v>13</v>
      </c>
      <c r="I4" s="641"/>
      <c r="O4" s="509"/>
      <c r="U4" s="383"/>
      <c r="V4" s="383"/>
      <c r="W4" s="383"/>
    </row>
    <row r="5" spans="1:24" ht="10.35" hidden="1" customHeight="1">
      <c r="A5" s="392"/>
      <c r="B5" s="502"/>
      <c r="C5" s="392"/>
      <c r="D5" s="502"/>
      <c r="E5" s="502" t="s">
        <v>13</v>
      </c>
      <c r="F5" s="637"/>
      <c r="G5" s="644"/>
      <c r="H5" s="644"/>
      <c r="I5" s="392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</row>
    <row r="6" spans="1:24" ht="3" customHeight="1">
      <c r="A6" s="392"/>
      <c r="B6" s="392"/>
      <c r="C6" s="392"/>
      <c r="D6" s="392"/>
      <c r="E6" s="392"/>
      <c r="F6" s="637"/>
      <c r="G6" s="645"/>
      <c r="H6" s="645"/>
      <c r="I6" s="392"/>
    </row>
    <row r="7" spans="1:24" s="434" customFormat="1" ht="15.6">
      <c r="A7" s="502"/>
      <c r="B7" s="646" t="s">
        <v>654</v>
      </c>
      <c r="C7" s="647"/>
      <c r="D7" s="647"/>
      <c r="E7" s="647"/>
      <c r="F7" s="648"/>
      <c r="G7" s="649">
        <f>SUM(G9:G10)</f>
        <v>0</v>
      </c>
      <c r="H7" s="649">
        <f>SUM(H9:H15)</f>
        <v>13</v>
      </c>
      <c r="I7" s="502"/>
      <c r="L7" s="474"/>
    </row>
    <row r="8" spans="1:24" ht="3" customHeight="1" outlineLevel="1">
      <c r="A8" s="392"/>
      <c r="B8" s="392"/>
      <c r="C8" s="392"/>
      <c r="D8" s="392"/>
      <c r="E8" s="392"/>
      <c r="F8" s="637"/>
      <c r="G8" s="645"/>
      <c r="H8" s="645"/>
      <c r="I8" s="392"/>
    </row>
    <row r="9" spans="1:24" outlineLevel="1">
      <c r="A9" s="392"/>
      <c r="B9" s="392" t="s">
        <v>200</v>
      </c>
      <c r="C9" s="502" t="s">
        <v>309</v>
      </c>
      <c r="D9" s="483" t="s">
        <v>18</v>
      </c>
      <c r="E9" s="502" t="s">
        <v>654</v>
      </c>
      <c r="F9" s="570" t="s">
        <v>1654</v>
      </c>
      <c r="G9" s="571"/>
      <c r="H9" s="571">
        <v>6</v>
      </c>
      <c r="I9" s="392"/>
    </row>
    <row r="10" spans="1:24" outlineLevel="1">
      <c r="A10" s="392"/>
      <c r="B10" s="392" t="s">
        <v>313</v>
      </c>
      <c r="C10" s="502" t="s">
        <v>309</v>
      </c>
      <c r="D10" s="483" t="s">
        <v>18</v>
      </c>
      <c r="E10" s="502" t="s">
        <v>654</v>
      </c>
      <c r="F10" s="570" t="s">
        <v>1655</v>
      </c>
      <c r="G10" s="571"/>
      <c r="H10" s="571">
        <v>2</v>
      </c>
      <c r="I10" s="392"/>
    </row>
    <row r="11" spans="1:24" outlineLevel="1">
      <c r="A11" s="392"/>
      <c r="B11" s="392" t="s">
        <v>1739</v>
      </c>
      <c r="C11" s="502" t="s">
        <v>309</v>
      </c>
      <c r="D11" s="483" t="s">
        <v>18</v>
      </c>
      <c r="E11" s="502" t="s">
        <v>654</v>
      </c>
      <c r="F11" s="570" t="s">
        <v>1740</v>
      </c>
      <c r="G11" s="571"/>
      <c r="H11" s="571">
        <v>1</v>
      </c>
      <c r="I11" s="392"/>
    </row>
    <row r="12" spans="1:24" outlineLevel="1">
      <c r="A12" s="392"/>
      <c r="B12" s="392" t="s">
        <v>1739</v>
      </c>
      <c r="C12" s="502" t="s">
        <v>309</v>
      </c>
      <c r="D12" s="483" t="s">
        <v>18</v>
      </c>
      <c r="E12" s="502" t="s">
        <v>654</v>
      </c>
      <c r="F12" s="570" t="s">
        <v>1741</v>
      </c>
      <c r="G12" s="571"/>
      <c r="H12" s="571">
        <v>1</v>
      </c>
      <c r="I12" s="392"/>
    </row>
    <row r="13" spans="1:24" outlineLevel="1">
      <c r="A13" s="392"/>
      <c r="B13" s="392" t="s">
        <v>873</v>
      </c>
      <c r="C13" s="502" t="s">
        <v>309</v>
      </c>
      <c r="D13" s="483" t="s">
        <v>18</v>
      </c>
      <c r="E13" s="502" t="s">
        <v>654</v>
      </c>
      <c r="F13" s="570" t="s">
        <v>1742</v>
      </c>
      <c r="G13" s="571"/>
      <c r="H13" s="571">
        <v>1</v>
      </c>
      <c r="I13" s="392"/>
    </row>
    <row r="14" spans="1:24" outlineLevel="1">
      <c r="A14" s="392"/>
      <c r="B14" s="392" t="s">
        <v>873</v>
      </c>
      <c r="C14" s="502" t="s">
        <v>309</v>
      </c>
      <c r="D14" s="483" t="s">
        <v>18</v>
      </c>
      <c r="E14" s="502" t="s">
        <v>654</v>
      </c>
      <c r="F14" s="570" t="s">
        <v>1743</v>
      </c>
      <c r="G14" s="571"/>
      <c r="H14" s="571">
        <v>1</v>
      </c>
      <c r="I14" s="392"/>
    </row>
    <row r="15" spans="1:24" outlineLevel="1">
      <c r="A15" s="392"/>
      <c r="B15" s="392" t="s">
        <v>1744</v>
      </c>
      <c r="C15" s="502" t="s">
        <v>309</v>
      </c>
      <c r="D15" s="483" t="s">
        <v>18</v>
      </c>
      <c r="E15" s="502" t="s">
        <v>654</v>
      </c>
      <c r="F15" s="570" t="s">
        <v>1745</v>
      </c>
      <c r="G15" s="571"/>
      <c r="H15" s="571">
        <v>1</v>
      </c>
      <c r="I15" s="392"/>
    </row>
    <row r="16" spans="1:24" ht="3" customHeight="1">
      <c r="A16" s="392"/>
      <c r="B16" s="392"/>
      <c r="C16" s="392"/>
      <c r="D16" s="392"/>
      <c r="E16" s="392"/>
      <c r="F16" s="637"/>
      <c r="G16" s="645"/>
      <c r="H16" s="645"/>
      <c r="I16" s="39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1:Y163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83" customWidth="1"/>
    <col min="2" max="2" width="6.42578125" style="383" bestFit="1" customWidth="1"/>
    <col min="3" max="3" width="19.42578125" style="383" customWidth="1"/>
    <col min="4" max="4" width="16.28515625" style="383" bestFit="1" customWidth="1"/>
    <col min="5" max="5" width="12.5703125" style="383" customWidth="1"/>
    <col min="6" max="6" width="13.7109375" style="383" bestFit="1" customWidth="1"/>
    <col min="7" max="7" width="66.28515625" style="584" bestFit="1" customWidth="1"/>
    <col min="8" max="9" width="11" style="383" customWidth="1"/>
    <col min="10" max="10" width="0.5703125" style="383" customWidth="1"/>
    <col min="11" max="12" width="9.42578125" style="383"/>
    <col min="13" max="14" width="9.5703125" style="383" bestFit="1" customWidth="1"/>
    <col min="15" max="15" width="7" style="383" bestFit="1" customWidth="1"/>
    <col min="16" max="16" width="8.5703125" style="383" bestFit="1" customWidth="1"/>
    <col min="17" max="17" width="12.5703125" style="383" customWidth="1"/>
    <col min="18" max="18" width="7.5703125" style="383" bestFit="1" customWidth="1"/>
    <col min="19" max="19" width="5.5703125" style="383" bestFit="1" customWidth="1"/>
    <col min="20" max="20" width="9.42578125" style="383" bestFit="1" customWidth="1"/>
    <col min="21" max="24" width="9.42578125" style="383"/>
    <col min="25" max="25" width="9.42578125" style="383" bestFit="1" customWidth="1"/>
    <col min="26" max="16384" width="9.42578125" style="383"/>
  </cols>
  <sheetData>
    <row r="1" spans="1:25" ht="17.100000000000001" customHeight="1">
      <c r="A1" s="382"/>
      <c r="B1" s="382"/>
      <c r="C1" s="382"/>
      <c r="D1" s="382"/>
      <c r="E1" s="382"/>
      <c r="F1" s="382"/>
      <c r="G1" s="382"/>
      <c r="H1" s="567"/>
      <c r="I1" s="567"/>
      <c r="J1" s="382"/>
    </row>
    <row r="2" spans="1:25" s="434" customFormat="1" ht="17.45">
      <c r="A2" s="386"/>
      <c r="B2" s="386"/>
      <c r="C2" s="436" t="s">
        <v>1659</v>
      </c>
      <c r="D2" s="436"/>
      <c r="E2" s="436"/>
      <c r="F2" s="436"/>
      <c r="G2" s="562"/>
      <c r="H2" s="439" t="s">
        <v>1</v>
      </c>
      <c r="I2" s="439" t="s">
        <v>6</v>
      </c>
      <c r="J2" s="386"/>
      <c r="M2" s="474"/>
    </row>
    <row r="3" spans="1:25" ht="3" customHeight="1">
      <c r="A3" s="382"/>
      <c r="B3" s="382"/>
      <c r="C3" s="382"/>
      <c r="D3" s="382"/>
      <c r="E3" s="382"/>
      <c r="F3" s="382"/>
      <c r="G3" s="561"/>
      <c r="H3" s="382"/>
      <c r="I3" s="382"/>
      <c r="J3" s="382"/>
    </row>
    <row r="4" spans="1:25" s="385" customFormat="1" ht="15">
      <c r="A4" s="384"/>
      <c r="B4" s="384"/>
      <c r="C4" s="435" t="s">
        <v>8</v>
      </c>
      <c r="D4" s="435" t="s">
        <v>9</v>
      </c>
      <c r="E4" s="435" t="s">
        <v>10</v>
      </c>
      <c r="F4" s="435" t="s">
        <v>11</v>
      </c>
      <c r="G4" s="452" t="s">
        <v>12</v>
      </c>
      <c r="H4" s="453">
        <f>SUM(H7)</f>
        <v>20.955198684521026</v>
      </c>
      <c r="I4" s="453">
        <f>SUM(I7)</f>
        <v>114</v>
      </c>
      <c r="J4" s="384"/>
      <c r="P4" s="509"/>
      <c r="V4" s="383"/>
      <c r="W4" s="383"/>
      <c r="X4" s="383"/>
    </row>
    <row r="5" spans="1:25" ht="10.35" customHeight="1">
      <c r="A5" s="382"/>
      <c r="B5" s="382"/>
      <c r="C5" s="386"/>
      <c r="D5" s="382"/>
      <c r="E5" s="386"/>
      <c r="F5" s="386" t="s">
        <v>13</v>
      </c>
      <c r="G5" s="561"/>
      <c r="H5" s="387"/>
      <c r="I5" s="387"/>
      <c r="J5" s="382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</row>
    <row r="6" spans="1:25" ht="3" customHeight="1">
      <c r="A6" s="382"/>
      <c r="B6" s="382"/>
      <c r="C6" s="382"/>
      <c r="D6" s="382"/>
      <c r="E6" s="382"/>
      <c r="F6" s="382"/>
      <c r="G6" s="561"/>
      <c r="H6" s="382"/>
      <c r="I6" s="382"/>
      <c r="J6" s="382"/>
    </row>
    <row r="7" spans="1:25" s="434" customFormat="1" ht="15.6">
      <c r="A7" s="386"/>
      <c r="B7" s="386" t="s">
        <v>1671</v>
      </c>
      <c r="C7" s="563" t="s">
        <v>27</v>
      </c>
      <c r="D7" s="564"/>
      <c r="E7" s="564"/>
      <c r="F7" s="564"/>
      <c r="G7" s="565"/>
      <c r="H7" s="566">
        <f>SUM(H9,H11,H14,H30,H35,H39,H48,H52,H56,H68,H73,H76,H77,H83,H88,H90,H107,H114,H115,H116,H117,H119,H123,H124,H126,H128,H130,H132,H135,H137,H139,H143,H146,H148,H153,H154,H155,H156,H158,H160)</f>
        <v>20.955198684521026</v>
      </c>
      <c r="I7" s="566">
        <f>SUM(I9,I11,I14,I30,I35,I39,I48,I52,I56,I68,I73,I76,I77,I83,I88,I90,I107,I114,I115,I116,I117,I119,I123,I124,I126,I128,I130,I132,I135,I137,I139,I143,I146,I148,I153,I154,I155,I156,I158,I160)</f>
        <v>114</v>
      </c>
      <c r="J7" s="386"/>
      <c r="M7" s="474"/>
    </row>
    <row r="8" spans="1:25" ht="3" customHeight="1" outlineLevel="1">
      <c r="A8" s="382"/>
      <c r="B8" s="382"/>
      <c r="C8" s="382"/>
      <c r="D8" s="382"/>
      <c r="E8" s="382"/>
      <c r="F8" s="382"/>
      <c r="G8" s="561"/>
      <c r="H8" s="567"/>
      <c r="I8" s="567"/>
      <c r="J8" s="382"/>
    </row>
    <row r="9" spans="1:25" outlineLevel="1">
      <c r="A9" s="382"/>
      <c r="B9" s="382"/>
      <c r="C9" s="395" t="s">
        <v>15</v>
      </c>
      <c r="D9" s="395" t="s">
        <v>19</v>
      </c>
      <c r="E9" s="395" t="s">
        <v>26</v>
      </c>
      <c r="F9" s="395" t="s">
        <v>27</v>
      </c>
      <c r="G9" s="622" t="s">
        <v>1672</v>
      </c>
      <c r="H9" s="631">
        <f>SUM(H10)</f>
        <v>5.2867302539999998E-3</v>
      </c>
      <c r="I9" s="631">
        <f>SUM(I10)</f>
        <v>1</v>
      </c>
      <c r="J9" s="382"/>
    </row>
    <row r="10" spans="1:25" outlineLevel="2">
      <c r="A10" s="382"/>
      <c r="B10" s="382">
        <v>1</v>
      </c>
      <c r="C10" s="382" t="s">
        <v>15</v>
      </c>
      <c r="D10" s="382" t="s">
        <v>19</v>
      </c>
      <c r="E10" s="382" t="s">
        <v>26</v>
      </c>
      <c r="F10" s="382" t="s">
        <v>27</v>
      </c>
      <c r="G10" s="561" t="s">
        <v>22</v>
      </c>
      <c r="H10" s="567">
        <v>5.2867302539999998E-3</v>
      </c>
      <c r="I10" s="567">
        <v>1</v>
      </c>
      <c r="J10" s="382"/>
    </row>
    <row r="11" spans="1:25" outlineLevel="1">
      <c r="A11" s="382"/>
      <c r="B11" s="382"/>
      <c r="C11" s="395" t="s">
        <v>15</v>
      </c>
      <c r="D11" s="395" t="s">
        <v>23</v>
      </c>
      <c r="E11" s="395" t="s">
        <v>26</v>
      </c>
      <c r="F11" s="395" t="s">
        <v>27</v>
      </c>
      <c r="G11" s="622" t="s">
        <v>1672</v>
      </c>
      <c r="H11" s="631">
        <f>SUM(H12:H13)</f>
        <v>1.6064216963956598E-2</v>
      </c>
      <c r="I11" s="631">
        <f>SUM(I12:I13)</f>
        <v>2</v>
      </c>
      <c r="J11" s="382"/>
    </row>
    <row r="12" spans="1:25" outlineLevel="2">
      <c r="A12" s="382"/>
      <c r="B12" s="382">
        <v>1</v>
      </c>
      <c r="C12" s="382" t="s">
        <v>15</v>
      </c>
      <c r="D12" s="382" t="s">
        <v>23</v>
      </c>
      <c r="E12" s="382" t="s">
        <v>26</v>
      </c>
      <c r="F12" s="382" t="s">
        <v>27</v>
      </c>
      <c r="G12" s="561" t="s">
        <v>24</v>
      </c>
      <c r="H12" s="567">
        <v>1.0861267500000001E-2</v>
      </c>
      <c r="I12" s="567">
        <v>1</v>
      </c>
      <c r="J12" s="382"/>
    </row>
    <row r="13" spans="1:25" outlineLevel="2">
      <c r="A13" s="382"/>
      <c r="B13" s="382">
        <v>1</v>
      </c>
      <c r="C13" s="382" t="s">
        <v>15</v>
      </c>
      <c r="D13" s="382" t="s">
        <v>23</v>
      </c>
      <c r="E13" s="382" t="s">
        <v>26</v>
      </c>
      <c r="F13" s="382" t="s">
        <v>27</v>
      </c>
      <c r="G13" s="561" t="s">
        <v>25</v>
      </c>
      <c r="H13" s="567">
        <v>5.2029494639565963E-3</v>
      </c>
      <c r="I13" s="567">
        <v>1</v>
      </c>
      <c r="J13" s="382"/>
    </row>
    <row r="14" spans="1:25" outlineLevel="1">
      <c r="A14" s="382"/>
      <c r="B14" s="382"/>
      <c r="C14" s="395" t="s">
        <v>15</v>
      </c>
      <c r="D14" s="395" t="s">
        <v>30</v>
      </c>
      <c r="E14" s="395" t="s">
        <v>26</v>
      </c>
      <c r="F14" s="395" t="s">
        <v>27</v>
      </c>
      <c r="G14" s="622" t="s">
        <v>1672</v>
      </c>
      <c r="H14" s="631">
        <f>SUM(H15:H29)</f>
        <v>0.35597209492231208</v>
      </c>
      <c r="I14" s="631">
        <f>SUM(I15:I29)</f>
        <v>15</v>
      </c>
      <c r="J14" s="382"/>
    </row>
    <row r="15" spans="1:25" outlineLevel="2">
      <c r="A15" s="382"/>
      <c r="B15" s="382">
        <v>1</v>
      </c>
      <c r="C15" s="382" t="s">
        <v>15</v>
      </c>
      <c r="D15" s="382" t="s">
        <v>30</v>
      </c>
      <c r="E15" s="382" t="s">
        <v>26</v>
      </c>
      <c r="F15" s="382" t="s">
        <v>27</v>
      </c>
      <c r="G15" s="561" t="s">
        <v>32</v>
      </c>
      <c r="H15" s="567">
        <v>9.3421603890201377E-2</v>
      </c>
      <c r="I15" s="567">
        <v>1</v>
      </c>
      <c r="J15" s="382"/>
    </row>
    <row r="16" spans="1:25" outlineLevel="2">
      <c r="A16" s="382"/>
      <c r="B16" s="382">
        <v>1</v>
      </c>
      <c r="C16" s="382" t="s">
        <v>15</v>
      </c>
      <c r="D16" s="382" t="s">
        <v>30</v>
      </c>
      <c r="E16" s="382" t="s">
        <v>26</v>
      </c>
      <c r="F16" s="382" t="s">
        <v>27</v>
      </c>
      <c r="G16" s="561" t="s">
        <v>34</v>
      </c>
      <c r="H16" s="567">
        <v>9.3421603890201377E-2</v>
      </c>
      <c r="I16" s="567">
        <v>1</v>
      </c>
      <c r="J16" s="382"/>
    </row>
    <row r="17" spans="1:10" outlineLevel="2">
      <c r="A17" s="382"/>
      <c r="B17" s="382">
        <v>1</v>
      </c>
      <c r="C17" s="382" t="s">
        <v>15</v>
      </c>
      <c r="D17" s="382" t="s">
        <v>30</v>
      </c>
      <c r="E17" s="382" t="s">
        <v>26</v>
      </c>
      <c r="F17" s="382" t="s">
        <v>27</v>
      </c>
      <c r="G17" s="561" t="s">
        <v>50</v>
      </c>
      <c r="H17" s="567">
        <v>2.1106865436972901E-2</v>
      </c>
      <c r="I17" s="567">
        <v>1</v>
      </c>
      <c r="J17" s="382"/>
    </row>
    <row r="18" spans="1:10" outlineLevel="2">
      <c r="A18" s="382"/>
      <c r="B18" s="382">
        <v>1</v>
      </c>
      <c r="C18" s="382" t="s">
        <v>15</v>
      </c>
      <c r="D18" s="382" t="s">
        <v>30</v>
      </c>
      <c r="E18" s="382" t="s">
        <v>26</v>
      </c>
      <c r="F18" s="382" t="s">
        <v>27</v>
      </c>
      <c r="G18" s="561" t="s">
        <v>51</v>
      </c>
      <c r="H18" s="567">
        <v>3.166029815545935E-2</v>
      </c>
      <c r="I18" s="567">
        <v>1</v>
      </c>
      <c r="J18" s="382"/>
    </row>
    <row r="19" spans="1:10" outlineLevel="2">
      <c r="A19" s="382"/>
      <c r="B19" s="382">
        <v>1</v>
      </c>
      <c r="C19" s="382" t="s">
        <v>15</v>
      </c>
      <c r="D19" s="382" t="s">
        <v>30</v>
      </c>
      <c r="E19" s="382" t="s">
        <v>26</v>
      </c>
      <c r="F19" s="382" t="s">
        <v>27</v>
      </c>
      <c r="G19" s="561" t="s">
        <v>40</v>
      </c>
      <c r="H19" s="567">
        <v>5.2767163592432253E-3</v>
      </c>
      <c r="I19" s="567">
        <v>1</v>
      </c>
      <c r="J19" s="382"/>
    </row>
    <row r="20" spans="1:10" outlineLevel="2">
      <c r="A20" s="382"/>
      <c r="B20" s="382">
        <v>1</v>
      </c>
      <c r="C20" s="382" t="s">
        <v>15</v>
      </c>
      <c r="D20" s="382" t="s">
        <v>30</v>
      </c>
      <c r="E20" s="382" t="s">
        <v>26</v>
      </c>
      <c r="F20" s="382" t="s">
        <v>27</v>
      </c>
      <c r="G20" s="561" t="s">
        <v>52</v>
      </c>
      <c r="H20" s="567">
        <v>2.1106865436972901E-2</v>
      </c>
      <c r="I20" s="567">
        <v>1</v>
      </c>
      <c r="J20" s="382"/>
    </row>
    <row r="21" spans="1:10" outlineLevel="2">
      <c r="A21" s="382"/>
      <c r="B21" s="382">
        <v>1</v>
      </c>
      <c r="C21" s="382" t="s">
        <v>15</v>
      </c>
      <c r="D21" s="382" t="s">
        <v>30</v>
      </c>
      <c r="E21" s="382" t="s">
        <v>26</v>
      </c>
      <c r="F21" s="382" t="s">
        <v>27</v>
      </c>
      <c r="G21" s="561" t="s">
        <v>53</v>
      </c>
      <c r="H21" s="567">
        <v>3.166029815545935E-2</v>
      </c>
      <c r="I21" s="567">
        <v>1</v>
      </c>
      <c r="J21" s="382"/>
    </row>
    <row r="22" spans="1:10" outlineLevel="2">
      <c r="A22" s="382"/>
      <c r="B22" s="382">
        <v>1</v>
      </c>
      <c r="C22" s="382" t="s">
        <v>15</v>
      </c>
      <c r="D22" s="382" t="s">
        <v>30</v>
      </c>
      <c r="E22" s="382" t="s">
        <v>26</v>
      </c>
      <c r="F22" s="382" t="s">
        <v>27</v>
      </c>
      <c r="G22" s="561" t="s">
        <v>42</v>
      </c>
      <c r="H22" s="567">
        <v>5.2767163592432253E-3</v>
      </c>
      <c r="I22" s="567">
        <v>1</v>
      </c>
      <c r="J22" s="382"/>
    </row>
    <row r="23" spans="1:10" outlineLevel="2">
      <c r="A23" s="382"/>
      <c r="B23" s="382">
        <v>1</v>
      </c>
      <c r="C23" s="382" t="s">
        <v>15</v>
      </c>
      <c r="D23" s="382" t="s">
        <v>30</v>
      </c>
      <c r="E23" s="382" t="s">
        <v>26</v>
      </c>
      <c r="F23" s="382" t="s">
        <v>27</v>
      </c>
      <c r="G23" s="561" t="s">
        <v>54</v>
      </c>
      <c r="H23" s="567">
        <v>4.0000000000000001E-3</v>
      </c>
      <c r="I23" s="567">
        <v>1</v>
      </c>
      <c r="J23" s="382"/>
    </row>
    <row r="24" spans="1:10" outlineLevel="2">
      <c r="A24" s="382"/>
      <c r="B24" s="382">
        <v>1</v>
      </c>
      <c r="C24" s="382" t="s">
        <v>15</v>
      </c>
      <c r="D24" s="382" t="s">
        <v>30</v>
      </c>
      <c r="E24" s="382" t="s">
        <v>26</v>
      </c>
      <c r="F24" s="382" t="s">
        <v>27</v>
      </c>
      <c r="G24" s="561" t="s">
        <v>55</v>
      </c>
      <c r="H24" s="567">
        <v>7.0000000000000001E-3</v>
      </c>
      <c r="I24" s="567">
        <v>1</v>
      </c>
      <c r="J24" s="382"/>
    </row>
    <row r="25" spans="1:10" outlineLevel="2">
      <c r="A25" s="382"/>
      <c r="B25" s="382">
        <v>1</v>
      </c>
      <c r="C25" s="382" t="s">
        <v>15</v>
      </c>
      <c r="D25" s="382" t="s">
        <v>30</v>
      </c>
      <c r="E25" s="382" t="s">
        <v>26</v>
      </c>
      <c r="F25" s="382" t="s">
        <v>27</v>
      </c>
      <c r="G25" s="561" t="s">
        <v>43</v>
      </c>
      <c r="H25" s="567">
        <v>1E-3</v>
      </c>
      <c r="I25" s="567">
        <v>1</v>
      </c>
      <c r="J25" s="382"/>
    </row>
    <row r="26" spans="1:10" outlineLevel="2">
      <c r="A26" s="382"/>
      <c r="B26" s="382">
        <v>1</v>
      </c>
      <c r="C26" s="382" t="s">
        <v>15</v>
      </c>
      <c r="D26" s="382" t="s">
        <v>30</v>
      </c>
      <c r="E26" s="382" t="s">
        <v>26</v>
      </c>
      <c r="F26" s="382" t="s">
        <v>27</v>
      </c>
      <c r="G26" s="561" t="s">
        <v>44</v>
      </c>
      <c r="H26" s="567">
        <v>2.3452072707747665E-3</v>
      </c>
      <c r="I26" s="567">
        <v>1</v>
      </c>
      <c r="J26" s="382"/>
    </row>
    <row r="27" spans="1:10" outlineLevel="2">
      <c r="A27" s="382"/>
      <c r="B27" s="382">
        <v>1</v>
      </c>
      <c r="C27" s="382" t="s">
        <v>15</v>
      </c>
      <c r="D27" s="382" t="s">
        <v>30</v>
      </c>
      <c r="E27" s="382" t="s">
        <v>26</v>
      </c>
      <c r="F27" s="382" t="s">
        <v>27</v>
      </c>
      <c r="G27" s="561" t="s">
        <v>58</v>
      </c>
      <c r="H27" s="567">
        <v>1.4071243624648597E-2</v>
      </c>
      <c r="I27" s="567">
        <v>1</v>
      </c>
      <c r="J27" s="382"/>
    </row>
    <row r="28" spans="1:10" outlineLevel="2">
      <c r="A28" s="382"/>
      <c r="B28" s="382">
        <v>1</v>
      </c>
      <c r="C28" s="382" t="s">
        <v>15</v>
      </c>
      <c r="D28" s="382" t="s">
        <v>30</v>
      </c>
      <c r="E28" s="382" t="s">
        <v>26</v>
      </c>
      <c r="F28" s="382" t="s">
        <v>27</v>
      </c>
      <c r="G28" s="561" t="s">
        <v>59</v>
      </c>
      <c r="H28" s="567">
        <v>2.1106865436972894E-2</v>
      </c>
      <c r="I28" s="567">
        <v>1</v>
      </c>
      <c r="J28" s="382"/>
    </row>
    <row r="29" spans="1:10" outlineLevel="2">
      <c r="A29" s="382"/>
      <c r="B29" s="382">
        <v>1</v>
      </c>
      <c r="C29" s="382" t="s">
        <v>15</v>
      </c>
      <c r="D29" s="382" t="s">
        <v>30</v>
      </c>
      <c r="E29" s="382" t="s">
        <v>26</v>
      </c>
      <c r="F29" s="382" t="s">
        <v>27</v>
      </c>
      <c r="G29" s="561" t="s">
        <v>46</v>
      </c>
      <c r="H29" s="567">
        <v>3.5178109061621493E-3</v>
      </c>
      <c r="I29" s="567">
        <v>1</v>
      </c>
      <c r="J29" s="382"/>
    </row>
    <row r="30" spans="1:10" outlineLevel="1">
      <c r="A30" s="382"/>
      <c r="B30" s="382"/>
      <c r="C30" s="395" t="s">
        <v>70</v>
      </c>
      <c r="D30" s="395" t="s">
        <v>71</v>
      </c>
      <c r="E30" s="395" t="s">
        <v>26</v>
      </c>
      <c r="F30" s="395" t="s">
        <v>27</v>
      </c>
      <c r="G30" s="622" t="s">
        <v>1676</v>
      </c>
      <c r="H30" s="631">
        <f>SUM(H31:H34)</f>
        <v>0.41389850293631264</v>
      </c>
      <c r="I30" s="631">
        <f>SUM(I31:I34)</f>
        <v>4</v>
      </c>
      <c r="J30" s="382"/>
    </row>
    <row r="31" spans="1:10" outlineLevel="2">
      <c r="A31" s="382"/>
      <c r="B31" s="382">
        <v>1</v>
      </c>
      <c r="C31" s="382" t="s">
        <v>70</v>
      </c>
      <c r="D31" s="382" t="s">
        <v>71</v>
      </c>
      <c r="E31" s="382" t="s">
        <v>26</v>
      </c>
      <c r="F31" s="382" t="s">
        <v>27</v>
      </c>
      <c r="G31" s="561" t="s">
        <v>75</v>
      </c>
      <c r="H31" s="567">
        <v>0.12911355532138755</v>
      </c>
      <c r="I31" s="567">
        <v>1</v>
      </c>
      <c r="J31" s="382"/>
    </row>
    <row r="32" spans="1:10" outlineLevel="2">
      <c r="A32" s="382"/>
      <c r="B32" s="382">
        <v>1</v>
      </c>
      <c r="C32" s="382" t="s">
        <v>70</v>
      </c>
      <c r="D32" s="382" t="s">
        <v>71</v>
      </c>
      <c r="E32" s="382" t="s">
        <v>26</v>
      </c>
      <c r="F32" s="382" t="s">
        <v>27</v>
      </c>
      <c r="G32" s="561" t="s">
        <v>76</v>
      </c>
      <c r="H32" s="567">
        <v>0.25822711064277509</v>
      </c>
      <c r="I32" s="567">
        <v>1</v>
      </c>
      <c r="J32" s="382"/>
    </row>
    <row r="33" spans="1:10" outlineLevel="2">
      <c r="A33" s="382"/>
      <c r="B33" s="382">
        <v>1</v>
      </c>
      <c r="C33" s="382" t="s">
        <v>70</v>
      </c>
      <c r="D33" s="382" t="s">
        <v>71</v>
      </c>
      <c r="E33" s="382" t="s">
        <v>26</v>
      </c>
      <c r="F33" s="382" t="s">
        <v>27</v>
      </c>
      <c r="G33" s="561" t="s">
        <v>73</v>
      </c>
      <c r="H33" s="567">
        <v>1.4486092893899998E-2</v>
      </c>
      <c r="I33" s="567">
        <v>1</v>
      </c>
      <c r="J33" s="382"/>
    </row>
    <row r="34" spans="1:10" outlineLevel="2">
      <c r="A34" s="382"/>
      <c r="B34" s="382">
        <v>1</v>
      </c>
      <c r="C34" s="382" t="s">
        <v>70</v>
      </c>
      <c r="D34" s="382" t="s">
        <v>71</v>
      </c>
      <c r="E34" s="382" t="s">
        <v>26</v>
      </c>
      <c r="F34" s="382" t="s">
        <v>27</v>
      </c>
      <c r="G34" s="561" t="s">
        <v>24</v>
      </c>
      <c r="H34" s="567">
        <v>1.2071744078249999E-2</v>
      </c>
      <c r="I34" s="567">
        <v>1</v>
      </c>
      <c r="J34" s="382"/>
    </row>
    <row r="35" spans="1:10" outlineLevel="1">
      <c r="A35" s="382"/>
      <c r="B35" s="382"/>
      <c r="C35" s="395" t="s">
        <v>84</v>
      </c>
      <c r="D35" s="395" t="s">
        <v>85</v>
      </c>
      <c r="E35" s="395" t="s">
        <v>26</v>
      </c>
      <c r="F35" s="395" t="s">
        <v>27</v>
      </c>
      <c r="G35" s="622" t="s">
        <v>1673</v>
      </c>
      <c r="H35" s="631">
        <f>SUM(H36:H38)</f>
        <v>0.36</v>
      </c>
      <c r="I35" s="631">
        <f>SUM(I36:I38)</f>
        <v>3</v>
      </c>
      <c r="J35" s="382"/>
    </row>
    <row r="36" spans="1:10" outlineLevel="2">
      <c r="A36" s="382"/>
      <c r="B36" s="382">
        <v>1</v>
      </c>
      <c r="C36" s="382" t="s">
        <v>84</v>
      </c>
      <c r="D36" s="382" t="s">
        <v>85</v>
      </c>
      <c r="E36" s="382" t="s">
        <v>26</v>
      </c>
      <c r="F36" s="382" t="s">
        <v>27</v>
      </c>
      <c r="G36" s="561" t="s">
        <v>96</v>
      </c>
      <c r="H36" s="567">
        <v>0.19</v>
      </c>
      <c r="I36" s="567">
        <v>1</v>
      </c>
      <c r="J36" s="382"/>
    </row>
    <row r="37" spans="1:10" outlineLevel="2">
      <c r="A37" s="382"/>
      <c r="B37" s="382">
        <v>1</v>
      </c>
      <c r="C37" s="382" t="s">
        <v>84</v>
      </c>
      <c r="D37" s="382" t="s">
        <v>85</v>
      </c>
      <c r="E37" s="382" t="s">
        <v>26</v>
      </c>
      <c r="F37" s="382" t="s">
        <v>27</v>
      </c>
      <c r="G37" s="561" t="s">
        <v>97</v>
      </c>
      <c r="H37" s="567">
        <v>0.16</v>
      </c>
      <c r="I37" s="567">
        <v>1</v>
      </c>
      <c r="J37" s="382"/>
    </row>
    <row r="38" spans="1:10" outlineLevel="2">
      <c r="A38" s="382"/>
      <c r="B38" s="382">
        <v>1</v>
      </c>
      <c r="C38" s="382" t="s">
        <v>84</v>
      </c>
      <c r="D38" s="382" t="s">
        <v>85</v>
      </c>
      <c r="E38" s="382" t="s">
        <v>26</v>
      </c>
      <c r="F38" s="382" t="s">
        <v>27</v>
      </c>
      <c r="G38" s="561" t="s">
        <v>98</v>
      </c>
      <c r="H38" s="567">
        <v>0.01</v>
      </c>
      <c r="I38" s="567">
        <v>1</v>
      </c>
      <c r="J38" s="382"/>
    </row>
    <row r="39" spans="1:10" outlineLevel="1">
      <c r="A39" s="382"/>
      <c r="B39" s="382"/>
      <c r="C39" s="395" t="s">
        <v>101</v>
      </c>
      <c r="D39" s="395" t="s">
        <v>102</v>
      </c>
      <c r="E39" s="395" t="s">
        <v>26</v>
      </c>
      <c r="F39" s="395" t="s">
        <v>27</v>
      </c>
      <c r="G39" s="622" t="s">
        <v>1674</v>
      </c>
      <c r="H39" s="631">
        <f>SUM(H40:H47)</f>
        <v>2.1</v>
      </c>
      <c r="I39" s="631">
        <f>SUM(I40:I47)</f>
        <v>8</v>
      </c>
      <c r="J39" s="382"/>
    </row>
    <row r="40" spans="1:10" outlineLevel="2">
      <c r="A40" s="382"/>
      <c r="B40" s="382">
        <v>2</v>
      </c>
      <c r="C40" s="382" t="s">
        <v>101</v>
      </c>
      <c r="D40" s="382" t="s">
        <v>102</v>
      </c>
      <c r="E40" s="382" t="s">
        <v>26</v>
      </c>
      <c r="F40" s="382" t="s">
        <v>27</v>
      </c>
      <c r="G40" s="561" t="s">
        <v>113</v>
      </c>
      <c r="H40" s="567">
        <v>0.2</v>
      </c>
      <c r="I40" s="567">
        <v>1</v>
      </c>
      <c r="J40" s="382"/>
    </row>
    <row r="41" spans="1:10" outlineLevel="2">
      <c r="A41" s="382"/>
      <c r="B41" s="382">
        <v>2</v>
      </c>
      <c r="C41" s="382" t="s">
        <v>101</v>
      </c>
      <c r="D41" s="382" t="s">
        <v>102</v>
      </c>
      <c r="E41" s="382" t="s">
        <v>26</v>
      </c>
      <c r="F41" s="382" t="s">
        <v>27</v>
      </c>
      <c r="G41" s="561" t="s">
        <v>114</v>
      </c>
      <c r="H41" s="567">
        <v>0.4</v>
      </c>
      <c r="I41" s="567">
        <v>1</v>
      </c>
      <c r="J41" s="382"/>
    </row>
    <row r="42" spans="1:10" outlineLevel="2">
      <c r="A42" s="382"/>
      <c r="B42" s="382">
        <v>1</v>
      </c>
      <c r="C42" s="382" t="s">
        <v>101</v>
      </c>
      <c r="D42" s="382" t="s">
        <v>102</v>
      </c>
      <c r="E42" s="382" t="s">
        <v>26</v>
      </c>
      <c r="F42" s="382" t="s">
        <v>27</v>
      </c>
      <c r="G42" s="561" t="s">
        <v>123</v>
      </c>
      <c r="H42" s="567">
        <v>0.32</v>
      </c>
      <c r="I42" s="567">
        <v>1</v>
      </c>
      <c r="J42" s="382"/>
    </row>
    <row r="43" spans="1:10" outlineLevel="2">
      <c r="A43" s="382"/>
      <c r="B43" s="382">
        <v>1</v>
      </c>
      <c r="C43" s="382" t="s">
        <v>101</v>
      </c>
      <c r="D43" s="382" t="s">
        <v>102</v>
      </c>
      <c r="E43" s="382" t="s">
        <v>26</v>
      </c>
      <c r="F43" s="382" t="s">
        <v>27</v>
      </c>
      <c r="G43" s="561" t="s">
        <v>124</v>
      </c>
      <c r="H43" s="567">
        <v>0.32</v>
      </c>
      <c r="I43" s="567">
        <v>1</v>
      </c>
      <c r="J43" s="382"/>
    </row>
    <row r="44" spans="1:10" outlineLevel="2">
      <c r="A44" s="382"/>
      <c r="B44" s="382">
        <v>1</v>
      </c>
      <c r="C44" s="382" t="s">
        <v>101</v>
      </c>
      <c r="D44" s="382" t="s">
        <v>102</v>
      </c>
      <c r="E44" s="382" t="s">
        <v>26</v>
      </c>
      <c r="F44" s="382" t="s">
        <v>27</v>
      </c>
      <c r="G44" s="561" t="s">
        <v>125</v>
      </c>
      <c r="H44" s="567">
        <v>0.43</v>
      </c>
      <c r="I44" s="567">
        <v>1</v>
      </c>
      <c r="J44" s="382"/>
    </row>
    <row r="45" spans="1:10" outlineLevel="2">
      <c r="A45" s="382"/>
      <c r="B45" s="382">
        <v>1</v>
      </c>
      <c r="C45" s="382" t="s">
        <v>101</v>
      </c>
      <c r="D45" s="382" t="s">
        <v>102</v>
      </c>
      <c r="E45" s="382" t="s">
        <v>26</v>
      </c>
      <c r="F45" s="382" t="s">
        <v>27</v>
      </c>
      <c r="G45" s="561" t="s">
        <v>96</v>
      </c>
      <c r="H45" s="567">
        <v>0.02</v>
      </c>
      <c r="I45" s="567">
        <v>1</v>
      </c>
      <c r="J45" s="382"/>
    </row>
    <row r="46" spans="1:10" outlineLevel="2">
      <c r="A46" s="382"/>
      <c r="B46" s="382">
        <v>1</v>
      </c>
      <c r="C46" s="382" t="s">
        <v>101</v>
      </c>
      <c r="D46" s="382" t="s">
        <v>102</v>
      </c>
      <c r="E46" s="382" t="s">
        <v>26</v>
      </c>
      <c r="F46" s="382" t="s">
        <v>27</v>
      </c>
      <c r="G46" s="561" t="s">
        <v>97</v>
      </c>
      <c r="H46" s="567">
        <v>0.01</v>
      </c>
      <c r="I46" s="567">
        <v>1</v>
      </c>
      <c r="J46" s="382"/>
    </row>
    <row r="47" spans="1:10" outlineLevel="2">
      <c r="A47" s="382"/>
      <c r="B47" s="382">
        <v>1</v>
      </c>
      <c r="C47" s="382" t="s">
        <v>101</v>
      </c>
      <c r="D47" s="382" t="s">
        <v>102</v>
      </c>
      <c r="E47" s="382" t="s">
        <v>26</v>
      </c>
      <c r="F47" s="382" t="s">
        <v>27</v>
      </c>
      <c r="G47" s="561" t="s">
        <v>324</v>
      </c>
      <c r="H47" s="567">
        <v>0.4</v>
      </c>
      <c r="I47" s="567">
        <v>1</v>
      </c>
      <c r="J47" s="382"/>
    </row>
    <row r="48" spans="1:10" outlineLevel="1">
      <c r="A48" s="382"/>
      <c r="B48" s="382"/>
      <c r="C48" s="395" t="s">
        <v>135</v>
      </c>
      <c r="D48" s="395" t="s">
        <v>136</v>
      </c>
      <c r="E48" s="395" t="s">
        <v>26</v>
      </c>
      <c r="F48" s="395" t="s">
        <v>27</v>
      </c>
      <c r="G48" s="622" t="s">
        <v>1660</v>
      </c>
      <c r="H48" s="631">
        <f>SUM(H49:H51)</f>
        <v>8.4072167695988034E-2</v>
      </c>
      <c r="I48" s="631">
        <f>SUM(I49:I51)</f>
        <v>3</v>
      </c>
      <c r="J48" s="382"/>
    </row>
    <row r="49" spans="1:10" outlineLevel="2">
      <c r="A49" s="382"/>
      <c r="B49" s="382">
        <v>1</v>
      </c>
      <c r="C49" s="382" t="s">
        <v>135</v>
      </c>
      <c r="D49" s="382" t="s">
        <v>136</v>
      </c>
      <c r="E49" s="382" t="s">
        <v>26</v>
      </c>
      <c r="F49" s="382" t="s">
        <v>27</v>
      </c>
      <c r="G49" s="561" t="s">
        <v>137</v>
      </c>
      <c r="H49" s="567">
        <v>6.0248605439999423E-2</v>
      </c>
      <c r="I49" s="567">
        <v>1</v>
      </c>
      <c r="J49" s="382"/>
    </row>
    <row r="50" spans="1:10" outlineLevel="2">
      <c r="A50" s="382"/>
      <c r="B50" s="382">
        <v>1</v>
      </c>
      <c r="C50" s="382" t="s">
        <v>135</v>
      </c>
      <c r="D50" s="382" t="s">
        <v>136</v>
      </c>
      <c r="E50" s="382" t="s">
        <v>26</v>
      </c>
      <c r="F50" s="382" t="s">
        <v>27</v>
      </c>
      <c r="G50" s="561" t="s">
        <v>140</v>
      </c>
      <c r="H50" s="567">
        <v>1.1911781127994301E-2</v>
      </c>
      <c r="I50" s="567">
        <v>1</v>
      </c>
      <c r="J50" s="382"/>
    </row>
    <row r="51" spans="1:10" outlineLevel="2">
      <c r="A51" s="382"/>
      <c r="B51" s="382">
        <v>1</v>
      </c>
      <c r="C51" s="382" t="s">
        <v>135</v>
      </c>
      <c r="D51" s="382" t="s">
        <v>136</v>
      </c>
      <c r="E51" s="382" t="s">
        <v>26</v>
      </c>
      <c r="F51" s="382" t="s">
        <v>27</v>
      </c>
      <c r="G51" s="561" t="s">
        <v>141</v>
      </c>
      <c r="H51" s="567">
        <v>1.1911781127994301E-2</v>
      </c>
      <c r="I51" s="567">
        <v>1</v>
      </c>
      <c r="J51" s="382"/>
    </row>
    <row r="52" spans="1:10" outlineLevel="1">
      <c r="A52" s="382"/>
      <c r="B52" s="382"/>
      <c r="C52" s="395" t="s">
        <v>142</v>
      </c>
      <c r="D52" s="395" t="s">
        <v>143</v>
      </c>
      <c r="E52" s="395" t="s">
        <v>26</v>
      </c>
      <c r="F52" s="395" t="s">
        <v>27</v>
      </c>
      <c r="G52" s="622" t="s">
        <v>1661</v>
      </c>
      <c r="H52" s="631">
        <f>SUM(H53:H55)</f>
        <v>0.16918995130000003</v>
      </c>
      <c r="I52" s="631">
        <f>SUM(I53:I55)</f>
        <v>3</v>
      </c>
      <c r="J52" s="382"/>
    </row>
    <row r="53" spans="1:10" outlineLevel="2">
      <c r="A53" s="382"/>
      <c r="B53" s="382">
        <v>1</v>
      </c>
      <c r="C53" s="382" t="s">
        <v>142</v>
      </c>
      <c r="D53" s="382" t="s">
        <v>143</v>
      </c>
      <c r="E53" s="382" t="s">
        <v>26</v>
      </c>
      <c r="F53" s="382" t="s">
        <v>27</v>
      </c>
      <c r="G53" s="561" t="s">
        <v>145</v>
      </c>
      <c r="H53" s="567">
        <v>7.0000000000000007E-2</v>
      </c>
      <c r="I53" s="567">
        <v>1</v>
      </c>
      <c r="J53" s="382"/>
    </row>
    <row r="54" spans="1:10" outlineLevel="2">
      <c r="A54" s="382"/>
      <c r="B54" s="382">
        <v>1</v>
      </c>
      <c r="C54" s="382" t="s">
        <v>142</v>
      </c>
      <c r="D54" s="382" t="s">
        <v>143</v>
      </c>
      <c r="E54" s="382" t="s">
        <v>26</v>
      </c>
      <c r="F54" s="382" t="s">
        <v>27</v>
      </c>
      <c r="G54" s="561" t="s">
        <v>137</v>
      </c>
      <c r="H54" s="567">
        <v>5.4103609800000001E-2</v>
      </c>
      <c r="I54" s="567">
        <v>1</v>
      </c>
      <c r="J54" s="382"/>
    </row>
    <row r="55" spans="1:10" outlineLevel="2">
      <c r="A55" s="382"/>
      <c r="B55" s="382">
        <v>1</v>
      </c>
      <c r="C55" s="382" t="s">
        <v>142</v>
      </c>
      <c r="D55" s="382" t="s">
        <v>143</v>
      </c>
      <c r="E55" s="382" t="s">
        <v>26</v>
      </c>
      <c r="F55" s="382" t="s">
        <v>27</v>
      </c>
      <c r="G55" s="561" t="s">
        <v>146</v>
      </c>
      <c r="H55" s="567">
        <v>4.5086341500000002E-2</v>
      </c>
      <c r="I55" s="567">
        <v>1</v>
      </c>
      <c r="J55" s="382"/>
    </row>
    <row r="56" spans="1:10" outlineLevel="1">
      <c r="A56" s="382"/>
      <c r="B56" s="382"/>
      <c r="C56" s="395" t="s">
        <v>147</v>
      </c>
      <c r="D56" s="395" t="s">
        <v>148</v>
      </c>
      <c r="E56" s="395" t="s">
        <v>26</v>
      </c>
      <c r="F56" s="395" t="s">
        <v>27</v>
      </c>
      <c r="G56" s="622" t="s">
        <v>1662</v>
      </c>
      <c r="H56" s="631">
        <f>SUM(H57:H67)</f>
        <v>1.1200000000000001</v>
      </c>
      <c r="I56" s="631">
        <f>SUM(I57:I67)</f>
        <v>11</v>
      </c>
      <c r="J56" s="382"/>
    </row>
    <row r="57" spans="1:10" outlineLevel="2">
      <c r="A57" s="382"/>
      <c r="B57" s="382">
        <v>1</v>
      </c>
      <c r="C57" s="382" t="s">
        <v>147</v>
      </c>
      <c r="D57" s="382" t="s">
        <v>148</v>
      </c>
      <c r="E57" s="382" t="s">
        <v>26</v>
      </c>
      <c r="F57" s="382" t="s">
        <v>27</v>
      </c>
      <c r="G57" s="561" t="s">
        <v>164</v>
      </c>
      <c r="H57" s="567">
        <v>7.0000000000000007E-2</v>
      </c>
      <c r="I57" s="567">
        <v>1</v>
      </c>
      <c r="J57" s="382"/>
    </row>
    <row r="58" spans="1:10" outlineLevel="2">
      <c r="A58" s="382"/>
      <c r="B58" s="382">
        <v>1</v>
      </c>
      <c r="C58" s="382" t="s">
        <v>147</v>
      </c>
      <c r="D58" s="382" t="s">
        <v>148</v>
      </c>
      <c r="E58" s="382" t="s">
        <v>26</v>
      </c>
      <c r="F58" s="382" t="s">
        <v>27</v>
      </c>
      <c r="G58" s="561" t="s">
        <v>165</v>
      </c>
      <c r="H58" s="567">
        <v>7.0000000000000007E-2</v>
      </c>
      <c r="I58" s="567">
        <v>1</v>
      </c>
      <c r="J58" s="382"/>
    </row>
    <row r="59" spans="1:10" outlineLevel="2">
      <c r="A59" s="382"/>
      <c r="B59" s="382">
        <v>1</v>
      </c>
      <c r="C59" s="382" t="s">
        <v>147</v>
      </c>
      <c r="D59" s="382" t="s">
        <v>148</v>
      </c>
      <c r="E59" s="382" t="s">
        <v>26</v>
      </c>
      <c r="F59" s="382" t="s">
        <v>27</v>
      </c>
      <c r="G59" s="561" t="s">
        <v>166</v>
      </c>
      <c r="H59" s="567">
        <v>7.0000000000000007E-2</v>
      </c>
      <c r="I59" s="567">
        <v>1</v>
      </c>
      <c r="J59" s="382"/>
    </row>
    <row r="60" spans="1:10" outlineLevel="2">
      <c r="A60" s="382"/>
      <c r="B60" s="382">
        <v>1</v>
      </c>
      <c r="C60" s="382" t="s">
        <v>147</v>
      </c>
      <c r="D60" s="382" t="s">
        <v>148</v>
      </c>
      <c r="E60" s="382" t="s">
        <v>26</v>
      </c>
      <c r="F60" s="382" t="s">
        <v>27</v>
      </c>
      <c r="G60" s="561" t="s">
        <v>167</v>
      </c>
      <c r="H60" s="567">
        <v>7.0000000000000007E-2</v>
      </c>
      <c r="I60" s="567">
        <v>1</v>
      </c>
      <c r="J60" s="382"/>
    </row>
    <row r="61" spans="1:10" outlineLevel="2">
      <c r="A61" s="382"/>
      <c r="B61" s="382">
        <v>1</v>
      </c>
      <c r="C61" s="382" t="s">
        <v>147</v>
      </c>
      <c r="D61" s="382" t="s">
        <v>148</v>
      </c>
      <c r="E61" s="382" t="s">
        <v>26</v>
      </c>
      <c r="F61" s="382" t="s">
        <v>27</v>
      </c>
      <c r="G61" s="561" t="s">
        <v>168</v>
      </c>
      <c r="H61" s="567">
        <v>7.0000000000000007E-2</v>
      </c>
      <c r="I61" s="567">
        <v>1</v>
      </c>
      <c r="J61" s="382"/>
    </row>
    <row r="62" spans="1:10" outlineLevel="2">
      <c r="A62" s="382"/>
      <c r="B62" s="382">
        <v>1</v>
      </c>
      <c r="C62" s="382" t="s">
        <v>147</v>
      </c>
      <c r="D62" s="382" t="s">
        <v>148</v>
      </c>
      <c r="E62" s="382" t="s">
        <v>26</v>
      </c>
      <c r="F62" s="382" t="s">
        <v>27</v>
      </c>
      <c r="G62" s="561" t="s">
        <v>169</v>
      </c>
      <c r="H62" s="567">
        <v>7.0000000000000007E-2</v>
      </c>
      <c r="I62" s="567">
        <v>1</v>
      </c>
      <c r="J62" s="382"/>
    </row>
    <row r="63" spans="1:10" outlineLevel="2">
      <c r="A63" s="382"/>
      <c r="B63" s="382">
        <v>1</v>
      </c>
      <c r="C63" s="382" t="s">
        <v>147</v>
      </c>
      <c r="D63" s="382" t="s">
        <v>148</v>
      </c>
      <c r="E63" s="382" t="s">
        <v>26</v>
      </c>
      <c r="F63" s="382" t="s">
        <v>27</v>
      </c>
      <c r="G63" s="561" t="s">
        <v>170</v>
      </c>
      <c r="H63" s="567">
        <v>0.13</v>
      </c>
      <c r="I63" s="567">
        <v>1</v>
      </c>
      <c r="J63" s="382"/>
    </row>
    <row r="64" spans="1:10" outlineLevel="2">
      <c r="A64" s="382"/>
      <c r="B64" s="382">
        <v>1</v>
      </c>
      <c r="C64" s="382" t="s">
        <v>147</v>
      </c>
      <c r="D64" s="382" t="s">
        <v>148</v>
      </c>
      <c r="E64" s="382" t="s">
        <v>26</v>
      </c>
      <c r="F64" s="382" t="s">
        <v>27</v>
      </c>
      <c r="G64" s="561" t="s">
        <v>171</v>
      </c>
      <c r="H64" s="567">
        <v>0.18</v>
      </c>
      <c r="I64" s="567">
        <v>1</v>
      </c>
      <c r="J64" s="382"/>
    </row>
    <row r="65" spans="1:10" outlineLevel="2">
      <c r="A65" s="382"/>
      <c r="B65" s="382">
        <v>1</v>
      </c>
      <c r="C65" s="382" t="s">
        <v>147</v>
      </c>
      <c r="D65" s="382" t="s">
        <v>148</v>
      </c>
      <c r="E65" s="382" t="s">
        <v>26</v>
      </c>
      <c r="F65" s="382" t="s">
        <v>27</v>
      </c>
      <c r="G65" s="561" t="s">
        <v>172</v>
      </c>
      <c r="H65" s="567">
        <v>0.13</v>
      </c>
      <c r="I65" s="567">
        <v>1</v>
      </c>
      <c r="J65" s="382"/>
    </row>
    <row r="66" spans="1:10" outlineLevel="2">
      <c r="A66" s="382"/>
      <c r="B66" s="382">
        <v>1</v>
      </c>
      <c r="C66" s="382" t="s">
        <v>147</v>
      </c>
      <c r="D66" s="382" t="s">
        <v>148</v>
      </c>
      <c r="E66" s="382" t="s">
        <v>26</v>
      </c>
      <c r="F66" s="382" t="s">
        <v>27</v>
      </c>
      <c r="G66" s="561" t="s">
        <v>176</v>
      </c>
      <c r="H66" s="567">
        <v>0.13</v>
      </c>
      <c r="I66" s="567">
        <v>1</v>
      </c>
      <c r="J66" s="382"/>
    </row>
    <row r="67" spans="1:10" outlineLevel="2">
      <c r="A67" s="382"/>
      <c r="B67" s="382">
        <v>1</v>
      </c>
      <c r="C67" s="382" t="s">
        <v>147</v>
      </c>
      <c r="D67" s="382" t="s">
        <v>148</v>
      </c>
      <c r="E67" s="382" t="s">
        <v>26</v>
      </c>
      <c r="F67" s="382" t="s">
        <v>27</v>
      </c>
      <c r="G67" s="561" t="s">
        <v>160</v>
      </c>
      <c r="H67" s="567">
        <v>0.13</v>
      </c>
      <c r="I67" s="567">
        <v>1</v>
      </c>
      <c r="J67" s="382"/>
    </row>
    <row r="68" spans="1:10" outlineLevel="1">
      <c r="A68" s="382"/>
      <c r="B68" s="382"/>
      <c r="C68" s="395" t="s">
        <v>180</v>
      </c>
      <c r="D68" s="395" t="s">
        <v>23</v>
      </c>
      <c r="E68" s="395" t="s">
        <v>26</v>
      </c>
      <c r="F68" s="395" t="s">
        <v>27</v>
      </c>
      <c r="G68" s="622" t="s">
        <v>1663</v>
      </c>
      <c r="H68" s="631">
        <f>SUM(H69:H72)</f>
        <v>0.28480034280014982</v>
      </c>
      <c r="I68" s="631">
        <f>SUM(I69:I72)</f>
        <v>4</v>
      </c>
      <c r="J68" s="382"/>
    </row>
    <row r="69" spans="1:10" outlineLevel="2">
      <c r="A69" s="382"/>
      <c r="B69" s="382">
        <v>2</v>
      </c>
      <c r="C69" s="382" t="s">
        <v>180</v>
      </c>
      <c r="D69" s="382" t="s">
        <v>23</v>
      </c>
      <c r="E69" s="382" t="s">
        <v>26</v>
      </c>
      <c r="F69" s="382" t="s">
        <v>27</v>
      </c>
      <c r="G69" s="561" t="s">
        <v>193</v>
      </c>
      <c r="H69" s="567">
        <v>9.7617811500000009E-3</v>
      </c>
      <c r="I69" s="567">
        <v>1</v>
      </c>
      <c r="J69" s="382"/>
    </row>
    <row r="70" spans="1:10" outlineLevel="2">
      <c r="A70" s="382"/>
      <c r="B70" s="382">
        <v>2</v>
      </c>
      <c r="C70" s="382" t="s">
        <v>180</v>
      </c>
      <c r="D70" s="382" t="s">
        <v>23</v>
      </c>
      <c r="E70" s="382" t="s">
        <v>26</v>
      </c>
      <c r="F70" s="382" t="s">
        <v>27</v>
      </c>
      <c r="G70" s="561" t="s">
        <v>183</v>
      </c>
      <c r="H70" s="567">
        <v>3.9047124600000004E-2</v>
      </c>
      <c r="I70" s="567">
        <v>1</v>
      </c>
      <c r="J70" s="382"/>
    </row>
    <row r="71" spans="1:10" outlineLevel="2">
      <c r="A71" s="382"/>
      <c r="B71" s="382">
        <v>2</v>
      </c>
      <c r="C71" s="382" t="s">
        <v>180</v>
      </c>
      <c r="D71" s="382" t="s">
        <v>23</v>
      </c>
      <c r="E71" s="382" t="s">
        <v>26</v>
      </c>
      <c r="F71" s="382" t="s">
        <v>27</v>
      </c>
      <c r="G71" s="561" t="s">
        <v>187</v>
      </c>
      <c r="H71" s="567">
        <v>0.11799571852507491</v>
      </c>
      <c r="I71" s="567">
        <v>1</v>
      </c>
      <c r="J71" s="382"/>
    </row>
    <row r="72" spans="1:10" outlineLevel="2">
      <c r="A72" s="382"/>
      <c r="B72" s="382">
        <v>2</v>
      </c>
      <c r="C72" s="382" t="s">
        <v>180</v>
      </c>
      <c r="D72" s="382" t="s">
        <v>23</v>
      </c>
      <c r="E72" s="382" t="s">
        <v>26</v>
      </c>
      <c r="F72" s="382" t="s">
        <v>27</v>
      </c>
      <c r="G72" s="561" t="s">
        <v>188</v>
      </c>
      <c r="H72" s="567">
        <v>0.11799571852507491</v>
      </c>
      <c r="I72" s="567">
        <v>1</v>
      </c>
      <c r="J72" s="382"/>
    </row>
    <row r="73" spans="1:10" outlineLevel="1">
      <c r="A73" s="382"/>
      <c r="B73" s="382"/>
      <c r="C73" s="395" t="s">
        <v>362</v>
      </c>
      <c r="D73" s="395" t="s">
        <v>363</v>
      </c>
      <c r="E73" s="395" t="s">
        <v>26</v>
      </c>
      <c r="F73" s="395" t="s">
        <v>27</v>
      </c>
      <c r="G73" s="622" t="s">
        <v>1664</v>
      </c>
      <c r="H73" s="631">
        <f>SUM(H74:H76)</f>
        <v>3.257897459827789</v>
      </c>
      <c r="I73" s="631">
        <f>SUM(I74:I76)</f>
        <v>2</v>
      </c>
      <c r="J73" s="382"/>
    </row>
    <row r="74" spans="1:10" outlineLevel="2">
      <c r="A74" s="382"/>
      <c r="B74" s="382">
        <v>2</v>
      </c>
      <c r="C74" s="382" t="s">
        <v>362</v>
      </c>
      <c r="D74" s="382" t="s">
        <v>363</v>
      </c>
      <c r="E74" s="382" t="s">
        <v>26</v>
      </c>
      <c r="F74" s="382" t="s">
        <v>27</v>
      </c>
      <c r="G74" s="561" t="s">
        <v>32</v>
      </c>
      <c r="H74" s="567">
        <v>1.3962417684976238</v>
      </c>
      <c r="I74" s="567">
        <v>1</v>
      </c>
      <c r="J74" s="382"/>
    </row>
    <row r="75" spans="1:10" outlineLevel="2">
      <c r="A75" s="382"/>
      <c r="B75" s="382">
        <v>2</v>
      </c>
      <c r="C75" s="382" t="s">
        <v>362</v>
      </c>
      <c r="D75" s="382" t="s">
        <v>363</v>
      </c>
      <c r="E75" s="382" t="s">
        <v>26</v>
      </c>
      <c r="F75" s="382" t="s">
        <v>27</v>
      </c>
      <c r="G75" s="561" t="s">
        <v>34</v>
      </c>
      <c r="H75" s="567">
        <v>1.8616556913301652</v>
      </c>
      <c r="I75" s="567">
        <v>1</v>
      </c>
      <c r="J75" s="382"/>
    </row>
    <row r="76" spans="1:10" outlineLevel="1">
      <c r="A76" s="382"/>
      <c r="B76" s="382"/>
      <c r="C76" s="382" t="s">
        <v>326</v>
      </c>
      <c r="D76" s="382" t="s">
        <v>327</v>
      </c>
      <c r="E76" s="382" t="s">
        <v>26</v>
      </c>
      <c r="F76" s="382" t="s">
        <v>27</v>
      </c>
      <c r="G76" s="622" t="s">
        <v>1746</v>
      </c>
      <c r="H76" s="567">
        <v>0</v>
      </c>
      <c r="I76" s="567">
        <v>0</v>
      </c>
      <c r="J76" s="382"/>
    </row>
    <row r="77" spans="1:10" outlineLevel="1">
      <c r="A77" s="382"/>
      <c r="B77" s="382"/>
      <c r="C77" s="395" t="s">
        <v>194</v>
      </c>
      <c r="D77" s="395" t="s">
        <v>136</v>
      </c>
      <c r="E77" s="395" t="s">
        <v>26</v>
      </c>
      <c r="F77" s="395" t="s">
        <v>27</v>
      </c>
      <c r="G77" s="622" t="s">
        <v>1665</v>
      </c>
      <c r="H77" s="631">
        <f>SUM(H78:H82)</f>
        <v>0.38000000000000006</v>
      </c>
      <c r="I77" s="631">
        <f>SUM(I78:I82)</f>
        <v>5</v>
      </c>
      <c r="J77" s="382"/>
    </row>
    <row r="78" spans="1:10" outlineLevel="2">
      <c r="A78" s="382"/>
      <c r="B78" s="382">
        <v>1</v>
      </c>
      <c r="C78" s="382" t="s">
        <v>194</v>
      </c>
      <c r="D78" s="382" t="s">
        <v>136</v>
      </c>
      <c r="E78" s="382" t="s">
        <v>26</v>
      </c>
      <c r="F78" s="382" t="s">
        <v>27</v>
      </c>
      <c r="G78" s="561" t="s">
        <v>197</v>
      </c>
      <c r="H78" s="567">
        <v>0.08</v>
      </c>
      <c r="I78" s="567">
        <v>1</v>
      </c>
      <c r="J78" s="382"/>
    </row>
    <row r="79" spans="1:10" outlineLevel="2">
      <c r="A79" s="382"/>
      <c r="B79" s="382">
        <v>1</v>
      </c>
      <c r="C79" s="382" t="s">
        <v>194</v>
      </c>
      <c r="D79" s="382" t="s">
        <v>136</v>
      </c>
      <c r="E79" s="382" t="s">
        <v>26</v>
      </c>
      <c r="F79" s="382" t="s">
        <v>27</v>
      </c>
      <c r="G79" s="561" t="s">
        <v>198</v>
      </c>
      <c r="H79" s="567">
        <v>0.17</v>
      </c>
      <c r="I79" s="567">
        <v>1</v>
      </c>
      <c r="J79" s="382"/>
    </row>
    <row r="80" spans="1:10" outlineLevel="2">
      <c r="A80" s="382"/>
      <c r="B80" s="382">
        <v>1</v>
      </c>
      <c r="C80" s="382" t="s">
        <v>194</v>
      </c>
      <c r="D80" s="382" t="s">
        <v>136</v>
      </c>
      <c r="E80" s="382" t="s">
        <v>26</v>
      </c>
      <c r="F80" s="382" t="s">
        <v>27</v>
      </c>
      <c r="G80" s="561" t="s">
        <v>137</v>
      </c>
      <c r="H80" s="567">
        <v>0.03</v>
      </c>
      <c r="I80" s="567">
        <v>1</v>
      </c>
      <c r="J80" s="382"/>
    </row>
    <row r="81" spans="1:10" outlineLevel="2">
      <c r="A81" s="382"/>
      <c r="B81" s="382">
        <v>2</v>
      </c>
      <c r="C81" s="382" t="s">
        <v>194</v>
      </c>
      <c r="D81" s="382" t="s">
        <v>136</v>
      </c>
      <c r="E81" s="382" t="s">
        <v>26</v>
      </c>
      <c r="F81" s="382" t="s">
        <v>27</v>
      </c>
      <c r="G81" s="561" t="s">
        <v>146</v>
      </c>
      <c r="H81" s="567">
        <v>0.03</v>
      </c>
      <c r="I81" s="567">
        <v>1</v>
      </c>
      <c r="J81" s="382"/>
    </row>
    <row r="82" spans="1:10" outlineLevel="2">
      <c r="A82" s="382"/>
      <c r="B82" s="382">
        <v>2</v>
      </c>
      <c r="C82" s="382" t="s">
        <v>194</v>
      </c>
      <c r="D82" s="382" t="s">
        <v>136</v>
      </c>
      <c r="E82" s="382" t="s">
        <v>26</v>
      </c>
      <c r="F82" s="382" t="s">
        <v>27</v>
      </c>
      <c r="G82" s="561" t="s">
        <v>199</v>
      </c>
      <c r="H82" s="567">
        <v>7.0000000000000007E-2</v>
      </c>
      <c r="I82" s="567">
        <v>1</v>
      </c>
      <c r="J82" s="382"/>
    </row>
    <row r="83" spans="1:10" outlineLevel="1">
      <c r="A83" s="382"/>
      <c r="B83" s="382"/>
      <c r="C83" s="395" t="s">
        <v>200</v>
      </c>
      <c r="D83" s="395" t="s">
        <v>200</v>
      </c>
      <c r="E83" s="395" t="s">
        <v>26</v>
      </c>
      <c r="F83" s="395" t="s">
        <v>27</v>
      </c>
      <c r="G83" s="622" t="s">
        <v>1683</v>
      </c>
      <c r="H83" s="631">
        <f>SUM(H84:H87)</f>
        <v>0.82973604596758466</v>
      </c>
      <c r="I83" s="631">
        <f>SUM(I84:I87)</f>
        <v>4</v>
      </c>
      <c r="J83" s="382"/>
    </row>
    <row r="84" spans="1:10" outlineLevel="2">
      <c r="A84" s="382"/>
      <c r="B84" s="382">
        <v>1</v>
      </c>
      <c r="C84" s="382" t="s">
        <v>200</v>
      </c>
      <c r="D84" s="382" t="s">
        <v>200</v>
      </c>
      <c r="E84" s="382" t="s">
        <v>26</v>
      </c>
      <c r="F84" s="382" t="s">
        <v>27</v>
      </c>
      <c r="G84" s="561" t="s">
        <v>96</v>
      </c>
      <c r="H84" s="567">
        <v>0.40295193575893268</v>
      </c>
      <c r="I84" s="567">
        <v>1</v>
      </c>
      <c r="J84" s="382"/>
    </row>
    <row r="85" spans="1:10" outlineLevel="2">
      <c r="A85" s="382"/>
      <c r="B85" s="382">
        <v>1</v>
      </c>
      <c r="C85" s="382" t="s">
        <v>200</v>
      </c>
      <c r="D85" s="382" t="s">
        <v>200</v>
      </c>
      <c r="E85" s="382" t="s">
        <v>26</v>
      </c>
      <c r="F85" s="382" t="s">
        <v>27</v>
      </c>
      <c r="G85" s="561" t="s">
        <v>97</v>
      </c>
      <c r="H85" s="567">
        <v>0.33579327979911056</v>
      </c>
      <c r="I85" s="567">
        <v>1</v>
      </c>
      <c r="J85" s="382"/>
    </row>
    <row r="86" spans="1:10" outlineLevel="2">
      <c r="A86" s="382"/>
      <c r="B86" s="382">
        <v>1</v>
      </c>
      <c r="C86" s="382" t="s">
        <v>200</v>
      </c>
      <c r="D86" s="382" t="s">
        <v>200</v>
      </c>
      <c r="E86" s="382" t="s">
        <v>26</v>
      </c>
      <c r="F86" s="382" t="s">
        <v>27</v>
      </c>
      <c r="G86" s="561" t="s">
        <v>117</v>
      </c>
      <c r="H86" s="567">
        <v>3.0990830409541533E-2</v>
      </c>
      <c r="I86" s="567">
        <v>1</v>
      </c>
      <c r="J86" s="382"/>
    </row>
    <row r="87" spans="1:10" outlineLevel="2">
      <c r="A87" s="382"/>
      <c r="B87" s="382">
        <v>1</v>
      </c>
      <c r="C87" s="382" t="s">
        <v>200</v>
      </c>
      <c r="D87" s="382" t="s">
        <v>200</v>
      </c>
      <c r="E87" s="382" t="s">
        <v>26</v>
      </c>
      <c r="F87" s="382" t="s">
        <v>27</v>
      </c>
      <c r="G87" s="561" t="s">
        <v>98</v>
      </c>
      <c r="H87" s="567">
        <v>0.06</v>
      </c>
      <c r="I87" s="567">
        <v>1</v>
      </c>
      <c r="J87" s="382"/>
    </row>
    <row r="88" spans="1:10" outlineLevel="1">
      <c r="A88" s="382"/>
      <c r="B88" s="382"/>
      <c r="C88" s="395" t="s">
        <v>209</v>
      </c>
      <c r="D88" s="395" t="s">
        <v>80</v>
      </c>
      <c r="E88" s="395" t="s">
        <v>26</v>
      </c>
      <c r="F88" s="395" t="s">
        <v>27</v>
      </c>
      <c r="G88" s="622" t="s">
        <v>1747</v>
      </c>
      <c r="H88" s="631">
        <f>SUM(H89)</f>
        <v>0.03</v>
      </c>
      <c r="I88" s="631">
        <f>SUM(I89)</f>
        <v>1</v>
      </c>
      <c r="J88" s="382"/>
    </row>
    <row r="89" spans="1:10" outlineLevel="2">
      <c r="A89" s="382"/>
      <c r="B89" s="382">
        <v>1</v>
      </c>
      <c r="C89" s="382" t="s">
        <v>209</v>
      </c>
      <c r="D89" s="382" t="s">
        <v>80</v>
      </c>
      <c r="E89" s="382" t="s">
        <v>26</v>
      </c>
      <c r="F89" s="382" t="s">
        <v>27</v>
      </c>
      <c r="G89" s="561" t="s">
        <v>211</v>
      </c>
      <c r="H89" s="567">
        <v>0.03</v>
      </c>
      <c r="I89" s="567">
        <v>1</v>
      </c>
      <c r="J89" s="382"/>
    </row>
    <row r="90" spans="1:10" outlineLevel="1">
      <c r="A90" s="382"/>
      <c r="B90" s="382"/>
      <c r="C90" s="395" t="s">
        <v>212</v>
      </c>
      <c r="D90" s="395" t="s">
        <v>212</v>
      </c>
      <c r="E90" s="395" t="s">
        <v>26</v>
      </c>
      <c r="F90" s="395" t="s">
        <v>27</v>
      </c>
      <c r="G90" s="622" t="s">
        <v>1684</v>
      </c>
      <c r="H90" s="631">
        <f>SUM(H91:H106)</f>
        <v>3.6899229248400003</v>
      </c>
      <c r="I90" s="631">
        <f>SUM(I91:I106)</f>
        <v>16</v>
      </c>
      <c r="J90" s="382"/>
    </row>
    <row r="91" spans="1:10" outlineLevel="2">
      <c r="A91" s="382"/>
      <c r="B91" s="382">
        <v>1</v>
      </c>
      <c r="C91" s="382" t="s">
        <v>212</v>
      </c>
      <c r="D91" s="382" t="s">
        <v>212</v>
      </c>
      <c r="E91" s="382" t="s">
        <v>26</v>
      </c>
      <c r="F91" s="382" t="s">
        <v>27</v>
      </c>
      <c r="G91" s="561" t="s">
        <v>231</v>
      </c>
      <c r="H91" s="567">
        <v>2.25123394992</v>
      </c>
      <c r="I91" s="567">
        <v>1</v>
      </c>
      <c r="J91" s="382"/>
    </row>
    <row r="92" spans="1:10" outlineLevel="2">
      <c r="A92" s="382"/>
      <c r="B92" s="382">
        <v>1</v>
      </c>
      <c r="C92" s="382" t="s">
        <v>212</v>
      </c>
      <c r="D92" s="382" t="s">
        <v>212</v>
      </c>
      <c r="E92" s="382" t="s">
        <v>26</v>
      </c>
      <c r="F92" s="382" t="s">
        <v>27</v>
      </c>
      <c r="G92" s="561" t="s">
        <v>224</v>
      </c>
      <c r="H92" s="567">
        <v>0.5295810499200001</v>
      </c>
      <c r="I92" s="567">
        <v>1</v>
      </c>
      <c r="J92" s="382"/>
    </row>
    <row r="93" spans="1:10" outlineLevel="2">
      <c r="A93" s="382"/>
      <c r="B93" s="382">
        <v>2</v>
      </c>
      <c r="C93" s="382" t="s">
        <v>212</v>
      </c>
      <c r="D93" s="382" t="s">
        <v>212</v>
      </c>
      <c r="E93" s="382" t="s">
        <v>26</v>
      </c>
      <c r="F93" s="382" t="s">
        <v>27</v>
      </c>
      <c r="G93" s="561" t="s">
        <v>233</v>
      </c>
      <c r="H93" s="567">
        <v>2.5612785000000002E-2</v>
      </c>
      <c r="I93" s="567">
        <v>1</v>
      </c>
      <c r="J93" s="382"/>
    </row>
    <row r="94" spans="1:10" outlineLevel="2">
      <c r="A94" s="382"/>
      <c r="B94" s="382">
        <v>1</v>
      </c>
      <c r="C94" s="382" t="s">
        <v>212</v>
      </c>
      <c r="D94" s="382" t="s">
        <v>212</v>
      </c>
      <c r="E94" s="382" t="s">
        <v>26</v>
      </c>
      <c r="F94" s="382" t="s">
        <v>27</v>
      </c>
      <c r="G94" s="561" t="s">
        <v>236</v>
      </c>
      <c r="H94" s="567">
        <v>0.10833933000000003</v>
      </c>
      <c r="I94" s="567">
        <v>1</v>
      </c>
      <c r="J94" s="382"/>
    </row>
    <row r="95" spans="1:10" outlineLevel="2">
      <c r="A95" s="382"/>
      <c r="B95" s="382">
        <v>2</v>
      </c>
      <c r="C95" s="382" t="s">
        <v>212</v>
      </c>
      <c r="D95" s="382" t="s">
        <v>212</v>
      </c>
      <c r="E95" s="382" t="s">
        <v>26</v>
      </c>
      <c r="F95" s="382" t="s">
        <v>27</v>
      </c>
      <c r="G95" s="561" t="s">
        <v>237</v>
      </c>
      <c r="H95" s="567">
        <v>5.4169665000000013E-2</v>
      </c>
      <c r="I95" s="567">
        <v>1</v>
      </c>
      <c r="J95" s="382"/>
    </row>
    <row r="96" spans="1:10" outlineLevel="2">
      <c r="A96" s="382"/>
      <c r="B96" s="382">
        <v>1</v>
      </c>
      <c r="C96" s="382" t="s">
        <v>212</v>
      </c>
      <c r="D96" s="382" t="s">
        <v>212</v>
      </c>
      <c r="E96" s="382" t="s">
        <v>26</v>
      </c>
      <c r="F96" s="382" t="s">
        <v>27</v>
      </c>
      <c r="G96" s="561" t="s">
        <v>240</v>
      </c>
      <c r="H96" s="567">
        <v>0.10833933000000003</v>
      </c>
      <c r="I96" s="567">
        <v>1</v>
      </c>
      <c r="J96" s="382"/>
    </row>
    <row r="97" spans="1:10" outlineLevel="2">
      <c r="A97" s="382"/>
      <c r="B97" s="382">
        <v>2</v>
      </c>
      <c r="C97" s="382" t="s">
        <v>212</v>
      </c>
      <c r="D97" s="382" t="s">
        <v>212</v>
      </c>
      <c r="E97" s="382" t="s">
        <v>26</v>
      </c>
      <c r="F97" s="382" t="s">
        <v>27</v>
      </c>
      <c r="G97" s="561" t="s">
        <v>242</v>
      </c>
      <c r="H97" s="567">
        <v>5.4169665000000013E-2</v>
      </c>
      <c r="I97" s="567">
        <v>1</v>
      </c>
      <c r="J97" s="382"/>
    </row>
    <row r="98" spans="1:10" outlineLevel="2">
      <c r="A98" s="382"/>
      <c r="B98" s="382">
        <v>1</v>
      </c>
      <c r="C98" s="382" t="s">
        <v>212</v>
      </c>
      <c r="D98" s="382" t="s">
        <v>212</v>
      </c>
      <c r="E98" s="382" t="s">
        <v>26</v>
      </c>
      <c r="F98" s="382" t="s">
        <v>27</v>
      </c>
      <c r="G98" s="561" t="s">
        <v>245</v>
      </c>
      <c r="H98" s="567">
        <v>0.10833933000000003</v>
      </c>
      <c r="I98" s="567">
        <v>1</v>
      </c>
      <c r="J98" s="382"/>
    </row>
    <row r="99" spans="1:10" outlineLevel="2">
      <c r="A99" s="382"/>
      <c r="B99" s="382">
        <v>2</v>
      </c>
      <c r="C99" s="382" t="s">
        <v>212</v>
      </c>
      <c r="D99" s="382" t="s">
        <v>212</v>
      </c>
      <c r="E99" s="382" t="s">
        <v>26</v>
      </c>
      <c r="F99" s="382" t="s">
        <v>27</v>
      </c>
      <c r="G99" s="561" t="s">
        <v>246</v>
      </c>
      <c r="H99" s="567">
        <v>5.4169665000000013E-2</v>
      </c>
      <c r="I99" s="567">
        <v>1</v>
      </c>
      <c r="J99" s="382"/>
    </row>
    <row r="100" spans="1:10" outlineLevel="2">
      <c r="A100" s="382"/>
      <c r="B100" s="382">
        <v>1</v>
      </c>
      <c r="C100" s="382" t="s">
        <v>212</v>
      </c>
      <c r="D100" s="382" t="s">
        <v>212</v>
      </c>
      <c r="E100" s="382" t="s">
        <v>26</v>
      </c>
      <c r="F100" s="382" t="s">
        <v>27</v>
      </c>
      <c r="G100" s="561" t="s">
        <v>249</v>
      </c>
      <c r="H100" s="567">
        <v>0.10833933000000003</v>
      </c>
      <c r="I100" s="567">
        <v>1</v>
      </c>
      <c r="J100" s="382"/>
    </row>
    <row r="101" spans="1:10" outlineLevel="2">
      <c r="A101" s="382"/>
      <c r="B101" s="382">
        <v>2</v>
      </c>
      <c r="C101" s="382" t="s">
        <v>212</v>
      </c>
      <c r="D101" s="382" t="s">
        <v>212</v>
      </c>
      <c r="E101" s="382" t="s">
        <v>26</v>
      </c>
      <c r="F101" s="382" t="s">
        <v>27</v>
      </c>
      <c r="G101" s="561" t="s">
        <v>250</v>
      </c>
      <c r="H101" s="567">
        <v>5.4169665000000013E-2</v>
      </c>
      <c r="I101" s="567">
        <v>1</v>
      </c>
      <c r="J101" s="382"/>
    </row>
    <row r="102" spans="1:10" outlineLevel="2">
      <c r="A102" s="382"/>
      <c r="B102" s="382">
        <v>2</v>
      </c>
      <c r="C102" s="382" t="s">
        <v>212</v>
      </c>
      <c r="D102" s="382" t="s">
        <v>212</v>
      </c>
      <c r="E102" s="382" t="s">
        <v>26</v>
      </c>
      <c r="F102" s="382" t="s">
        <v>27</v>
      </c>
      <c r="G102" s="561" t="s">
        <v>1748</v>
      </c>
      <c r="H102" s="411">
        <v>5.4169665000000013E-2</v>
      </c>
      <c r="I102" s="567">
        <v>1</v>
      </c>
      <c r="J102" s="382"/>
    </row>
    <row r="103" spans="1:10" outlineLevel="2">
      <c r="A103" s="382"/>
      <c r="B103" s="382">
        <v>1</v>
      </c>
      <c r="C103" s="382" t="s">
        <v>212</v>
      </c>
      <c r="D103" s="382" t="s">
        <v>212</v>
      </c>
      <c r="E103" s="382" t="s">
        <v>26</v>
      </c>
      <c r="F103" s="382" t="s">
        <v>27</v>
      </c>
      <c r="G103" s="561" t="s">
        <v>254</v>
      </c>
      <c r="H103" s="567">
        <v>5.1225570000000005E-2</v>
      </c>
      <c r="I103" s="567">
        <v>1</v>
      </c>
      <c r="J103" s="382"/>
    </row>
    <row r="104" spans="1:10" outlineLevel="2">
      <c r="A104" s="382"/>
      <c r="B104" s="382">
        <v>2</v>
      </c>
      <c r="C104" s="382" t="s">
        <v>212</v>
      </c>
      <c r="D104" s="382" t="s">
        <v>212</v>
      </c>
      <c r="E104" s="382" t="s">
        <v>26</v>
      </c>
      <c r="F104" s="382" t="s">
        <v>27</v>
      </c>
      <c r="G104" s="561" t="s">
        <v>255</v>
      </c>
      <c r="H104" s="567">
        <v>5.1225570000000005E-2</v>
      </c>
      <c r="I104" s="567">
        <v>1</v>
      </c>
      <c r="J104" s="382"/>
    </row>
    <row r="105" spans="1:10" outlineLevel="2">
      <c r="A105" s="382"/>
      <c r="B105" s="382">
        <v>2</v>
      </c>
      <c r="C105" s="382" t="s">
        <v>212</v>
      </c>
      <c r="D105" s="382" t="s">
        <v>212</v>
      </c>
      <c r="E105" s="382" t="s">
        <v>26</v>
      </c>
      <c r="F105" s="382" t="s">
        <v>27</v>
      </c>
      <c r="G105" s="561" t="s">
        <v>256</v>
      </c>
      <c r="H105" s="567">
        <v>5.1225570000000005E-2</v>
      </c>
      <c r="I105" s="567">
        <v>1</v>
      </c>
      <c r="J105" s="382"/>
    </row>
    <row r="106" spans="1:10" outlineLevel="2">
      <c r="A106" s="382"/>
      <c r="B106" s="382">
        <v>2</v>
      </c>
      <c r="C106" s="382" t="s">
        <v>212</v>
      </c>
      <c r="D106" s="382" t="s">
        <v>212</v>
      </c>
      <c r="E106" s="382" t="s">
        <v>26</v>
      </c>
      <c r="F106" s="382" t="s">
        <v>27</v>
      </c>
      <c r="G106" s="561" t="s">
        <v>257</v>
      </c>
      <c r="H106" s="567">
        <v>2.5612785000000002E-2</v>
      </c>
      <c r="I106" s="567">
        <v>1</v>
      </c>
      <c r="J106" s="382"/>
    </row>
    <row r="107" spans="1:10" outlineLevel="1">
      <c r="A107" s="382"/>
      <c r="B107" s="382"/>
      <c r="C107" s="395" t="s">
        <v>263</v>
      </c>
      <c r="D107" s="395" t="s">
        <v>263</v>
      </c>
      <c r="E107" s="395" t="s">
        <v>26</v>
      </c>
      <c r="F107" s="395" t="s">
        <v>27</v>
      </c>
      <c r="G107" s="622" t="s">
        <v>1685</v>
      </c>
      <c r="H107" s="631">
        <f>SUM(H108:H113)</f>
        <v>0.34545700083561953</v>
      </c>
      <c r="I107" s="631">
        <f>SUM(I108:I113)</f>
        <v>6</v>
      </c>
      <c r="J107" s="382"/>
    </row>
    <row r="108" spans="1:10" outlineLevel="2">
      <c r="A108" s="382"/>
      <c r="B108" s="382">
        <v>1</v>
      </c>
      <c r="C108" s="382" t="s">
        <v>263</v>
      </c>
      <c r="D108" s="382" t="s">
        <v>263</v>
      </c>
      <c r="E108" s="382" t="s">
        <v>26</v>
      </c>
      <c r="F108" s="382" t="s">
        <v>27</v>
      </c>
      <c r="G108" s="561" t="s">
        <v>271</v>
      </c>
      <c r="H108" s="567">
        <v>0.20115878538561949</v>
      </c>
      <c r="I108" s="567">
        <v>1</v>
      </c>
      <c r="J108" s="382"/>
    </row>
    <row r="109" spans="1:10" outlineLevel="2">
      <c r="A109" s="382"/>
      <c r="B109" s="382">
        <v>1</v>
      </c>
      <c r="C109" s="382" t="s">
        <v>263</v>
      </c>
      <c r="D109" s="382" t="s">
        <v>263</v>
      </c>
      <c r="E109" s="382" t="s">
        <v>26</v>
      </c>
      <c r="F109" s="382" t="s">
        <v>27</v>
      </c>
      <c r="G109" s="561" t="s">
        <v>73</v>
      </c>
      <c r="H109" s="567">
        <v>5.8456730700000001E-2</v>
      </c>
      <c r="I109" s="567">
        <v>1</v>
      </c>
      <c r="J109" s="382"/>
    </row>
    <row r="110" spans="1:10" outlineLevel="2">
      <c r="A110" s="382"/>
      <c r="B110" s="382">
        <v>1</v>
      </c>
      <c r="C110" s="382" t="s">
        <v>263</v>
      </c>
      <c r="D110" s="382" t="s">
        <v>263</v>
      </c>
      <c r="E110" s="382" t="s">
        <v>26</v>
      </c>
      <c r="F110" s="382" t="s">
        <v>27</v>
      </c>
      <c r="G110" s="561" t="s">
        <v>24</v>
      </c>
      <c r="H110" s="567">
        <v>4.8713942250000003E-2</v>
      </c>
      <c r="I110" s="567">
        <v>1</v>
      </c>
      <c r="J110" s="382"/>
    </row>
    <row r="111" spans="1:10" outlineLevel="2">
      <c r="A111" s="382"/>
      <c r="B111" s="382">
        <v>1</v>
      </c>
      <c r="C111" s="382" t="s">
        <v>263</v>
      </c>
      <c r="D111" s="382" t="s">
        <v>263</v>
      </c>
      <c r="E111" s="382" t="s">
        <v>26</v>
      </c>
      <c r="F111" s="382" t="s">
        <v>27</v>
      </c>
      <c r="G111" s="561" t="s">
        <v>205</v>
      </c>
      <c r="H111" s="567">
        <v>2.5989279749999997E-2</v>
      </c>
      <c r="I111" s="567">
        <v>1</v>
      </c>
      <c r="J111" s="382"/>
    </row>
    <row r="112" spans="1:10" outlineLevel="2">
      <c r="A112" s="382"/>
      <c r="B112" s="382">
        <v>1</v>
      </c>
      <c r="C112" s="382" t="s">
        <v>263</v>
      </c>
      <c r="D112" s="382" t="s">
        <v>263</v>
      </c>
      <c r="E112" s="382" t="s">
        <v>26</v>
      </c>
      <c r="F112" s="382" t="s">
        <v>27</v>
      </c>
      <c r="G112" s="561" t="s">
        <v>117</v>
      </c>
      <c r="H112" s="567">
        <v>3.7127542499999998E-3</v>
      </c>
      <c r="I112" s="567">
        <v>1</v>
      </c>
      <c r="J112" s="382"/>
    </row>
    <row r="113" spans="1:10" outlineLevel="2">
      <c r="A113" s="382"/>
      <c r="B113" s="382">
        <v>1</v>
      </c>
      <c r="C113" s="382" t="s">
        <v>263</v>
      </c>
      <c r="D113" s="382" t="s">
        <v>263</v>
      </c>
      <c r="E113" s="382" t="s">
        <v>26</v>
      </c>
      <c r="F113" s="382" t="s">
        <v>27</v>
      </c>
      <c r="G113" s="561" t="s">
        <v>273</v>
      </c>
      <c r="H113" s="567">
        <v>7.4255085000000005E-3</v>
      </c>
      <c r="I113" s="567">
        <v>1</v>
      </c>
      <c r="J113" s="382"/>
    </row>
    <row r="114" spans="1:10" outlineLevel="1">
      <c r="A114" s="382"/>
      <c r="B114" s="382"/>
      <c r="C114" s="395" t="s">
        <v>276</v>
      </c>
      <c r="D114" s="395" t="s">
        <v>276</v>
      </c>
      <c r="E114" s="395" t="s">
        <v>26</v>
      </c>
      <c r="F114" s="395" t="s">
        <v>27</v>
      </c>
      <c r="G114" s="622" t="s">
        <v>1686</v>
      </c>
      <c r="H114" s="631">
        <v>0</v>
      </c>
      <c r="I114" s="631">
        <v>0</v>
      </c>
      <c r="J114" s="382"/>
    </row>
    <row r="115" spans="1:10" outlineLevel="1">
      <c r="A115" s="382"/>
      <c r="B115" s="382"/>
      <c r="C115" s="395" t="s">
        <v>285</v>
      </c>
      <c r="D115" s="395" t="s">
        <v>285</v>
      </c>
      <c r="E115" s="395" t="s">
        <v>26</v>
      </c>
      <c r="F115" s="395" t="s">
        <v>27</v>
      </c>
      <c r="G115" s="622" t="s">
        <v>1692</v>
      </c>
      <c r="H115" s="631">
        <v>0</v>
      </c>
      <c r="I115" s="631">
        <v>0</v>
      </c>
      <c r="J115" s="382"/>
    </row>
    <row r="116" spans="1:10" outlineLevel="1">
      <c r="A116" s="382"/>
      <c r="B116" s="382"/>
      <c r="C116" s="395" t="s">
        <v>288</v>
      </c>
      <c r="D116" s="395" t="s">
        <v>288</v>
      </c>
      <c r="E116" s="395" t="s">
        <v>26</v>
      </c>
      <c r="F116" s="395" t="s">
        <v>27</v>
      </c>
      <c r="G116" s="622" t="s">
        <v>1695</v>
      </c>
      <c r="H116" s="631">
        <v>0</v>
      </c>
      <c r="I116" s="631">
        <v>0</v>
      </c>
      <c r="J116" s="382"/>
    </row>
    <row r="117" spans="1:10" outlineLevel="1">
      <c r="A117" s="382"/>
      <c r="B117" s="382"/>
      <c r="C117" s="395" t="s">
        <v>290</v>
      </c>
      <c r="D117" s="395" t="s">
        <v>291</v>
      </c>
      <c r="E117" s="395" t="s">
        <v>26</v>
      </c>
      <c r="F117" s="395" t="s">
        <v>27</v>
      </c>
      <c r="G117" s="622" t="s">
        <v>1666</v>
      </c>
      <c r="H117" s="631">
        <f>SUM(H118)</f>
        <v>1.9200000000000002E-2</v>
      </c>
      <c r="I117" s="631">
        <f>SUM(I118)</f>
        <v>1</v>
      </c>
      <c r="J117" s="382"/>
    </row>
    <row r="118" spans="1:10" outlineLevel="2">
      <c r="A118" s="382"/>
      <c r="B118" s="382">
        <v>2</v>
      </c>
      <c r="C118" s="382" t="s">
        <v>290</v>
      </c>
      <c r="D118" s="382" t="s">
        <v>291</v>
      </c>
      <c r="E118" s="382" t="s">
        <v>26</v>
      </c>
      <c r="F118" s="382" t="s">
        <v>27</v>
      </c>
      <c r="G118" s="561" t="s">
        <v>279</v>
      </c>
      <c r="H118" s="567">
        <v>1.9200000000000002E-2</v>
      </c>
      <c r="I118" s="567">
        <v>1</v>
      </c>
      <c r="J118" s="382"/>
    </row>
    <row r="119" spans="1:10" outlineLevel="1">
      <c r="A119" s="382"/>
      <c r="B119" s="382"/>
      <c r="C119" s="395" t="s">
        <v>293</v>
      </c>
      <c r="D119" s="395" t="s">
        <v>294</v>
      </c>
      <c r="E119" s="395" t="s">
        <v>26</v>
      </c>
      <c r="F119" s="395" t="s">
        <v>27</v>
      </c>
      <c r="G119" s="622" t="s">
        <v>1667</v>
      </c>
      <c r="H119" s="631">
        <f>SUM(H120:H122)</f>
        <v>0.22284000000000001</v>
      </c>
      <c r="I119" s="631">
        <f>SUM(I120:I122)</f>
        <v>3</v>
      </c>
      <c r="J119" s="382"/>
    </row>
    <row r="120" spans="1:10" outlineLevel="2">
      <c r="A120" s="382"/>
      <c r="B120" s="382">
        <v>1</v>
      </c>
      <c r="C120" s="382" t="s">
        <v>293</v>
      </c>
      <c r="D120" s="382" t="s">
        <v>294</v>
      </c>
      <c r="E120" s="382" t="s">
        <v>26</v>
      </c>
      <c r="F120" s="382" t="s">
        <v>27</v>
      </c>
      <c r="G120" s="561" t="s">
        <v>280</v>
      </c>
      <c r="H120" s="567">
        <v>5.9424000000000005E-2</v>
      </c>
      <c r="I120" s="567">
        <v>1</v>
      </c>
      <c r="J120" s="382"/>
    </row>
    <row r="121" spans="1:10" outlineLevel="2">
      <c r="A121" s="382"/>
      <c r="B121" s="382">
        <v>1</v>
      </c>
      <c r="C121" s="382" t="s">
        <v>293</v>
      </c>
      <c r="D121" s="382" t="s">
        <v>294</v>
      </c>
      <c r="E121" s="382" t="s">
        <v>26</v>
      </c>
      <c r="F121" s="382" t="s">
        <v>27</v>
      </c>
      <c r="G121" s="561" t="s">
        <v>281</v>
      </c>
      <c r="H121" s="567">
        <v>0.14856</v>
      </c>
      <c r="I121" s="567">
        <v>1</v>
      </c>
      <c r="J121" s="382"/>
    </row>
    <row r="122" spans="1:10" outlineLevel="2">
      <c r="A122" s="382"/>
      <c r="B122" s="382">
        <v>1</v>
      </c>
      <c r="C122" s="382" t="s">
        <v>293</v>
      </c>
      <c r="D122" s="382" t="s">
        <v>294</v>
      </c>
      <c r="E122" s="382" t="s">
        <v>26</v>
      </c>
      <c r="F122" s="382" t="s">
        <v>27</v>
      </c>
      <c r="G122" s="561" t="s">
        <v>287</v>
      </c>
      <c r="H122" s="567">
        <v>1.4856000000000001E-2</v>
      </c>
      <c r="I122" s="567">
        <v>1</v>
      </c>
      <c r="J122" s="382"/>
    </row>
    <row r="123" spans="1:10" outlineLevel="1">
      <c r="A123" s="382"/>
      <c r="B123" s="382"/>
      <c r="C123" s="395" t="s">
        <v>305</v>
      </c>
      <c r="D123" s="395" t="s">
        <v>306</v>
      </c>
      <c r="E123" s="395" t="s">
        <v>26</v>
      </c>
      <c r="F123" s="395" t="s">
        <v>27</v>
      </c>
      <c r="G123" s="622" t="s">
        <v>1668</v>
      </c>
      <c r="H123" s="631">
        <v>0</v>
      </c>
      <c r="I123" s="631">
        <v>0</v>
      </c>
      <c r="J123" s="382"/>
    </row>
    <row r="124" spans="1:10" outlineLevel="1">
      <c r="A124" s="382"/>
      <c r="B124" s="382"/>
      <c r="C124" s="395" t="s">
        <v>512</v>
      </c>
      <c r="D124" s="395" t="s">
        <v>512</v>
      </c>
      <c r="E124" s="395" t="s">
        <v>26</v>
      </c>
      <c r="F124" s="395" t="s">
        <v>27</v>
      </c>
      <c r="G124" s="622" t="s">
        <v>1749</v>
      </c>
      <c r="H124" s="631">
        <f>SUM(H125)</f>
        <v>0</v>
      </c>
      <c r="I124" s="631">
        <f>SUM(I125)</f>
        <v>1</v>
      </c>
      <c r="J124" s="382"/>
    </row>
    <row r="125" spans="1:10" outlineLevel="2">
      <c r="A125" s="382"/>
      <c r="B125" s="382">
        <v>3</v>
      </c>
      <c r="C125" s="382" t="s">
        <v>512</v>
      </c>
      <c r="D125" s="382" t="s">
        <v>512</v>
      </c>
      <c r="E125" s="382" t="s">
        <v>26</v>
      </c>
      <c r="F125" s="382" t="s">
        <v>27</v>
      </c>
      <c r="G125" s="561" t="s">
        <v>279</v>
      </c>
      <c r="H125" s="567"/>
      <c r="I125" s="567">
        <v>1</v>
      </c>
      <c r="J125" s="382"/>
    </row>
    <row r="126" spans="1:10" outlineLevel="1">
      <c r="A126" s="382"/>
      <c r="B126" s="382"/>
      <c r="C126" s="395" t="s">
        <v>516</v>
      </c>
      <c r="D126" s="395" t="s">
        <v>517</v>
      </c>
      <c r="E126" s="395" t="s">
        <v>26</v>
      </c>
      <c r="F126" s="395" t="s">
        <v>27</v>
      </c>
      <c r="G126" s="622" t="s">
        <v>1677</v>
      </c>
      <c r="H126" s="631">
        <f>SUM(H127)</f>
        <v>0.19</v>
      </c>
      <c r="I126" s="631">
        <f>SUM(I127)</f>
        <v>1</v>
      </c>
      <c r="J126" s="382"/>
    </row>
    <row r="127" spans="1:10" outlineLevel="2">
      <c r="A127" s="382"/>
      <c r="B127" s="382">
        <v>2</v>
      </c>
      <c r="C127" s="382" t="s">
        <v>516</v>
      </c>
      <c r="D127" s="382" t="s">
        <v>517</v>
      </c>
      <c r="E127" s="382" t="s">
        <v>26</v>
      </c>
      <c r="F127" s="382" t="s">
        <v>27</v>
      </c>
      <c r="G127" s="561" t="s">
        <v>279</v>
      </c>
      <c r="H127" s="567">
        <v>0.19</v>
      </c>
      <c r="I127" s="567">
        <v>1</v>
      </c>
      <c r="J127" s="382"/>
    </row>
    <row r="128" spans="1:10" outlineLevel="1">
      <c r="A128" s="382"/>
      <c r="B128" s="382"/>
      <c r="C128" s="395" t="s">
        <v>330</v>
      </c>
      <c r="D128" s="395" t="s">
        <v>80</v>
      </c>
      <c r="E128" s="395" t="s">
        <v>26</v>
      </c>
      <c r="F128" s="395" t="s">
        <v>27</v>
      </c>
      <c r="G128" s="622" t="s">
        <v>1669</v>
      </c>
      <c r="H128" s="631">
        <f>SUM(H129)</f>
        <v>0.17172000000000001</v>
      </c>
      <c r="I128" s="631">
        <f>SUM(I129)</f>
        <v>1</v>
      </c>
      <c r="J128" s="382"/>
    </row>
    <row r="129" spans="1:10" outlineLevel="2">
      <c r="A129" s="382"/>
      <c r="B129" s="382">
        <v>3</v>
      </c>
      <c r="C129" s="382" t="s">
        <v>330</v>
      </c>
      <c r="D129" s="382" t="s">
        <v>80</v>
      </c>
      <c r="E129" s="382" t="s">
        <v>26</v>
      </c>
      <c r="F129" s="382" t="s">
        <v>27</v>
      </c>
      <c r="G129" s="561" t="s">
        <v>32</v>
      </c>
      <c r="H129" s="567">
        <v>0.17172000000000001</v>
      </c>
      <c r="I129" s="567">
        <v>1</v>
      </c>
      <c r="J129" s="382"/>
    </row>
    <row r="130" spans="1:10" outlineLevel="1">
      <c r="A130" s="382"/>
      <c r="B130" s="382"/>
      <c r="C130" s="395" t="s">
        <v>349</v>
      </c>
      <c r="D130" s="395" t="s">
        <v>30</v>
      </c>
      <c r="E130" s="395" t="s">
        <v>26</v>
      </c>
      <c r="F130" s="395" t="s">
        <v>27</v>
      </c>
      <c r="G130" s="622" t="s">
        <v>1678</v>
      </c>
      <c r="H130" s="631">
        <f>SUM(H131)</f>
        <v>7.8635040000000003E-2</v>
      </c>
      <c r="I130" s="631">
        <f>SUM(I131)</f>
        <v>1</v>
      </c>
      <c r="J130" s="382"/>
    </row>
    <row r="131" spans="1:10" outlineLevel="2">
      <c r="A131" s="382"/>
      <c r="B131" s="382">
        <v>3</v>
      </c>
      <c r="C131" s="382" t="s">
        <v>349</v>
      </c>
      <c r="D131" s="382" t="s">
        <v>30</v>
      </c>
      <c r="E131" s="382" t="s">
        <v>26</v>
      </c>
      <c r="F131" s="382" t="s">
        <v>27</v>
      </c>
      <c r="G131" s="561" t="s">
        <v>32</v>
      </c>
      <c r="H131" s="567">
        <v>7.8635040000000003E-2</v>
      </c>
      <c r="I131" s="567">
        <v>1</v>
      </c>
      <c r="J131" s="382"/>
    </row>
    <row r="132" spans="1:10" outlineLevel="1">
      <c r="A132" s="382"/>
      <c r="B132" s="382"/>
      <c r="C132" s="395" t="s">
        <v>398</v>
      </c>
      <c r="D132" s="395" t="s">
        <v>398</v>
      </c>
      <c r="E132" s="395" t="s">
        <v>26</v>
      </c>
      <c r="F132" s="395" t="s">
        <v>27</v>
      </c>
      <c r="G132" s="622" t="s">
        <v>1670</v>
      </c>
      <c r="H132" s="631">
        <f>SUM(H133:H134)</f>
        <v>2.0244304000000004</v>
      </c>
      <c r="I132" s="631">
        <f>SUM(I133:I134)</f>
        <v>2</v>
      </c>
      <c r="J132" s="382"/>
    </row>
    <row r="133" spans="1:10" outlineLevel="2">
      <c r="A133" s="382"/>
      <c r="B133" s="382">
        <v>1</v>
      </c>
      <c r="C133" s="382" t="s">
        <v>398</v>
      </c>
      <c r="D133" s="382" t="s">
        <v>398</v>
      </c>
      <c r="E133" s="382" t="s">
        <v>26</v>
      </c>
      <c r="F133" s="382" t="s">
        <v>27</v>
      </c>
      <c r="G133" s="561" t="s">
        <v>32</v>
      </c>
      <c r="H133" s="567">
        <v>1.5183228000000002</v>
      </c>
      <c r="I133" s="567">
        <v>1</v>
      </c>
      <c r="J133" s="382"/>
    </row>
    <row r="134" spans="1:10" outlineLevel="2">
      <c r="A134" s="382"/>
      <c r="B134" s="382">
        <v>1</v>
      </c>
      <c r="C134" s="382" t="s">
        <v>398</v>
      </c>
      <c r="D134" s="382" t="s">
        <v>398</v>
      </c>
      <c r="E134" s="382" t="s">
        <v>26</v>
      </c>
      <c r="F134" s="382" t="s">
        <v>27</v>
      </c>
      <c r="G134" s="561" t="s">
        <v>197</v>
      </c>
      <c r="H134" s="567">
        <v>0.5061076000000001</v>
      </c>
      <c r="I134" s="567">
        <v>1</v>
      </c>
      <c r="J134" s="382"/>
    </row>
    <row r="135" spans="1:10" outlineLevel="1">
      <c r="A135" s="382"/>
      <c r="B135" s="382"/>
      <c r="C135" s="395" t="s">
        <v>440</v>
      </c>
      <c r="D135" s="395" t="s">
        <v>440</v>
      </c>
      <c r="E135" s="395" t="s">
        <v>26</v>
      </c>
      <c r="F135" s="395" t="s">
        <v>27</v>
      </c>
      <c r="G135" s="622" t="s">
        <v>1681</v>
      </c>
      <c r="H135" s="631">
        <f>SUM(H136)</f>
        <v>1.5621756360000001</v>
      </c>
      <c r="I135" s="631">
        <f>SUM(I136)</f>
        <v>1</v>
      </c>
      <c r="J135" s="382"/>
    </row>
    <row r="136" spans="1:10" outlineLevel="2">
      <c r="A136" s="382"/>
      <c r="B136" s="382">
        <v>1</v>
      </c>
      <c r="C136" s="382" t="s">
        <v>440</v>
      </c>
      <c r="D136" s="382" t="s">
        <v>440</v>
      </c>
      <c r="E136" s="382" t="s">
        <v>26</v>
      </c>
      <c r="F136" s="382" t="s">
        <v>27</v>
      </c>
      <c r="G136" s="561" t="s">
        <v>32</v>
      </c>
      <c r="H136" s="567">
        <v>1.5621756360000001</v>
      </c>
      <c r="I136" s="567">
        <v>1</v>
      </c>
      <c r="J136" s="382"/>
    </row>
    <row r="137" spans="1:10" outlineLevel="1">
      <c r="A137" s="382"/>
      <c r="B137" s="382"/>
      <c r="C137" s="395" t="s">
        <v>447</v>
      </c>
      <c r="D137" s="395" t="s">
        <v>447</v>
      </c>
      <c r="E137" s="395" t="s">
        <v>26</v>
      </c>
      <c r="F137" s="395" t="s">
        <v>27</v>
      </c>
      <c r="G137" s="622" t="s">
        <v>1679</v>
      </c>
      <c r="H137" s="631">
        <f>SUM(H138)</f>
        <v>0.52072521199999999</v>
      </c>
      <c r="I137" s="631">
        <f>SUM(I138)</f>
        <v>1</v>
      </c>
      <c r="J137" s="382"/>
    </row>
    <row r="138" spans="1:10" outlineLevel="2">
      <c r="A138" s="382"/>
      <c r="B138" s="382">
        <v>1</v>
      </c>
      <c r="C138" s="382" t="s">
        <v>447</v>
      </c>
      <c r="D138" s="382" t="s">
        <v>447</v>
      </c>
      <c r="E138" s="382" t="s">
        <v>26</v>
      </c>
      <c r="F138" s="382" t="s">
        <v>27</v>
      </c>
      <c r="G138" s="561" t="s">
        <v>32</v>
      </c>
      <c r="H138" s="567">
        <v>0.52072521199999999</v>
      </c>
      <c r="I138" s="567">
        <v>1</v>
      </c>
      <c r="J138" s="382"/>
    </row>
    <row r="139" spans="1:10" outlineLevel="1">
      <c r="A139" s="382"/>
      <c r="B139" s="382"/>
      <c r="C139" s="395" t="s">
        <v>319</v>
      </c>
      <c r="D139" s="395" t="s">
        <v>319</v>
      </c>
      <c r="E139" s="395" t="s">
        <v>26</v>
      </c>
      <c r="F139" s="395" t="s">
        <v>27</v>
      </c>
      <c r="G139" s="622" t="s">
        <v>1680</v>
      </c>
      <c r="H139" s="631">
        <f>SUM(H140:H142)</f>
        <v>0.57240000000000002</v>
      </c>
      <c r="I139" s="631">
        <f>SUM(I140:I142)</f>
        <v>3</v>
      </c>
      <c r="J139" s="382"/>
    </row>
    <row r="140" spans="1:10" outlineLevel="2">
      <c r="A140" s="382"/>
      <c r="B140" s="382">
        <v>1</v>
      </c>
      <c r="C140" s="382" t="s">
        <v>319</v>
      </c>
      <c r="D140" s="382" t="s">
        <v>319</v>
      </c>
      <c r="E140" s="382" t="s">
        <v>26</v>
      </c>
      <c r="F140" s="382" t="s">
        <v>27</v>
      </c>
      <c r="G140" s="561" t="s">
        <v>32</v>
      </c>
      <c r="H140" s="567">
        <v>0.1431</v>
      </c>
      <c r="I140" s="567">
        <v>1</v>
      </c>
      <c r="J140" s="382"/>
    </row>
    <row r="141" spans="1:10" outlineLevel="2">
      <c r="A141" s="382"/>
      <c r="B141" s="382">
        <v>1</v>
      </c>
      <c r="C141" s="382" t="s">
        <v>319</v>
      </c>
      <c r="D141" s="382" t="s">
        <v>319</v>
      </c>
      <c r="E141" s="382" t="s">
        <v>26</v>
      </c>
      <c r="F141" s="382" t="s">
        <v>27</v>
      </c>
      <c r="G141" s="561" t="s">
        <v>34</v>
      </c>
      <c r="H141" s="567">
        <v>0.28620000000000001</v>
      </c>
      <c r="I141" s="567">
        <v>1</v>
      </c>
      <c r="J141" s="382"/>
    </row>
    <row r="142" spans="1:10" outlineLevel="2">
      <c r="A142" s="382"/>
      <c r="B142" s="382">
        <v>1</v>
      </c>
      <c r="C142" s="382" t="s">
        <v>319</v>
      </c>
      <c r="D142" s="382" t="s">
        <v>319</v>
      </c>
      <c r="E142" s="382" t="s">
        <v>26</v>
      </c>
      <c r="F142" s="382" t="s">
        <v>27</v>
      </c>
      <c r="G142" s="561" t="s">
        <v>471</v>
      </c>
      <c r="H142" s="567">
        <v>0.1431</v>
      </c>
      <c r="I142" s="567">
        <v>1</v>
      </c>
      <c r="J142" s="382"/>
    </row>
    <row r="143" spans="1:10" outlineLevel="1">
      <c r="A143" s="382"/>
      <c r="B143" s="382"/>
      <c r="C143" s="395" t="s">
        <v>474</v>
      </c>
      <c r="D143" s="395" t="s">
        <v>136</v>
      </c>
      <c r="E143" s="395" t="s">
        <v>26</v>
      </c>
      <c r="F143" s="395" t="s">
        <v>27</v>
      </c>
      <c r="G143" s="622" t="s">
        <v>1687</v>
      </c>
      <c r="H143" s="631">
        <f>SUM(H144:H145)</f>
        <v>0.72504000000000002</v>
      </c>
      <c r="I143" s="631">
        <f>SUM(I144:I145)</f>
        <v>2</v>
      </c>
      <c r="J143" s="382"/>
    </row>
    <row r="144" spans="1:10" outlineLevel="2">
      <c r="A144" s="382"/>
      <c r="B144" s="382">
        <v>2</v>
      </c>
      <c r="C144" s="382" t="s">
        <v>474</v>
      </c>
      <c r="D144" s="382" t="s">
        <v>136</v>
      </c>
      <c r="E144" s="382" t="s">
        <v>26</v>
      </c>
      <c r="F144" s="382" t="s">
        <v>27</v>
      </c>
      <c r="G144" s="561" t="s">
        <v>32</v>
      </c>
      <c r="H144" s="567">
        <v>0.36252000000000001</v>
      </c>
      <c r="I144" s="567">
        <v>1</v>
      </c>
      <c r="J144" s="382"/>
    </row>
    <row r="145" spans="1:10" outlineLevel="2">
      <c r="A145" s="382"/>
      <c r="B145" s="382">
        <v>2</v>
      </c>
      <c r="C145" s="382" t="s">
        <v>474</v>
      </c>
      <c r="D145" s="382" t="s">
        <v>136</v>
      </c>
      <c r="E145" s="382" t="s">
        <v>26</v>
      </c>
      <c r="F145" s="382" t="s">
        <v>27</v>
      </c>
      <c r="G145" s="561" t="s">
        <v>471</v>
      </c>
      <c r="H145" s="567">
        <v>0.36252000000000001</v>
      </c>
      <c r="I145" s="567">
        <v>1</v>
      </c>
      <c r="J145" s="382"/>
    </row>
    <row r="146" spans="1:10" outlineLevel="1">
      <c r="A146" s="382"/>
      <c r="B146" s="382"/>
      <c r="C146" s="395" t="s">
        <v>486</v>
      </c>
      <c r="D146" s="395" t="s">
        <v>136</v>
      </c>
      <c r="E146" s="395" t="s">
        <v>26</v>
      </c>
      <c r="F146" s="395" t="s">
        <v>27</v>
      </c>
      <c r="G146" s="622" t="s">
        <v>1688</v>
      </c>
      <c r="H146" s="631">
        <f>SUM(H147)</f>
        <v>0.20033977216751808</v>
      </c>
      <c r="I146" s="631">
        <f>SUM(I147)</f>
        <v>1</v>
      </c>
      <c r="J146" s="382"/>
    </row>
    <row r="147" spans="1:10" outlineLevel="2">
      <c r="A147" s="382"/>
      <c r="B147" s="382">
        <v>3</v>
      </c>
      <c r="C147" s="382" t="s">
        <v>486</v>
      </c>
      <c r="D147" s="382" t="s">
        <v>136</v>
      </c>
      <c r="E147" s="382" t="s">
        <v>26</v>
      </c>
      <c r="F147" s="382" t="s">
        <v>27</v>
      </c>
      <c r="G147" s="561" t="s">
        <v>32</v>
      </c>
      <c r="H147" s="567">
        <v>0.20033977216751808</v>
      </c>
      <c r="I147" s="567">
        <v>1</v>
      </c>
      <c r="J147" s="382"/>
    </row>
    <row r="148" spans="1:10" outlineLevel="1">
      <c r="A148" s="382"/>
      <c r="B148" s="382"/>
      <c r="C148" s="395" t="s">
        <v>490</v>
      </c>
      <c r="D148" s="395" t="s">
        <v>136</v>
      </c>
      <c r="E148" s="395" t="s">
        <v>26</v>
      </c>
      <c r="F148" s="395" t="s">
        <v>27</v>
      </c>
      <c r="G148" s="622" t="s">
        <v>1689</v>
      </c>
      <c r="H148" s="631">
        <f>SUM(H149:H152)</f>
        <v>0.5747066038098001</v>
      </c>
      <c r="I148" s="631">
        <f>SUM(I149:I152)</f>
        <v>4</v>
      </c>
      <c r="J148" s="382"/>
    </row>
    <row r="149" spans="1:10" outlineLevel="2">
      <c r="A149" s="382"/>
      <c r="B149" s="382">
        <v>1</v>
      </c>
      <c r="C149" s="382" t="s">
        <v>490</v>
      </c>
      <c r="D149" s="382" t="s">
        <v>136</v>
      </c>
      <c r="E149" s="382" t="s">
        <v>26</v>
      </c>
      <c r="F149" s="382" t="s">
        <v>27</v>
      </c>
      <c r="G149" s="561" t="s">
        <v>32</v>
      </c>
      <c r="H149" s="567">
        <v>0.12908390889240001</v>
      </c>
      <c r="I149" s="567">
        <v>1</v>
      </c>
      <c r="J149" s="382"/>
    </row>
    <row r="150" spans="1:10" outlineLevel="2">
      <c r="A150" s="382"/>
      <c r="B150" s="382">
        <v>1</v>
      </c>
      <c r="C150" s="382" t="s">
        <v>490</v>
      </c>
      <c r="D150" s="382" t="s">
        <v>136</v>
      </c>
      <c r="E150" s="382" t="s">
        <v>26</v>
      </c>
      <c r="F150" s="382" t="s">
        <v>27</v>
      </c>
      <c r="G150" s="561" t="s">
        <v>34</v>
      </c>
      <c r="H150" s="567">
        <v>0.25816781778480002</v>
      </c>
      <c r="I150" s="567">
        <v>1</v>
      </c>
      <c r="J150" s="382"/>
    </row>
    <row r="151" spans="1:10" outlineLevel="2">
      <c r="A151" s="382"/>
      <c r="B151" s="382">
        <v>1</v>
      </c>
      <c r="C151" s="382" t="s">
        <v>490</v>
      </c>
      <c r="D151" s="382" t="s">
        <v>136</v>
      </c>
      <c r="E151" s="382" t="s">
        <v>26</v>
      </c>
      <c r="F151" s="382" t="s">
        <v>27</v>
      </c>
      <c r="G151" s="561" t="s">
        <v>471</v>
      </c>
      <c r="H151" s="567">
        <v>0.12908390889240001</v>
      </c>
      <c r="I151" s="567">
        <v>1</v>
      </c>
      <c r="J151" s="382"/>
    </row>
    <row r="152" spans="1:10" outlineLevel="2">
      <c r="A152" s="382"/>
      <c r="B152" s="382">
        <v>1</v>
      </c>
      <c r="C152" s="382" t="s">
        <v>490</v>
      </c>
      <c r="D152" s="382" t="s">
        <v>136</v>
      </c>
      <c r="E152" s="382" t="s">
        <v>26</v>
      </c>
      <c r="F152" s="382" t="s">
        <v>27</v>
      </c>
      <c r="G152" s="561" t="s">
        <v>494</v>
      </c>
      <c r="H152" s="567">
        <v>5.8370968240200008E-2</v>
      </c>
      <c r="I152" s="567">
        <v>1</v>
      </c>
      <c r="J152" s="382"/>
    </row>
    <row r="153" spans="1:10" outlineLevel="1">
      <c r="A153" s="382"/>
      <c r="B153" s="382"/>
      <c r="C153" s="395" t="s">
        <v>498</v>
      </c>
      <c r="D153" s="395" t="s">
        <v>136</v>
      </c>
      <c r="E153" s="395" t="s">
        <v>26</v>
      </c>
      <c r="F153" s="395" t="s">
        <v>27</v>
      </c>
      <c r="G153" s="622" t="s">
        <v>1690</v>
      </c>
      <c r="H153" s="631">
        <v>0</v>
      </c>
      <c r="I153" s="631">
        <v>0</v>
      </c>
      <c r="J153" s="382"/>
    </row>
    <row r="154" spans="1:10" outlineLevel="1">
      <c r="A154" s="382"/>
      <c r="B154" s="382"/>
      <c r="C154" s="395" t="s">
        <v>503</v>
      </c>
      <c r="D154" s="395" t="s">
        <v>503</v>
      </c>
      <c r="E154" s="395" t="s">
        <v>26</v>
      </c>
      <c r="F154" s="395" t="s">
        <v>27</v>
      </c>
      <c r="G154" s="622" t="s">
        <v>1691</v>
      </c>
      <c r="H154" s="631">
        <v>0</v>
      </c>
      <c r="I154" s="631">
        <v>0</v>
      </c>
      <c r="J154" s="382"/>
    </row>
    <row r="155" spans="1:10" outlineLevel="1">
      <c r="A155" s="382"/>
      <c r="B155" s="382"/>
      <c r="C155" s="395" t="s">
        <v>510</v>
      </c>
      <c r="D155" s="395" t="s">
        <v>510</v>
      </c>
      <c r="E155" s="395" t="s">
        <v>26</v>
      </c>
      <c r="F155" s="395" t="s">
        <v>27</v>
      </c>
      <c r="G155" s="622" t="s">
        <v>1675</v>
      </c>
      <c r="H155" s="631">
        <v>0</v>
      </c>
      <c r="I155" s="631">
        <v>0</v>
      </c>
      <c r="J155" s="382"/>
    </row>
    <row r="156" spans="1:10" outlineLevel="1">
      <c r="A156" s="382"/>
      <c r="B156" s="382"/>
      <c r="C156" s="395" t="s">
        <v>297</v>
      </c>
      <c r="D156" s="395" t="s">
        <v>298</v>
      </c>
      <c r="E156" s="395" t="s">
        <v>26</v>
      </c>
      <c r="F156" s="395" t="s">
        <v>27</v>
      </c>
      <c r="G156" s="622" t="s">
        <v>1702</v>
      </c>
      <c r="H156" s="631">
        <f>SUM(H157)</f>
        <v>8.0000000000000004E-4</v>
      </c>
      <c r="I156" s="631">
        <f>SUM(I157)</f>
        <v>1</v>
      </c>
      <c r="J156" s="382"/>
    </row>
    <row r="157" spans="1:10" outlineLevel="2">
      <c r="A157" s="382"/>
      <c r="B157" s="382">
        <v>1</v>
      </c>
      <c r="C157" s="382" t="s">
        <v>297</v>
      </c>
      <c r="D157" s="382" t="s">
        <v>298</v>
      </c>
      <c r="E157" s="382" t="s">
        <v>26</v>
      </c>
      <c r="F157" s="382" t="s">
        <v>27</v>
      </c>
      <c r="G157" s="561" t="s">
        <v>303</v>
      </c>
      <c r="H157" s="567">
        <v>8.0000000000000004E-4</v>
      </c>
      <c r="I157" s="567">
        <v>1</v>
      </c>
      <c r="J157" s="382"/>
    </row>
    <row r="158" spans="1:10" outlineLevel="1">
      <c r="A158" s="382"/>
      <c r="B158" s="382"/>
      <c r="C158" s="395" t="s">
        <v>521</v>
      </c>
      <c r="D158" s="395" t="s">
        <v>521</v>
      </c>
      <c r="E158" s="395" t="s">
        <v>26</v>
      </c>
      <c r="F158" s="395" t="s">
        <v>27</v>
      </c>
      <c r="G158" s="622" t="s">
        <v>1704</v>
      </c>
      <c r="H158" s="631">
        <f>SUM(H159)</f>
        <v>2.0043571200000002E-2</v>
      </c>
      <c r="I158" s="631">
        <f>SUM(I159)</f>
        <v>1</v>
      </c>
      <c r="J158" s="382"/>
    </row>
    <row r="159" spans="1:10" outlineLevel="2">
      <c r="A159" s="382"/>
      <c r="B159" s="382">
        <v>3</v>
      </c>
      <c r="C159" s="382" t="s">
        <v>521</v>
      </c>
      <c r="D159" s="382" t="s">
        <v>521</v>
      </c>
      <c r="E159" s="382" t="s">
        <v>26</v>
      </c>
      <c r="F159" s="382" t="s">
        <v>27</v>
      </c>
      <c r="G159" s="561" t="s">
        <v>279</v>
      </c>
      <c r="H159" s="567">
        <v>2.0043571200000002E-2</v>
      </c>
      <c r="I159" s="567">
        <v>1</v>
      </c>
      <c r="J159" s="382"/>
    </row>
    <row r="160" spans="1:10" outlineLevel="1">
      <c r="A160" s="382"/>
      <c r="B160" s="382"/>
      <c r="C160" s="395" t="s">
        <v>536</v>
      </c>
      <c r="D160" s="395" t="s">
        <v>537</v>
      </c>
      <c r="E160" s="395" t="s">
        <v>26</v>
      </c>
      <c r="F160" s="395" t="s">
        <v>27</v>
      </c>
      <c r="G160" s="622" t="s">
        <v>1682</v>
      </c>
      <c r="H160" s="631">
        <f>SUM(H161:H162)</f>
        <v>0.62984501100000001</v>
      </c>
      <c r="I160" s="631">
        <f>SUM(I161:I162)</f>
        <v>2</v>
      </c>
      <c r="J160" s="382"/>
    </row>
    <row r="161" spans="1:10" outlineLevel="2">
      <c r="A161" s="382"/>
      <c r="B161" s="382">
        <v>2</v>
      </c>
      <c r="C161" s="382" t="s">
        <v>536</v>
      </c>
      <c r="D161" s="382" t="s">
        <v>537</v>
      </c>
      <c r="E161" s="382" t="s">
        <v>26</v>
      </c>
      <c r="F161" s="382" t="s">
        <v>27</v>
      </c>
      <c r="G161" s="561" t="s">
        <v>540</v>
      </c>
      <c r="H161" s="567">
        <v>0.26984501099999997</v>
      </c>
      <c r="I161" s="567">
        <v>1</v>
      </c>
      <c r="J161" s="382"/>
    </row>
    <row r="162" spans="1:10" outlineLevel="2">
      <c r="A162" s="382"/>
      <c r="B162" s="382">
        <v>2</v>
      </c>
      <c r="C162" s="382" t="s">
        <v>536</v>
      </c>
      <c r="D162" s="382" t="s">
        <v>537</v>
      </c>
      <c r="E162" s="382" t="s">
        <v>26</v>
      </c>
      <c r="F162" s="382" t="s">
        <v>27</v>
      </c>
      <c r="G162" s="561" t="s">
        <v>353</v>
      </c>
      <c r="H162" s="567">
        <v>0.36</v>
      </c>
      <c r="I162" s="567">
        <v>1</v>
      </c>
      <c r="J162" s="382"/>
    </row>
    <row r="163" spans="1:10" ht="3" customHeight="1">
      <c r="A163" s="382"/>
      <c r="B163" s="382"/>
      <c r="C163" s="382"/>
      <c r="D163" s="382"/>
      <c r="E163" s="382"/>
      <c r="F163" s="382"/>
      <c r="G163" s="382"/>
      <c r="H163" s="567"/>
      <c r="I163" s="567"/>
      <c r="J163" s="382"/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7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1:Y171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83" customWidth="1"/>
    <col min="2" max="2" width="6.42578125" style="383" bestFit="1" customWidth="1"/>
    <col min="3" max="3" width="19.42578125" style="383" customWidth="1"/>
    <col min="4" max="4" width="16.28515625" style="383" bestFit="1" customWidth="1"/>
    <col min="5" max="5" width="12.5703125" style="383" customWidth="1"/>
    <col min="6" max="6" width="13.7109375" style="383" bestFit="1" customWidth="1"/>
    <col min="7" max="7" width="66.28515625" style="584" bestFit="1" customWidth="1"/>
    <col min="8" max="9" width="11" style="383" customWidth="1"/>
    <col min="10" max="10" width="0.5703125" style="383" customWidth="1"/>
    <col min="11" max="12" width="9.42578125" style="383"/>
    <col min="13" max="14" width="9.5703125" style="383" bestFit="1" customWidth="1"/>
    <col min="15" max="15" width="7" style="383" bestFit="1" customWidth="1"/>
    <col min="16" max="16" width="8.5703125" style="383" bestFit="1" customWidth="1"/>
    <col min="17" max="17" width="12.5703125" style="383" customWidth="1"/>
    <col min="18" max="18" width="7.5703125" style="383" bestFit="1" customWidth="1"/>
    <col min="19" max="19" width="5.5703125" style="383" bestFit="1" customWidth="1"/>
    <col min="20" max="20" width="9.42578125" style="383" bestFit="1" customWidth="1"/>
    <col min="21" max="24" width="9.42578125" style="383"/>
    <col min="25" max="25" width="9.42578125" style="383" bestFit="1" customWidth="1"/>
    <col min="26" max="16384" width="9.42578125" style="383"/>
  </cols>
  <sheetData>
    <row r="1" spans="1:25" ht="17.100000000000001" customHeight="1">
      <c r="A1" s="382"/>
      <c r="B1" s="382"/>
      <c r="C1" s="382"/>
      <c r="D1" s="382"/>
      <c r="E1" s="382"/>
      <c r="F1" s="382"/>
      <c r="G1" s="561"/>
      <c r="H1" s="382"/>
      <c r="I1" s="382"/>
      <c r="J1" s="382"/>
    </row>
    <row r="2" spans="1:25" s="434" customFormat="1" ht="17.45">
      <c r="A2" s="386"/>
      <c r="B2" s="386"/>
      <c r="C2" s="436" t="s">
        <v>1659</v>
      </c>
      <c r="D2" s="436"/>
      <c r="E2" s="436"/>
      <c r="F2" s="436"/>
      <c r="G2" s="562"/>
      <c r="H2" s="437" t="s">
        <v>1</v>
      </c>
      <c r="I2" s="437" t="s">
        <v>6</v>
      </c>
      <c r="J2" s="386"/>
      <c r="M2" s="474"/>
    </row>
    <row r="3" spans="1:25" ht="3" customHeight="1">
      <c r="A3" s="382"/>
      <c r="B3" s="382"/>
      <c r="C3" s="382"/>
      <c r="D3" s="382"/>
      <c r="E3" s="382"/>
      <c r="F3" s="382"/>
      <c r="G3" s="561"/>
      <c r="H3" s="382"/>
      <c r="I3" s="382"/>
      <c r="J3" s="382"/>
    </row>
    <row r="4" spans="1:25" s="385" customFormat="1" ht="15">
      <c r="A4" s="384"/>
      <c r="B4" s="384"/>
      <c r="C4" s="435" t="s">
        <v>8</v>
      </c>
      <c r="D4" s="435" t="s">
        <v>9</v>
      </c>
      <c r="E4" s="435" t="s">
        <v>10</v>
      </c>
      <c r="F4" s="435" t="s">
        <v>11</v>
      </c>
      <c r="G4" s="452" t="s">
        <v>12</v>
      </c>
      <c r="H4" s="453">
        <f>SUM(H7)</f>
        <v>18.674600815481217</v>
      </c>
      <c r="I4" s="453">
        <f>SUM(I7)</f>
        <v>127</v>
      </c>
      <c r="J4" s="384"/>
      <c r="P4" s="509"/>
      <c r="V4" s="383"/>
      <c r="W4" s="383"/>
      <c r="X4" s="383"/>
    </row>
    <row r="5" spans="1:25" ht="10.35" customHeight="1">
      <c r="A5" s="382"/>
      <c r="B5" s="382"/>
      <c r="C5" s="386"/>
      <c r="D5" s="382"/>
      <c r="E5" s="386"/>
      <c r="F5" s="386" t="s">
        <v>13</v>
      </c>
      <c r="G5" s="561"/>
      <c r="H5" s="387"/>
      <c r="I5" s="387"/>
      <c r="J5" s="382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</row>
    <row r="6" spans="1:25" ht="3" customHeight="1">
      <c r="A6" s="382"/>
      <c r="B6" s="382"/>
      <c r="C6" s="382"/>
      <c r="D6" s="382"/>
      <c r="E6" s="382"/>
      <c r="F6" s="382"/>
      <c r="G6" s="561"/>
      <c r="H6" s="382"/>
      <c r="I6" s="382"/>
      <c r="J6" s="382"/>
    </row>
    <row r="7" spans="1:25" s="434" customFormat="1" ht="15.6">
      <c r="A7" s="386"/>
      <c r="B7" s="386" t="s">
        <v>1671</v>
      </c>
      <c r="C7" s="563" t="s">
        <v>708</v>
      </c>
      <c r="D7" s="564"/>
      <c r="E7" s="564"/>
      <c r="F7" s="564"/>
      <c r="G7" s="564"/>
      <c r="H7" s="566">
        <f>SUM(H9,H11,H24,H27,H32,H36,H39,H42,H48,H50,H55,H57,H60,H61,H62,H63,H76,H67,H78,H79,H87,H91,H96,H101,H107,H110,H113,H121,H132,H140,H157,H158,H159,H160,H165)</f>
        <v>18.674600815481217</v>
      </c>
      <c r="I7" s="566">
        <f>SUM(I9,I11,I24,I27,I32,I36,I39,I42,I48,I50,I55,I57,I60,I61,I62,I63,I67,I76,I78,I79,I87,I91,I96,I101,I107,I110,I113,I121,I132,I140,I157,I158,I159,I160,I165)</f>
        <v>127</v>
      </c>
      <c r="J7" s="386"/>
      <c r="M7" s="474"/>
    </row>
    <row r="8" spans="1:25" ht="3" customHeight="1" outlineLevel="1">
      <c r="A8" s="382"/>
      <c r="B8" s="382"/>
      <c r="C8" s="382"/>
      <c r="D8" s="382"/>
      <c r="E8" s="382"/>
      <c r="F8" s="382"/>
      <c r="G8" s="382"/>
      <c r="H8" s="567"/>
      <c r="I8" s="567"/>
      <c r="J8" s="382"/>
    </row>
    <row r="9" spans="1:25" outlineLevel="1">
      <c r="C9" s="401" t="s">
        <v>15</v>
      </c>
      <c r="D9" s="401" t="s">
        <v>23</v>
      </c>
      <c r="E9" s="395" t="s">
        <v>28</v>
      </c>
      <c r="F9" s="401" t="s">
        <v>708</v>
      </c>
      <c r="G9" s="568" t="s">
        <v>1672</v>
      </c>
      <c r="H9" s="583">
        <f>SUM(H10)</f>
        <v>1.4336873100000001E-2</v>
      </c>
      <c r="I9" s="583">
        <f>SUM(I10)</f>
        <v>1</v>
      </c>
    </row>
    <row r="10" spans="1:25" outlineLevel="2">
      <c r="B10" s="383">
        <v>1</v>
      </c>
      <c r="C10" s="383" t="s">
        <v>15</v>
      </c>
      <c r="D10" s="383" t="s">
        <v>23</v>
      </c>
      <c r="E10" s="382" t="s">
        <v>28</v>
      </c>
      <c r="F10" s="383" t="s">
        <v>708</v>
      </c>
      <c r="G10" s="561" t="s">
        <v>24</v>
      </c>
      <c r="H10" s="573">
        <v>1.4336873100000001E-2</v>
      </c>
      <c r="I10" s="573">
        <v>1</v>
      </c>
    </row>
    <row r="11" spans="1:25" outlineLevel="1">
      <c r="C11" s="401" t="s">
        <v>15</v>
      </c>
      <c r="D11" s="401" t="s">
        <v>30</v>
      </c>
      <c r="E11" s="401"/>
      <c r="F11" s="401" t="s">
        <v>708</v>
      </c>
      <c r="G11" s="568" t="s">
        <v>1672</v>
      </c>
      <c r="H11" s="583">
        <f>SUM(H12:H23)</f>
        <v>0.36573175713220468</v>
      </c>
      <c r="I11" s="583">
        <f>SUM(I12:I23)</f>
        <v>12</v>
      </c>
    </row>
    <row r="12" spans="1:25" outlineLevel="2">
      <c r="B12" s="383">
        <v>1</v>
      </c>
      <c r="C12" s="383" t="s">
        <v>15</v>
      </c>
      <c r="D12" s="383" t="s">
        <v>30</v>
      </c>
      <c r="E12" s="382" t="s">
        <v>28</v>
      </c>
      <c r="F12" s="383" t="s">
        <v>708</v>
      </c>
      <c r="G12" s="584" t="s">
        <v>60</v>
      </c>
      <c r="H12" s="586">
        <v>2.1499694035440806E-2</v>
      </c>
      <c r="I12" s="586">
        <v>1</v>
      </c>
    </row>
    <row r="13" spans="1:25" outlineLevel="2">
      <c r="B13" s="383">
        <v>1</v>
      </c>
      <c r="C13" s="383" t="s">
        <v>15</v>
      </c>
      <c r="D13" s="383" t="s">
        <v>30</v>
      </c>
      <c r="E13" s="382" t="s">
        <v>28</v>
      </c>
      <c r="F13" s="383" t="s">
        <v>708</v>
      </c>
      <c r="G13" s="584" t="s">
        <v>61</v>
      </c>
      <c r="H13" s="586">
        <v>2.1499694035440806E-2</v>
      </c>
      <c r="I13" s="586">
        <v>1</v>
      </c>
    </row>
    <row r="14" spans="1:25" outlineLevel="2">
      <c r="B14" s="383">
        <v>1</v>
      </c>
      <c r="C14" s="383" t="s">
        <v>15</v>
      </c>
      <c r="D14" s="383" t="s">
        <v>30</v>
      </c>
      <c r="E14" s="382" t="s">
        <v>28</v>
      </c>
      <c r="F14" s="383" t="s">
        <v>708</v>
      </c>
      <c r="G14" s="584" t="s">
        <v>62</v>
      </c>
      <c r="H14" s="586">
        <v>9.4245302543668119E-4</v>
      </c>
      <c r="I14" s="586">
        <v>1</v>
      </c>
    </row>
    <row r="15" spans="1:25" outlineLevel="2">
      <c r="B15" s="383">
        <v>1</v>
      </c>
      <c r="C15" s="383" t="s">
        <v>15</v>
      </c>
      <c r="D15" s="383" t="s">
        <v>30</v>
      </c>
      <c r="E15" s="382" t="s">
        <v>28</v>
      </c>
      <c r="F15" s="383" t="s">
        <v>708</v>
      </c>
      <c r="G15" s="584" t="s">
        <v>63</v>
      </c>
      <c r="H15" s="586">
        <v>1.8849060508733624E-3</v>
      </c>
      <c r="I15" s="586">
        <v>1</v>
      </c>
    </row>
    <row r="16" spans="1:25" outlineLevel="2">
      <c r="B16" s="383">
        <v>1</v>
      </c>
      <c r="C16" s="383" t="s">
        <v>15</v>
      </c>
      <c r="D16" s="383" t="s">
        <v>30</v>
      </c>
      <c r="E16" s="382" t="s">
        <v>28</v>
      </c>
      <c r="F16" s="383" t="s">
        <v>708</v>
      </c>
      <c r="G16" s="584" t="s">
        <v>38</v>
      </c>
      <c r="H16" s="586">
        <v>2.8273590763100436E-3</v>
      </c>
      <c r="I16" s="586">
        <v>1</v>
      </c>
    </row>
    <row r="17" spans="2:9" outlineLevel="2">
      <c r="B17" s="383">
        <v>1</v>
      </c>
      <c r="C17" s="383" t="s">
        <v>15</v>
      </c>
      <c r="D17" s="383" t="s">
        <v>30</v>
      </c>
      <c r="E17" s="382" t="s">
        <v>28</v>
      </c>
      <c r="F17" s="383" t="s">
        <v>708</v>
      </c>
      <c r="G17" s="584" t="s">
        <v>35</v>
      </c>
      <c r="H17" s="586">
        <v>0.10494596538461541</v>
      </c>
      <c r="I17" s="586">
        <v>1</v>
      </c>
    </row>
    <row r="18" spans="2:9" outlineLevel="2">
      <c r="B18" s="383">
        <v>1</v>
      </c>
      <c r="C18" s="383" t="s">
        <v>15</v>
      </c>
      <c r="D18" s="383" t="s">
        <v>30</v>
      </c>
      <c r="E18" s="382" t="s">
        <v>28</v>
      </c>
      <c r="F18" s="383" t="s">
        <v>708</v>
      </c>
      <c r="G18" s="584" t="s">
        <v>47</v>
      </c>
      <c r="H18" s="586">
        <v>0.04</v>
      </c>
      <c r="I18" s="586">
        <v>1</v>
      </c>
    </row>
    <row r="19" spans="2:9" outlineLevel="2">
      <c r="B19" s="383">
        <v>1</v>
      </c>
      <c r="C19" s="383" t="s">
        <v>15</v>
      </c>
      <c r="D19" s="383" t="s">
        <v>30</v>
      </c>
      <c r="E19" s="382" t="s">
        <v>64</v>
      </c>
      <c r="F19" s="383" t="s">
        <v>708</v>
      </c>
      <c r="G19" s="584" t="s">
        <v>32</v>
      </c>
      <c r="H19" s="586">
        <v>4.7863519954722676E-2</v>
      </c>
      <c r="I19" s="586">
        <v>1</v>
      </c>
    </row>
    <row r="20" spans="2:9" outlineLevel="2">
      <c r="B20" s="383">
        <v>1</v>
      </c>
      <c r="C20" s="383" t="s">
        <v>15</v>
      </c>
      <c r="D20" s="383" t="s">
        <v>30</v>
      </c>
      <c r="E20" s="382" t="s">
        <v>64</v>
      </c>
      <c r="F20" s="383" t="s">
        <v>708</v>
      </c>
      <c r="G20" s="584" t="s">
        <v>66</v>
      </c>
      <c r="H20" s="586">
        <v>4.7863519954722676E-2</v>
      </c>
      <c r="I20" s="586">
        <v>1</v>
      </c>
    </row>
    <row r="21" spans="2:9" outlineLevel="2">
      <c r="B21" s="383">
        <v>2</v>
      </c>
      <c r="C21" s="383" t="s">
        <v>15</v>
      </c>
      <c r="D21" s="383" t="s">
        <v>30</v>
      </c>
      <c r="E21" s="382" t="s">
        <v>64</v>
      </c>
      <c r="F21" s="383" t="s">
        <v>708</v>
      </c>
      <c r="G21" s="584" t="s">
        <v>67</v>
      </c>
      <c r="H21" s="586">
        <v>4.6404645614642186E-2</v>
      </c>
      <c r="I21" s="586">
        <v>1</v>
      </c>
    </row>
    <row r="22" spans="2:9" outlineLevel="2">
      <c r="B22" s="383">
        <v>2</v>
      </c>
      <c r="C22" s="383" t="s">
        <v>15</v>
      </c>
      <c r="D22" s="383" t="s">
        <v>30</v>
      </c>
      <c r="E22" s="382" t="s">
        <v>64</v>
      </c>
      <c r="F22" s="383" t="s">
        <v>708</v>
      </c>
      <c r="G22" s="584" t="s">
        <v>69</v>
      </c>
      <c r="H22" s="586">
        <v>0.02</v>
      </c>
      <c r="I22" s="586">
        <v>1</v>
      </c>
    </row>
    <row r="23" spans="2:9" outlineLevel="2">
      <c r="B23" s="383">
        <v>2</v>
      </c>
      <c r="C23" s="383" t="s">
        <v>15</v>
      </c>
      <c r="D23" s="383" t="s">
        <v>30</v>
      </c>
      <c r="E23" s="382" t="s">
        <v>64</v>
      </c>
      <c r="F23" s="383" t="s">
        <v>708</v>
      </c>
      <c r="G23" s="584" t="s">
        <v>49</v>
      </c>
      <c r="H23" s="586">
        <v>0.01</v>
      </c>
      <c r="I23" s="586">
        <v>1</v>
      </c>
    </row>
    <row r="24" spans="2:9" outlineLevel="1">
      <c r="C24" s="401" t="s">
        <v>70</v>
      </c>
      <c r="D24" s="401" t="s">
        <v>71</v>
      </c>
      <c r="E24" s="401"/>
      <c r="F24" s="401" t="s">
        <v>708</v>
      </c>
      <c r="G24" s="568" t="s">
        <v>1676</v>
      </c>
      <c r="H24" s="583">
        <f>SUM(H25:H26)</f>
        <v>0.16750548359999998</v>
      </c>
      <c r="I24" s="583">
        <f>SUM(I25:I26)</f>
        <v>2</v>
      </c>
    </row>
    <row r="25" spans="2:9" outlineLevel="2">
      <c r="B25" s="383">
        <v>1</v>
      </c>
      <c r="C25" s="383" t="s">
        <v>70</v>
      </c>
      <c r="D25" s="383" t="s">
        <v>71</v>
      </c>
      <c r="E25" s="382" t="s">
        <v>28</v>
      </c>
      <c r="F25" s="383" t="s">
        <v>708</v>
      </c>
      <c r="G25" s="584" t="s">
        <v>47</v>
      </c>
      <c r="H25" s="586">
        <v>3.8655111599999993E-2</v>
      </c>
      <c r="I25" s="586">
        <v>1</v>
      </c>
    </row>
    <row r="26" spans="2:9" outlineLevel="2">
      <c r="B26" s="383">
        <v>1</v>
      </c>
      <c r="C26" s="383" t="s">
        <v>70</v>
      </c>
      <c r="D26" s="383" t="s">
        <v>71</v>
      </c>
      <c r="E26" s="382" t="s">
        <v>28</v>
      </c>
      <c r="F26" s="383" t="s">
        <v>708</v>
      </c>
      <c r="G26" s="584" t="s">
        <v>24</v>
      </c>
      <c r="H26" s="586">
        <v>0.12885037199999999</v>
      </c>
      <c r="I26" s="586">
        <v>1</v>
      </c>
    </row>
    <row r="27" spans="2:9" outlineLevel="1">
      <c r="C27" s="401" t="s">
        <v>84</v>
      </c>
      <c r="D27" s="401" t="s">
        <v>85</v>
      </c>
      <c r="E27" s="401"/>
      <c r="F27" s="401" t="s">
        <v>708</v>
      </c>
      <c r="G27" s="568" t="s">
        <v>1673</v>
      </c>
      <c r="H27" s="583">
        <f>SUM(H28:H31)</f>
        <v>0.40327449999999998</v>
      </c>
      <c r="I27" s="583">
        <f>SUM(I28:I31)</f>
        <v>4</v>
      </c>
    </row>
    <row r="28" spans="2:9" outlineLevel="2">
      <c r="B28" s="383">
        <v>1</v>
      </c>
      <c r="C28" s="383" t="s">
        <v>84</v>
      </c>
      <c r="D28" s="383" t="s">
        <v>85</v>
      </c>
      <c r="E28" s="382" t="s">
        <v>28</v>
      </c>
      <c r="F28" s="383" t="s">
        <v>708</v>
      </c>
      <c r="G28" s="584" t="s">
        <v>97</v>
      </c>
      <c r="H28" s="586">
        <v>0.36</v>
      </c>
      <c r="I28" s="586">
        <v>1</v>
      </c>
    </row>
    <row r="29" spans="2:9" outlineLevel="2">
      <c r="B29" s="383">
        <v>1</v>
      </c>
      <c r="C29" s="383" t="s">
        <v>84</v>
      </c>
      <c r="D29" s="383" t="s">
        <v>85</v>
      </c>
      <c r="E29" s="382" t="s">
        <v>28</v>
      </c>
      <c r="F29" s="383" t="s">
        <v>708</v>
      </c>
      <c r="G29" s="584" t="s">
        <v>99</v>
      </c>
      <c r="H29" s="586">
        <v>2.183E-3</v>
      </c>
      <c r="I29" s="586">
        <v>1</v>
      </c>
    </row>
    <row r="30" spans="2:9" outlineLevel="2">
      <c r="B30" s="383">
        <v>1</v>
      </c>
      <c r="C30" s="383" t="s">
        <v>84</v>
      </c>
      <c r="D30" s="383" t="s">
        <v>85</v>
      </c>
      <c r="E30" s="382" t="s">
        <v>28</v>
      </c>
      <c r="F30" s="383" t="s">
        <v>708</v>
      </c>
      <c r="G30" s="584" t="s">
        <v>98</v>
      </c>
      <c r="H30" s="586">
        <v>1.0915E-3</v>
      </c>
      <c r="I30" s="586">
        <v>1</v>
      </c>
    </row>
    <row r="31" spans="2:9" outlineLevel="2">
      <c r="B31" s="383">
        <v>1</v>
      </c>
      <c r="C31" s="383" t="s">
        <v>84</v>
      </c>
      <c r="D31" s="383" t="s">
        <v>85</v>
      </c>
      <c r="E31" s="382" t="s">
        <v>64</v>
      </c>
      <c r="F31" s="383" t="s">
        <v>708</v>
      </c>
      <c r="G31" s="584" t="s">
        <v>100</v>
      </c>
      <c r="H31" s="586">
        <v>0.04</v>
      </c>
      <c r="I31" s="586">
        <v>1</v>
      </c>
    </row>
    <row r="32" spans="2:9" outlineLevel="1">
      <c r="C32" s="401" t="s">
        <v>101</v>
      </c>
      <c r="D32" s="401" t="s">
        <v>102</v>
      </c>
      <c r="E32" s="401"/>
      <c r="F32" s="401" t="s">
        <v>708</v>
      </c>
      <c r="G32" s="568" t="s">
        <v>1674</v>
      </c>
      <c r="H32" s="583">
        <f>SUM(H33:H35)</f>
        <v>0.14000000000000001</v>
      </c>
      <c r="I32" s="583">
        <f>SUM(I33:I35)</f>
        <v>3</v>
      </c>
    </row>
    <row r="33" spans="2:9" outlineLevel="2">
      <c r="B33" s="383">
        <v>1</v>
      </c>
      <c r="C33" s="383" t="s">
        <v>101</v>
      </c>
      <c r="D33" s="383" t="s">
        <v>102</v>
      </c>
      <c r="E33" s="382" t="s">
        <v>28</v>
      </c>
      <c r="F33" s="383" t="s">
        <v>708</v>
      </c>
      <c r="G33" s="584" t="s">
        <v>127</v>
      </c>
      <c r="H33" s="586">
        <v>0.02</v>
      </c>
      <c r="I33" s="586">
        <v>1</v>
      </c>
    </row>
    <row r="34" spans="2:9" outlineLevel="2">
      <c r="B34" s="383">
        <v>1</v>
      </c>
      <c r="C34" s="383" t="s">
        <v>101</v>
      </c>
      <c r="D34" s="383" t="s">
        <v>102</v>
      </c>
      <c r="E34" s="382" t="s">
        <v>28</v>
      </c>
      <c r="F34" s="383" t="s">
        <v>708</v>
      </c>
      <c r="G34" s="584" t="s">
        <v>128</v>
      </c>
      <c r="H34" s="586">
        <v>0.06</v>
      </c>
      <c r="I34" s="586">
        <v>1</v>
      </c>
    </row>
    <row r="35" spans="2:9" outlineLevel="2">
      <c r="B35" s="383">
        <v>1</v>
      </c>
      <c r="C35" s="383" t="s">
        <v>101</v>
      </c>
      <c r="D35" s="383" t="s">
        <v>102</v>
      </c>
      <c r="E35" s="382" t="s">
        <v>28</v>
      </c>
      <c r="F35" s="383" t="s">
        <v>708</v>
      </c>
      <c r="G35" s="584" t="s">
        <v>129</v>
      </c>
      <c r="H35" s="586">
        <v>0.06</v>
      </c>
      <c r="I35" s="586">
        <v>1</v>
      </c>
    </row>
    <row r="36" spans="2:9" outlineLevel="1">
      <c r="C36" s="401" t="s">
        <v>147</v>
      </c>
      <c r="D36" s="401" t="s">
        <v>148</v>
      </c>
      <c r="E36" s="401"/>
      <c r="F36" s="401" t="s">
        <v>708</v>
      </c>
      <c r="G36" s="568" t="s">
        <v>1662</v>
      </c>
      <c r="H36" s="583">
        <f>SUM(H37:H38)</f>
        <v>3.1655887211519997E-2</v>
      </c>
      <c r="I36" s="583">
        <f>SUM(I37:I38)</f>
        <v>2</v>
      </c>
    </row>
    <row r="37" spans="2:9" outlineLevel="2">
      <c r="B37" s="383">
        <v>1</v>
      </c>
      <c r="C37" s="383" t="s">
        <v>147</v>
      </c>
      <c r="D37" s="383" t="s">
        <v>148</v>
      </c>
      <c r="E37" s="382" t="s">
        <v>28</v>
      </c>
      <c r="F37" s="383" t="s">
        <v>708</v>
      </c>
      <c r="G37" s="584" t="s">
        <v>177</v>
      </c>
      <c r="H37" s="586">
        <v>1.5827943605759998E-2</v>
      </c>
      <c r="I37" s="586">
        <v>1</v>
      </c>
    </row>
    <row r="38" spans="2:9" outlineLevel="2">
      <c r="B38" s="383">
        <v>1</v>
      </c>
      <c r="C38" s="383" t="s">
        <v>147</v>
      </c>
      <c r="D38" s="383" t="s">
        <v>148</v>
      </c>
      <c r="E38" s="382" t="s">
        <v>28</v>
      </c>
      <c r="F38" s="383" t="s">
        <v>708</v>
      </c>
      <c r="G38" s="584" t="s">
        <v>178</v>
      </c>
      <c r="H38" s="586">
        <v>1.5827943605759998E-2</v>
      </c>
      <c r="I38" s="586">
        <v>1</v>
      </c>
    </row>
    <row r="39" spans="2:9" outlineLevel="1">
      <c r="C39" s="401" t="s">
        <v>180</v>
      </c>
      <c r="D39" s="401" t="s">
        <v>23</v>
      </c>
      <c r="E39" s="401"/>
      <c r="F39" s="401" t="s">
        <v>708</v>
      </c>
      <c r="G39" s="568" t="s">
        <v>1663</v>
      </c>
      <c r="H39" s="583">
        <f>SUM(H40:H41)</f>
        <v>4.7122779914999996E-2</v>
      </c>
      <c r="I39" s="583">
        <f>SUM(I40:I41)</f>
        <v>2</v>
      </c>
    </row>
    <row r="40" spans="2:9" outlineLevel="2">
      <c r="B40" s="383">
        <v>2</v>
      </c>
      <c r="C40" s="383" t="s">
        <v>180</v>
      </c>
      <c r="D40" s="383" t="s">
        <v>23</v>
      </c>
      <c r="E40" s="383" t="s">
        <v>28</v>
      </c>
      <c r="F40" s="383" t="s">
        <v>708</v>
      </c>
      <c r="G40" s="587" t="s">
        <v>183</v>
      </c>
      <c r="H40" s="586">
        <v>1.6300332674999998E-2</v>
      </c>
      <c r="I40" s="586">
        <v>1</v>
      </c>
    </row>
    <row r="41" spans="2:9" outlineLevel="2">
      <c r="B41" s="383">
        <v>2</v>
      </c>
      <c r="C41" s="383" t="s">
        <v>180</v>
      </c>
      <c r="D41" s="383" t="s">
        <v>23</v>
      </c>
      <c r="E41" s="383" t="s">
        <v>28</v>
      </c>
      <c r="F41" s="383" t="s">
        <v>708</v>
      </c>
      <c r="G41" s="587" t="s">
        <v>187</v>
      </c>
      <c r="H41" s="586">
        <v>3.0822447240000002E-2</v>
      </c>
      <c r="I41" s="586">
        <v>1</v>
      </c>
    </row>
    <row r="42" spans="2:9" outlineLevel="1">
      <c r="C42" s="401" t="s">
        <v>362</v>
      </c>
      <c r="D42" s="401" t="s">
        <v>363</v>
      </c>
      <c r="E42" s="401"/>
      <c r="F42" s="401" t="s">
        <v>708</v>
      </c>
      <c r="G42" s="568" t="s">
        <v>1664</v>
      </c>
      <c r="H42" s="583">
        <f>SUM(H43:H47)</f>
        <v>2.1646138109098385</v>
      </c>
      <c r="I42" s="583">
        <f>SUM(I43:I47)</f>
        <v>5</v>
      </c>
    </row>
    <row r="43" spans="2:9" outlineLevel="2">
      <c r="B43" s="383">
        <v>2</v>
      </c>
      <c r="C43" s="383" t="s">
        <v>362</v>
      </c>
      <c r="D43" s="383" t="s">
        <v>363</v>
      </c>
      <c r="E43" s="383" t="s">
        <v>28</v>
      </c>
      <c r="F43" s="383" t="s">
        <v>29</v>
      </c>
      <c r="G43" s="584" t="s">
        <v>32</v>
      </c>
      <c r="H43" s="585">
        <v>0.51810229145509312</v>
      </c>
      <c r="I43" s="585">
        <v>1</v>
      </c>
    </row>
    <row r="44" spans="2:9" outlineLevel="2">
      <c r="B44" s="383">
        <v>2</v>
      </c>
      <c r="C44" s="383" t="s">
        <v>362</v>
      </c>
      <c r="D44" s="383" t="s">
        <v>363</v>
      </c>
      <c r="E44" s="383" t="s">
        <v>28</v>
      </c>
      <c r="F44" s="383" t="s">
        <v>29</v>
      </c>
      <c r="G44" s="584" t="s">
        <v>34</v>
      </c>
      <c r="H44" s="585">
        <v>0.51810229145509312</v>
      </c>
      <c r="I44" s="585">
        <v>1</v>
      </c>
    </row>
    <row r="45" spans="2:9" outlineLevel="2">
      <c r="B45" s="383">
        <v>2</v>
      </c>
      <c r="C45" s="383" t="s">
        <v>362</v>
      </c>
      <c r="D45" s="383" t="s">
        <v>363</v>
      </c>
      <c r="E45" s="383" t="s">
        <v>28</v>
      </c>
      <c r="F45" s="383" t="s">
        <v>29</v>
      </c>
      <c r="G45" s="584" t="s">
        <v>197</v>
      </c>
      <c r="H45" s="585">
        <v>0.25905114572754701</v>
      </c>
      <c r="I45" s="585">
        <v>1</v>
      </c>
    </row>
    <row r="46" spans="2:9" outlineLevel="2">
      <c r="B46" s="383">
        <v>2</v>
      </c>
      <c r="C46" s="383" t="s">
        <v>362</v>
      </c>
      <c r="D46" s="383" t="s">
        <v>363</v>
      </c>
      <c r="E46" s="383" t="s">
        <v>64</v>
      </c>
      <c r="F46" s="383" t="s">
        <v>29</v>
      </c>
      <c r="G46" s="584" t="s">
        <v>32</v>
      </c>
      <c r="H46" s="585">
        <v>0.43467904113605266</v>
      </c>
      <c r="I46" s="585">
        <v>1</v>
      </c>
    </row>
    <row r="47" spans="2:9" outlineLevel="2">
      <c r="B47" s="383">
        <v>2</v>
      </c>
      <c r="C47" s="383" t="s">
        <v>362</v>
      </c>
      <c r="D47" s="383" t="s">
        <v>363</v>
      </c>
      <c r="E47" s="383" t="s">
        <v>64</v>
      </c>
      <c r="F47" s="383" t="s">
        <v>29</v>
      </c>
      <c r="G47" s="584" t="s">
        <v>34</v>
      </c>
      <c r="H47" s="585">
        <v>0.43467904113605266</v>
      </c>
      <c r="I47" s="585">
        <v>1</v>
      </c>
    </row>
    <row r="48" spans="2:9" outlineLevel="1">
      <c r="C48" s="401" t="s">
        <v>194</v>
      </c>
      <c r="D48" s="401" t="s">
        <v>136</v>
      </c>
      <c r="E48" s="401"/>
      <c r="F48" s="401" t="s">
        <v>708</v>
      </c>
      <c r="G48" s="568" t="s">
        <v>1665</v>
      </c>
      <c r="H48" s="583">
        <f>SUM(H49)</f>
        <v>0.04</v>
      </c>
      <c r="I48" s="583">
        <f>SUM(I49)</f>
        <v>1</v>
      </c>
    </row>
    <row r="49" spans="2:9" outlineLevel="2">
      <c r="B49" s="383">
        <v>2</v>
      </c>
      <c r="C49" s="383" t="s">
        <v>194</v>
      </c>
      <c r="D49" s="383" t="s">
        <v>136</v>
      </c>
      <c r="E49" s="383" t="s">
        <v>28</v>
      </c>
      <c r="F49" s="383" t="s">
        <v>708</v>
      </c>
      <c r="G49" s="587" t="s">
        <v>146</v>
      </c>
      <c r="H49" s="586">
        <v>0.04</v>
      </c>
      <c r="I49" s="586">
        <v>1</v>
      </c>
    </row>
    <row r="50" spans="2:9" outlineLevel="1">
      <c r="C50" s="401" t="s">
        <v>200</v>
      </c>
      <c r="D50" s="401" t="s">
        <v>200</v>
      </c>
      <c r="E50" s="401"/>
      <c r="F50" s="401" t="s">
        <v>708</v>
      </c>
      <c r="G50" s="568" t="s">
        <v>1683</v>
      </c>
      <c r="H50" s="583">
        <f>SUM(H51:H54)</f>
        <v>0.32421103968587378</v>
      </c>
      <c r="I50" s="583">
        <f>SUM(I51:I54)</f>
        <v>4</v>
      </c>
    </row>
    <row r="51" spans="2:9" outlineLevel="2">
      <c r="B51" s="383">
        <v>1</v>
      </c>
      <c r="C51" s="383" t="s">
        <v>200</v>
      </c>
      <c r="D51" s="383" t="s">
        <v>200</v>
      </c>
      <c r="E51" s="383" t="s">
        <v>28</v>
      </c>
      <c r="F51" s="383" t="s">
        <v>29</v>
      </c>
      <c r="G51" s="587" t="s">
        <v>205</v>
      </c>
      <c r="H51" s="585">
        <v>0.17350895211679071</v>
      </c>
      <c r="I51" s="585">
        <v>1</v>
      </c>
    </row>
    <row r="52" spans="2:9" outlineLevel="2">
      <c r="B52" s="383">
        <v>1</v>
      </c>
      <c r="C52" s="383" t="s">
        <v>200</v>
      </c>
      <c r="D52" s="383" t="s">
        <v>200</v>
      </c>
      <c r="E52" s="383" t="s">
        <v>28</v>
      </c>
      <c r="F52" s="383" t="s">
        <v>29</v>
      </c>
      <c r="G52" s="587" t="s">
        <v>117</v>
      </c>
      <c r="H52" s="585">
        <v>4.9573986319083066E-2</v>
      </c>
      <c r="I52" s="585">
        <v>1</v>
      </c>
    </row>
    <row r="53" spans="2:9" outlineLevel="2">
      <c r="B53" s="383">
        <v>1</v>
      </c>
      <c r="C53" s="383" t="s">
        <v>200</v>
      </c>
      <c r="D53" s="383" t="s">
        <v>200</v>
      </c>
      <c r="E53" s="383" t="s">
        <v>28</v>
      </c>
      <c r="F53" s="383" t="s">
        <v>29</v>
      </c>
      <c r="G53" s="587" t="s">
        <v>98</v>
      </c>
      <c r="H53" s="585">
        <v>0.02</v>
      </c>
      <c r="I53" s="585">
        <v>1</v>
      </c>
    </row>
    <row r="54" spans="2:9" outlineLevel="2">
      <c r="B54" s="383">
        <v>1</v>
      </c>
      <c r="C54" s="383" t="s">
        <v>200</v>
      </c>
      <c r="D54" s="383" t="s">
        <v>200</v>
      </c>
      <c r="E54" s="383" t="s">
        <v>64</v>
      </c>
      <c r="F54" s="383" t="s">
        <v>29</v>
      </c>
      <c r="G54" s="587" t="s">
        <v>118</v>
      </c>
      <c r="H54" s="585">
        <v>8.1128101250000001E-2</v>
      </c>
      <c r="I54" s="585">
        <v>1</v>
      </c>
    </row>
    <row r="55" spans="2:9" outlineLevel="1">
      <c r="C55" s="401" t="s">
        <v>212</v>
      </c>
      <c r="D55" s="401" t="s">
        <v>212</v>
      </c>
      <c r="E55" s="401"/>
      <c r="F55" s="401" t="s">
        <v>708</v>
      </c>
      <c r="G55" s="568" t="s">
        <v>1684</v>
      </c>
      <c r="H55" s="583">
        <f>SUM(H56)</f>
        <v>3.6853334887931043E-2</v>
      </c>
      <c r="I55" s="583">
        <f>SUM(I56)</f>
        <v>1</v>
      </c>
    </row>
    <row r="56" spans="2:9" s="385" customFormat="1" outlineLevel="2">
      <c r="B56" s="383">
        <v>2</v>
      </c>
      <c r="C56" s="383" t="s">
        <v>212</v>
      </c>
      <c r="D56" s="383" t="s">
        <v>212</v>
      </c>
      <c r="E56" s="382" t="s">
        <v>28</v>
      </c>
      <c r="F56" s="383" t="s">
        <v>708</v>
      </c>
      <c r="G56" s="561" t="s">
        <v>261</v>
      </c>
      <c r="H56" s="573">
        <v>3.6853334887931043E-2</v>
      </c>
      <c r="I56" s="573">
        <v>1</v>
      </c>
    </row>
    <row r="57" spans="2:9" outlineLevel="1">
      <c r="C57" s="401" t="s">
        <v>263</v>
      </c>
      <c r="D57" s="401" t="s">
        <v>263</v>
      </c>
      <c r="E57" s="401"/>
      <c r="F57" s="401" t="s">
        <v>708</v>
      </c>
      <c r="G57" s="568" t="s">
        <v>1685</v>
      </c>
      <c r="H57" s="583">
        <f>SUM(H58:H59)</f>
        <v>2.1397857699999998E-2</v>
      </c>
      <c r="I57" s="583">
        <f>SUM(I58:I59)</f>
        <v>2</v>
      </c>
    </row>
    <row r="58" spans="2:9" outlineLevel="2">
      <c r="B58" s="383">
        <v>1</v>
      </c>
      <c r="C58" s="383" t="s">
        <v>263</v>
      </c>
      <c r="D58" s="383" t="s">
        <v>263</v>
      </c>
      <c r="E58" s="382" t="s">
        <v>28</v>
      </c>
      <c r="F58" s="383" t="s">
        <v>708</v>
      </c>
      <c r="G58" s="561" t="s">
        <v>274</v>
      </c>
      <c r="H58" s="573">
        <v>2.0842521999999999E-2</v>
      </c>
      <c r="I58" s="573">
        <v>1</v>
      </c>
    </row>
    <row r="59" spans="2:9" outlineLevel="2">
      <c r="B59" s="383">
        <v>1</v>
      </c>
      <c r="C59" s="383" t="s">
        <v>263</v>
      </c>
      <c r="D59" s="383" t="s">
        <v>263</v>
      </c>
      <c r="E59" s="382" t="s">
        <v>28</v>
      </c>
      <c r="F59" s="383" t="s">
        <v>708</v>
      </c>
      <c r="G59" s="561" t="s">
        <v>275</v>
      </c>
      <c r="H59" s="573">
        <v>5.5533570000000003E-4</v>
      </c>
      <c r="I59" s="573">
        <v>1</v>
      </c>
    </row>
    <row r="60" spans="2:9" outlineLevel="1">
      <c r="C60" s="401" t="s">
        <v>276</v>
      </c>
      <c r="D60" s="401" t="s">
        <v>276</v>
      </c>
      <c r="E60" s="401"/>
      <c r="F60" s="401" t="s">
        <v>708</v>
      </c>
      <c r="G60" s="568" t="s">
        <v>1686</v>
      </c>
      <c r="H60" s="583">
        <v>0</v>
      </c>
      <c r="I60" s="583">
        <v>0</v>
      </c>
    </row>
    <row r="61" spans="2:9" outlineLevel="1">
      <c r="C61" s="401" t="s">
        <v>285</v>
      </c>
      <c r="D61" s="401" t="s">
        <v>285</v>
      </c>
      <c r="E61" s="401"/>
      <c r="F61" s="401" t="s">
        <v>708</v>
      </c>
      <c r="G61" s="568" t="s">
        <v>1692</v>
      </c>
      <c r="H61" s="583">
        <v>0</v>
      </c>
      <c r="I61" s="583">
        <v>0</v>
      </c>
    </row>
    <row r="62" spans="2:9" outlineLevel="1">
      <c r="C62" s="401" t="s">
        <v>288</v>
      </c>
      <c r="D62" s="401" t="s">
        <v>288</v>
      </c>
      <c r="E62" s="401"/>
      <c r="F62" s="401" t="s">
        <v>708</v>
      </c>
      <c r="G62" s="568" t="s">
        <v>1695</v>
      </c>
      <c r="H62" s="583">
        <v>0</v>
      </c>
      <c r="I62" s="583">
        <v>0</v>
      </c>
    </row>
    <row r="63" spans="2:9" outlineLevel="1">
      <c r="C63" s="401" t="s">
        <v>290</v>
      </c>
      <c r="D63" s="401" t="s">
        <v>291</v>
      </c>
      <c r="E63" s="401"/>
      <c r="F63" s="401" t="s">
        <v>708</v>
      </c>
      <c r="G63" s="568" t="s">
        <v>1666</v>
      </c>
      <c r="H63" s="583">
        <f>SUM(H64:H66)</f>
        <v>1.6800000000000002E-2</v>
      </c>
      <c r="I63" s="583">
        <f>SUM(I64:I66)</f>
        <v>3</v>
      </c>
    </row>
    <row r="64" spans="2:9" outlineLevel="2">
      <c r="B64" s="383">
        <v>2</v>
      </c>
      <c r="C64" s="383" t="s">
        <v>290</v>
      </c>
      <c r="D64" s="383" t="s">
        <v>291</v>
      </c>
      <c r="E64" s="383" t="s">
        <v>28</v>
      </c>
      <c r="F64" s="383" t="s">
        <v>29</v>
      </c>
      <c r="G64" s="584" t="s">
        <v>279</v>
      </c>
      <c r="H64" s="585">
        <v>5.4000000000000003E-3</v>
      </c>
      <c r="I64" s="585">
        <v>1</v>
      </c>
    </row>
    <row r="65" spans="2:9" outlineLevel="2">
      <c r="C65" s="383" t="s">
        <v>290</v>
      </c>
      <c r="D65" s="383" t="s">
        <v>291</v>
      </c>
      <c r="E65" s="383" t="s">
        <v>28</v>
      </c>
      <c r="F65" s="383" t="s">
        <v>29</v>
      </c>
      <c r="G65" s="584" t="s">
        <v>33</v>
      </c>
      <c r="H65" s="585">
        <v>5.4000000000000003E-3</v>
      </c>
      <c r="I65" s="585">
        <v>1</v>
      </c>
    </row>
    <row r="66" spans="2:9" outlineLevel="2">
      <c r="B66" s="383">
        <v>2</v>
      </c>
      <c r="C66" s="383" t="s">
        <v>290</v>
      </c>
      <c r="D66" s="383" t="s">
        <v>291</v>
      </c>
      <c r="E66" s="383" t="s">
        <v>64</v>
      </c>
      <c r="F66" s="383" t="s">
        <v>29</v>
      </c>
      <c r="G66" s="584" t="s">
        <v>279</v>
      </c>
      <c r="H66" s="585">
        <v>6.0000000000000001E-3</v>
      </c>
      <c r="I66" s="585">
        <v>1</v>
      </c>
    </row>
    <row r="67" spans="2:9" outlineLevel="1">
      <c r="C67" s="401" t="s">
        <v>293</v>
      </c>
      <c r="D67" s="401" t="s">
        <v>294</v>
      </c>
      <c r="E67" s="401"/>
      <c r="F67" s="401" t="s">
        <v>708</v>
      </c>
      <c r="G67" s="568" t="s">
        <v>1667</v>
      </c>
      <c r="H67" s="583">
        <f>SUM(H68:H75)</f>
        <v>0.23026800000000003</v>
      </c>
      <c r="I67" s="583">
        <f>SUM(I68:I75)</f>
        <v>8</v>
      </c>
    </row>
    <row r="68" spans="2:9" outlineLevel="2">
      <c r="C68" s="383" t="s">
        <v>293</v>
      </c>
      <c r="D68" s="383" t="s">
        <v>294</v>
      </c>
      <c r="E68" s="383" t="s">
        <v>28</v>
      </c>
      <c r="F68" s="383" t="s">
        <v>29</v>
      </c>
      <c r="G68" s="584" t="s">
        <v>33</v>
      </c>
      <c r="H68" s="585">
        <v>1.6713000000000002E-2</v>
      </c>
      <c r="I68" s="585">
        <v>1</v>
      </c>
    </row>
    <row r="69" spans="2:9" outlineLevel="2">
      <c r="B69" s="383">
        <v>1</v>
      </c>
      <c r="C69" s="383" t="s">
        <v>293</v>
      </c>
      <c r="D69" s="383" t="s">
        <v>294</v>
      </c>
      <c r="E69" s="383" t="s">
        <v>28</v>
      </c>
      <c r="F69" s="383" t="s">
        <v>29</v>
      </c>
      <c r="G69" s="584" t="s">
        <v>280</v>
      </c>
      <c r="H69" s="585">
        <v>1.6713000000000002E-2</v>
      </c>
      <c r="I69" s="585">
        <v>1</v>
      </c>
    </row>
    <row r="70" spans="2:9" outlineLevel="2">
      <c r="B70" s="383">
        <v>1</v>
      </c>
      <c r="C70" s="383" t="s">
        <v>293</v>
      </c>
      <c r="D70" s="383" t="s">
        <v>294</v>
      </c>
      <c r="E70" s="383" t="s">
        <v>28</v>
      </c>
      <c r="F70" s="383" t="s">
        <v>29</v>
      </c>
      <c r="G70" s="584" t="s">
        <v>281</v>
      </c>
      <c r="H70" s="585">
        <v>5.8495499999999999E-2</v>
      </c>
      <c r="I70" s="585">
        <v>1</v>
      </c>
    </row>
    <row r="71" spans="2:9" outlineLevel="2">
      <c r="B71" s="383">
        <v>1</v>
      </c>
      <c r="C71" s="383" t="s">
        <v>293</v>
      </c>
      <c r="D71" s="383" t="s">
        <v>294</v>
      </c>
      <c r="E71" s="383" t="s">
        <v>28</v>
      </c>
      <c r="F71" s="383" t="s">
        <v>29</v>
      </c>
      <c r="G71" s="584" t="s">
        <v>287</v>
      </c>
      <c r="H71" s="585">
        <v>2.5069499999999998E-2</v>
      </c>
      <c r="I71" s="585">
        <v>1</v>
      </c>
    </row>
    <row r="72" spans="2:9" outlineLevel="2">
      <c r="B72" s="383">
        <v>2</v>
      </c>
      <c r="C72" s="383" t="s">
        <v>293</v>
      </c>
      <c r="D72" s="383" t="s">
        <v>294</v>
      </c>
      <c r="E72" s="383" t="s">
        <v>28</v>
      </c>
      <c r="F72" s="383" t="s">
        <v>29</v>
      </c>
      <c r="G72" s="584" t="s">
        <v>284</v>
      </c>
      <c r="H72" s="585">
        <v>2.5069499999999998E-2</v>
      </c>
      <c r="I72" s="585">
        <v>1</v>
      </c>
    </row>
    <row r="73" spans="2:9" outlineLevel="2">
      <c r="B73" s="383">
        <v>1</v>
      </c>
      <c r="C73" s="383" t="s">
        <v>293</v>
      </c>
      <c r="D73" s="383" t="s">
        <v>294</v>
      </c>
      <c r="E73" s="383" t="s">
        <v>64</v>
      </c>
      <c r="F73" s="383" t="s">
        <v>29</v>
      </c>
      <c r="G73" s="584" t="s">
        <v>279</v>
      </c>
      <c r="H73" s="585">
        <v>1.857E-2</v>
      </c>
      <c r="I73" s="585">
        <v>1</v>
      </c>
    </row>
    <row r="74" spans="2:9" outlineLevel="2">
      <c r="B74" s="383">
        <v>1</v>
      </c>
      <c r="C74" s="383" t="s">
        <v>293</v>
      </c>
      <c r="D74" s="383" t="s">
        <v>294</v>
      </c>
      <c r="E74" s="383" t="s">
        <v>64</v>
      </c>
      <c r="F74" s="383" t="s">
        <v>29</v>
      </c>
      <c r="G74" s="584" t="s">
        <v>280</v>
      </c>
      <c r="H74" s="585">
        <v>1.857E-2</v>
      </c>
      <c r="I74" s="585">
        <v>1</v>
      </c>
    </row>
    <row r="75" spans="2:9" outlineLevel="2">
      <c r="B75" s="383">
        <v>2</v>
      </c>
      <c r="C75" s="383" t="s">
        <v>293</v>
      </c>
      <c r="D75" s="383" t="s">
        <v>294</v>
      </c>
      <c r="E75" s="383" t="s">
        <v>64</v>
      </c>
      <c r="F75" s="383" t="s">
        <v>29</v>
      </c>
      <c r="G75" s="584" t="s">
        <v>287</v>
      </c>
      <c r="H75" s="585">
        <v>5.1067500000000002E-2</v>
      </c>
      <c r="I75" s="585">
        <v>1</v>
      </c>
    </row>
    <row r="76" spans="2:9" outlineLevel="1">
      <c r="C76" s="401" t="s">
        <v>297</v>
      </c>
      <c r="D76" s="401" t="s">
        <v>298</v>
      </c>
      <c r="E76" s="401"/>
      <c r="F76" s="401" t="s">
        <v>708</v>
      </c>
      <c r="G76" s="568" t="s">
        <v>1702</v>
      </c>
      <c r="H76" s="583">
        <f>SUM(H77)</f>
        <v>1.13E-4</v>
      </c>
      <c r="I76" s="583">
        <f>SUM(I77)</f>
        <v>1</v>
      </c>
    </row>
    <row r="77" spans="2:9" outlineLevel="2">
      <c r="B77" s="383">
        <v>2</v>
      </c>
      <c r="C77" s="383" t="s">
        <v>297</v>
      </c>
      <c r="D77" s="383" t="s">
        <v>298</v>
      </c>
      <c r="E77" s="383" t="s">
        <v>64</v>
      </c>
      <c r="F77" s="383" t="s">
        <v>29</v>
      </c>
      <c r="G77" s="584" t="s">
        <v>304</v>
      </c>
      <c r="H77" s="585">
        <v>1.13E-4</v>
      </c>
      <c r="I77" s="585">
        <v>1</v>
      </c>
    </row>
    <row r="78" spans="2:9" outlineLevel="1">
      <c r="C78" s="401" t="s">
        <v>305</v>
      </c>
      <c r="D78" s="401" t="s">
        <v>306</v>
      </c>
      <c r="E78" s="401"/>
      <c r="F78" s="401" t="s">
        <v>708</v>
      </c>
      <c r="G78" s="568" t="s">
        <v>1668</v>
      </c>
      <c r="H78" s="583">
        <v>0</v>
      </c>
      <c r="I78" s="583">
        <v>0</v>
      </c>
    </row>
    <row r="79" spans="2:9" outlineLevel="1">
      <c r="C79" s="401" t="s">
        <v>512</v>
      </c>
      <c r="D79" s="401" t="s">
        <v>512</v>
      </c>
      <c r="E79" s="401"/>
      <c r="F79" s="401" t="s">
        <v>708</v>
      </c>
      <c r="G79" s="568" t="s">
        <v>1749</v>
      </c>
      <c r="H79" s="583">
        <f>SUM(H80:H86)</f>
        <v>0</v>
      </c>
      <c r="I79" s="583">
        <f>SUM(I80:I86)</f>
        <v>7</v>
      </c>
    </row>
    <row r="80" spans="2:9" outlineLevel="2">
      <c r="B80" s="383">
        <v>3</v>
      </c>
      <c r="C80" s="383" t="s">
        <v>512</v>
      </c>
      <c r="D80" s="383" t="s">
        <v>512</v>
      </c>
      <c r="E80" s="383" t="s">
        <v>202</v>
      </c>
      <c r="F80" s="383" t="s">
        <v>29</v>
      </c>
      <c r="G80" s="584" t="s">
        <v>334</v>
      </c>
      <c r="H80" s="585"/>
      <c r="I80" s="585">
        <v>1</v>
      </c>
    </row>
    <row r="81" spans="2:9" outlineLevel="2">
      <c r="B81" s="383">
        <v>3</v>
      </c>
      <c r="C81" s="383" t="s">
        <v>512</v>
      </c>
      <c r="D81" s="383" t="s">
        <v>512</v>
      </c>
      <c r="E81" s="383" t="s">
        <v>202</v>
      </c>
      <c r="F81" s="383" t="s">
        <v>29</v>
      </c>
      <c r="G81" s="584" t="s">
        <v>279</v>
      </c>
      <c r="H81" s="585"/>
      <c r="I81" s="585">
        <v>1</v>
      </c>
    </row>
    <row r="82" spans="2:9" outlineLevel="2">
      <c r="B82" s="383">
        <v>3</v>
      </c>
      <c r="C82" s="383" t="s">
        <v>512</v>
      </c>
      <c r="D82" s="383" t="s">
        <v>512</v>
      </c>
      <c r="E82" s="383" t="s">
        <v>202</v>
      </c>
      <c r="F82" s="383" t="s">
        <v>29</v>
      </c>
      <c r="G82" s="584" t="s">
        <v>33</v>
      </c>
      <c r="H82" s="585"/>
      <c r="I82" s="585">
        <v>1</v>
      </c>
    </row>
    <row r="83" spans="2:9" outlineLevel="2">
      <c r="B83" s="383">
        <v>3</v>
      </c>
      <c r="C83" s="383" t="s">
        <v>512</v>
      </c>
      <c r="D83" s="383" t="s">
        <v>512</v>
      </c>
      <c r="E83" s="383" t="s">
        <v>28</v>
      </c>
      <c r="F83" s="383" t="s">
        <v>29</v>
      </c>
      <c r="G83" s="584" t="s">
        <v>279</v>
      </c>
      <c r="H83" s="585"/>
      <c r="I83" s="585">
        <v>1</v>
      </c>
    </row>
    <row r="84" spans="2:9" outlineLevel="2">
      <c r="B84" s="383">
        <v>3</v>
      </c>
      <c r="C84" s="383" t="s">
        <v>512</v>
      </c>
      <c r="D84" s="383" t="s">
        <v>512</v>
      </c>
      <c r="E84" s="383" t="s">
        <v>28</v>
      </c>
      <c r="F84" s="383" t="s">
        <v>29</v>
      </c>
      <c r="G84" s="584" t="s">
        <v>33</v>
      </c>
      <c r="H84" s="585"/>
      <c r="I84" s="585">
        <v>1</v>
      </c>
    </row>
    <row r="85" spans="2:9" outlineLevel="2">
      <c r="B85" s="383">
        <v>3</v>
      </c>
      <c r="C85" s="383" t="s">
        <v>512</v>
      </c>
      <c r="D85" s="383" t="s">
        <v>512</v>
      </c>
      <c r="E85" s="383" t="s">
        <v>64</v>
      </c>
      <c r="F85" s="383" t="s">
        <v>29</v>
      </c>
      <c r="G85" s="584" t="s">
        <v>279</v>
      </c>
      <c r="H85" s="585"/>
      <c r="I85" s="585">
        <v>1</v>
      </c>
    </row>
    <row r="86" spans="2:9" outlineLevel="2">
      <c r="B86" s="383">
        <v>3</v>
      </c>
      <c r="C86" s="383" t="s">
        <v>512</v>
      </c>
      <c r="D86" s="383" t="s">
        <v>512</v>
      </c>
      <c r="E86" s="383" t="s">
        <v>64</v>
      </c>
      <c r="F86" s="383" t="s">
        <v>29</v>
      </c>
      <c r="G86" s="584" t="s">
        <v>33</v>
      </c>
      <c r="H86" s="585"/>
      <c r="I86" s="585">
        <v>1</v>
      </c>
    </row>
    <row r="87" spans="2:9" outlineLevel="1">
      <c r="C87" s="401" t="s">
        <v>516</v>
      </c>
      <c r="D87" s="401" t="s">
        <v>517</v>
      </c>
      <c r="E87" s="401"/>
      <c r="F87" s="401" t="s">
        <v>708</v>
      </c>
      <c r="G87" s="568" t="s">
        <v>1677</v>
      </c>
      <c r="H87" s="583">
        <f>SUM(H88:H90)</f>
        <v>0.15000000000000002</v>
      </c>
      <c r="I87" s="583">
        <f>SUM(I88:I90)</f>
        <v>3</v>
      </c>
    </row>
    <row r="88" spans="2:9" outlineLevel="2">
      <c r="B88" s="383">
        <v>2</v>
      </c>
      <c r="C88" s="383" t="s">
        <v>516</v>
      </c>
      <c r="D88" s="383" t="s">
        <v>517</v>
      </c>
      <c r="E88" s="383" t="s">
        <v>28</v>
      </c>
      <c r="F88" s="383" t="s">
        <v>29</v>
      </c>
      <c r="G88" s="584" t="s">
        <v>279</v>
      </c>
      <c r="H88" s="585">
        <v>0.05</v>
      </c>
      <c r="I88" s="585">
        <v>1</v>
      </c>
    </row>
    <row r="89" spans="2:9" outlineLevel="2">
      <c r="B89" s="383">
        <v>2</v>
      </c>
      <c r="C89" s="383" t="s">
        <v>516</v>
      </c>
      <c r="D89" s="383" t="s">
        <v>517</v>
      </c>
      <c r="E89" s="383" t="s">
        <v>28</v>
      </c>
      <c r="F89" s="383" t="s">
        <v>29</v>
      </c>
      <c r="G89" s="584" t="s">
        <v>33</v>
      </c>
      <c r="H89" s="585">
        <v>0.05</v>
      </c>
      <c r="I89" s="585">
        <v>1</v>
      </c>
    </row>
    <row r="90" spans="2:9" outlineLevel="2">
      <c r="B90" s="383">
        <v>2</v>
      </c>
      <c r="C90" s="383" t="s">
        <v>516</v>
      </c>
      <c r="D90" s="383" t="s">
        <v>517</v>
      </c>
      <c r="E90" s="383" t="s">
        <v>64</v>
      </c>
      <c r="F90" s="383" t="s">
        <v>29</v>
      </c>
      <c r="G90" s="584" t="s">
        <v>33</v>
      </c>
      <c r="H90" s="585">
        <v>0.05</v>
      </c>
      <c r="I90" s="585">
        <v>1</v>
      </c>
    </row>
    <row r="91" spans="2:9" outlineLevel="1">
      <c r="C91" s="401" t="s">
        <v>330</v>
      </c>
      <c r="D91" s="401" t="s">
        <v>80</v>
      </c>
      <c r="E91" s="401"/>
      <c r="F91" s="401" t="s">
        <v>708</v>
      </c>
      <c r="G91" s="568" t="s">
        <v>1669</v>
      </c>
      <c r="H91" s="583">
        <f>SUM(H92:H95)</f>
        <v>0.16686000000000001</v>
      </c>
      <c r="I91" s="583">
        <f>SUM(I92:I95)</f>
        <v>4</v>
      </c>
    </row>
    <row r="92" spans="2:9" outlineLevel="2">
      <c r="B92" s="383">
        <v>3</v>
      </c>
      <c r="C92" s="383" t="s">
        <v>330</v>
      </c>
      <c r="D92" s="383" t="s">
        <v>80</v>
      </c>
      <c r="E92" s="382" t="s">
        <v>28</v>
      </c>
      <c r="F92" s="383" t="s">
        <v>708</v>
      </c>
      <c r="G92" s="584" t="s">
        <v>32</v>
      </c>
      <c r="H92" s="586">
        <v>6.3719999999999999E-2</v>
      </c>
      <c r="I92" s="586">
        <v>1</v>
      </c>
    </row>
    <row r="93" spans="2:9" outlineLevel="2">
      <c r="B93" s="383">
        <v>3</v>
      </c>
      <c r="C93" s="383" t="s">
        <v>330</v>
      </c>
      <c r="D93" s="383" t="s">
        <v>80</v>
      </c>
      <c r="E93" s="382" t="s">
        <v>28</v>
      </c>
      <c r="F93" s="383" t="s">
        <v>708</v>
      </c>
      <c r="G93" s="584" t="s">
        <v>33</v>
      </c>
      <c r="H93" s="586">
        <v>3.1859999999999999E-2</v>
      </c>
      <c r="I93" s="586">
        <v>1</v>
      </c>
    </row>
    <row r="94" spans="2:9" outlineLevel="2">
      <c r="B94" s="383">
        <v>3</v>
      </c>
      <c r="C94" s="383" t="s">
        <v>330</v>
      </c>
      <c r="D94" s="383" t="s">
        <v>80</v>
      </c>
      <c r="E94" s="382" t="s">
        <v>64</v>
      </c>
      <c r="F94" s="383" t="s">
        <v>708</v>
      </c>
      <c r="G94" s="584" t="s">
        <v>32</v>
      </c>
      <c r="H94" s="586">
        <v>5.3460000000000001E-2</v>
      </c>
      <c r="I94" s="586">
        <v>1</v>
      </c>
    </row>
    <row r="95" spans="2:9" outlineLevel="2">
      <c r="B95" s="383">
        <v>3</v>
      </c>
      <c r="C95" s="383" t="s">
        <v>330</v>
      </c>
      <c r="D95" s="383" t="s">
        <v>80</v>
      </c>
      <c r="E95" s="382" t="s">
        <v>64</v>
      </c>
      <c r="F95" s="383" t="s">
        <v>708</v>
      </c>
      <c r="G95" s="584" t="s">
        <v>33</v>
      </c>
      <c r="H95" s="586">
        <v>1.7819999999999999E-2</v>
      </c>
      <c r="I95" s="586">
        <v>1</v>
      </c>
    </row>
    <row r="96" spans="2:9" outlineLevel="1">
      <c r="C96" s="401" t="s">
        <v>349</v>
      </c>
      <c r="D96" s="401" t="s">
        <v>30</v>
      </c>
      <c r="E96" s="401"/>
      <c r="F96" s="401" t="s">
        <v>708</v>
      </c>
      <c r="G96" s="568" t="s">
        <v>1678</v>
      </c>
      <c r="H96" s="583">
        <f>SUM(H97:H100)</f>
        <v>7.6409520000000009E-2</v>
      </c>
      <c r="I96" s="583">
        <f>SUM(I97:I100)</f>
        <v>4</v>
      </c>
    </row>
    <row r="97" spans="2:9" outlineLevel="2">
      <c r="B97" s="383">
        <v>3</v>
      </c>
      <c r="C97" s="383" t="s">
        <v>349</v>
      </c>
      <c r="D97" s="383" t="s">
        <v>30</v>
      </c>
      <c r="E97" s="383" t="s">
        <v>28</v>
      </c>
      <c r="F97" s="383" t="s">
        <v>708</v>
      </c>
      <c r="G97" s="584" t="s">
        <v>32</v>
      </c>
      <c r="H97" s="586">
        <v>2.9179040000000003E-2</v>
      </c>
      <c r="I97" s="586">
        <v>1</v>
      </c>
    </row>
    <row r="98" spans="2:9" outlineLevel="2">
      <c r="B98" s="383">
        <v>3</v>
      </c>
      <c r="C98" s="383" t="s">
        <v>349</v>
      </c>
      <c r="D98" s="383" t="s">
        <v>30</v>
      </c>
      <c r="E98" s="383" t="s">
        <v>28</v>
      </c>
      <c r="F98" s="383" t="s">
        <v>708</v>
      </c>
      <c r="G98" s="584" t="s">
        <v>33</v>
      </c>
      <c r="H98" s="586">
        <v>1.4589520000000002E-2</v>
      </c>
      <c r="I98" s="586">
        <v>1</v>
      </c>
    </row>
    <row r="99" spans="2:9" outlineLevel="2">
      <c r="B99" s="383">
        <v>3</v>
      </c>
      <c r="C99" s="383" t="s">
        <v>349</v>
      </c>
      <c r="D99" s="383" t="s">
        <v>30</v>
      </c>
      <c r="E99" s="383" t="s">
        <v>64</v>
      </c>
      <c r="F99" s="383" t="s">
        <v>708</v>
      </c>
      <c r="G99" s="584" t="s">
        <v>32</v>
      </c>
      <c r="H99" s="586">
        <v>2.4480720000000001E-2</v>
      </c>
      <c r="I99" s="586">
        <v>1</v>
      </c>
    </row>
    <row r="100" spans="2:9" outlineLevel="2">
      <c r="B100" s="383">
        <v>3</v>
      </c>
      <c r="C100" s="383" t="s">
        <v>349</v>
      </c>
      <c r="D100" s="383" t="s">
        <v>30</v>
      </c>
      <c r="E100" s="383" t="s">
        <v>64</v>
      </c>
      <c r="F100" s="383" t="s">
        <v>708</v>
      </c>
      <c r="G100" s="584" t="s">
        <v>33</v>
      </c>
      <c r="H100" s="586">
        <v>8.1602400000000009E-3</v>
      </c>
      <c r="I100" s="586">
        <v>1</v>
      </c>
    </row>
    <row r="101" spans="2:9" outlineLevel="1">
      <c r="C101" s="401" t="s">
        <v>398</v>
      </c>
      <c r="D101" s="401" t="s">
        <v>398</v>
      </c>
      <c r="E101" s="401"/>
      <c r="F101" s="401" t="s">
        <v>708</v>
      </c>
      <c r="G101" s="568" t="s">
        <v>1670</v>
      </c>
      <c r="H101" s="583">
        <f>SUM(H102:H106)</f>
        <v>1.7570528000000003</v>
      </c>
      <c r="I101" s="583">
        <f>SUM(I102:I106)</f>
        <v>5</v>
      </c>
    </row>
    <row r="102" spans="2:9" outlineLevel="2">
      <c r="B102" s="383">
        <v>1</v>
      </c>
      <c r="C102" s="383" t="s">
        <v>398</v>
      </c>
      <c r="D102" s="383" t="s">
        <v>398</v>
      </c>
      <c r="E102" s="383" t="s">
        <v>28</v>
      </c>
      <c r="F102" s="383" t="s">
        <v>708</v>
      </c>
      <c r="G102" s="584" t="s">
        <v>32</v>
      </c>
      <c r="H102" s="586">
        <v>0.56340280000000009</v>
      </c>
      <c r="I102" s="586">
        <v>1</v>
      </c>
    </row>
    <row r="103" spans="2:9" outlineLevel="2">
      <c r="B103" s="383">
        <v>1</v>
      </c>
      <c r="C103" s="383" t="s">
        <v>398</v>
      </c>
      <c r="D103" s="383" t="s">
        <v>398</v>
      </c>
      <c r="E103" s="383" t="s">
        <v>28</v>
      </c>
      <c r="F103" s="383" t="s">
        <v>708</v>
      </c>
      <c r="G103" s="584" t="s">
        <v>33</v>
      </c>
      <c r="H103" s="586">
        <v>0.28170140000000005</v>
      </c>
      <c r="I103" s="586">
        <v>1</v>
      </c>
    </row>
    <row r="104" spans="2:9" outlineLevel="2">
      <c r="B104" s="383">
        <v>1</v>
      </c>
      <c r="C104" s="383" t="s">
        <v>398</v>
      </c>
      <c r="D104" s="383" t="s">
        <v>398</v>
      </c>
      <c r="E104" s="383" t="s">
        <v>28</v>
      </c>
      <c r="F104" s="383" t="s">
        <v>708</v>
      </c>
      <c r="G104" s="584" t="s">
        <v>197</v>
      </c>
      <c r="H104" s="586">
        <v>0.28170140000000005</v>
      </c>
      <c r="I104" s="586">
        <v>1</v>
      </c>
    </row>
    <row r="105" spans="2:9" outlineLevel="2">
      <c r="B105" s="383">
        <v>1</v>
      </c>
      <c r="C105" s="383" t="s">
        <v>398</v>
      </c>
      <c r="D105" s="383" t="s">
        <v>398</v>
      </c>
      <c r="E105" s="383" t="s">
        <v>64</v>
      </c>
      <c r="F105" s="383" t="s">
        <v>708</v>
      </c>
      <c r="G105" s="584" t="s">
        <v>32</v>
      </c>
      <c r="H105" s="586">
        <v>0.47268540000000003</v>
      </c>
      <c r="I105" s="586">
        <v>1</v>
      </c>
    </row>
    <row r="106" spans="2:9" outlineLevel="2">
      <c r="B106" s="383">
        <v>1</v>
      </c>
      <c r="C106" s="383" t="s">
        <v>398</v>
      </c>
      <c r="D106" s="383" t="s">
        <v>398</v>
      </c>
      <c r="E106" s="383" t="s">
        <v>64</v>
      </c>
      <c r="F106" s="383" t="s">
        <v>708</v>
      </c>
      <c r="G106" s="584" t="s">
        <v>197</v>
      </c>
      <c r="H106" s="586">
        <v>0.15756180000000003</v>
      </c>
      <c r="I106" s="586">
        <v>1</v>
      </c>
    </row>
    <row r="107" spans="2:9" outlineLevel="1">
      <c r="C107" s="401" t="s">
        <v>440</v>
      </c>
      <c r="D107" s="401" t="s">
        <v>440</v>
      </c>
      <c r="E107" s="401"/>
      <c r="F107" s="401" t="s">
        <v>708</v>
      </c>
      <c r="G107" s="568" t="s">
        <v>1681</v>
      </c>
      <c r="H107" s="583">
        <f>SUM(H108:H109)</f>
        <v>0.86951285400000011</v>
      </c>
      <c r="I107" s="583">
        <f>SUM(I108:I109)</f>
        <v>2</v>
      </c>
    </row>
    <row r="108" spans="2:9" outlineLevel="2">
      <c r="B108" s="383">
        <v>1</v>
      </c>
      <c r="C108" s="383" t="s">
        <v>440</v>
      </c>
      <c r="D108" s="383" t="s">
        <v>440</v>
      </c>
      <c r="E108" s="383" t="s">
        <v>28</v>
      </c>
      <c r="F108" s="383" t="s">
        <v>708</v>
      </c>
      <c r="G108" s="584" t="s">
        <v>32</v>
      </c>
      <c r="H108" s="586">
        <v>0.43475642700000006</v>
      </c>
      <c r="I108" s="586">
        <v>1</v>
      </c>
    </row>
    <row r="109" spans="2:9" outlineLevel="2">
      <c r="B109" s="383">
        <v>1</v>
      </c>
      <c r="C109" s="383" t="s">
        <v>440</v>
      </c>
      <c r="D109" s="383" t="s">
        <v>440</v>
      </c>
      <c r="E109" s="383" t="s">
        <v>28</v>
      </c>
      <c r="F109" s="383" t="s">
        <v>708</v>
      </c>
      <c r="G109" s="584" t="s">
        <v>33</v>
      </c>
      <c r="H109" s="586">
        <v>0.43475642700000006</v>
      </c>
      <c r="I109" s="586">
        <v>1</v>
      </c>
    </row>
    <row r="110" spans="2:9" outlineLevel="1">
      <c r="C110" s="401" t="s">
        <v>447</v>
      </c>
      <c r="D110" s="401" t="s">
        <v>447</v>
      </c>
      <c r="E110" s="401"/>
      <c r="F110" s="401" t="s">
        <v>708</v>
      </c>
      <c r="G110" s="568" t="s">
        <v>1679</v>
      </c>
      <c r="H110" s="583">
        <f>SUM(H111:H112)</f>
        <v>0.28983761800000002</v>
      </c>
      <c r="I110" s="583">
        <f>SUM(I111:I112)</f>
        <v>2</v>
      </c>
    </row>
    <row r="111" spans="2:9" outlineLevel="2">
      <c r="B111" s="383">
        <v>1</v>
      </c>
      <c r="C111" s="383" t="s">
        <v>447</v>
      </c>
      <c r="D111" s="383" t="s">
        <v>447</v>
      </c>
      <c r="E111" s="383" t="s">
        <v>28</v>
      </c>
      <c r="F111" s="383" t="s">
        <v>708</v>
      </c>
      <c r="G111" s="584" t="s">
        <v>32</v>
      </c>
      <c r="H111" s="586">
        <v>0.14491880900000001</v>
      </c>
      <c r="I111" s="586">
        <v>1</v>
      </c>
    </row>
    <row r="112" spans="2:9" outlineLevel="2">
      <c r="B112" s="383">
        <v>1</v>
      </c>
      <c r="C112" s="383" t="s">
        <v>447</v>
      </c>
      <c r="D112" s="383" t="s">
        <v>447</v>
      </c>
      <c r="E112" s="383" t="s">
        <v>28</v>
      </c>
      <c r="F112" s="383" t="s">
        <v>708</v>
      </c>
      <c r="G112" s="584" t="s">
        <v>33</v>
      </c>
      <c r="H112" s="586">
        <v>0.14491880900000001</v>
      </c>
      <c r="I112" s="586">
        <v>1</v>
      </c>
    </row>
    <row r="113" spans="2:9" outlineLevel="1">
      <c r="C113" s="401" t="s">
        <v>319</v>
      </c>
      <c r="D113" s="401" t="s">
        <v>319</v>
      </c>
      <c r="E113" s="401"/>
      <c r="F113" s="401" t="s">
        <v>708</v>
      </c>
      <c r="G113" s="568" t="s">
        <v>1680</v>
      </c>
      <c r="H113" s="583">
        <f>SUM(H114:H120)</f>
        <v>0.32804999999999995</v>
      </c>
      <c r="I113" s="583">
        <f>SUM(I114:I120)</f>
        <v>7</v>
      </c>
    </row>
    <row r="114" spans="2:9" outlineLevel="2">
      <c r="B114" s="383">
        <v>1</v>
      </c>
      <c r="C114" s="383" t="s">
        <v>319</v>
      </c>
      <c r="D114" s="383" t="s">
        <v>319</v>
      </c>
      <c r="E114" s="383" t="s">
        <v>28</v>
      </c>
      <c r="F114" s="383" t="s">
        <v>29</v>
      </c>
      <c r="G114" s="584" t="s">
        <v>32</v>
      </c>
      <c r="H114" s="585">
        <v>3.9824999999999999E-2</v>
      </c>
      <c r="I114" s="585">
        <v>1</v>
      </c>
    </row>
    <row r="115" spans="2:9" outlineLevel="2">
      <c r="B115" s="383">
        <v>1</v>
      </c>
      <c r="C115" s="383" t="s">
        <v>319</v>
      </c>
      <c r="D115" s="383" t="s">
        <v>319</v>
      </c>
      <c r="E115" s="383" t="s">
        <v>28</v>
      </c>
      <c r="F115" s="383" t="s">
        <v>29</v>
      </c>
      <c r="G115" s="584" t="s">
        <v>33</v>
      </c>
      <c r="H115" s="585">
        <v>7.9649999999999999E-2</v>
      </c>
      <c r="I115" s="585">
        <v>1</v>
      </c>
    </row>
    <row r="116" spans="2:9" outlineLevel="2">
      <c r="B116" s="383">
        <v>1</v>
      </c>
      <c r="C116" s="383" t="s">
        <v>319</v>
      </c>
      <c r="D116" s="383" t="s">
        <v>319</v>
      </c>
      <c r="E116" s="383" t="s">
        <v>28</v>
      </c>
      <c r="F116" s="383" t="s">
        <v>29</v>
      </c>
      <c r="G116" s="584" t="s">
        <v>34</v>
      </c>
      <c r="H116" s="585">
        <v>7.9649999999999999E-2</v>
      </c>
      <c r="I116" s="585">
        <v>1</v>
      </c>
    </row>
    <row r="117" spans="2:9" outlineLevel="2">
      <c r="B117" s="383">
        <v>1</v>
      </c>
      <c r="C117" s="383" t="s">
        <v>319</v>
      </c>
      <c r="D117" s="383" t="s">
        <v>319</v>
      </c>
      <c r="E117" s="383" t="s">
        <v>28</v>
      </c>
      <c r="F117" s="383" t="s">
        <v>29</v>
      </c>
      <c r="G117" s="584" t="s">
        <v>197</v>
      </c>
      <c r="H117" s="585">
        <v>3.9824999999999999E-2</v>
      </c>
      <c r="I117" s="585">
        <v>1</v>
      </c>
    </row>
    <row r="118" spans="2:9" outlineLevel="2">
      <c r="B118" s="383">
        <v>1</v>
      </c>
      <c r="C118" s="383" t="s">
        <v>319</v>
      </c>
      <c r="D118" s="383" t="s">
        <v>319</v>
      </c>
      <c r="E118" s="383" t="s">
        <v>64</v>
      </c>
      <c r="F118" s="383" t="s">
        <v>29</v>
      </c>
      <c r="G118" s="584" t="s">
        <v>32</v>
      </c>
      <c r="H118" s="585">
        <v>4.4550000000000006E-2</v>
      </c>
      <c r="I118" s="585">
        <v>1</v>
      </c>
    </row>
    <row r="119" spans="2:9" outlineLevel="2">
      <c r="B119" s="383">
        <v>1</v>
      </c>
      <c r="C119" s="383" t="s">
        <v>319</v>
      </c>
      <c r="D119" s="383" t="s">
        <v>319</v>
      </c>
      <c r="E119" s="383" t="s">
        <v>64</v>
      </c>
      <c r="F119" s="383" t="s">
        <v>29</v>
      </c>
      <c r="G119" s="584" t="s">
        <v>34</v>
      </c>
      <c r="H119" s="585">
        <v>2.2275000000000003E-2</v>
      </c>
      <c r="I119" s="585">
        <v>1</v>
      </c>
    </row>
    <row r="120" spans="2:9" outlineLevel="2">
      <c r="B120" s="383">
        <v>1</v>
      </c>
      <c r="C120" s="383" t="s">
        <v>319</v>
      </c>
      <c r="D120" s="383" t="s">
        <v>319</v>
      </c>
      <c r="E120" s="383" t="s">
        <v>64</v>
      </c>
      <c r="F120" s="383" t="s">
        <v>29</v>
      </c>
      <c r="G120" s="584" t="s">
        <v>471</v>
      </c>
      <c r="H120" s="585">
        <v>2.2275000000000003E-2</v>
      </c>
      <c r="I120" s="585">
        <v>1</v>
      </c>
    </row>
    <row r="121" spans="2:9" outlineLevel="1">
      <c r="C121" s="401" t="s">
        <v>474</v>
      </c>
      <c r="D121" s="401" t="s">
        <v>136</v>
      </c>
      <c r="E121" s="401"/>
      <c r="F121" s="401" t="s">
        <v>708</v>
      </c>
      <c r="G121" s="568" t="s">
        <v>1687</v>
      </c>
      <c r="H121" s="583">
        <f>SUM(H122:H131)</f>
        <v>5.2621400000000005</v>
      </c>
      <c r="I121" s="583">
        <f>SUM(I122:I131)</f>
        <v>10</v>
      </c>
    </row>
    <row r="122" spans="2:9" outlineLevel="2">
      <c r="B122" s="383">
        <v>2</v>
      </c>
      <c r="C122" s="383" t="s">
        <v>474</v>
      </c>
      <c r="D122" s="383" t="s">
        <v>136</v>
      </c>
      <c r="E122" s="383" t="s">
        <v>202</v>
      </c>
      <c r="F122" s="383" t="s">
        <v>29</v>
      </c>
      <c r="G122" s="584" t="s">
        <v>334</v>
      </c>
      <c r="H122" s="585">
        <v>0.85500000000000009</v>
      </c>
      <c r="I122" s="585">
        <v>1</v>
      </c>
    </row>
    <row r="123" spans="2:9" outlineLevel="2">
      <c r="B123" s="383">
        <v>2</v>
      </c>
      <c r="C123" s="383" t="s">
        <v>474</v>
      </c>
      <c r="D123" s="383" t="s">
        <v>136</v>
      </c>
      <c r="E123" s="383" t="s">
        <v>202</v>
      </c>
      <c r="F123" s="383" t="s">
        <v>29</v>
      </c>
      <c r="G123" s="584" t="s">
        <v>32</v>
      </c>
      <c r="H123" s="585">
        <v>1.4050000000000002</v>
      </c>
      <c r="I123" s="585">
        <v>1</v>
      </c>
    </row>
    <row r="124" spans="2:9" outlineLevel="2">
      <c r="B124" s="383">
        <v>2</v>
      </c>
      <c r="C124" s="383" t="s">
        <v>474</v>
      </c>
      <c r="D124" s="383" t="s">
        <v>136</v>
      </c>
      <c r="E124" s="383" t="s">
        <v>202</v>
      </c>
      <c r="F124" s="383" t="s">
        <v>29</v>
      </c>
      <c r="G124" s="584" t="s">
        <v>33</v>
      </c>
      <c r="H124" s="585">
        <v>1.4050000000000002</v>
      </c>
      <c r="I124" s="585">
        <v>1</v>
      </c>
    </row>
    <row r="125" spans="2:9" outlineLevel="2">
      <c r="B125" s="383">
        <v>2</v>
      </c>
      <c r="C125" s="383" t="s">
        <v>474</v>
      </c>
      <c r="D125" s="383" t="s">
        <v>136</v>
      </c>
      <c r="E125" s="383" t="s">
        <v>202</v>
      </c>
      <c r="F125" s="383" t="s">
        <v>29</v>
      </c>
      <c r="G125" s="584" t="s">
        <v>471</v>
      </c>
      <c r="H125" s="585">
        <v>0.85500000000000009</v>
      </c>
      <c r="I125" s="585">
        <v>1</v>
      </c>
    </row>
    <row r="126" spans="2:9" outlineLevel="2">
      <c r="B126" s="383">
        <v>2</v>
      </c>
      <c r="C126" s="383" t="s">
        <v>474</v>
      </c>
      <c r="D126" s="383" t="s">
        <v>136</v>
      </c>
      <c r="E126" s="383" t="s">
        <v>28</v>
      </c>
      <c r="F126" s="383" t="s">
        <v>29</v>
      </c>
      <c r="G126" s="584" t="s">
        <v>32</v>
      </c>
      <c r="H126" s="585">
        <v>0.10088999999999999</v>
      </c>
      <c r="I126" s="585">
        <v>1</v>
      </c>
    </row>
    <row r="127" spans="2:9" outlineLevel="2">
      <c r="B127" s="383">
        <v>2</v>
      </c>
      <c r="C127" s="383" t="s">
        <v>474</v>
      </c>
      <c r="D127" s="383" t="s">
        <v>136</v>
      </c>
      <c r="E127" s="383" t="s">
        <v>28</v>
      </c>
      <c r="F127" s="383" t="s">
        <v>29</v>
      </c>
      <c r="G127" s="584" t="s">
        <v>33</v>
      </c>
      <c r="H127" s="585">
        <v>0.20177999999999999</v>
      </c>
      <c r="I127" s="585">
        <v>1</v>
      </c>
    </row>
    <row r="128" spans="2:9" outlineLevel="2">
      <c r="B128" s="383">
        <v>2</v>
      </c>
      <c r="C128" s="383" t="s">
        <v>474</v>
      </c>
      <c r="D128" s="383" t="s">
        <v>136</v>
      </c>
      <c r="E128" s="383" t="s">
        <v>28</v>
      </c>
      <c r="F128" s="383" t="s">
        <v>29</v>
      </c>
      <c r="G128" s="584" t="s">
        <v>471</v>
      </c>
      <c r="H128" s="585">
        <v>0.10088999999999999</v>
      </c>
      <c r="I128" s="585">
        <v>1</v>
      </c>
    </row>
    <row r="129" spans="2:9" outlineLevel="2">
      <c r="B129" s="383">
        <v>2</v>
      </c>
      <c r="C129" s="383" t="s">
        <v>474</v>
      </c>
      <c r="D129" s="383" t="s">
        <v>136</v>
      </c>
      <c r="E129" s="383" t="s">
        <v>64</v>
      </c>
      <c r="F129" s="383" t="s">
        <v>29</v>
      </c>
      <c r="G129" s="584" t="s">
        <v>32</v>
      </c>
      <c r="H129" s="585">
        <v>0.11286000000000002</v>
      </c>
      <c r="I129" s="585">
        <v>1</v>
      </c>
    </row>
    <row r="130" spans="2:9" outlineLevel="2">
      <c r="B130" s="383">
        <v>2</v>
      </c>
      <c r="C130" s="383" t="s">
        <v>474</v>
      </c>
      <c r="D130" s="383" t="s">
        <v>136</v>
      </c>
      <c r="E130" s="383" t="s">
        <v>64</v>
      </c>
      <c r="F130" s="383" t="s">
        <v>29</v>
      </c>
      <c r="G130" s="584" t="s">
        <v>33</v>
      </c>
      <c r="H130" s="585">
        <v>0.16929</v>
      </c>
      <c r="I130" s="585">
        <v>1</v>
      </c>
    </row>
    <row r="131" spans="2:9" outlineLevel="2">
      <c r="B131" s="383">
        <v>2</v>
      </c>
      <c r="C131" s="383" t="s">
        <v>474</v>
      </c>
      <c r="D131" s="383" t="s">
        <v>136</v>
      </c>
      <c r="E131" s="383" t="s">
        <v>64</v>
      </c>
      <c r="F131" s="383" t="s">
        <v>29</v>
      </c>
      <c r="G131" s="584" t="s">
        <v>471</v>
      </c>
      <c r="H131" s="585">
        <v>5.6430000000000008E-2</v>
      </c>
      <c r="I131" s="585">
        <v>1</v>
      </c>
    </row>
    <row r="132" spans="2:9" outlineLevel="1">
      <c r="C132" s="401" t="s">
        <v>486</v>
      </c>
      <c r="D132" s="401" t="s">
        <v>136</v>
      </c>
      <c r="E132" s="401"/>
      <c r="F132" s="401" t="s">
        <v>708</v>
      </c>
      <c r="G132" s="568" t="s">
        <v>1688</v>
      </c>
      <c r="H132" s="583">
        <f>SUM(H133:H139)</f>
        <v>2.5074143979111465</v>
      </c>
      <c r="I132" s="583">
        <f>SUM(I133:I139)</f>
        <v>7</v>
      </c>
    </row>
    <row r="133" spans="2:9" outlineLevel="2">
      <c r="B133" s="383">
        <v>3</v>
      </c>
      <c r="C133" s="383" t="s">
        <v>486</v>
      </c>
      <c r="D133" s="383" t="s">
        <v>136</v>
      </c>
      <c r="E133" s="383" t="s">
        <v>202</v>
      </c>
      <c r="F133" s="383" t="s">
        <v>29</v>
      </c>
      <c r="G133" s="584" t="s">
        <v>334</v>
      </c>
      <c r="H133" s="585">
        <v>0.4724994626592407</v>
      </c>
      <c r="I133" s="585">
        <v>1</v>
      </c>
    </row>
    <row r="134" spans="2:9" outlineLevel="2">
      <c r="B134" s="383">
        <v>3</v>
      </c>
      <c r="C134" s="383" t="s">
        <v>486</v>
      </c>
      <c r="D134" s="383" t="s">
        <v>136</v>
      </c>
      <c r="E134" s="383" t="s">
        <v>202</v>
      </c>
      <c r="F134" s="383" t="s">
        <v>29</v>
      </c>
      <c r="G134" s="584" t="s">
        <v>32</v>
      </c>
      <c r="H134" s="585">
        <v>0.85586265139649265</v>
      </c>
      <c r="I134" s="585">
        <v>1</v>
      </c>
    </row>
    <row r="135" spans="2:9" outlineLevel="2">
      <c r="B135" s="383">
        <v>3</v>
      </c>
      <c r="C135" s="383" t="s">
        <v>486</v>
      </c>
      <c r="D135" s="383" t="s">
        <v>136</v>
      </c>
      <c r="E135" s="383" t="s">
        <v>202</v>
      </c>
      <c r="F135" s="383" t="s">
        <v>29</v>
      </c>
      <c r="G135" s="584" t="s">
        <v>33</v>
      </c>
      <c r="H135" s="585">
        <v>0.85586265139649265</v>
      </c>
      <c r="I135" s="585">
        <v>1</v>
      </c>
    </row>
    <row r="136" spans="2:9" outlineLevel="2">
      <c r="B136" s="383">
        <v>3</v>
      </c>
      <c r="C136" s="383" t="s">
        <v>486</v>
      </c>
      <c r="D136" s="383" t="s">
        <v>136</v>
      </c>
      <c r="E136" s="383" t="s">
        <v>28</v>
      </c>
      <c r="F136" s="383" t="s">
        <v>29</v>
      </c>
      <c r="G136" s="584" t="s">
        <v>32</v>
      </c>
      <c r="H136" s="585">
        <v>5.5754936593790397E-2</v>
      </c>
      <c r="I136" s="585">
        <v>1</v>
      </c>
    </row>
    <row r="137" spans="2:9" outlineLevel="2">
      <c r="B137" s="383">
        <v>3</v>
      </c>
      <c r="C137" s="383" t="s">
        <v>486</v>
      </c>
      <c r="D137" s="383" t="s">
        <v>136</v>
      </c>
      <c r="E137" s="383" t="s">
        <v>28</v>
      </c>
      <c r="F137" s="383" t="s">
        <v>29</v>
      </c>
      <c r="G137" s="584" t="s">
        <v>33</v>
      </c>
      <c r="H137" s="585">
        <v>0.11150987318758079</v>
      </c>
      <c r="I137" s="585">
        <v>1</v>
      </c>
    </row>
    <row r="138" spans="2:9" outlineLevel="2">
      <c r="B138" s="383">
        <v>3</v>
      </c>
      <c r="C138" s="383" t="s">
        <v>486</v>
      </c>
      <c r="D138" s="383" t="s">
        <v>136</v>
      </c>
      <c r="E138" s="383" t="s">
        <v>64</v>
      </c>
      <c r="F138" s="383" t="s">
        <v>29</v>
      </c>
      <c r="G138" s="584" t="s">
        <v>32</v>
      </c>
      <c r="H138" s="585">
        <v>6.2369929071019771E-2</v>
      </c>
      <c r="I138" s="585">
        <v>1</v>
      </c>
    </row>
    <row r="139" spans="2:9" outlineLevel="2">
      <c r="B139" s="383">
        <v>3</v>
      </c>
      <c r="C139" s="383" t="s">
        <v>486</v>
      </c>
      <c r="D139" s="383" t="s">
        <v>136</v>
      </c>
      <c r="E139" s="383" t="s">
        <v>64</v>
      </c>
      <c r="F139" s="383" t="s">
        <v>29</v>
      </c>
      <c r="G139" s="584" t="s">
        <v>33</v>
      </c>
      <c r="H139" s="585">
        <v>9.3554893606529646E-2</v>
      </c>
      <c r="I139" s="585">
        <v>1</v>
      </c>
    </row>
    <row r="140" spans="2:9" outlineLevel="1">
      <c r="C140" s="401" t="s">
        <v>490</v>
      </c>
      <c r="D140" s="401" t="s">
        <v>136</v>
      </c>
      <c r="E140" s="401"/>
      <c r="F140" s="401" t="s">
        <v>708</v>
      </c>
      <c r="G140" s="568" t="s">
        <v>1689</v>
      </c>
      <c r="H140" s="583">
        <f>SUM(H141:H156)</f>
        <v>2.7927693686277002</v>
      </c>
      <c r="I140" s="583">
        <f>SUM(I141:I156)</f>
        <v>16</v>
      </c>
    </row>
    <row r="141" spans="2:9" outlineLevel="2">
      <c r="B141" s="383">
        <v>1</v>
      </c>
      <c r="C141" s="383" t="s">
        <v>490</v>
      </c>
      <c r="D141" s="383" t="s">
        <v>136</v>
      </c>
      <c r="E141" s="383" t="s">
        <v>202</v>
      </c>
      <c r="F141" s="383" t="s">
        <v>29</v>
      </c>
      <c r="G141" s="584" t="s">
        <v>492</v>
      </c>
      <c r="H141" s="585">
        <v>0.55066951170000011</v>
      </c>
      <c r="I141" s="585">
        <v>1</v>
      </c>
    </row>
    <row r="142" spans="2:9" outlineLevel="2">
      <c r="B142" s="383">
        <v>1</v>
      </c>
      <c r="C142" s="383" t="s">
        <v>490</v>
      </c>
      <c r="D142" s="383" t="s">
        <v>136</v>
      </c>
      <c r="E142" s="383" t="s">
        <v>202</v>
      </c>
      <c r="F142" s="383" t="s">
        <v>29</v>
      </c>
      <c r="G142" s="584" t="s">
        <v>493</v>
      </c>
      <c r="H142" s="585">
        <v>0.55066951170000011</v>
      </c>
      <c r="I142" s="585">
        <v>1</v>
      </c>
    </row>
    <row r="143" spans="2:9" outlineLevel="2">
      <c r="B143" s="383">
        <v>1</v>
      </c>
      <c r="C143" s="383" t="s">
        <v>490</v>
      </c>
      <c r="D143" s="383" t="s">
        <v>136</v>
      </c>
      <c r="E143" s="383" t="s">
        <v>202</v>
      </c>
      <c r="F143" s="383" t="s">
        <v>29</v>
      </c>
      <c r="G143" s="584" t="s">
        <v>34</v>
      </c>
      <c r="H143" s="585">
        <v>0.55066951170000011</v>
      </c>
      <c r="I143" s="585">
        <v>1</v>
      </c>
    </row>
    <row r="144" spans="2:9" outlineLevel="2">
      <c r="B144" s="383">
        <v>1</v>
      </c>
      <c r="C144" s="383" t="s">
        <v>490</v>
      </c>
      <c r="D144" s="383" t="s">
        <v>136</v>
      </c>
      <c r="E144" s="383" t="s">
        <v>202</v>
      </c>
      <c r="F144" s="383" t="s">
        <v>29</v>
      </c>
      <c r="G144" s="584" t="s">
        <v>471</v>
      </c>
      <c r="H144" s="585">
        <v>0.30444318135000004</v>
      </c>
      <c r="I144" s="585">
        <v>1</v>
      </c>
    </row>
    <row r="145" spans="2:9" outlineLevel="2">
      <c r="B145" s="383">
        <v>1</v>
      </c>
      <c r="C145" s="383" t="s">
        <v>490</v>
      </c>
      <c r="D145" s="383" t="s">
        <v>136</v>
      </c>
      <c r="E145" s="383" t="s">
        <v>202</v>
      </c>
      <c r="F145" s="383" t="s">
        <v>29</v>
      </c>
      <c r="G145" s="584" t="s">
        <v>335</v>
      </c>
      <c r="H145" s="585">
        <v>0.30444318135000004</v>
      </c>
      <c r="I145" s="585">
        <v>1</v>
      </c>
    </row>
    <row r="146" spans="2:9" outlineLevel="2">
      <c r="B146" s="383">
        <v>1</v>
      </c>
      <c r="C146" s="383" t="s">
        <v>490</v>
      </c>
      <c r="D146" s="383" t="s">
        <v>136</v>
      </c>
      <c r="E146" s="383" t="s">
        <v>202</v>
      </c>
      <c r="F146" s="383" t="s">
        <v>29</v>
      </c>
      <c r="G146" s="584" t="s">
        <v>494</v>
      </c>
      <c r="H146" s="585">
        <v>0.16520085351</v>
      </c>
      <c r="I146" s="585">
        <v>1</v>
      </c>
    </row>
    <row r="147" spans="2:9" outlineLevel="2">
      <c r="B147" s="383">
        <v>1</v>
      </c>
      <c r="C147" s="383" t="s">
        <v>490</v>
      </c>
      <c r="D147" s="383" t="s">
        <v>136</v>
      </c>
      <c r="E147" s="383" t="s">
        <v>28</v>
      </c>
      <c r="F147" s="383" t="s">
        <v>29</v>
      </c>
      <c r="G147" s="584" t="s">
        <v>32</v>
      </c>
      <c r="H147" s="585">
        <v>3.5924295399299998E-2</v>
      </c>
      <c r="I147" s="585">
        <v>1</v>
      </c>
    </row>
    <row r="148" spans="2:9" outlineLevel="2">
      <c r="B148" s="383">
        <v>1</v>
      </c>
      <c r="C148" s="383" t="s">
        <v>490</v>
      </c>
      <c r="D148" s="383" t="s">
        <v>136</v>
      </c>
      <c r="E148" s="383" t="s">
        <v>28</v>
      </c>
      <c r="F148" s="383" t="s">
        <v>29</v>
      </c>
      <c r="G148" s="584" t="s">
        <v>493</v>
      </c>
      <c r="H148" s="585">
        <v>7.1848590798599996E-2</v>
      </c>
      <c r="I148" s="585">
        <v>1</v>
      </c>
    </row>
    <row r="149" spans="2:9" outlineLevel="2">
      <c r="B149" s="383">
        <v>1</v>
      </c>
      <c r="C149" s="383" t="s">
        <v>490</v>
      </c>
      <c r="D149" s="383" t="s">
        <v>136</v>
      </c>
      <c r="E149" s="383" t="s">
        <v>28</v>
      </c>
      <c r="F149" s="383" t="s">
        <v>29</v>
      </c>
      <c r="G149" s="584" t="s">
        <v>34</v>
      </c>
      <c r="H149" s="585">
        <v>7.1848590798599996E-2</v>
      </c>
      <c r="I149" s="585">
        <v>1</v>
      </c>
    </row>
    <row r="150" spans="2:9" outlineLevel="2">
      <c r="B150" s="383">
        <v>1</v>
      </c>
      <c r="C150" s="383" t="s">
        <v>490</v>
      </c>
      <c r="D150" s="383" t="s">
        <v>136</v>
      </c>
      <c r="E150" s="383" t="s">
        <v>28</v>
      </c>
      <c r="F150" s="383" t="s">
        <v>29</v>
      </c>
      <c r="G150" s="584" t="s">
        <v>471</v>
      </c>
      <c r="H150" s="585">
        <v>3.5924295399299998E-2</v>
      </c>
      <c r="I150" s="585">
        <v>1</v>
      </c>
    </row>
    <row r="151" spans="2:9" outlineLevel="2">
      <c r="B151" s="383">
        <v>1</v>
      </c>
      <c r="C151" s="383" t="s">
        <v>490</v>
      </c>
      <c r="D151" s="383" t="s">
        <v>136</v>
      </c>
      <c r="E151" s="383" t="s">
        <v>28</v>
      </c>
      <c r="F151" s="383" t="s">
        <v>29</v>
      </c>
      <c r="G151" s="584" t="s">
        <v>460</v>
      </c>
      <c r="H151" s="585">
        <v>3.2489501190300002E-2</v>
      </c>
      <c r="I151" s="585">
        <v>1</v>
      </c>
    </row>
    <row r="152" spans="2:9" outlineLevel="2">
      <c r="B152" s="383">
        <v>1</v>
      </c>
      <c r="C152" s="383" t="s">
        <v>490</v>
      </c>
      <c r="D152" s="383" t="s">
        <v>136</v>
      </c>
      <c r="E152" s="383" t="s">
        <v>64</v>
      </c>
      <c r="F152" s="383" t="s">
        <v>29</v>
      </c>
      <c r="G152" s="584" t="s">
        <v>32</v>
      </c>
      <c r="H152" s="585">
        <v>4.0186499938200004E-2</v>
      </c>
      <c r="I152" s="585">
        <v>1</v>
      </c>
    </row>
    <row r="153" spans="2:9" outlineLevel="2">
      <c r="B153" s="383">
        <v>1</v>
      </c>
      <c r="C153" s="383" t="s">
        <v>490</v>
      </c>
      <c r="D153" s="383" t="s">
        <v>136</v>
      </c>
      <c r="E153" s="383" t="s">
        <v>64</v>
      </c>
      <c r="F153" s="383" t="s">
        <v>29</v>
      </c>
      <c r="G153" s="584" t="s">
        <v>34</v>
      </c>
      <c r="H153" s="585">
        <v>2.0093249969100002E-2</v>
      </c>
      <c r="I153" s="585">
        <v>1</v>
      </c>
    </row>
    <row r="154" spans="2:9" outlineLevel="2">
      <c r="B154" s="383">
        <v>1</v>
      </c>
      <c r="C154" s="383" t="s">
        <v>490</v>
      </c>
      <c r="D154" s="383" t="s">
        <v>136</v>
      </c>
      <c r="E154" s="383" t="s">
        <v>64</v>
      </c>
      <c r="F154" s="383" t="s">
        <v>29</v>
      </c>
      <c r="G154" s="584" t="s">
        <v>471</v>
      </c>
      <c r="H154" s="585">
        <v>2.0093249969100002E-2</v>
      </c>
      <c r="I154" s="585">
        <v>1</v>
      </c>
    </row>
    <row r="155" spans="2:9" outlineLevel="2">
      <c r="B155" s="383">
        <v>1</v>
      </c>
      <c r="C155" s="383" t="s">
        <v>490</v>
      </c>
      <c r="D155" s="383" t="s">
        <v>136</v>
      </c>
      <c r="E155" s="383" t="s">
        <v>64</v>
      </c>
      <c r="F155" s="383" t="s">
        <v>29</v>
      </c>
      <c r="G155" s="584" t="s">
        <v>335</v>
      </c>
      <c r="H155" s="585">
        <v>2.0093249969100002E-2</v>
      </c>
      <c r="I155" s="585">
        <v>1</v>
      </c>
    </row>
    <row r="156" spans="2:9" outlineLevel="2">
      <c r="B156" s="383">
        <v>1</v>
      </c>
      <c r="C156" s="383" t="s">
        <v>490</v>
      </c>
      <c r="D156" s="383" t="s">
        <v>136</v>
      </c>
      <c r="E156" s="383" t="s">
        <v>64</v>
      </c>
      <c r="F156" s="383" t="s">
        <v>29</v>
      </c>
      <c r="G156" s="584" t="s">
        <v>460</v>
      </c>
      <c r="H156" s="585">
        <v>1.8172093886100003E-2</v>
      </c>
      <c r="I156" s="585">
        <v>1</v>
      </c>
    </row>
    <row r="157" spans="2:9" outlineLevel="1">
      <c r="C157" s="401" t="s">
        <v>498</v>
      </c>
      <c r="D157" s="401" t="s">
        <v>136</v>
      </c>
      <c r="E157" s="401"/>
      <c r="F157" s="401" t="s">
        <v>708</v>
      </c>
      <c r="G157" s="568" t="s">
        <v>1690</v>
      </c>
      <c r="H157" s="583">
        <v>0</v>
      </c>
      <c r="I157" s="583">
        <v>0</v>
      </c>
    </row>
    <row r="158" spans="2:9" outlineLevel="1">
      <c r="C158" s="401" t="s">
        <v>503</v>
      </c>
      <c r="D158" s="401" t="s">
        <v>503</v>
      </c>
      <c r="E158" s="401"/>
      <c r="F158" s="401" t="s">
        <v>708</v>
      </c>
      <c r="G158" s="568" t="s">
        <v>1691</v>
      </c>
      <c r="H158" s="583">
        <v>0</v>
      </c>
      <c r="I158" s="583">
        <v>0</v>
      </c>
    </row>
    <row r="159" spans="2:9" outlineLevel="1">
      <c r="C159" s="401" t="s">
        <v>510</v>
      </c>
      <c r="D159" s="401" t="s">
        <v>510</v>
      </c>
      <c r="E159" s="401"/>
      <c r="F159" s="401" t="s">
        <v>708</v>
      </c>
      <c r="G159" s="568" t="s">
        <v>1675</v>
      </c>
      <c r="H159" s="583">
        <v>0</v>
      </c>
      <c r="I159" s="583">
        <v>0</v>
      </c>
    </row>
    <row r="160" spans="2:9" outlineLevel="1">
      <c r="C160" s="401" t="s">
        <v>521</v>
      </c>
      <c r="D160" s="401" t="s">
        <v>521</v>
      </c>
      <c r="E160" s="401"/>
      <c r="F160" s="401" t="s">
        <v>708</v>
      </c>
      <c r="G160" s="568" t="s">
        <v>1704</v>
      </c>
      <c r="H160" s="583">
        <f>SUM(H161:H164)</f>
        <v>2.0669932799999999E-2</v>
      </c>
      <c r="I160" s="583">
        <f>SUM(I161:I164)</f>
        <v>4</v>
      </c>
    </row>
    <row r="161" spans="1:10" outlineLevel="2">
      <c r="B161" s="383">
        <v>3</v>
      </c>
      <c r="C161" s="383" t="s">
        <v>521</v>
      </c>
      <c r="D161" s="383" t="s">
        <v>521</v>
      </c>
      <c r="E161" s="383" t="s">
        <v>28</v>
      </c>
      <c r="F161" s="383" t="s">
        <v>29</v>
      </c>
      <c r="G161" s="584" t="s">
        <v>279</v>
      </c>
      <c r="H161" s="585">
        <v>5.6372543999999997E-3</v>
      </c>
      <c r="I161" s="585">
        <v>1</v>
      </c>
    </row>
    <row r="162" spans="1:10" outlineLevel="2">
      <c r="B162" s="383">
        <v>3</v>
      </c>
      <c r="C162" s="383" t="s">
        <v>521</v>
      </c>
      <c r="D162" s="383" t="s">
        <v>521</v>
      </c>
      <c r="E162" s="383" t="s">
        <v>28</v>
      </c>
      <c r="F162" s="383" t="s">
        <v>29</v>
      </c>
      <c r="G162" s="584" t="s">
        <v>33</v>
      </c>
      <c r="H162" s="585">
        <v>5.6372543999999997E-3</v>
      </c>
      <c r="I162" s="585">
        <v>1</v>
      </c>
    </row>
    <row r="163" spans="1:10" outlineLevel="2">
      <c r="B163" s="383">
        <v>3</v>
      </c>
      <c r="C163" s="383" t="s">
        <v>521</v>
      </c>
      <c r="D163" s="383" t="s">
        <v>521</v>
      </c>
      <c r="E163" s="383" t="s">
        <v>64</v>
      </c>
      <c r="F163" s="383" t="s">
        <v>29</v>
      </c>
      <c r="G163" s="584" t="s">
        <v>279</v>
      </c>
      <c r="H163" s="585">
        <v>4.6977119999999997E-3</v>
      </c>
      <c r="I163" s="585">
        <v>1</v>
      </c>
    </row>
    <row r="164" spans="1:10" outlineLevel="2">
      <c r="B164" s="383">
        <v>3</v>
      </c>
      <c r="C164" s="383" t="s">
        <v>521</v>
      </c>
      <c r="D164" s="383" t="s">
        <v>521</v>
      </c>
      <c r="E164" s="383" t="s">
        <v>64</v>
      </c>
      <c r="F164" s="383" t="s">
        <v>29</v>
      </c>
      <c r="G164" s="584" t="s">
        <v>33</v>
      </c>
      <c r="H164" s="585">
        <v>4.6977119999999997E-3</v>
      </c>
      <c r="I164" s="585">
        <v>1</v>
      </c>
    </row>
    <row r="165" spans="1:10" outlineLevel="1">
      <c r="C165" s="401" t="s">
        <v>536</v>
      </c>
      <c r="D165" s="401" t="s">
        <v>537</v>
      </c>
      <c r="E165" s="401"/>
      <c r="F165" s="401" t="s">
        <v>708</v>
      </c>
      <c r="G165" s="568" t="s">
        <v>1682</v>
      </c>
      <c r="H165" s="583">
        <f>SUM(H166:H170)</f>
        <v>0.45</v>
      </c>
      <c r="I165" s="583">
        <f>SUM(I166:I170)</f>
        <v>5</v>
      </c>
    </row>
    <row r="166" spans="1:10" outlineLevel="2">
      <c r="B166" s="383">
        <v>2</v>
      </c>
      <c r="C166" s="383" t="s">
        <v>536</v>
      </c>
      <c r="D166" s="383" t="s">
        <v>537</v>
      </c>
      <c r="E166" s="383" t="s">
        <v>28</v>
      </c>
      <c r="F166" s="383" t="s">
        <v>29</v>
      </c>
      <c r="G166" s="584" t="s">
        <v>32</v>
      </c>
      <c r="H166" s="585">
        <v>0.1</v>
      </c>
      <c r="I166" s="585">
        <v>1</v>
      </c>
    </row>
    <row r="167" spans="1:10" outlineLevel="2">
      <c r="B167" s="383">
        <v>2</v>
      </c>
      <c r="C167" s="383" t="s">
        <v>536</v>
      </c>
      <c r="D167" s="383" t="s">
        <v>537</v>
      </c>
      <c r="E167" s="383" t="s">
        <v>28</v>
      </c>
      <c r="F167" s="383" t="s">
        <v>29</v>
      </c>
      <c r="G167" s="584" t="s">
        <v>33</v>
      </c>
      <c r="H167" s="585">
        <v>0.05</v>
      </c>
      <c r="I167" s="585">
        <v>1</v>
      </c>
    </row>
    <row r="168" spans="1:10" outlineLevel="2">
      <c r="B168" s="383">
        <v>2</v>
      </c>
      <c r="C168" s="383" t="s">
        <v>536</v>
      </c>
      <c r="D168" s="383" t="s">
        <v>537</v>
      </c>
      <c r="E168" s="383" t="s">
        <v>28</v>
      </c>
      <c r="F168" s="383" t="s">
        <v>29</v>
      </c>
      <c r="G168" s="584" t="s">
        <v>353</v>
      </c>
      <c r="H168" s="585">
        <v>0.1</v>
      </c>
      <c r="I168" s="585">
        <v>1</v>
      </c>
    </row>
    <row r="169" spans="1:10" outlineLevel="2">
      <c r="B169" s="383">
        <v>2</v>
      </c>
      <c r="C169" s="383" t="s">
        <v>536</v>
      </c>
      <c r="D169" s="383" t="s">
        <v>537</v>
      </c>
      <c r="E169" s="383" t="s">
        <v>64</v>
      </c>
      <c r="F169" s="383" t="s">
        <v>29</v>
      </c>
      <c r="G169" s="584" t="s">
        <v>32</v>
      </c>
      <c r="H169" s="585">
        <v>0.15</v>
      </c>
      <c r="I169" s="585">
        <v>1</v>
      </c>
    </row>
    <row r="170" spans="1:10" outlineLevel="2">
      <c r="B170" s="383">
        <v>2</v>
      </c>
      <c r="C170" s="383" t="s">
        <v>536</v>
      </c>
      <c r="D170" s="383" t="s">
        <v>537</v>
      </c>
      <c r="E170" s="383" t="s">
        <v>64</v>
      </c>
      <c r="F170" s="383" t="s">
        <v>29</v>
      </c>
      <c r="G170" s="584" t="s">
        <v>33</v>
      </c>
      <c r="H170" s="585">
        <v>0.05</v>
      </c>
      <c r="I170" s="585">
        <v>1</v>
      </c>
    </row>
    <row r="171" spans="1:10" ht="3" customHeight="1">
      <c r="A171" s="382"/>
      <c r="B171" s="382"/>
      <c r="C171" s="382"/>
      <c r="D171" s="382"/>
      <c r="E171" s="382"/>
      <c r="F171" s="382"/>
      <c r="G171" s="561"/>
      <c r="H171" s="382"/>
      <c r="I171" s="382"/>
      <c r="J171" s="382"/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7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1:Y16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83" customWidth="1"/>
    <col min="2" max="2" width="6.42578125" style="383" bestFit="1" customWidth="1"/>
    <col min="3" max="3" width="22.28515625" style="383" customWidth="1"/>
    <col min="4" max="4" width="14.7109375" style="383" customWidth="1"/>
    <col min="5" max="5" width="16.7109375" style="383" customWidth="1"/>
    <col min="6" max="6" width="13.7109375" style="383" bestFit="1" customWidth="1"/>
    <col min="7" max="7" width="56.7109375" style="584" customWidth="1"/>
    <col min="8" max="8" width="12.7109375" style="383" bestFit="1" customWidth="1"/>
    <col min="9" max="9" width="11" style="383" customWidth="1"/>
    <col min="10" max="10" width="0.5703125" style="383" customWidth="1"/>
    <col min="11" max="12" width="9.42578125" style="383" bestFit="1"/>
    <col min="13" max="14" width="9.5703125" style="383" bestFit="1" customWidth="1"/>
    <col min="15" max="15" width="7" style="383" bestFit="1" customWidth="1"/>
    <col min="16" max="16" width="8.5703125" style="383" bestFit="1" customWidth="1"/>
    <col min="17" max="17" width="12.5703125" style="383" customWidth="1"/>
    <col min="18" max="18" width="7.5703125" style="383" bestFit="1" customWidth="1"/>
    <col min="19" max="19" width="5.5703125" style="383" bestFit="1" customWidth="1"/>
    <col min="20" max="20" width="9.42578125" style="383" bestFit="1" customWidth="1"/>
    <col min="21" max="24" width="9.42578125" style="383" bestFit="1"/>
    <col min="25" max="25" width="9.42578125" style="383" bestFit="1" customWidth="1"/>
    <col min="26" max="16384" width="9.42578125" style="383"/>
  </cols>
  <sheetData>
    <row r="1" spans="1:25">
      <c r="A1" s="382"/>
      <c r="B1" s="382"/>
      <c r="C1" s="382"/>
      <c r="D1" s="382"/>
      <c r="E1" s="382"/>
      <c r="F1" s="382"/>
      <c r="G1" s="561"/>
      <c r="H1" s="567"/>
      <c r="I1" s="635"/>
      <c r="J1" s="382"/>
    </row>
    <row r="2" spans="1:25" s="434" customFormat="1" ht="17.45">
      <c r="A2" s="386"/>
      <c r="B2" s="386"/>
      <c r="C2" s="436" t="s">
        <v>1659</v>
      </c>
      <c r="D2" s="436"/>
      <c r="E2" s="436"/>
      <c r="F2" s="436"/>
      <c r="G2" s="562"/>
      <c r="H2" s="437" t="s">
        <v>1</v>
      </c>
      <c r="I2" s="437" t="s">
        <v>6</v>
      </c>
      <c r="J2" s="386"/>
      <c r="M2" s="474"/>
    </row>
    <row r="3" spans="1:25" ht="3" customHeight="1">
      <c r="A3" s="382"/>
      <c r="B3" s="382"/>
      <c r="C3" s="382"/>
      <c r="D3" s="382"/>
      <c r="E3" s="382"/>
      <c r="F3" s="382"/>
      <c r="G3" s="561"/>
      <c r="H3" s="382"/>
      <c r="I3" s="382"/>
      <c r="J3" s="382"/>
    </row>
    <row r="4" spans="1:25" s="385" customFormat="1" ht="15">
      <c r="A4" s="384"/>
      <c r="B4" s="384"/>
      <c r="C4" s="435" t="s">
        <v>8</v>
      </c>
      <c r="D4" s="435" t="s">
        <v>9</v>
      </c>
      <c r="E4" s="435" t="s">
        <v>10</v>
      </c>
      <c r="F4" s="435" t="s">
        <v>11</v>
      </c>
      <c r="G4" s="452" t="s">
        <v>12</v>
      </c>
      <c r="H4" s="558">
        <f>SUM(H7)</f>
        <v>2.0857840095600002</v>
      </c>
      <c r="I4" s="558">
        <f>SUM(I7)</f>
        <v>151</v>
      </c>
      <c r="J4" s="384"/>
      <c r="P4" s="509"/>
      <c r="V4" s="383"/>
      <c r="W4" s="383"/>
      <c r="X4" s="383"/>
    </row>
    <row r="5" spans="1:25" ht="10.35" hidden="1" customHeight="1">
      <c r="A5" s="382"/>
      <c r="B5" s="382"/>
      <c r="C5" s="386"/>
      <c r="D5" s="382"/>
      <c r="E5" s="386"/>
      <c r="F5" s="386" t="s">
        <v>13</v>
      </c>
      <c r="G5" s="561"/>
      <c r="H5" s="411"/>
      <c r="I5" s="411"/>
      <c r="J5" s="382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</row>
    <row r="6" spans="1:25" ht="3" customHeight="1">
      <c r="A6" s="382"/>
      <c r="B6" s="382"/>
      <c r="C6" s="382"/>
      <c r="D6" s="382"/>
      <c r="E6" s="382"/>
      <c r="F6" s="382"/>
      <c r="G6" s="561"/>
      <c r="H6" s="382"/>
      <c r="I6" s="382"/>
      <c r="J6" s="382"/>
    </row>
    <row r="7" spans="1:25" s="434" customFormat="1" ht="15.6">
      <c r="A7" s="386"/>
      <c r="B7" s="386" t="s">
        <v>1671</v>
      </c>
      <c r="C7" s="563" t="s">
        <v>749</v>
      </c>
      <c r="D7" s="564"/>
      <c r="E7" s="564"/>
      <c r="F7" s="564"/>
      <c r="G7" s="565"/>
      <c r="H7" s="566">
        <f>SUM(H9,H12)</f>
        <v>2.0857840095600002</v>
      </c>
      <c r="I7" s="566">
        <f>SUM(I9,I12)</f>
        <v>151</v>
      </c>
      <c r="J7" s="386"/>
      <c r="M7" s="474"/>
    </row>
    <row r="8" spans="1:25" ht="3" customHeight="1" outlineLevel="1">
      <c r="A8" s="382"/>
      <c r="B8" s="382"/>
      <c r="C8" s="382"/>
      <c r="D8" s="382"/>
      <c r="E8" s="382"/>
      <c r="F8" s="382"/>
      <c r="G8" s="561"/>
      <c r="H8" s="567"/>
      <c r="I8" s="635"/>
      <c r="J8" s="382"/>
    </row>
    <row r="9" spans="1:25" ht="13.9" outlineLevel="1">
      <c r="C9" s="606" t="s">
        <v>1750</v>
      </c>
      <c r="D9" s="606" t="s">
        <v>1751</v>
      </c>
      <c r="E9" s="606" t="s">
        <v>1107</v>
      </c>
      <c r="F9" s="606" t="s">
        <v>749</v>
      </c>
      <c r="G9" s="606" t="s">
        <v>750</v>
      </c>
      <c r="H9" s="569">
        <f>SUM(H10:H11)</f>
        <v>0.92559999999999998</v>
      </c>
      <c r="I9" s="636">
        <f>SUM(I10:I11)</f>
        <v>2</v>
      </c>
      <c r="J9" s="401"/>
      <c r="K9" s="607"/>
      <c r="L9" s="607">
        <f>((8000*549)/10^7)+((8000*0)/10^7)</f>
        <v>0.43919999999999998</v>
      </c>
    </row>
    <row r="10" spans="1:25" ht="13.9" outlineLevel="2">
      <c r="B10" s="383">
        <v>1</v>
      </c>
      <c r="C10" s="632" t="s">
        <v>1752</v>
      </c>
      <c r="D10" s="632" t="s">
        <v>1014</v>
      </c>
      <c r="E10" s="632" t="s">
        <v>1107</v>
      </c>
      <c r="F10" s="632" t="s">
        <v>749</v>
      </c>
      <c r="G10" s="632" t="s">
        <v>1753</v>
      </c>
      <c r="H10" s="576">
        <f>((8000*632)/10^7)</f>
        <v>0.50560000000000005</v>
      </c>
      <c r="I10" s="634">
        <v>1</v>
      </c>
      <c r="K10" s="596"/>
      <c r="L10" s="596">
        <v>0.43919999999999998</v>
      </c>
    </row>
    <row r="11" spans="1:25" ht="13.9" outlineLevel="2">
      <c r="B11" s="383">
        <v>1</v>
      </c>
      <c r="C11" s="632" t="s">
        <v>786</v>
      </c>
      <c r="D11" s="632" t="s">
        <v>1018</v>
      </c>
      <c r="E11" s="632" t="s">
        <v>1107</v>
      </c>
      <c r="F11" s="632" t="s">
        <v>749</v>
      </c>
      <c r="G11" s="632" t="s">
        <v>1754</v>
      </c>
      <c r="H11" s="576">
        <f>((8000*525)/10^7)</f>
        <v>0.42</v>
      </c>
      <c r="I11" s="634">
        <v>1</v>
      </c>
      <c r="K11" s="596"/>
      <c r="L11" s="596"/>
    </row>
    <row r="12" spans="1:25" ht="13.9" outlineLevel="1">
      <c r="C12" s="606" t="s">
        <v>1755</v>
      </c>
      <c r="D12" s="606" t="s">
        <v>1756</v>
      </c>
      <c r="E12" s="606" t="s">
        <v>1107</v>
      </c>
      <c r="F12" s="606" t="s">
        <v>749</v>
      </c>
      <c r="G12" s="606" t="s">
        <v>751</v>
      </c>
      <c r="H12" s="569">
        <f>SUM(H13:H15)</f>
        <v>1.16018400956</v>
      </c>
      <c r="I12" s="636">
        <f>SUM(I13:I15)</f>
        <v>149</v>
      </c>
      <c r="J12" s="401"/>
      <c r="K12" s="633">
        <f>SUM(K13:K15)</f>
        <v>46</v>
      </c>
      <c r="L12" s="607">
        <f>SUM(L13:L15)</f>
        <v>0.44551000000000002</v>
      </c>
    </row>
    <row r="13" spans="1:25" ht="13.9" outlineLevel="2">
      <c r="C13" s="632" t="s">
        <v>1757</v>
      </c>
      <c r="D13" s="632" t="s">
        <v>1757</v>
      </c>
      <c r="E13" s="632" t="s">
        <v>1107</v>
      </c>
      <c r="F13" s="632" t="s">
        <v>749</v>
      </c>
      <c r="G13" s="632" t="s">
        <v>752</v>
      </c>
      <c r="H13" s="576">
        <f>((41374*160)/10^7)+((4.78*2%)/10^7)</f>
        <v>0.66198400956000003</v>
      </c>
      <c r="I13" s="634">
        <v>10</v>
      </c>
      <c r="K13" s="597">
        <v>2</v>
      </c>
      <c r="L13" s="598">
        <f>((11338*160)/10^7)+(((11338*1000)*2%)/10^7)</f>
        <v>0.20408400000000002</v>
      </c>
    </row>
    <row r="14" spans="1:25" ht="13.9" outlineLevel="2">
      <c r="C14" s="632" t="s">
        <v>1758</v>
      </c>
      <c r="D14" s="632" t="s">
        <v>1758</v>
      </c>
      <c r="E14" s="632" t="s">
        <v>1107</v>
      </c>
      <c r="F14" s="632" t="s">
        <v>749</v>
      </c>
      <c r="G14" s="632" t="s">
        <v>753</v>
      </c>
      <c r="H14" s="576">
        <v>0.49820000000000003</v>
      </c>
      <c r="I14" s="634">
        <v>107</v>
      </c>
      <c r="K14" s="597">
        <v>39</v>
      </c>
      <c r="L14" s="598">
        <f>(((8550*1200)+(110453*1000))*2%)/10^7</f>
        <v>0.241426</v>
      </c>
    </row>
    <row r="15" spans="1:25" ht="13.9" outlineLevel="2">
      <c r="C15" s="632" t="s">
        <v>1759</v>
      </c>
      <c r="D15" s="632" t="s">
        <v>1759</v>
      </c>
      <c r="E15" s="632" t="s">
        <v>1107</v>
      </c>
      <c r="F15" s="632" t="s">
        <v>749</v>
      </c>
      <c r="G15" s="632" t="s">
        <v>754</v>
      </c>
      <c r="H15" s="576">
        <v>0</v>
      </c>
      <c r="I15" s="634">
        <v>32</v>
      </c>
      <c r="K15" s="597">
        <v>5</v>
      </c>
      <c r="L15" s="598"/>
    </row>
    <row r="16" spans="1:25">
      <c r="A16" s="382"/>
      <c r="B16" s="382"/>
      <c r="C16" s="382"/>
      <c r="D16" s="382"/>
      <c r="E16" s="382"/>
      <c r="F16" s="382"/>
      <c r="G16" s="561"/>
      <c r="H16" s="567"/>
      <c r="I16" s="635"/>
      <c r="J16" s="382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90" fitToHeight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1:X542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83" customWidth="1"/>
    <col min="2" max="2" width="19.42578125" style="383" customWidth="1"/>
    <col min="3" max="3" width="16.28515625" style="383" bestFit="1" customWidth="1"/>
    <col min="4" max="4" width="12.5703125" style="383" customWidth="1"/>
    <col min="5" max="5" width="13.7109375" style="383" bestFit="1" customWidth="1"/>
    <col min="6" max="6" width="66.28515625" style="584" bestFit="1" customWidth="1"/>
    <col min="7" max="8" width="11" style="383" customWidth="1"/>
    <col min="9" max="9" width="0.5703125" style="383" customWidth="1"/>
    <col min="10" max="11" width="9.42578125" style="383"/>
    <col min="12" max="13" width="9.5703125" style="383" bestFit="1" customWidth="1"/>
    <col min="14" max="14" width="7" style="383" bestFit="1" customWidth="1"/>
    <col min="15" max="15" width="8.5703125" style="383" bestFit="1" customWidth="1"/>
    <col min="16" max="16" width="12.5703125" style="383" customWidth="1"/>
    <col min="17" max="17" width="7.5703125" style="383" bestFit="1" customWidth="1"/>
    <col min="18" max="18" width="5.5703125" style="383" bestFit="1" customWidth="1"/>
    <col min="19" max="19" width="9.42578125" style="383" bestFit="1" customWidth="1"/>
    <col min="20" max="23" width="9.42578125" style="383"/>
    <col min="24" max="24" width="9.42578125" style="383" bestFit="1" customWidth="1"/>
    <col min="25" max="16384" width="9.42578125" style="383"/>
  </cols>
  <sheetData>
    <row r="1" spans="1:24" ht="17.100000000000001" customHeight="1">
      <c r="A1" s="382"/>
      <c r="B1" s="382"/>
      <c r="C1" s="382"/>
      <c r="D1" s="382"/>
      <c r="E1" s="382"/>
      <c r="F1" s="561"/>
      <c r="G1" s="382"/>
      <c r="H1" s="382"/>
      <c r="I1" s="382"/>
    </row>
    <row r="2" spans="1:24" s="434" customFormat="1" ht="17.45">
      <c r="A2" s="386"/>
      <c r="B2" s="436" t="s">
        <v>1659</v>
      </c>
      <c r="C2" s="436"/>
      <c r="D2" s="436"/>
      <c r="E2" s="436"/>
      <c r="F2" s="562"/>
      <c r="G2" s="437" t="s">
        <v>1</v>
      </c>
      <c r="H2" s="437" t="s">
        <v>6</v>
      </c>
      <c r="I2" s="386"/>
      <c r="L2" s="474"/>
    </row>
    <row r="3" spans="1:24" ht="3" customHeight="1">
      <c r="A3" s="382"/>
      <c r="B3" s="382"/>
      <c r="C3" s="382"/>
      <c r="D3" s="382"/>
      <c r="E3" s="382"/>
      <c r="F3" s="561"/>
      <c r="G3" s="382"/>
      <c r="H3" s="382"/>
      <c r="I3" s="382"/>
    </row>
    <row r="4" spans="1:24" s="385" customFormat="1" ht="15">
      <c r="A4" s="384"/>
      <c r="B4" s="435" t="s">
        <v>8</v>
      </c>
      <c r="C4" s="435" t="s">
        <v>9</v>
      </c>
      <c r="D4" s="435" t="s">
        <v>10</v>
      </c>
      <c r="E4" s="435" t="s">
        <v>11</v>
      </c>
      <c r="F4" s="452" t="s">
        <v>12</v>
      </c>
      <c r="G4" s="453">
        <f>SUM(G7,G53,G107,G141,G192,G214,G222,G378)</f>
        <v>115.68012383281675</v>
      </c>
      <c r="H4" s="453">
        <f>SUM(H7,H53,H107,H141,H192,H214,H222,H378)</f>
        <v>402</v>
      </c>
      <c r="I4" s="384"/>
      <c r="O4" s="509"/>
      <c r="U4" s="383"/>
      <c r="V4" s="383"/>
      <c r="W4" s="383"/>
    </row>
    <row r="5" spans="1:24" ht="10.35" customHeight="1">
      <c r="A5" s="382"/>
      <c r="B5" s="386"/>
      <c r="C5" s="382"/>
      <c r="D5" s="386"/>
      <c r="E5" s="386" t="s">
        <v>13</v>
      </c>
      <c r="F5" s="561"/>
      <c r="G5" s="387"/>
      <c r="H5" s="387"/>
      <c r="I5" s="382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</row>
    <row r="6" spans="1:24" ht="3" customHeight="1">
      <c r="A6" s="382"/>
      <c r="B6" s="382"/>
      <c r="C6" s="382"/>
      <c r="D6" s="382"/>
      <c r="E6" s="382"/>
      <c r="F6" s="561"/>
      <c r="G6" s="382"/>
      <c r="H6" s="382"/>
      <c r="I6" s="382"/>
    </row>
    <row r="7" spans="1:24" s="434" customFormat="1" ht="15.6" collapsed="1">
      <c r="A7" s="386"/>
      <c r="B7" s="563" t="s">
        <v>144</v>
      </c>
      <c r="C7" s="564"/>
      <c r="D7" s="564"/>
      <c r="E7" s="564"/>
      <c r="F7" s="565"/>
      <c r="G7" s="566">
        <f>SUM(G9,G10,G13,G18,G22,G26,G32,G35,G40,G43,G47)</f>
        <v>28.983259913425307</v>
      </c>
      <c r="H7" s="566">
        <f>SUM(H9,H10,H13,H18,H22,H26,H32,H35,H40,H43,H47)</f>
        <v>32</v>
      </c>
      <c r="I7" s="386"/>
      <c r="L7" s="474"/>
    </row>
    <row r="8" spans="1:24" ht="3" hidden="1" customHeight="1" outlineLevel="1">
      <c r="A8" s="382"/>
      <c r="B8" s="382"/>
      <c r="C8" s="382"/>
      <c r="D8" s="382"/>
      <c r="E8" s="382"/>
      <c r="F8" s="561"/>
      <c r="G8" s="567"/>
      <c r="H8" s="567"/>
      <c r="I8" s="382"/>
    </row>
    <row r="9" spans="1:24" hidden="1" outlineLevel="1">
      <c r="B9" s="568" t="s">
        <v>135</v>
      </c>
      <c r="C9" s="568" t="s">
        <v>136</v>
      </c>
      <c r="D9" s="568" t="s">
        <v>18</v>
      </c>
      <c r="E9" s="568" t="s">
        <v>144</v>
      </c>
      <c r="F9" s="568" t="s">
        <v>1660</v>
      </c>
      <c r="G9" s="569">
        <v>0</v>
      </c>
      <c r="H9" s="569">
        <v>0</v>
      </c>
    </row>
    <row r="10" spans="1:24" hidden="1" outlineLevel="1" collapsed="1">
      <c r="B10" s="568" t="s">
        <v>142</v>
      </c>
      <c r="C10" s="500" t="s">
        <v>143</v>
      </c>
      <c r="D10" s="499" t="s">
        <v>18</v>
      </c>
      <c r="E10" s="500" t="s">
        <v>144</v>
      </c>
      <c r="F10" s="568" t="s">
        <v>1661</v>
      </c>
      <c r="G10" s="569">
        <f>SUM(G11:G12)</f>
        <v>0.25</v>
      </c>
      <c r="H10" s="569">
        <f>SUM(H11:H12)</f>
        <v>2</v>
      </c>
    </row>
    <row r="11" spans="1:24" hidden="1" outlineLevel="2">
      <c r="B11" s="570" t="s">
        <v>142</v>
      </c>
      <c r="C11" s="502" t="s">
        <v>143</v>
      </c>
      <c r="D11" s="483" t="s">
        <v>18</v>
      </c>
      <c r="E11" s="502" t="s">
        <v>144</v>
      </c>
      <c r="F11" s="570" t="s">
        <v>137</v>
      </c>
      <c r="G11" s="571">
        <v>7.0000000000000007E-2</v>
      </c>
      <c r="H11" s="571">
        <v>1</v>
      </c>
    </row>
    <row r="12" spans="1:24" hidden="1" outlineLevel="2">
      <c r="B12" s="570" t="s">
        <v>142</v>
      </c>
      <c r="C12" s="502" t="s">
        <v>143</v>
      </c>
      <c r="D12" s="483" t="s">
        <v>18</v>
      </c>
      <c r="E12" s="502" t="s">
        <v>144</v>
      </c>
      <c r="F12" s="570" t="s">
        <v>145</v>
      </c>
      <c r="G12" s="571">
        <v>0.18</v>
      </c>
      <c r="H12" s="571">
        <v>1</v>
      </c>
    </row>
    <row r="13" spans="1:24" hidden="1" outlineLevel="1" collapsed="1">
      <c r="B13" s="568" t="s">
        <v>147</v>
      </c>
      <c r="C13" s="500" t="s">
        <v>148</v>
      </c>
      <c r="D13" s="499" t="s">
        <v>18</v>
      </c>
      <c r="E13" s="500" t="s">
        <v>144</v>
      </c>
      <c r="F13" s="568" t="s">
        <v>1662</v>
      </c>
      <c r="G13" s="569">
        <f>SUM(G14:G17)</f>
        <v>2.3753571</v>
      </c>
      <c r="H13" s="569">
        <f>SUM(H14:H17)</f>
        <v>4</v>
      </c>
    </row>
    <row r="14" spans="1:24" hidden="1" outlineLevel="2">
      <c r="B14" s="570" t="s">
        <v>147</v>
      </c>
      <c r="C14" s="502" t="s">
        <v>148</v>
      </c>
      <c r="D14" s="483" t="s">
        <v>18</v>
      </c>
      <c r="E14" s="502" t="s">
        <v>144</v>
      </c>
      <c r="F14" s="570" t="s">
        <v>156</v>
      </c>
      <c r="G14" s="571">
        <v>0.3</v>
      </c>
      <c r="H14" s="571">
        <v>1</v>
      </c>
    </row>
    <row r="15" spans="1:24" hidden="1" outlineLevel="2">
      <c r="B15" s="570" t="s">
        <v>147</v>
      </c>
      <c r="C15" s="502" t="s">
        <v>148</v>
      </c>
      <c r="D15" s="483" t="s">
        <v>18</v>
      </c>
      <c r="E15" s="502" t="s">
        <v>144</v>
      </c>
      <c r="F15" s="570" t="s">
        <v>157</v>
      </c>
      <c r="G15" s="571">
        <v>0.3</v>
      </c>
      <c r="H15" s="571">
        <v>1</v>
      </c>
    </row>
    <row r="16" spans="1:24" hidden="1" outlineLevel="2">
      <c r="B16" s="570" t="s">
        <v>147</v>
      </c>
      <c r="C16" s="502" t="s">
        <v>148</v>
      </c>
      <c r="D16" s="483" t="s">
        <v>18</v>
      </c>
      <c r="E16" s="502" t="s">
        <v>144</v>
      </c>
      <c r="F16" s="570" t="s">
        <v>158</v>
      </c>
      <c r="G16" s="571">
        <v>0.03</v>
      </c>
      <c r="H16" s="571">
        <v>1</v>
      </c>
    </row>
    <row r="17" spans="2:8" hidden="1" outlineLevel="2">
      <c r="B17" s="570" t="s">
        <v>147</v>
      </c>
      <c r="C17" s="502" t="s">
        <v>148</v>
      </c>
      <c r="D17" s="483" t="s">
        <v>18</v>
      </c>
      <c r="E17" s="502" t="s">
        <v>144</v>
      </c>
      <c r="F17" s="570" t="s">
        <v>163</v>
      </c>
      <c r="G17" s="571">
        <v>1.7453571000000001</v>
      </c>
      <c r="H17" s="571">
        <v>1</v>
      </c>
    </row>
    <row r="18" spans="2:8" hidden="1" outlineLevel="1" collapsed="1">
      <c r="B18" s="568" t="s">
        <v>180</v>
      </c>
      <c r="C18" s="500" t="s">
        <v>23</v>
      </c>
      <c r="D18" s="499" t="s">
        <v>18</v>
      </c>
      <c r="E18" s="500" t="s">
        <v>144</v>
      </c>
      <c r="F18" s="568" t="s">
        <v>1663</v>
      </c>
      <c r="G18" s="569">
        <v>0.30105801900000001</v>
      </c>
      <c r="H18" s="569">
        <f>SUM(H19:H21)</f>
        <v>3</v>
      </c>
    </row>
    <row r="19" spans="2:8" hidden="1" outlineLevel="2">
      <c r="B19" s="570" t="s">
        <v>180</v>
      </c>
      <c r="C19" s="502" t="s">
        <v>23</v>
      </c>
      <c r="D19" s="483" t="s">
        <v>18</v>
      </c>
      <c r="E19" s="502" t="s">
        <v>144</v>
      </c>
      <c r="F19" s="570" t="s">
        <v>183</v>
      </c>
      <c r="G19" s="571">
        <v>9.2092275000000001E-2</v>
      </c>
      <c r="H19" s="571">
        <v>1</v>
      </c>
    </row>
    <row r="20" spans="2:8" hidden="1" outlineLevel="2">
      <c r="B20" s="570" t="s">
        <v>180</v>
      </c>
      <c r="C20" s="502" t="s">
        <v>23</v>
      </c>
      <c r="D20" s="483" t="s">
        <v>18</v>
      </c>
      <c r="E20" s="502" t="s">
        <v>144</v>
      </c>
      <c r="F20" s="570" t="s">
        <v>187</v>
      </c>
      <c r="G20" s="571">
        <v>0.13060359000000002</v>
      </c>
      <c r="H20" s="571">
        <v>1</v>
      </c>
    </row>
    <row r="21" spans="2:8" hidden="1" outlineLevel="2">
      <c r="B21" s="570" t="s">
        <v>180</v>
      </c>
      <c r="C21" s="502" t="s">
        <v>23</v>
      </c>
      <c r="D21" s="483" t="s">
        <v>18</v>
      </c>
      <c r="E21" s="502" t="s">
        <v>144</v>
      </c>
      <c r="F21" s="570" t="s">
        <v>188</v>
      </c>
      <c r="G21" s="571">
        <v>7.8362154000000003E-2</v>
      </c>
      <c r="H21" s="571">
        <v>1</v>
      </c>
    </row>
    <row r="22" spans="2:8" hidden="1" outlineLevel="1" collapsed="1">
      <c r="B22" s="568" t="s">
        <v>362</v>
      </c>
      <c r="C22" s="500" t="s">
        <v>363</v>
      </c>
      <c r="D22" s="499" t="s">
        <v>18</v>
      </c>
      <c r="E22" s="500" t="s">
        <v>144</v>
      </c>
      <c r="F22" s="568" t="s">
        <v>1664</v>
      </c>
      <c r="G22" s="569">
        <v>8.7813947704253064</v>
      </c>
      <c r="H22" s="569">
        <f>SUM(H23:H25)</f>
        <v>3</v>
      </c>
    </row>
    <row r="23" spans="2:8" hidden="1" outlineLevel="2">
      <c r="B23" s="570" t="s">
        <v>362</v>
      </c>
      <c r="C23" s="502" t="s">
        <v>363</v>
      </c>
      <c r="D23" s="483" t="s">
        <v>18</v>
      </c>
      <c r="E23" s="502" t="s">
        <v>144</v>
      </c>
      <c r="F23" s="570" t="s">
        <v>34</v>
      </c>
      <c r="G23" s="571">
        <v>4.3906973852126532</v>
      </c>
      <c r="H23" s="571">
        <v>1</v>
      </c>
    </row>
    <row r="24" spans="2:8" hidden="1" outlineLevel="2">
      <c r="B24" s="570" t="s">
        <v>362</v>
      </c>
      <c r="C24" s="502" t="s">
        <v>363</v>
      </c>
      <c r="D24" s="483" t="s">
        <v>18</v>
      </c>
      <c r="E24" s="502" t="s">
        <v>144</v>
      </c>
      <c r="F24" s="570" t="s">
        <v>197</v>
      </c>
      <c r="G24" s="571">
        <v>2.1953486926063266</v>
      </c>
      <c r="H24" s="571">
        <v>1</v>
      </c>
    </row>
    <row r="25" spans="2:8" hidden="1" outlineLevel="2">
      <c r="B25" s="570" t="s">
        <v>362</v>
      </c>
      <c r="C25" s="502" t="s">
        <v>363</v>
      </c>
      <c r="D25" s="483" t="s">
        <v>18</v>
      </c>
      <c r="E25" s="502" t="s">
        <v>144</v>
      </c>
      <c r="F25" s="570" t="s">
        <v>335</v>
      </c>
      <c r="G25" s="571">
        <v>2.1953486926063266</v>
      </c>
      <c r="H25" s="571">
        <v>1</v>
      </c>
    </row>
    <row r="26" spans="2:8" hidden="1" outlineLevel="1" collapsed="1">
      <c r="B26" s="568" t="s">
        <v>194</v>
      </c>
      <c r="C26" s="500" t="s">
        <v>136</v>
      </c>
      <c r="D26" s="499" t="s">
        <v>18</v>
      </c>
      <c r="E26" s="500" t="s">
        <v>144</v>
      </c>
      <c r="F26" s="568" t="s">
        <v>1665</v>
      </c>
      <c r="G26" s="569">
        <v>0.96000000000000008</v>
      </c>
      <c r="H26" s="569">
        <f>SUM(H27:H31)</f>
        <v>5</v>
      </c>
    </row>
    <row r="27" spans="2:8" hidden="1" outlineLevel="2">
      <c r="B27" s="570" t="s">
        <v>194</v>
      </c>
      <c r="C27" s="502" t="s">
        <v>136</v>
      </c>
      <c r="D27" s="483" t="s">
        <v>18</v>
      </c>
      <c r="E27" s="502" t="s">
        <v>144</v>
      </c>
      <c r="F27" s="570" t="s">
        <v>195</v>
      </c>
      <c r="G27" s="571">
        <v>0.51</v>
      </c>
      <c r="H27" s="571">
        <v>1</v>
      </c>
    </row>
    <row r="28" spans="2:8" hidden="1" outlineLevel="2">
      <c r="B28" s="570" t="s">
        <v>194</v>
      </c>
      <c r="C28" s="502" t="s">
        <v>136</v>
      </c>
      <c r="D28" s="483" t="s">
        <v>18</v>
      </c>
      <c r="E28" s="502" t="s">
        <v>144</v>
      </c>
      <c r="F28" s="570" t="s">
        <v>196</v>
      </c>
      <c r="G28" s="571">
        <v>0.3</v>
      </c>
      <c r="H28" s="571">
        <v>1</v>
      </c>
    </row>
    <row r="29" spans="2:8" hidden="1" outlineLevel="2">
      <c r="B29" s="570" t="s">
        <v>194</v>
      </c>
      <c r="C29" s="502" t="s">
        <v>136</v>
      </c>
      <c r="D29" s="483" t="s">
        <v>18</v>
      </c>
      <c r="E29" s="502" t="s">
        <v>144</v>
      </c>
      <c r="F29" s="570" t="s">
        <v>158</v>
      </c>
      <c r="G29" s="571">
        <v>0.09</v>
      </c>
      <c r="H29" s="571">
        <v>1</v>
      </c>
    </row>
    <row r="30" spans="2:8" hidden="1" outlineLevel="2">
      <c r="B30" s="570" t="s">
        <v>194</v>
      </c>
      <c r="C30" s="502" t="s">
        <v>136</v>
      </c>
      <c r="D30" s="483" t="s">
        <v>18</v>
      </c>
      <c r="E30" s="502" t="s">
        <v>144</v>
      </c>
      <c r="F30" s="570" t="s">
        <v>137</v>
      </c>
      <c r="G30" s="571">
        <v>0.03</v>
      </c>
      <c r="H30" s="571">
        <v>1</v>
      </c>
    </row>
    <row r="31" spans="2:8" hidden="1" outlineLevel="2">
      <c r="B31" s="570" t="s">
        <v>194</v>
      </c>
      <c r="C31" s="502" t="s">
        <v>136</v>
      </c>
      <c r="D31" s="483" t="s">
        <v>18</v>
      </c>
      <c r="E31" s="502" t="s">
        <v>144</v>
      </c>
      <c r="F31" s="570" t="s">
        <v>146</v>
      </c>
      <c r="G31" s="571">
        <v>0.03</v>
      </c>
      <c r="H31" s="571">
        <v>1</v>
      </c>
    </row>
    <row r="32" spans="2:8" hidden="1" outlineLevel="1" collapsed="1">
      <c r="B32" s="568" t="s">
        <v>290</v>
      </c>
      <c r="C32" s="500" t="s">
        <v>291</v>
      </c>
      <c r="D32" s="499" t="s">
        <v>18</v>
      </c>
      <c r="E32" s="500" t="s">
        <v>144</v>
      </c>
      <c r="F32" s="568" t="s">
        <v>1666</v>
      </c>
      <c r="G32" s="569">
        <v>0.10500000000000001</v>
      </c>
      <c r="H32" s="569">
        <f>SUM(H33:H34)</f>
        <v>2</v>
      </c>
    </row>
    <row r="33" spans="2:8" hidden="1" outlineLevel="2">
      <c r="B33" s="570" t="s">
        <v>290</v>
      </c>
      <c r="C33" s="502" t="s">
        <v>291</v>
      </c>
      <c r="D33" s="483" t="s">
        <v>18</v>
      </c>
      <c r="E33" s="502" t="s">
        <v>144</v>
      </c>
      <c r="F33" s="570" t="s">
        <v>279</v>
      </c>
      <c r="G33" s="571">
        <v>6.3E-2</v>
      </c>
      <c r="H33" s="571">
        <v>1</v>
      </c>
    </row>
    <row r="34" spans="2:8" hidden="1" outlineLevel="2">
      <c r="B34" s="570" t="s">
        <v>290</v>
      </c>
      <c r="C34" s="502" t="s">
        <v>291</v>
      </c>
      <c r="D34" s="483" t="s">
        <v>18</v>
      </c>
      <c r="E34" s="502" t="s">
        <v>144</v>
      </c>
      <c r="F34" s="570" t="s">
        <v>33</v>
      </c>
      <c r="G34" s="571">
        <v>4.2000000000000003E-2</v>
      </c>
      <c r="H34" s="571">
        <v>1</v>
      </c>
    </row>
    <row r="35" spans="2:8" hidden="1" outlineLevel="1" collapsed="1">
      <c r="B35" s="568" t="s">
        <v>293</v>
      </c>
      <c r="C35" s="500" t="s">
        <v>294</v>
      </c>
      <c r="D35" s="499" t="s">
        <v>18</v>
      </c>
      <c r="E35" s="572" t="s">
        <v>144</v>
      </c>
      <c r="F35" s="568" t="s">
        <v>1667</v>
      </c>
      <c r="G35" s="569">
        <v>0.77993999999999997</v>
      </c>
      <c r="H35" s="569">
        <f>SUM(H36:H39)</f>
        <v>4</v>
      </c>
    </row>
    <row r="36" spans="2:8" hidden="1" outlineLevel="2">
      <c r="B36" s="570" t="s">
        <v>293</v>
      </c>
      <c r="C36" s="502" t="s">
        <v>294</v>
      </c>
      <c r="D36" s="483" t="s">
        <v>18</v>
      </c>
      <c r="E36" s="392" t="s">
        <v>144</v>
      </c>
      <c r="F36" s="570" t="s">
        <v>280</v>
      </c>
      <c r="G36" s="571">
        <v>0.12999000000000002</v>
      </c>
      <c r="H36" s="571">
        <v>1</v>
      </c>
    </row>
    <row r="37" spans="2:8" hidden="1" outlineLevel="2">
      <c r="B37" s="570" t="s">
        <v>293</v>
      </c>
      <c r="C37" s="502" t="s">
        <v>294</v>
      </c>
      <c r="D37" s="483" t="s">
        <v>18</v>
      </c>
      <c r="E37" s="392" t="s">
        <v>144</v>
      </c>
      <c r="F37" s="570" t="s">
        <v>281</v>
      </c>
      <c r="G37" s="571">
        <v>0.25998000000000004</v>
      </c>
      <c r="H37" s="571">
        <v>1</v>
      </c>
    </row>
    <row r="38" spans="2:8" hidden="1" outlineLevel="2">
      <c r="B38" s="570" t="s">
        <v>293</v>
      </c>
      <c r="C38" s="502" t="s">
        <v>294</v>
      </c>
      <c r="D38" s="483" t="s">
        <v>18</v>
      </c>
      <c r="E38" s="392" t="s">
        <v>144</v>
      </c>
      <c r="F38" s="570" t="s">
        <v>287</v>
      </c>
      <c r="G38" s="571">
        <v>0.19498499999999999</v>
      </c>
      <c r="H38" s="571">
        <v>1</v>
      </c>
    </row>
    <row r="39" spans="2:8" hidden="1" outlineLevel="2">
      <c r="B39" s="570" t="s">
        <v>293</v>
      </c>
      <c r="C39" s="502" t="s">
        <v>294</v>
      </c>
      <c r="D39" s="483" t="s">
        <v>18</v>
      </c>
      <c r="E39" s="392" t="s">
        <v>144</v>
      </c>
      <c r="F39" s="570" t="s">
        <v>284</v>
      </c>
      <c r="G39" s="571">
        <v>0.19498499999999999</v>
      </c>
      <c r="H39" s="571">
        <v>1</v>
      </c>
    </row>
    <row r="40" spans="2:8" hidden="1" outlineLevel="1" collapsed="1">
      <c r="B40" s="568" t="s">
        <v>305</v>
      </c>
      <c r="C40" s="500" t="s">
        <v>306</v>
      </c>
      <c r="D40" s="499" t="s">
        <v>18</v>
      </c>
      <c r="E40" s="500" t="s">
        <v>144</v>
      </c>
      <c r="F40" s="568" t="s">
        <v>1668</v>
      </c>
      <c r="G40" s="569">
        <v>0.43996002400000001</v>
      </c>
      <c r="H40" s="569">
        <f>SUM(H41:H42)</f>
        <v>2</v>
      </c>
    </row>
    <row r="41" spans="2:8" hidden="1" outlineLevel="2">
      <c r="B41" s="570" t="s">
        <v>305</v>
      </c>
      <c r="C41" s="502" t="s">
        <v>306</v>
      </c>
      <c r="D41" s="483" t="s">
        <v>18</v>
      </c>
      <c r="E41" s="502" t="s">
        <v>144</v>
      </c>
      <c r="F41" s="561" t="s">
        <v>278</v>
      </c>
      <c r="G41" s="573">
        <v>0.17598400959999999</v>
      </c>
      <c r="H41" s="571">
        <v>1</v>
      </c>
    </row>
    <row r="42" spans="2:8" hidden="1" outlineLevel="2">
      <c r="B42" s="570" t="s">
        <v>305</v>
      </c>
      <c r="C42" s="502" t="s">
        <v>306</v>
      </c>
      <c r="D42" s="483" t="s">
        <v>18</v>
      </c>
      <c r="E42" s="502" t="s">
        <v>144</v>
      </c>
      <c r="F42" s="561" t="s">
        <v>279</v>
      </c>
      <c r="G42" s="573">
        <v>0.26397601440000001</v>
      </c>
      <c r="H42" s="571">
        <v>1</v>
      </c>
    </row>
    <row r="43" spans="2:8" hidden="1" outlineLevel="1" collapsed="1">
      <c r="B43" s="568" t="s">
        <v>330</v>
      </c>
      <c r="C43" s="500" t="s">
        <v>80</v>
      </c>
      <c r="D43" s="499" t="s">
        <v>18</v>
      </c>
      <c r="E43" s="500" t="s">
        <v>144</v>
      </c>
      <c r="F43" s="568" t="s">
        <v>1669</v>
      </c>
      <c r="G43" s="569">
        <v>1.18</v>
      </c>
      <c r="H43" s="569">
        <f>SUM(H44:H46)</f>
        <v>3</v>
      </c>
    </row>
    <row r="44" spans="2:8" hidden="1" outlineLevel="2">
      <c r="B44" s="570" t="s">
        <v>330</v>
      </c>
      <c r="C44" s="502" t="s">
        <v>80</v>
      </c>
      <c r="D44" s="483" t="s">
        <v>18</v>
      </c>
      <c r="E44" s="502" t="s">
        <v>144</v>
      </c>
      <c r="F44" s="570" t="s">
        <v>334</v>
      </c>
      <c r="G44" s="571">
        <v>0.54</v>
      </c>
      <c r="H44" s="571">
        <v>1</v>
      </c>
    </row>
    <row r="45" spans="2:8" hidden="1" outlineLevel="2">
      <c r="B45" s="570" t="s">
        <v>330</v>
      </c>
      <c r="C45" s="502" t="s">
        <v>80</v>
      </c>
      <c r="D45" s="483" t="s">
        <v>18</v>
      </c>
      <c r="E45" s="502" t="s">
        <v>144</v>
      </c>
      <c r="F45" s="570" t="s">
        <v>32</v>
      </c>
      <c r="G45" s="571">
        <v>0.43</v>
      </c>
      <c r="H45" s="571">
        <v>1</v>
      </c>
    </row>
    <row r="46" spans="2:8" hidden="1" outlineLevel="2">
      <c r="B46" s="570" t="s">
        <v>330</v>
      </c>
      <c r="C46" s="502" t="s">
        <v>80</v>
      </c>
      <c r="D46" s="483" t="s">
        <v>18</v>
      </c>
      <c r="E46" s="502" t="s">
        <v>144</v>
      </c>
      <c r="F46" s="570" t="s">
        <v>33</v>
      </c>
      <c r="G46" s="571">
        <v>0.21</v>
      </c>
      <c r="H46" s="571">
        <v>1</v>
      </c>
    </row>
    <row r="47" spans="2:8" hidden="1" outlineLevel="1" collapsed="1">
      <c r="B47" s="568" t="s">
        <v>398</v>
      </c>
      <c r="C47" s="500" t="s">
        <v>398</v>
      </c>
      <c r="D47" s="499" t="s">
        <v>18</v>
      </c>
      <c r="E47" s="574" t="s">
        <v>144</v>
      </c>
      <c r="F47" s="568" t="s">
        <v>1670</v>
      </c>
      <c r="G47" s="569">
        <v>13.810550000000003</v>
      </c>
      <c r="H47" s="569">
        <f>SUM(H48:H51)</f>
        <v>4</v>
      </c>
    </row>
    <row r="48" spans="2:8" hidden="1" outlineLevel="2">
      <c r="B48" s="570" t="s">
        <v>398</v>
      </c>
      <c r="C48" s="502" t="s">
        <v>398</v>
      </c>
      <c r="D48" s="483" t="s">
        <v>18</v>
      </c>
      <c r="E48" s="504" t="s">
        <v>144</v>
      </c>
      <c r="F48" s="575" t="s">
        <v>334</v>
      </c>
      <c r="G48" s="576">
        <v>4.7746000000000013</v>
      </c>
      <c r="H48" s="571">
        <v>1</v>
      </c>
    </row>
    <row r="49" spans="1:12" hidden="1" outlineLevel="2">
      <c r="B49" s="570" t="s">
        <v>398</v>
      </c>
      <c r="C49" s="502" t="s">
        <v>398</v>
      </c>
      <c r="D49" s="483" t="s">
        <v>18</v>
      </c>
      <c r="E49" s="504" t="s">
        <v>144</v>
      </c>
      <c r="F49" s="575" t="s">
        <v>32</v>
      </c>
      <c r="G49" s="576">
        <v>4.3640000000000008</v>
      </c>
      <c r="H49" s="571">
        <v>1</v>
      </c>
    </row>
    <row r="50" spans="1:12" hidden="1" outlineLevel="2">
      <c r="B50" s="570" t="s">
        <v>398</v>
      </c>
      <c r="C50" s="502" t="s">
        <v>398</v>
      </c>
      <c r="D50" s="483" t="s">
        <v>18</v>
      </c>
      <c r="E50" s="504" t="s">
        <v>144</v>
      </c>
      <c r="F50" s="575" t="s">
        <v>33</v>
      </c>
      <c r="G50" s="576">
        <v>2.2846500000000005</v>
      </c>
      <c r="H50" s="571">
        <v>1</v>
      </c>
    </row>
    <row r="51" spans="1:12" hidden="1" outlineLevel="2">
      <c r="B51" s="570" t="s">
        <v>398</v>
      </c>
      <c r="C51" s="502" t="s">
        <v>398</v>
      </c>
      <c r="D51" s="483" t="s">
        <v>18</v>
      </c>
      <c r="E51" s="504" t="s">
        <v>144</v>
      </c>
      <c r="F51" s="575" t="s">
        <v>197</v>
      </c>
      <c r="G51" s="576">
        <v>2.3873000000000006</v>
      </c>
      <c r="H51" s="571">
        <v>1</v>
      </c>
    </row>
    <row r="52" spans="1:12" ht="3" customHeight="1">
      <c r="A52" s="382"/>
      <c r="B52" s="382"/>
      <c r="C52" s="382"/>
      <c r="D52" s="382"/>
      <c r="E52" s="382"/>
      <c r="F52" s="561"/>
      <c r="G52" s="567"/>
      <c r="H52" s="567"/>
      <c r="I52" s="382"/>
    </row>
    <row r="53" spans="1:12" s="434" customFormat="1" ht="15.6" collapsed="1">
      <c r="A53" s="386"/>
      <c r="B53" s="563" t="s">
        <v>20</v>
      </c>
      <c r="C53" s="564"/>
      <c r="D53" s="564"/>
      <c r="E53" s="564"/>
      <c r="F53" s="565"/>
      <c r="G53" s="566">
        <f>SUM(G55,G58,G61,G77,G86,G105)</f>
        <v>12.655551378481437</v>
      </c>
      <c r="H53" s="566">
        <f>SUM(H55,H58,H61,H77,H86,H105)</f>
        <v>45</v>
      </c>
      <c r="I53" s="386"/>
      <c r="L53" s="474"/>
    </row>
    <row r="54" spans="1:12" ht="3" hidden="1" customHeight="1" outlineLevel="1">
      <c r="A54" s="382"/>
      <c r="B54" s="382"/>
      <c r="C54" s="382"/>
      <c r="D54" s="382"/>
      <c r="E54" s="382"/>
      <c r="F54" s="561"/>
      <c r="G54" s="567"/>
      <c r="H54" s="567"/>
      <c r="I54" s="382"/>
    </row>
    <row r="55" spans="1:12" hidden="1" outlineLevel="1" collapsed="1">
      <c r="B55" s="568" t="s">
        <v>15</v>
      </c>
      <c r="C55" s="500" t="s">
        <v>19</v>
      </c>
      <c r="D55" s="499" t="s">
        <v>18</v>
      </c>
      <c r="E55" s="500" t="s">
        <v>20</v>
      </c>
      <c r="F55" s="568" t="s">
        <v>1672</v>
      </c>
      <c r="G55" s="569">
        <f>SUM(G56:G57)</f>
        <v>0.31537703586000004</v>
      </c>
      <c r="H55" s="569">
        <f>SUM(H56:H57)</f>
        <v>2</v>
      </c>
    </row>
    <row r="56" spans="1:12" hidden="1" outlineLevel="2">
      <c r="B56" s="570" t="s">
        <v>15</v>
      </c>
      <c r="C56" s="502" t="s">
        <v>19</v>
      </c>
      <c r="D56" s="483" t="s">
        <v>18</v>
      </c>
      <c r="E56" s="502" t="s">
        <v>20</v>
      </c>
      <c r="F56" s="570" t="s">
        <v>21</v>
      </c>
      <c r="G56" s="571">
        <v>0.27</v>
      </c>
      <c r="H56" s="571">
        <v>1</v>
      </c>
    </row>
    <row r="57" spans="1:12" hidden="1" outlineLevel="2">
      <c r="B57" s="570" t="s">
        <v>15</v>
      </c>
      <c r="C57" s="502" t="s">
        <v>19</v>
      </c>
      <c r="D57" s="483" t="s">
        <v>18</v>
      </c>
      <c r="E57" s="502" t="s">
        <v>20</v>
      </c>
      <c r="F57" s="570" t="s">
        <v>22</v>
      </c>
      <c r="G57" s="571">
        <v>4.5377035860000005E-2</v>
      </c>
      <c r="H57" s="571">
        <v>1</v>
      </c>
    </row>
    <row r="58" spans="1:12" hidden="1" outlineLevel="1" collapsed="1">
      <c r="B58" s="568" t="s">
        <v>15</v>
      </c>
      <c r="C58" s="500" t="s">
        <v>23</v>
      </c>
      <c r="D58" s="499" t="s">
        <v>18</v>
      </c>
      <c r="E58" s="500" t="s">
        <v>20</v>
      </c>
      <c r="F58" s="568" t="s">
        <v>1672</v>
      </c>
      <c r="G58" s="569">
        <f>SUM(G59:G60)</f>
        <v>8.1654546317853002E-2</v>
      </c>
      <c r="H58" s="569">
        <f>SUM(H59:H60)</f>
        <v>2</v>
      </c>
    </row>
    <row r="59" spans="1:12" hidden="1" outlineLevel="2">
      <c r="B59" s="570" t="s">
        <v>15</v>
      </c>
      <c r="C59" s="502" t="s">
        <v>23</v>
      </c>
      <c r="D59" s="483" t="s">
        <v>18</v>
      </c>
      <c r="E59" s="502" t="s">
        <v>20</v>
      </c>
      <c r="F59" s="570" t="s">
        <v>24</v>
      </c>
      <c r="G59" s="571">
        <v>4.2238262499999998E-2</v>
      </c>
      <c r="H59" s="571">
        <v>1</v>
      </c>
    </row>
    <row r="60" spans="1:12" hidden="1" outlineLevel="2">
      <c r="B60" s="570" t="s">
        <v>15</v>
      </c>
      <c r="C60" s="502" t="s">
        <v>23</v>
      </c>
      <c r="D60" s="483" t="s">
        <v>18</v>
      </c>
      <c r="E60" s="502" t="s">
        <v>20</v>
      </c>
      <c r="F60" s="570" t="s">
        <v>25</v>
      </c>
      <c r="G60" s="571">
        <v>3.9416283817853004E-2</v>
      </c>
      <c r="H60" s="571">
        <v>1</v>
      </c>
    </row>
    <row r="61" spans="1:12" hidden="1" outlineLevel="1" collapsed="1">
      <c r="B61" s="568" t="s">
        <v>15</v>
      </c>
      <c r="C61" s="500" t="s">
        <v>30</v>
      </c>
      <c r="D61" s="499" t="s">
        <v>18</v>
      </c>
      <c r="E61" s="500" t="s">
        <v>20</v>
      </c>
      <c r="F61" s="568" t="s">
        <v>1672</v>
      </c>
      <c r="G61" s="569">
        <f>SUM(G62:G76)</f>
        <v>1.8087697963035858</v>
      </c>
      <c r="H61" s="569">
        <f>SUM(H62:H76)</f>
        <v>15</v>
      </c>
    </row>
    <row r="62" spans="1:12" hidden="1" outlineLevel="2">
      <c r="B62" s="570" t="s">
        <v>15</v>
      </c>
      <c r="C62" s="502" t="s">
        <v>30</v>
      </c>
      <c r="D62" s="483" t="s">
        <v>18</v>
      </c>
      <c r="E62" s="502" t="s">
        <v>20</v>
      </c>
      <c r="F62" s="561" t="s">
        <v>31</v>
      </c>
      <c r="G62" s="573">
        <v>0.27398366869616486</v>
      </c>
      <c r="H62" s="571">
        <v>1</v>
      </c>
    </row>
    <row r="63" spans="1:12" hidden="1" outlineLevel="2">
      <c r="B63" s="570" t="s">
        <v>15</v>
      </c>
      <c r="C63" s="502" t="s">
        <v>30</v>
      </c>
      <c r="D63" s="483" t="s">
        <v>18</v>
      </c>
      <c r="E63" s="502" t="s">
        <v>20</v>
      </c>
      <c r="F63" s="561" t="s">
        <v>32</v>
      </c>
      <c r="G63" s="573">
        <v>0.27398366869616486</v>
      </c>
      <c r="H63" s="571">
        <v>1</v>
      </c>
    </row>
    <row r="64" spans="1:12" hidden="1" outlineLevel="2">
      <c r="B64" s="570" t="s">
        <v>15</v>
      </c>
      <c r="C64" s="502" t="s">
        <v>30</v>
      </c>
      <c r="D64" s="483" t="s">
        <v>18</v>
      </c>
      <c r="E64" s="502" t="s">
        <v>20</v>
      </c>
      <c r="F64" s="561" t="s">
        <v>33</v>
      </c>
      <c r="G64" s="573">
        <v>0.13699183434808243</v>
      </c>
      <c r="H64" s="571">
        <v>1</v>
      </c>
    </row>
    <row r="65" spans="2:8" hidden="1" outlineLevel="2">
      <c r="B65" s="570" t="s">
        <v>15</v>
      </c>
      <c r="C65" s="502" t="s">
        <v>30</v>
      </c>
      <c r="D65" s="483" t="s">
        <v>18</v>
      </c>
      <c r="E65" s="502" t="s">
        <v>20</v>
      </c>
      <c r="F65" s="561" t="s">
        <v>34</v>
      </c>
      <c r="G65" s="573">
        <v>0.27398366869616486</v>
      </c>
      <c r="H65" s="571">
        <v>1</v>
      </c>
    </row>
    <row r="66" spans="2:8" hidden="1" outlineLevel="2">
      <c r="B66" s="570" t="s">
        <v>15</v>
      </c>
      <c r="C66" s="502" t="s">
        <v>30</v>
      </c>
      <c r="D66" s="483" t="s">
        <v>18</v>
      </c>
      <c r="E66" s="502" t="s">
        <v>20</v>
      </c>
      <c r="F66" s="561" t="s">
        <v>35</v>
      </c>
      <c r="G66" s="573">
        <v>0.36</v>
      </c>
      <c r="H66" s="571">
        <v>1</v>
      </c>
    </row>
    <row r="67" spans="2:8" hidden="1" outlineLevel="2">
      <c r="B67" s="570" t="s">
        <v>15</v>
      </c>
      <c r="C67" s="502" t="s">
        <v>30</v>
      </c>
      <c r="D67" s="483" t="s">
        <v>18</v>
      </c>
      <c r="E67" s="502" t="s">
        <v>20</v>
      </c>
      <c r="F67" s="561" t="s">
        <v>37</v>
      </c>
      <c r="G67" s="573">
        <v>4.3982695586700871E-2</v>
      </c>
      <c r="H67" s="571">
        <v>1</v>
      </c>
    </row>
    <row r="68" spans="2:8" hidden="1" outlineLevel="2">
      <c r="B68" s="570" t="s">
        <v>15</v>
      </c>
      <c r="C68" s="502" t="s">
        <v>30</v>
      </c>
      <c r="D68" s="483" t="s">
        <v>18</v>
      </c>
      <c r="E68" s="502" t="s">
        <v>20</v>
      </c>
      <c r="F68" s="561" t="s">
        <v>38</v>
      </c>
      <c r="G68" s="573">
        <v>4.3982695586700871E-2</v>
      </c>
      <c r="H68" s="571">
        <v>1</v>
      </c>
    </row>
    <row r="69" spans="2:8" hidden="1" outlineLevel="2">
      <c r="B69" s="570" t="s">
        <v>15</v>
      </c>
      <c r="C69" s="502" t="s">
        <v>30</v>
      </c>
      <c r="D69" s="483" t="s">
        <v>18</v>
      </c>
      <c r="E69" s="502" t="s">
        <v>20</v>
      </c>
      <c r="F69" s="561" t="s">
        <v>39</v>
      </c>
      <c r="G69" s="573">
        <v>6.5974043380051306E-2</v>
      </c>
      <c r="H69" s="571">
        <v>1</v>
      </c>
    </row>
    <row r="70" spans="2:8" hidden="1" outlineLevel="2">
      <c r="B70" s="570" t="s">
        <v>15</v>
      </c>
      <c r="C70" s="502" t="s">
        <v>30</v>
      </c>
      <c r="D70" s="483" t="s">
        <v>18</v>
      </c>
      <c r="E70" s="502" t="s">
        <v>20</v>
      </c>
      <c r="F70" s="561" t="s">
        <v>40</v>
      </c>
      <c r="G70" s="573">
        <v>6.5974043380051306E-2</v>
      </c>
      <c r="H70" s="571">
        <v>1</v>
      </c>
    </row>
    <row r="71" spans="2:8" hidden="1" outlineLevel="2">
      <c r="B71" s="570" t="s">
        <v>15</v>
      </c>
      <c r="C71" s="502" t="s">
        <v>30</v>
      </c>
      <c r="D71" s="483" t="s">
        <v>18</v>
      </c>
      <c r="E71" s="502" t="s">
        <v>20</v>
      </c>
      <c r="F71" s="561" t="s">
        <v>41</v>
      </c>
      <c r="G71" s="573">
        <v>6.5974043380051306E-2</v>
      </c>
      <c r="H71" s="571">
        <v>1</v>
      </c>
    </row>
    <row r="72" spans="2:8" hidden="1" outlineLevel="2">
      <c r="B72" s="570" t="s">
        <v>15</v>
      </c>
      <c r="C72" s="502" t="s">
        <v>30</v>
      </c>
      <c r="D72" s="483" t="s">
        <v>18</v>
      </c>
      <c r="E72" s="502" t="s">
        <v>20</v>
      </c>
      <c r="F72" s="561" t="s">
        <v>42</v>
      </c>
      <c r="G72" s="573">
        <v>6.5974043380051306E-2</v>
      </c>
      <c r="H72" s="571">
        <v>1</v>
      </c>
    </row>
    <row r="73" spans="2:8" hidden="1" outlineLevel="2">
      <c r="B73" s="570" t="s">
        <v>15</v>
      </c>
      <c r="C73" s="502" t="s">
        <v>30</v>
      </c>
      <c r="D73" s="483" t="s">
        <v>18</v>
      </c>
      <c r="E73" s="502" t="s">
        <v>20</v>
      </c>
      <c r="F73" s="561" t="s">
        <v>43</v>
      </c>
      <c r="G73" s="573">
        <v>1.466089852890029E-2</v>
      </c>
      <c r="H73" s="571">
        <v>1</v>
      </c>
    </row>
    <row r="74" spans="2:8" hidden="1" outlineLevel="2">
      <c r="B74" s="570" t="s">
        <v>15</v>
      </c>
      <c r="C74" s="502" t="s">
        <v>30</v>
      </c>
      <c r="D74" s="483" t="s">
        <v>18</v>
      </c>
      <c r="E74" s="502" t="s">
        <v>20</v>
      </c>
      <c r="F74" s="561" t="s">
        <v>44</v>
      </c>
      <c r="G74" s="573">
        <v>2.932179705780058E-2</v>
      </c>
      <c r="H74" s="571">
        <v>1</v>
      </c>
    </row>
    <row r="75" spans="2:8" hidden="1" outlineLevel="2">
      <c r="B75" s="570" t="s">
        <v>15</v>
      </c>
      <c r="C75" s="502" t="s">
        <v>30</v>
      </c>
      <c r="D75" s="483" t="s">
        <v>18</v>
      </c>
      <c r="E75" s="502" t="s">
        <v>20</v>
      </c>
      <c r="F75" s="561" t="s">
        <v>46</v>
      </c>
      <c r="G75" s="573">
        <v>4.3982695586700871E-2</v>
      </c>
      <c r="H75" s="571">
        <v>1</v>
      </c>
    </row>
    <row r="76" spans="2:8" hidden="1" outlineLevel="2">
      <c r="B76" s="570" t="s">
        <v>15</v>
      </c>
      <c r="C76" s="502" t="s">
        <v>30</v>
      </c>
      <c r="D76" s="483" t="s">
        <v>18</v>
      </c>
      <c r="E76" s="502" t="s">
        <v>20</v>
      </c>
      <c r="F76" s="561" t="s">
        <v>47</v>
      </c>
      <c r="G76" s="573">
        <v>0.05</v>
      </c>
      <c r="H76" s="571">
        <v>1</v>
      </c>
    </row>
    <row r="77" spans="2:8" hidden="1" outlineLevel="1" collapsed="1">
      <c r="B77" s="568" t="s">
        <v>84</v>
      </c>
      <c r="C77" s="500" t="s">
        <v>85</v>
      </c>
      <c r="D77" s="499" t="s">
        <v>18</v>
      </c>
      <c r="E77" s="500" t="s">
        <v>20</v>
      </c>
      <c r="F77" s="568" t="s">
        <v>1673</v>
      </c>
      <c r="G77" s="569">
        <f>SUM(G78:G85)</f>
        <v>3.3658999999999999</v>
      </c>
      <c r="H77" s="569">
        <f>SUM(H78:H85)</f>
        <v>8</v>
      </c>
    </row>
    <row r="78" spans="2:8" hidden="1" outlineLevel="2">
      <c r="B78" s="570" t="s">
        <v>84</v>
      </c>
      <c r="C78" s="502" t="s">
        <v>85</v>
      </c>
      <c r="D78" s="483" t="s">
        <v>18</v>
      </c>
      <c r="E78" s="502" t="s">
        <v>20</v>
      </c>
      <c r="F78" s="570" t="s">
        <v>88</v>
      </c>
      <c r="G78" s="571">
        <v>0.17</v>
      </c>
      <c r="H78" s="571">
        <v>1</v>
      </c>
    </row>
    <row r="79" spans="2:8" hidden="1" outlineLevel="2">
      <c r="B79" s="570" t="s">
        <v>84</v>
      </c>
      <c r="C79" s="502" t="s">
        <v>85</v>
      </c>
      <c r="D79" s="483" t="s">
        <v>18</v>
      </c>
      <c r="E79" s="502" t="s">
        <v>20</v>
      </c>
      <c r="F79" s="570" t="s">
        <v>89</v>
      </c>
      <c r="G79" s="571">
        <v>0.17</v>
      </c>
      <c r="H79" s="571">
        <v>1</v>
      </c>
    </row>
    <row r="80" spans="2:8" hidden="1" outlineLevel="2">
      <c r="B80" s="570" t="s">
        <v>84</v>
      </c>
      <c r="C80" s="502" t="s">
        <v>85</v>
      </c>
      <c r="D80" s="483" t="s">
        <v>18</v>
      </c>
      <c r="E80" s="502" t="s">
        <v>20</v>
      </c>
      <c r="F80" s="570" t="s">
        <v>90</v>
      </c>
      <c r="G80" s="571">
        <v>1.18</v>
      </c>
      <c r="H80" s="571">
        <v>1</v>
      </c>
    </row>
    <row r="81" spans="2:8" hidden="1" outlineLevel="2">
      <c r="B81" s="570" t="s">
        <v>84</v>
      </c>
      <c r="C81" s="502" t="s">
        <v>85</v>
      </c>
      <c r="D81" s="483" t="s">
        <v>18</v>
      </c>
      <c r="E81" s="502" t="s">
        <v>20</v>
      </c>
      <c r="F81" s="570" t="s">
        <v>91</v>
      </c>
      <c r="G81" s="571">
        <v>1.0659000000000001</v>
      </c>
      <c r="H81" s="571">
        <v>1</v>
      </c>
    </row>
    <row r="82" spans="2:8" hidden="1" outlineLevel="2">
      <c r="B82" s="570" t="s">
        <v>84</v>
      </c>
      <c r="C82" s="502" t="s">
        <v>85</v>
      </c>
      <c r="D82" s="483" t="s">
        <v>18</v>
      </c>
      <c r="E82" s="502" t="s">
        <v>20</v>
      </c>
      <c r="F82" s="570" t="s">
        <v>92</v>
      </c>
      <c r="G82" s="571">
        <v>0.45</v>
      </c>
      <c r="H82" s="571">
        <v>1</v>
      </c>
    </row>
    <row r="83" spans="2:8" hidden="1" outlineLevel="2">
      <c r="B83" s="570" t="s">
        <v>84</v>
      </c>
      <c r="C83" s="502" t="s">
        <v>85</v>
      </c>
      <c r="D83" s="483" t="s">
        <v>18</v>
      </c>
      <c r="E83" s="502" t="s">
        <v>20</v>
      </c>
      <c r="F83" s="570" t="s">
        <v>93</v>
      </c>
      <c r="G83" s="571">
        <v>0.15</v>
      </c>
      <c r="H83" s="571">
        <v>1</v>
      </c>
    </row>
    <row r="84" spans="2:8" hidden="1" outlineLevel="2">
      <c r="B84" s="570" t="s">
        <v>84</v>
      </c>
      <c r="C84" s="502" t="s">
        <v>85</v>
      </c>
      <c r="D84" s="483" t="s">
        <v>18</v>
      </c>
      <c r="E84" s="502" t="s">
        <v>20</v>
      </c>
      <c r="F84" s="570" t="s">
        <v>94</v>
      </c>
      <c r="G84" s="571">
        <v>0.15</v>
      </c>
      <c r="H84" s="571">
        <v>1</v>
      </c>
    </row>
    <row r="85" spans="2:8" hidden="1" outlineLevel="2">
      <c r="B85" s="570" t="s">
        <v>84</v>
      </c>
      <c r="C85" s="502" t="s">
        <v>85</v>
      </c>
      <c r="D85" s="483" t="s">
        <v>18</v>
      </c>
      <c r="E85" s="502" t="s">
        <v>20</v>
      </c>
      <c r="F85" s="570" t="s">
        <v>95</v>
      </c>
      <c r="G85" s="571">
        <v>0.03</v>
      </c>
      <c r="H85" s="571">
        <v>1</v>
      </c>
    </row>
    <row r="86" spans="2:8" hidden="1" outlineLevel="1" collapsed="1">
      <c r="B86" s="568" t="s">
        <v>101</v>
      </c>
      <c r="C86" s="500" t="s">
        <v>102</v>
      </c>
      <c r="D86" s="499" t="s">
        <v>18</v>
      </c>
      <c r="E86" s="500" t="s">
        <v>20</v>
      </c>
      <c r="F86" s="568" t="s">
        <v>1674</v>
      </c>
      <c r="G86" s="569">
        <f>SUM(G87:G104)</f>
        <v>7.0838499999999991</v>
      </c>
      <c r="H86" s="569">
        <f>SUM(H87:H104)</f>
        <v>18</v>
      </c>
    </row>
    <row r="87" spans="2:8" hidden="1" outlineLevel="2">
      <c r="B87" s="570" t="s">
        <v>101</v>
      </c>
      <c r="C87" s="502" t="s">
        <v>102</v>
      </c>
      <c r="D87" s="483" t="s">
        <v>18</v>
      </c>
      <c r="E87" s="502" t="s">
        <v>20</v>
      </c>
      <c r="F87" s="570" t="s">
        <v>104</v>
      </c>
      <c r="G87" s="571">
        <v>0.2</v>
      </c>
      <c r="H87" s="571">
        <v>1</v>
      </c>
    </row>
    <row r="88" spans="2:8" hidden="1" outlineLevel="2">
      <c r="B88" s="570" t="s">
        <v>101</v>
      </c>
      <c r="C88" s="502" t="s">
        <v>102</v>
      </c>
      <c r="D88" s="483" t="s">
        <v>18</v>
      </c>
      <c r="E88" s="502" t="s">
        <v>20</v>
      </c>
      <c r="F88" s="570" t="s">
        <v>105</v>
      </c>
      <c r="G88" s="571">
        <v>0.41</v>
      </c>
      <c r="H88" s="571">
        <v>1</v>
      </c>
    </row>
    <row r="89" spans="2:8" hidden="1" outlineLevel="2">
      <c r="B89" s="570" t="s">
        <v>101</v>
      </c>
      <c r="C89" s="502" t="s">
        <v>102</v>
      </c>
      <c r="D89" s="483" t="s">
        <v>18</v>
      </c>
      <c r="E89" s="502" t="s">
        <v>20</v>
      </c>
      <c r="F89" s="570" t="s">
        <v>106</v>
      </c>
      <c r="G89" s="571">
        <v>0.61</v>
      </c>
      <c r="H89" s="571">
        <v>1</v>
      </c>
    </row>
    <row r="90" spans="2:8" hidden="1" outlineLevel="2">
      <c r="B90" s="570" t="s">
        <v>101</v>
      </c>
      <c r="C90" s="502" t="s">
        <v>102</v>
      </c>
      <c r="D90" s="483" t="s">
        <v>18</v>
      </c>
      <c r="E90" s="502" t="s">
        <v>20</v>
      </c>
      <c r="F90" s="570" t="s">
        <v>107</v>
      </c>
      <c r="G90" s="571">
        <v>0.82</v>
      </c>
      <c r="H90" s="571">
        <v>1</v>
      </c>
    </row>
    <row r="91" spans="2:8" hidden="1" outlineLevel="2">
      <c r="B91" s="570" t="s">
        <v>101</v>
      </c>
      <c r="C91" s="502" t="s">
        <v>102</v>
      </c>
      <c r="D91" s="483" t="s">
        <v>18</v>
      </c>
      <c r="E91" s="502" t="s">
        <v>20</v>
      </c>
      <c r="F91" s="570" t="s">
        <v>108</v>
      </c>
      <c r="G91" s="571">
        <v>0.48</v>
      </c>
      <c r="H91" s="571">
        <v>1</v>
      </c>
    </row>
    <row r="92" spans="2:8" hidden="1" outlineLevel="2">
      <c r="B92" s="570" t="s">
        <v>101</v>
      </c>
      <c r="C92" s="502" t="s">
        <v>102</v>
      </c>
      <c r="D92" s="483" t="s">
        <v>18</v>
      </c>
      <c r="E92" s="502" t="s">
        <v>20</v>
      </c>
      <c r="F92" s="570" t="s">
        <v>109</v>
      </c>
      <c r="G92" s="571">
        <v>0.9638500000000001</v>
      </c>
      <c r="H92" s="571">
        <v>1</v>
      </c>
    </row>
    <row r="93" spans="2:8" hidden="1" outlineLevel="2">
      <c r="B93" s="570" t="s">
        <v>101</v>
      </c>
      <c r="C93" s="502" t="s">
        <v>102</v>
      </c>
      <c r="D93" s="483" t="s">
        <v>18</v>
      </c>
      <c r="E93" s="502" t="s">
        <v>20</v>
      </c>
      <c r="F93" s="570" t="s">
        <v>110</v>
      </c>
      <c r="G93" s="571">
        <v>0.52</v>
      </c>
      <c r="H93" s="571">
        <v>1</v>
      </c>
    </row>
    <row r="94" spans="2:8" hidden="1" outlineLevel="2">
      <c r="B94" s="570" t="s">
        <v>101</v>
      </c>
      <c r="C94" s="502" t="s">
        <v>102</v>
      </c>
      <c r="D94" s="483" t="s">
        <v>18</v>
      </c>
      <c r="E94" s="502" t="s">
        <v>20</v>
      </c>
      <c r="F94" s="570" t="s">
        <v>111</v>
      </c>
      <c r="G94" s="571">
        <v>0.52</v>
      </c>
      <c r="H94" s="571">
        <v>1</v>
      </c>
    </row>
    <row r="95" spans="2:8" hidden="1" outlineLevel="2">
      <c r="B95" s="570" t="s">
        <v>101</v>
      </c>
      <c r="C95" s="502" t="s">
        <v>102</v>
      </c>
      <c r="D95" s="483" t="s">
        <v>18</v>
      </c>
      <c r="E95" s="502" t="s">
        <v>20</v>
      </c>
      <c r="F95" s="570" t="s">
        <v>112</v>
      </c>
      <c r="G95" s="571">
        <v>0.52</v>
      </c>
      <c r="H95" s="571">
        <v>1</v>
      </c>
    </row>
    <row r="96" spans="2:8" hidden="1" outlineLevel="2">
      <c r="B96" s="570" t="s">
        <v>101</v>
      </c>
      <c r="C96" s="502" t="s">
        <v>102</v>
      </c>
      <c r="D96" s="483" t="s">
        <v>18</v>
      </c>
      <c r="E96" s="502" t="s">
        <v>20</v>
      </c>
      <c r="F96" s="570" t="s">
        <v>69</v>
      </c>
      <c r="G96" s="571">
        <v>0.17</v>
      </c>
      <c r="H96" s="571">
        <v>1</v>
      </c>
    </row>
    <row r="97" spans="1:12" hidden="1" outlineLevel="2">
      <c r="B97" s="570" t="s">
        <v>101</v>
      </c>
      <c r="C97" s="502" t="s">
        <v>102</v>
      </c>
      <c r="D97" s="483" t="s">
        <v>18</v>
      </c>
      <c r="E97" s="502" t="s">
        <v>20</v>
      </c>
      <c r="F97" s="570" t="s">
        <v>113</v>
      </c>
      <c r="G97" s="571">
        <v>0.48</v>
      </c>
      <c r="H97" s="571">
        <v>1</v>
      </c>
    </row>
    <row r="98" spans="1:12" hidden="1" outlineLevel="2">
      <c r="B98" s="570" t="s">
        <v>101</v>
      </c>
      <c r="C98" s="502" t="s">
        <v>102</v>
      </c>
      <c r="D98" s="483" t="s">
        <v>18</v>
      </c>
      <c r="E98" s="502" t="s">
        <v>20</v>
      </c>
      <c r="F98" s="570" t="s">
        <v>114</v>
      </c>
      <c r="G98" s="571">
        <v>0.24</v>
      </c>
      <c r="H98" s="571">
        <v>1</v>
      </c>
    </row>
    <row r="99" spans="1:12" hidden="1" outlineLevel="2">
      <c r="B99" s="570" t="s">
        <v>101</v>
      </c>
      <c r="C99" s="502" t="s">
        <v>102</v>
      </c>
      <c r="D99" s="483" t="s">
        <v>18</v>
      </c>
      <c r="E99" s="502" t="s">
        <v>20</v>
      </c>
      <c r="F99" s="570" t="s">
        <v>115</v>
      </c>
      <c r="G99" s="571">
        <v>0.96</v>
      </c>
      <c r="H99" s="571">
        <v>1</v>
      </c>
    </row>
    <row r="100" spans="1:12" hidden="1" outlineLevel="2">
      <c r="B100" s="570" t="s">
        <v>101</v>
      </c>
      <c r="C100" s="502" t="s">
        <v>102</v>
      </c>
      <c r="D100" s="483" t="s">
        <v>18</v>
      </c>
      <c r="E100" s="502" t="s">
        <v>20</v>
      </c>
      <c r="F100" s="570" t="s">
        <v>64</v>
      </c>
      <c r="G100" s="571">
        <v>0.03</v>
      </c>
      <c r="H100" s="571">
        <v>1</v>
      </c>
    </row>
    <row r="101" spans="1:12" hidden="1" outlineLevel="2">
      <c r="B101" s="570" t="s">
        <v>101</v>
      </c>
      <c r="C101" s="502" t="s">
        <v>102</v>
      </c>
      <c r="D101" s="483" t="s">
        <v>18</v>
      </c>
      <c r="E101" s="502" t="s">
        <v>20</v>
      </c>
      <c r="F101" s="570" t="s">
        <v>97</v>
      </c>
      <c r="G101" s="571">
        <v>0.03</v>
      </c>
      <c r="H101" s="571">
        <v>1</v>
      </c>
    </row>
    <row r="102" spans="1:12" hidden="1" outlineLevel="2">
      <c r="B102" s="570" t="s">
        <v>101</v>
      </c>
      <c r="C102" s="502" t="s">
        <v>102</v>
      </c>
      <c r="D102" s="483" t="s">
        <v>18</v>
      </c>
      <c r="E102" s="502" t="s">
        <v>20</v>
      </c>
      <c r="F102" s="570" t="s">
        <v>117</v>
      </c>
      <c r="G102" s="571">
        <v>1.4999999999999999E-2</v>
      </c>
      <c r="H102" s="571">
        <v>1</v>
      </c>
    </row>
    <row r="103" spans="1:12" hidden="1" outlineLevel="2">
      <c r="B103" s="570" t="s">
        <v>101</v>
      </c>
      <c r="C103" s="502" t="s">
        <v>102</v>
      </c>
      <c r="D103" s="483" t="s">
        <v>18</v>
      </c>
      <c r="E103" s="502" t="s">
        <v>20</v>
      </c>
      <c r="F103" s="570" t="s">
        <v>118</v>
      </c>
      <c r="G103" s="571">
        <v>1.4999999999999999E-2</v>
      </c>
      <c r="H103" s="571">
        <v>1</v>
      </c>
    </row>
    <row r="104" spans="1:12" hidden="1" outlineLevel="2">
      <c r="B104" s="570" t="s">
        <v>101</v>
      </c>
      <c r="C104" s="502" t="s">
        <v>102</v>
      </c>
      <c r="D104" s="483" t="s">
        <v>18</v>
      </c>
      <c r="E104" s="502" t="s">
        <v>20</v>
      </c>
      <c r="F104" s="570" t="s">
        <v>96</v>
      </c>
      <c r="G104" s="571">
        <v>0.1</v>
      </c>
      <c r="H104" s="571">
        <v>1</v>
      </c>
    </row>
    <row r="105" spans="1:12" hidden="1" outlineLevel="1">
      <c r="B105" s="568" t="s">
        <v>510</v>
      </c>
      <c r="C105" s="500" t="s">
        <v>510</v>
      </c>
      <c r="D105" s="499" t="s">
        <v>18</v>
      </c>
      <c r="E105" s="500" t="s">
        <v>20</v>
      </c>
      <c r="F105" s="568" t="s">
        <v>1675</v>
      </c>
      <c r="G105" s="569">
        <v>0</v>
      </c>
      <c r="H105" s="569">
        <v>0</v>
      </c>
    </row>
    <row r="106" spans="1:12" ht="3" customHeight="1">
      <c r="A106" s="382"/>
      <c r="B106" s="382"/>
      <c r="C106" s="382"/>
      <c r="D106" s="382"/>
      <c r="E106" s="382"/>
      <c r="F106" s="561"/>
      <c r="G106" s="567"/>
      <c r="H106" s="567"/>
      <c r="I106" s="382"/>
    </row>
    <row r="107" spans="1:12" s="434" customFormat="1" ht="15.6" collapsed="1">
      <c r="A107" s="386"/>
      <c r="B107" s="563" t="s">
        <v>72</v>
      </c>
      <c r="C107" s="564"/>
      <c r="D107" s="564"/>
      <c r="E107" s="564"/>
      <c r="F107" s="565"/>
      <c r="G107" s="566">
        <f>SUM(G109,G113,G117,G121,G125,G132,G136)</f>
        <v>23.432420772299601</v>
      </c>
      <c r="H107" s="566">
        <f>SUM(H109,H113,H117,H121,H125,H132,H136)</f>
        <v>24</v>
      </c>
      <c r="I107" s="386"/>
      <c r="L107" s="474"/>
    </row>
    <row r="108" spans="1:12" ht="3" hidden="1" customHeight="1" outlineLevel="1">
      <c r="A108" s="382"/>
      <c r="B108" s="382"/>
      <c r="C108" s="382"/>
      <c r="D108" s="382"/>
      <c r="E108" s="382"/>
      <c r="F108" s="561"/>
      <c r="G108" s="567"/>
      <c r="H108" s="567"/>
      <c r="I108" s="382"/>
    </row>
    <row r="109" spans="1:12" hidden="1" outlineLevel="1" collapsed="1">
      <c r="B109" s="568" t="s">
        <v>70</v>
      </c>
      <c r="C109" s="500" t="s">
        <v>71</v>
      </c>
      <c r="D109" s="499" t="s">
        <v>18</v>
      </c>
      <c r="E109" s="500" t="s">
        <v>72</v>
      </c>
      <c r="F109" s="568" t="s">
        <v>1676</v>
      </c>
      <c r="G109" s="569">
        <v>0.3642147722995997</v>
      </c>
      <c r="H109" s="569">
        <v>3</v>
      </c>
    </row>
    <row r="110" spans="1:12" hidden="1" outlineLevel="2">
      <c r="B110" s="570" t="s">
        <v>70</v>
      </c>
      <c r="C110" s="502" t="s">
        <v>71</v>
      </c>
      <c r="D110" s="483" t="s">
        <v>18</v>
      </c>
      <c r="E110" s="502" t="s">
        <v>72</v>
      </c>
      <c r="F110" s="570" t="s">
        <v>73</v>
      </c>
      <c r="G110" s="573">
        <v>0.13658053961234987</v>
      </c>
      <c r="H110" s="571">
        <v>1</v>
      </c>
    </row>
    <row r="111" spans="1:12" hidden="1" outlineLevel="2">
      <c r="B111" s="570" t="s">
        <v>70</v>
      </c>
      <c r="C111" s="502" t="s">
        <v>71</v>
      </c>
      <c r="D111" s="483" t="s">
        <v>18</v>
      </c>
      <c r="E111" s="502" t="s">
        <v>72</v>
      </c>
      <c r="F111" s="570" t="s">
        <v>24</v>
      </c>
      <c r="G111" s="573">
        <v>0.18210738614979985</v>
      </c>
      <c r="H111" s="571">
        <v>1</v>
      </c>
    </row>
    <row r="112" spans="1:12" hidden="1" outlineLevel="2">
      <c r="B112" s="570" t="s">
        <v>70</v>
      </c>
      <c r="C112" s="502" t="s">
        <v>71</v>
      </c>
      <c r="D112" s="483" t="s">
        <v>18</v>
      </c>
      <c r="E112" s="502" t="s">
        <v>72</v>
      </c>
      <c r="F112" s="570" t="s">
        <v>74</v>
      </c>
      <c r="G112" s="573">
        <v>4.5526846537449962E-2</v>
      </c>
      <c r="H112" s="571">
        <v>1</v>
      </c>
    </row>
    <row r="113" spans="2:8" hidden="1" outlineLevel="1" collapsed="1">
      <c r="B113" s="568" t="s">
        <v>516</v>
      </c>
      <c r="C113" s="500" t="s">
        <v>517</v>
      </c>
      <c r="D113" s="499" t="s">
        <v>18</v>
      </c>
      <c r="E113" s="500" t="s">
        <v>72</v>
      </c>
      <c r="F113" s="568" t="s">
        <v>1677</v>
      </c>
      <c r="G113" s="569">
        <v>1.6099999999999999</v>
      </c>
      <c r="H113" s="569">
        <v>3</v>
      </c>
    </row>
    <row r="114" spans="2:8" hidden="1" outlineLevel="2">
      <c r="B114" s="570" t="s">
        <v>516</v>
      </c>
      <c r="C114" s="502" t="s">
        <v>517</v>
      </c>
      <c r="D114" s="483" t="s">
        <v>18</v>
      </c>
      <c r="E114" s="502" t="s">
        <v>72</v>
      </c>
      <c r="F114" s="570" t="s">
        <v>278</v>
      </c>
      <c r="G114" s="573">
        <v>0.46</v>
      </c>
      <c r="H114" s="571">
        <v>1</v>
      </c>
    </row>
    <row r="115" spans="2:8" hidden="1" outlineLevel="2">
      <c r="B115" s="570" t="s">
        <v>516</v>
      </c>
      <c r="C115" s="502" t="s">
        <v>517</v>
      </c>
      <c r="D115" s="483" t="s">
        <v>18</v>
      </c>
      <c r="E115" s="502" t="s">
        <v>72</v>
      </c>
      <c r="F115" s="570" t="s">
        <v>279</v>
      </c>
      <c r="G115" s="573">
        <v>0.69</v>
      </c>
      <c r="H115" s="571">
        <v>1</v>
      </c>
    </row>
    <row r="116" spans="2:8" hidden="1" outlineLevel="2">
      <c r="B116" s="570" t="s">
        <v>516</v>
      </c>
      <c r="C116" s="502" t="s">
        <v>517</v>
      </c>
      <c r="D116" s="483" t="s">
        <v>18</v>
      </c>
      <c r="E116" s="502" t="s">
        <v>72</v>
      </c>
      <c r="F116" s="570" t="s">
        <v>33</v>
      </c>
      <c r="G116" s="573">
        <v>0.46</v>
      </c>
      <c r="H116" s="571">
        <v>1</v>
      </c>
    </row>
    <row r="117" spans="2:8" hidden="1" outlineLevel="1" collapsed="1">
      <c r="B117" s="568" t="s">
        <v>349</v>
      </c>
      <c r="C117" s="500" t="s">
        <v>30</v>
      </c>
      <c r="D117" s="499" t="s">
        <v>18</v>
      </c>
      <c r="E117" s="500" t="s">
        <v>72</v>
      </c>
      <c r="F117" s="568" t="s">
        <v>1678</v>
      </c>
      <c r="G117" s="569">
        <v>0.61820000000000008</v>
      </c>
      <c r="H117" s="569">
        <v>3</v>
      </c>
    </row>
    <row r="118" spans="2:8" hidden="1" outlineLevel="2">
      <c r="B118" s="570" t="s">
        <v>349</v>
      </c>
      <c r="C118" s="502" t="s">
        <v>30</v>
      </c>
      <c r="D118" s="483" t="s">
        <v>18</v>
      </c>
      <c r="E118" s="502" t="s">
        <v>72</v>
      </c>
      <c r="F118" s="570" t="s">
        <v>334</v>
      </c>
      <c r="G118" s="573">
        <v>0.24728000000000006</v>
      </c>
      <c r="H118" s="571">
        <v>1</v>
      </c>
    </row>
    <row r="119" spans="2:8" hidden="1" outlineLevel="2">
      <c r="B119" s="570" t="s">
        <v>349</v>
      </c>
      <c r="C119" s="502" t="s">
        <v>30</v>
      </c>
      <c r="D119" s="483" t="s">
        <v>18</v>
      </c>
      <c r="E119" s="502" t="s">
        <v>72</v>
      </c>
      <c r="F119" s="570" t="s">
        <v>32</v>
      </c>
      <c r="G119" s="573">
        <v>0.24728000000000006</v>
      </c>
      <c r="H119" s="571">
        <v>1</v>
      </c>
    </row>
    <row r="120" spans="2:8" hidden="1" outlineLevel="2">
      <c r="B120" s="570" t="s">
        <v>349</v>
      </c>
      <c r="C120" s="502" t="s">
        <v>30</v>
      </c>
      <c r="D120" s="483" t="s">
        <v>18</v>
      </c>
      <c r="E120" s="502" t="s">
        <v>72</v>
      </c>
      <c r="F120" s="570" t="s">
        <v>33</v>
      </c>
      <c r="G120" s="573">
        <v>0.12364000000000003</v>
      </c>
      <c r="H120" s="571">
        <v>1</v>
      </c>
    </row>
    <row r="121" spans="2:8" hidden="1" outlineLevel="1" collapsed="1">
      <c r="B121" s="568" t="s">
        <v>447</v>
      </c>
      <c r="C121" s="500" t="s">
        <v>447</v>
      </c>
      <c r="D121" s="499" t="s">
        <v>18</v>
      </c>
      <c r="E121" s="500" t="s">
        <v>72</v>
      </c>
      <c r="F121" s="568" t="s">
        <v>1679</v>
      </c>
      <c r="G121" s="569">
        <v>3.6843765000000004</v>
      </c>
      <c r="H121" s="569">
        <v>3</v>
      </c>
    </row>
    <row r="122" spans="2:8" hidden="1" outlineLevel="2">
      <c r="B122" s="570" t="s">
        <v>447</v>
      </c>
      <c r="C122" s="502" t="s">
        <v>447</v>
      </c>
      <c r="D122" s="483" t="s">
        <v>18</v>
      </c>
      <c r="E122" s="502" t="s">
        <v>72</v>
      </c>
      <c r="F122" s="570" t="s">
        <v>334</v>
      </c>
      <c r="G122" s="576">
        <v>1.2281255000000002</v>
      </c>
      <c r="H122" s="571">
        <v>1</v>
      </c>
    </row>
    <row r="123" spans="2:8" hidden="1" outlineLevel="2">
      <c r="B123" s="570" t="s">
        <v>447</v>
      </c>
      <c r="C123" s="502" t="s">
        <v>447</v>
      </c>
      <c r="D123" s="483" t="s">
        <v>18</v>
      </c>
      <c r="E123" s="502" t="s">
        <v>72</v>
      </c>
      <c r="F123" s="570" t="s">
        <v>32</v>
      </c>
      <c r="G123" s="576">
        <v>1.2281255000000002</v>
      </c>
      <c r="H123" s="571">
        <v>1</v>
      </c>
    </row>
    <row r="124" spans="2:8" hidden="1" outlineLevel="2">
      <c r="B124" s="570" t="s">
        <v>447</v>
      </c>
      <c r="C124" s="502" t="s">
        <v>447</v>
      </c>
      <c r="D124" s="483" t="s">
        <v>18</v>
      </c>
      <c r="E124" s="502" t="s">
        <v>72</v>
      </c>
      <c r="F124" s="570" t="s">
        <v>33</v>
      </c>
      <c r="G124" s="576">
        <v>1.2281255</v>
      </c>
      <c r="H124" s="571">
        <v>1</v>
      </c>
    </row>
    <row r="125" spans="2:8" hidden="1" outlineLevel="1" collapsed="1">
      <c r="B125" s="568" t="s">
        <v>319</v>
      </c>
      <c r="C125" s="500" t="s">
        <v>319</v>
      </c>
      <c r="D125" s="499" t="s">
        <v>18</v>
      </c>
      <c r="E125" s="500" t="s">
        <v>72</v>
      </c>
      <c r="F125" s="568" t="s">
        <v>1680</v>
      </c>
      <c r="G125" s="569">
        <v>2.7524999999999999</v>
      </c>
      <c r="H125" s="569">
        <v>6</v>
      </c>
    </row>
    <row r="126" spans="2:8" hidden="1" outlineLevel="2">
      <c r="B126" s="570" t="s">
        <v>319</v>
      </c>
      <c r="C126" s="502" t="s">
        <v>319</v>
      </c>
      <c r="D126" s="483" t="s">
        <v>202</v>
      </c>
      <c r="E126" s="502" t="s">
        <v>72</v>
      </c>
      <c r="F126" s="570" t="s">
        <v>453</v>
      </c>
      <c r="G126" s="573">
        <v>0.33750000000000002</v>
      </c>
      <c r="H126" s="571">
        <v>1</v>
      </c>
    </row>
    <row r="127" spans="2:8" hidden="1" outlineLevel="2">
      <c r="B127" s="570" t="s">
        <v>319</v>
      </c>
      <c r="C127" s="502" t="s">
        <v>319</v>
      </c>
      <c r="D127" s="483" t="s">
        <v>202</v>
      </c>
      <c r="E127" s="502" t="s">
        <v>72</v>
      </c>
      <c r="F127" s="570" t="s">
        <v>32</v>
      </c>
      <c r="G127" s="573">
        <v>0.58000000000000007</v>
      </c>
      <c r="H127" s="571">
        <v>1</v>
      </c>
    </row>
    <row r="128" spans="2:8" hidden="1" outlineLevel="2">
      <c r="B128" s="570" t="s">
        <v>319</v>
      </c>
      <c r="C128" s="502" t="s">
        <v>319</v>
      </c>
      <c r="D128" s="483" t="s">
        <v>202</v>
      </c>
      <c r="E128" s="502" t="s">
        <v>72</v>
      </c>
      <c r="F128" s="570" t="s">
        <v>454</v>
      </c>
      <c r="G128" s="573">
        <v>0.58000000000000007</v>
      </c>
      <c r="H128" s="571">
        <v>1</v>
      </c>
    </row>
    <row r="129" spans="1:12" hidden="1" outlineLevel="2">
      <c r="B129" s="570" t="s">
        <v>319</v>
      </c>
      <c r="C129" s="502" t="s">
        <v>319</v>
      </c>
      <c r="D129" s="483" t="s">
        <v>202</v>
      </c>
      <c r="E129" s="502" t="s">
        <v>72</v>
      </c>
      <c r="F129" s="570" t="s">
        <v>455</v>
      </c>
      <c r="G129" s="573">
        <v>0.58000000000000007</v>
      </c>
      <c r="H129" s="571">
        <v>1</v>
      </c>
    </row>
    <row r="130" spans="1:12" hidden="1" outlineLevel="2">
      <c r="B130" s="570" t="s">
        <v>319</v>
      </c>
      <c r="C130" s="502" t="s">
        <v>319</v>
      </c>
      <c r="D130" s="483" t="s">
        <v>202</v>
      </c>
      <c r="E130" s="502" t="s">
        <v>72</v>
      </c>
      <c r="F130" s="570" t="s">
        <v>335</v>
      </c>
      <c r="G130" s="573">
        <v>0.33750000000000002</v>
      </c>
      <c r="H130" s="571">
        <v>1</v>
      </c>
    </row>
    <row r="131" spans="1:12" hidden="1" outlineLevel="2">
      <c r="B131" s="570" t="s">
        <v>319</v>
      </c>
      <c r="C131" s="502" t="s">
        <v>319</v>
      </c>
      <c r="D131" s="483" t="s">
        <v>202</v>
      </c>
      <c r="E131" s="502" t="s">
        <v>72</v>
      </c>
      <c r="F131" s="570" t="s">
        <v>456</v>
      </c>
      <c r="G131" s="573">
        <v>0.33750000000000002</v>
      </c>
      <c r="H131" s="571">
        <v>1</v>
      </c>
    </row>
    <row r="132" spans="1:12" hidden="1" outlineLevel="1" collapsed="1">
      <c r="B132" s="568" t="s">
        <v>440</v>
      </c>
      <c r="C132" s="500" t="s">
        <v>440</v>
      </c>
      <c r="D132" s="499" t="s">
        <v>18</v>
      </c>
      <c r="E132" s="500" t="s">
        <v>72</v>
      </c>
      <c r="F132" s="568" t="s">
        <v>1681</v>
      </c>
      <c r="G132" s="569">
        <v>11.053129500000001</v>
      </c>
      <c r="H132" s="569">
        <v>3</v>
      </c>
    </row>
    <row r="133" spans="1:12" hidden="1" outlineLevel="2">
      <c r="B133" s="570" t="s">
        <v>440</v>
      </c>
      <c r="C133" s="502" t="s">
        <v>440</v>
      </c>
      <c r="D133" s="483" t="s">
        <v>18</v>
      </c>
      <c r="E133" s="502" t="s">
        <v>72</v>
      </c>
      <c r="F133" s="570" t="s">
        <v>334</v>
      </c>
      <c r="G133" s="576">
        <v>3.6843765000000008</v>
      </c>
      <c r="H133" s="571">
        <v>1</v>
      </c>
    </row>
    <row r="134" spans="1:12" hidden="1" outlineLevel="2">
      <c r="B134" s="570" t="s">
        <v>440</v>
      </c>
      <c r="C134" s="502" t="s">
        <v>440</v>
      </c>
      <c r="D134" s="483" t="s">
        <v>18</v>
      </c>
      <c r="E134" s="502" t="s">
        <v>72</v>
      </c>
      <c r="F134" s="570" t="s">
        <v>32</v>
      </c>
      <c r="G134" s="576">
        <v>3.6843765000000008</v>
      </c>
      <c r="H134" s="571">
        <v>1</v>
      </c>
    </row>
    <row r="135" spans="1:12" hidden="1" outlineLevel="2">
      <c r="B135" s="570" t="s">
        <v>440</v>
      </c>
      <c r="C135" s="502" t="s">
        <v>440</v>
      </c>
      <c r="D135" s="483" t="s">
        <v>18</v>
      </c>
      <c r="E135" s="502" t="s">
        <v>72</v>
      </c>
      <c r="F135" s="570" t="s">
        <v>33</v>
      </c>
      <c r="G135" s="576">
        <v>3.6843764999999999</v>
      </c>
      <c r="H135" s="571">
        <v>1</v>
      </c>
    </row>
    <row r="136" spans="1:12" hidden="1" outlineLevel="1" collapsed="1">
      <c r="B136" s="568" t="s">
        <v>536</v>
      </c>
      <c r="C136" s="500" t="s">
        <v>537</v>
      </c>
      <c r="D136" s="499" t="s">
        <v>18</v>
      </c>
      <c r="E136" s="500" t="s">
        <v>72</v>
      </c>
      <c r="F136" s="568" t="s">
        <v>1682</v>
      </c>
      <c r="G136" s="569">
        <v>3.35</v>
      </c>
      <c r="H136" s="569">
        <v>3</v>
      </c>
    </row>
    <row r="137" spans="1:12" hidden="1" outlineLevel="2">
      <c r="B137" s="570" t="s">
        <v>536</v>
      </c>
      <c r="C137" s="502" t="s">
        <v>537</v>
      </c>
      <c r="D137" s="483" t="s">
        <v>18</v>
      </c>
      <c r="E137" s="502" t="s">
        <v>72</v>
      </c>
      <c r="F137" s="570" t="s">
        <v>540</v>
      </c>
      <c r="G137" s="573">
        <v>1.34</v>
      </c>
      <c r="H137" s="571">
        <v>1</v>
      </c>
    </row>
    <row r="138" spans="1:12" hidden="1" outlineLevel="2">
      <c r="B138" s="570" t="s">
        <v>536</v>
      </c>
      <c r="C138" s="502" t="s">
        <v>537</v>
      </c>
      <c r="D138" s="483" t="s">
        <v>18</v>
      </c>
      <c r="E138" s="502" t="s">
        <v>72</v>
      </c>
      <c r="F138" s="570" t="s">
        <v>353</v>
      </c>
      <c r="G138" s="573">
        <v>1.34</v>
      </c>
      <c r="H138" s="571">
        <v>1</v>
      </c>
    </row>
    <row r="139" spans="1:12" hidden="1" outlineLevel="2">
      <c r="B139" s="570" t="s">
        <v>536</v>
      </c>
      <c r="C139" s="502" t="s">
        <v>537</v>
      </c>
      <c r="D139" s="483" t="s">
        <v>18</v>
      </c>
      <c r="E139" s="502" t="s">
        <v>72</v>
      </c>
      <c r="F139" s="570" t="s">
        <v>33</v>
      </c>
      <c r="G139" s="573">
        <v>0.67</v>
      </c>
      <c r="H139" s="571">
        <v>1</v>
      </c>
    </row>
    <row r="140" spans="1:12" ht="3" customHeight="1">
      <c r="A140" s="382"/>
      <c r="B140" s="382"/>
      <c r="C140" s="382"/>
      <c r="D140" s="382"/>
      <c r="E140" s="382"/>
      <c r="F140" s="561"/>
      <c r="G140" s="567"/>
      <c r="H140" s="567"/>
      <c r="I140" s="382"/>
    </row>
    <row r="141" spans="1:12" s="434" customFormat="1" ht="15.6" collapsed="1">
      <c r="A141" s="386"/>
      <c r="B141" s="563" t="s">
        <v>204</v>
      </c>
      <c r="C141" s="564"/>
      <c r="D141" s="564"/>
      <c r="E141" s="564"/>
      <c r="F141" s="565"/>
      <c r="G141" s="566">
        <f>SUM(G143,G146,G157,G167,G170,G173,G177,G178,G180,G182,G183,G185,G188)</f>
        <v>10.209466636198616</v>
      </c>
      <c r="H141" s="566">
        <f>SUM(H143,H146,H157,H167,H170,H173,H177,H178,H180,H182,H183,H185,H188)</f>
        <v>35</v>
      </c>
      <c r="I141" s="386"/>
      <c r="L141" s="474"/>
    </row>
    <row r="142" spans="1:12" ht="3" hidden="1" customHeight="1" outlineLevel="1">
      <c r="A142" s="382"/>
      <c r="B142" s="382"/>
      <c r="C142" s="382"/>
      <c r="D142" s="382"/>
      <c r="E142" s="382"/>
      <c r="F142" s="561"/>
      <c r="G142" s="567"/>
      <c r="H142" s="567"/>
      <c r="I142" s="382"/>
    </row>
    <row r="143" spans="1:12" hidden="1" outlineLevel="1" collapsed="1">
      <c r="B143" s="401" t="s">
        <v>200</v>
      </c>
      <c r="C143" s="500" t="s">
        <v>200</v>
      </c>
      <c r="D143" s="499" t="s">
        <v>18</v>
      </c>
      <c r="E143" s="500" t="s">
        <v>204</v>
      </c>
      <c r="F143" s="568" t="s">
        <v>1683</v>
      </c>
      <c r="G143" s="569">
        <f>SUM(G144:G145)</f>
        <v>0.309550952606017</v>
      </c>
      <c r="H143" s="569">
        <f>SUM(H144:H145)</f>
        <v>2</v>
      </c>
    </row>
    <row r="144" spans="1:12" hidden="1" outlineLevel="2">
      <c r="B144" s="383" t="s">
        <v>200</v>
      </c>
      <c r="C144" s="502" t="s">
        <v>200</v>
      </c>
      <c r="D144" s="483" t="s">
        <v>18</v>
      </c>
      <c r="E144" s="502" t="s">
        <v>204</v>
      </c>
      <c r="F144" s="570" t="s">
        <v>117</v>
      </c>
      <c r="G144" s="571">
        <v>0.1547754763030085</v>
      </c>
      <c r="H144" s="571">
        <v>1</v>
      </c>
    </row>
    <row r="145" spans="2:8" hidden="1" outlineLevel="2">
      <c r="B145" s="383" t="s">
        <v>200</v>
      </c>
      <c r="C145" s="502" t="s">
        <v>200</v>
      </c>
      <c r="D145" s="483" t="s">
        <v>18</v>
      </c>
      <c r="E145" s="502" t="s">
        <v>204</v>
      </c>
      <c r="F145" s="570" t="s">
        <v>118</v>
      </c>
      <c r="G145" s="571">
        <v>0.1547754763030085</v>
      </c>
      <c r="H145" s="571">
        <v>1</v>
      </c>
    </row>
    <row r="146" spans="2:8" hidden="1" outlineLevel="1" collapsed="1">
      <c r="B146" s="401" t="s">
        <v>212</v>
      </c>
      <c r="C146" s="500" t="s">
        <v>212</v>
      </c>
      <c r="D146" s="499" t="s">
        <v>18</v>
      </c>
      <c r="E146" s="500" t="s">
        <v>204</v>
      </c>
      <c r="F146" s="568" t="s">
        <v>1684</v>
      </c>
      <c r="G146" s="569">
        <f>SUM(G147:G156)</f>
        <v>5.8780133279200006</v>
      </c>
      <c r="H146" s="569">
        <f>SUM(H147:H156)</f>
        <v>10</v>
      </c>
    </row>
    <row r="147" spans="2:8" hidden="1" outlineLevel="2">
      <c r="B147" s="383" t="s">
        <v>212</v>
      </c>
      <c r="C147" s="502" t="s">
        <v>212</v>
      </c>
      <c r="D147" s="483" t="s">
        <v>18</v>
      </c>
      <c r="E147" s="502" t="s">
        <v>204</v>
      </c>
      <c r="F147" s="561" t="s">
        <v>215</v>
      </c>
      <c r="G147" s="573">
        <v>0.22115071539599998</v>
      </c>
      <c r="H147" s="571">
        <v>1</v>
      </c>
    </row>
    <row r="148" spans="2:8" hidden="1" outlineLevel="2">
      <c r="B148" s="383" t="s">
        <v>212</v>
      </c>
      <c r="C148" s="502" t="s">
        <v>212</v>
      </c>
      <c r="D148" s="483" t="s">
        <v>18</v>
      </c>
      <c r="E148" s="502" t="s">
        <v>204</v>
      </c>
      <c r="F148" s="561" t="s">
        <v>217</v>
      </c>
      <c r="G148" s="573">
        <v>7.3716905132000007E-2</v>
      </c>
      <c r="H148" s="571">
        <v>1</v>
      </c>
    </row>
    <row r="149" spans="2:8" hidden="1" outlineLevel="2">
      <c r="B149" s="383" t="s">
        <v>212</v>
      </c>
      <c r="C149" s="502" t="s">
        <v>212</v>
      </c>
      <c r="D149" s="483" t="s">
        <v>18</v>
      </c>
      <c r="E149" s="502" t="s">
        <v>204</v>
      </c>
      <c r="F149" s="561" t="s">
        <v>218</v>
      </c>
      <c r="G149" s="573">
        <v>7.3716905132000007E-2</v>
      </c>
      <c r="H149" s="571">
        <v>1</v>
      </c>
    </row>
    <row r="150" spans="2:8" hidden="1" outlineLevel="2">
      <c r="B150" s="383" t="s">
        <v>212</v>
      </c>
      <c r="C150" s="502" t="s">
        <v>212</v>
      </c>
      <c r="D150" s="483" t="s">
        <v>18</v>
      </c>
      <c r="E150" s="502" t="s">
        <v>204</v>
      </c>
      <c r="F150" s="561" t="s">
        <v>222</v>
      </c>
      <c r="G150" s="573">
        <v>6.4031962499999998E-2</v>
      </c>
      <c r="H150" s="571">
        <v>1</v>
      </c>
    </row>
    <row r="151" spans="2:8" hidden="1" outlineLevel="2">
      <c r="B151" s="383" t="s">
        <v>212</v>
      </c>
      <c r="C151" s="502" t="s">
        <v>212</v>
      </c>
      <c r="D151" s="483" t="s">
        <v>18</v>
      </c>
      <c r="E151" s="502" t="s">
        <v>204</v>
      </c>
      <c r="F151" s="561" t="s">
        <v>224</v>
      </c>
      <c r="G151" s="573">
        <v>0.54994955184000005</v>
      </c>
      <c r="H151" s="571">
        <v>1</v>
      </c>
    </row>
    <row r="152" spans="2:8" hidden="1" outlineLevel="2">
      <c r="B152" s="383" t="s">
        <v>212</v>
      </c>
      <c r="C152" s="502" t="s">
        <v>212</v>
      </c>
      <c r="D152" s="483" t="s">
        <v>18</v>
      </c>
      <c r="E152" s="502" t="s">
        <v>204</v>
      </c>
      <c r="F152" s="561" t="s">
        <v>225</v>
      </c>
      <c r="G152" s="573">
        <v>0.27497477592000003</v>
      </c>
      <c r="H152" s="571">
        <v>1</v>
      </c>
    </row>
    <row r="153" spans="2:8" hidden="1" outlineLevel="2">
      <c r="B153" s="383" t="s">
        <v>212</v>
      </c>
      <c r="C153" s="502" t="s">
        <v>212</v>
      </c>
      <c r="D153" s="483" t="s">
        <v>18</v>
      </c>
      <c r="E153" s="502" t="s">
        <v>204</v>
      </c>
      <c r="F153" s="561" t="s">
        <v>226</v>
      </c>
      <c r="G153" s="573">
        <v>2.2352362560000003</v>
      </c>
      <c r="H153" s="571">
        <v>1</v>
      </c>
    </row>
    <row r="154" spans="2:8" hidden="1" outlineLevel="2">
      <c r="B154" s="383" t="s">
        <v>212</v>
      </c>
      <c r="C154" s="502" t="s">
        <v>212</v>
      </c>
      <c r="D154" s="483" t="s">
        <v>18</v>
      </c>
      <c r="E154" s="502" t="s">
        <v>204</v>
      </c>
      <c r="F154" s="561" t="s">
        <v>228</v>
      </c>
      <c r="G154" s="573">
        <v>2.2352362560000003</v>
      </c>
      <c r="H154" s="571">
        <v>1</v>
      </c>
    </row>
    <row r="155" spans="2:8" hidden="1" outlineLevel="2">
      <c r="B155" s="383" t="s">
        <v>212</v>
      </c>
      <c r="C155" s="502" t="s">
        <v>212</v>
      </c>
      <c r="D155" s="483" t="s">
        <v>18</v>
      </c>
      <c r="E155" s="502" t="s">
        <v>204</v>
      </c>
      <c r="F155" s="561" t="s">
        <v>229</v>
      </c>
      <c r="G155" s="573">
        <v>0.1125</v>
      </c>
      <c r="H155" s="571">
        <v>1</v>
      </c>
    </row>
    <row r="156" spans="2:8" hidden="1" outlineLevel="2">
      <c r="B156" s="383" t="s">
        <v>212</v>
      </c>
      <c r="C156" s="502" t="s">
        <v>212</v>
      </c>
      <c r="D156" s="483" t="s">
        <v>18</v>
      </c>
      <c r="E156" s="502" t="s">
        <v>204</v>
      </c>
      <c r="F156" s="561" t="s">
        <v>230</v>
      </c>
      <c r="G156" s="573">
        <v>3.7499999999999999E-2</v>
      </c>
      <c r="H156" s="571">
        <v>1</v>
      </c>
    </row>
    <row r="157" spans="2:8" hidden="1" outlineLevel="1" collapsed="1">
      <c r="B157" s="401" t="s">
        <v>263</v>
      </c>
      <c r="C157" s="500" t="s">
        <v>263</v>
      </c>
      <c r="D157" s="499" t="s">
        <v>18</v>
      </c>
      <c r="E157" s="500" t="s">
        <v>204</v>
      </c>
      <c r="F157" s="568" t="s">
        <v>1685</v>
      </c>
      <c r="G157" s="569">
        <f>SUM(G158:G166)</f>
        <v>0.85178143075061052</v>
      </c>
      <c r="H157" s="569">
        <f>SUM(H158:H166)</f>
        <v>9</v>
      </c>
    </row>
    <row r="158" spans="2:8" hidden="1" outlineLevel="2">
      <c r="B158" s="383" t="s">
        <v>263</v>
      </c>
      <c r="C158" s="502" t="s">
        <v>263</v>
      </c>
      <c r="D158" s="483" t="s">
        <v>18</v>
      </c>
      <c r="E158" s="502" t="s">
        <v>204</v>
      </c>
      <c r="F158" s="561" t="s">
        <v>265</v>
      </c>
      <c r="G158" s="573">
        <v>0.25575333042562204</v>
      </c>
      <c r="H158" s="571">
        <v>1</v>
      </c>
    </row>
    <row r="159" spans="2:8" hidden="1" outlineLevel="2">
      <c r="B159" s="383" t="s">
        <v>263</v>
      </c>
      <c r="C159" s="502" t="s">
        <v>263</v>
      </c>
      <c r="D159" s="483" t="s">
        <v>18</v>
      </c>
      <c r="E159" s="502" t="s">
        <v>204</v>
      </c>
      <c r="F159" s="561" t="s">
        <v>205</v>
      </c>
      <c r="G159" s="573">
        <v>8.1564148364617506E-2</v>
      </c>
      <c r="H159" s="571">
        <v>1</v>
      </c>
    </row>
    <row r="160" spans="2:8" hidden="1" outlineLevel="2">
      <c r="B160" s="383" t="s">
        <v>263</v>
      </c>
      <c r="C160" s="502" t="s">
        <v>263</v>
      </c>
      <c r="D160" s="483" t="s">
        <v>18</v>
      </c>
      <c r="E160" s="502" t="s">
        <v>204</v>
      </c>
      <c r="F160" s="561" t="s">
        <v>47</v>
      </c>
      <c r="G160" s="573">
        <v>0.18696938245168926</v>
      </c>
      <c r="H160" s="571">
        <v>1</v>
      </c>
    </row>
    <row r="161" spans="2:8" hidden="1" outlineLevel="2">
      <c r="B161" s="383" t="s">
        <v>263</v>
      </c>
      <c r="C161" s="502" t="s">
        <v>263</v>
      </c>
      <c r="D161" s="483" t="s">
        <v>18</v>
      </c>
      <c r="E161" s="502" t="s">
        <v>204</v>
      </c>
      <c r="F161" s="561" t="s">
        <v>117</v>
      </c>
      <c r="G161" s="573">
        <v>2.7188049454872507E-2</v>
      </c>
      <c r="H161" s="571">
        <v>1</v>
      </c>
    </row>
    <row r="162" spans="2:8" hidden="1" outlineLevel="2">
      <c r="B162" s="383" t="s">
        <v>263</v>
      </c>
      <c r="C162" s="502" t="s">
        <v>263</v>
      </c>
      <c r="D162" s="483" t="s">
        <v>18</v>
      </c>
      <c r="E162" s="502" t="s">
        <v>204</v>
      </c>
      <c r="F162" s="561" t="s">
        <v>73</v>
      </c>
      <c r="G162" s="573">
        <v>0.11218162947101355</v>
      </c>
      <c r="H162" s="571">
        <v>1</v>
      </c>
    </row>
    <row r="163" spans="2:8" hidden="1" outlineLevel="2">
      <c r="B163" s="383" t="s">
        <v>263</v>
      </c>
      <c r="C163" s="502" t="s">
        <v>263</v>
      </c>
      <c r="D163" s="483" t="s">
        <v>18</v>
      </c>
      <c r="E163" s="502" t="s">
        <v>204</v>
      </c>
      <c r="F163" s="561" t="s">
        <v>24</v>
      </c>
      <c r="G163" s="573">
        <v>3.7393876490337853E-2</v>
      </c>
      <c r="H163" s="571">
        <v>1</v>
      </c>
    </row>
    <row r="164" spans="2:8" hidden="1" outlineLevel="2">
      <c r="B164" s="383" t="s">
        <v>263</v>
      </c>
      <c r="C164" s="502" t="s">
        <v>263</v>
      </c>
      <c r="D164" s="483" t="s">
        <v>18</v>
      </c>
      <c r="E164" s="502" t="s">
        <v>204</v>
      </c>
      <c r="F164" s="561" t="s">
        <v>74</v>
      </c>
      <c r="G164" s="573">
        <v>3.7393876490337853E-2</v>
      </c>
      <c r="H164" s="571">
        <v>1</v>
      </c>
    </row>
    <row r="165" spans="2:8" hidden="1" outlineLevel="2">
      <c r="B165" s="383" t="s">
        <v>263</v>
      </c>
      <c r="C165" s="502" t="s">
        <v>263</v>
      </c>
      <c r="D165" s="483" t="s">
        <v>18</v>
      </c>
      <c r="E165" s="502" t="s">
        <v>204</v>
      </c>
      <c r="F165" s="561" t="s">
        <v>25</v>
      </c>
      <c r="G165" s="573">
        <v>2.7188049454872507E-2</v>
      </c>
      <c r="H165" s="571">
        <v>1</v>
      </c>
    </row>
    <row r="166" spans="2:8" hidden="1" outlineLevel="2">
      <c r="B166" s="383" t="s">
        <v>263</v>
      </c>
      <c r="C166" s="502" t="s">
        <v>263</v>
      </c>
      <c r="D166" s="483" t="s">
        <v>18</v>
      </c>
      <c r="E166" s="502" t="s">
        <v>204</v>
      </c>
      <c r="F166" s="561" t="s">
        <v>267</v>
      </c>
      <c r="G166" s="573">
        <v>8.6149088147247421E-2</v>
      </c>
      <c r="H166" s="571">
        <v>1</v>
      </c>
    </row>
    <row r="167" spans="2:8" hidden="1" outlineLevel="1" collapsed="1">
      <c r="B167" s="401" t="s">
        <v>276</v>
      </c>
      <c r="C167" s="500" t="s">
        <v>276</v>
      </c>
      <c r="D167" s="499" t="s">
        <v>18</v>
      </c>
      <c r="E167" s="500" t="s">
        <v>204</v>
      </c>
      <c r="F167" s="568" t="s">
        <v>1686</v>
      </c>
      <c r="G167" s="569">
        <f>SUM(G168:G169)</f>
        <v>0.38041780000000003</v>
      </c>
      <c r="H167" s="569">
        <f>SUM(H168:H169)</f>
        <v>2</v>
      </c>
    </row>
    <row r="168" spans="2:8" hidden="1" outlineLevel="2">
      <c r="B168" s="383" t="s">
        <v>276</v>
      </c>
      <c r="C168" s="502" t="s">
        <v>276</v>
      </c>
      <c r="D168" s="483" t="s">
        <v>18</v>
      </c>
      <c r="E168" s="502" t="s">
        <v>204</v>
      </c>
      <c r="F168" s="561" t="s">
        <v>278</v>
      </c>
      <c r="G168" s="573">
        <v>0.15216712000000002</v>
      </c>
      <c r="H168" s="571">
        <v>1</v>
      </c>
    </row>
    <row r="169" spans="2:8" hidden="1" outlineLevel="2">
      <c r="B169" s="383" t="s">
        <v>276</v>
      </c>
      <c r="C169" s="502" t="s">
        <v>276</v>
      </c>
      <c r="D169" s="483" t="s">
        <v>18</v>
      </c>
      <c r="E169" s="502" t="s">
        <v>204</v>
      </c>
      <c r="F169" s="561" t="s">
        <v>279</v>
      </c>
      <c r="G169" s="573">
        <v>0.22825067999999998</v>
      </c>
      <c r="H169" s="571">
        <v>1</v>
      </c>
    </row>
    <row r="170" spans="2:8" hidden="1" outlineLevel="1" collapsed="1">
      <c r="B170" s="401" t="s">
        <v>398</v>
      </c>
      <c r="C170" s="500" t="s">
        <v>398</v>
      </c>
      <c r="D170" s="499" t="s">
        <v>18</v>
      </c>
      <c r="E170" s="500" t="s">
        <v>204</v>
      </c>
      <c r="F170" s="568" t="s">
        <v>1670</v>
      </c>
      <c r="G170" s="569">
        <f>SUM(G171:G172)</f>
        <v>0.5132500000000001</v>
      </c>
      <c r="H170" s="569">
        <f>SUM(H171:H172)</f>
        <v>2</v>
      </c>
    </row>
    <row r="171" spans="2:8" hidden="1" outlineLevel="2">
      <c r="B171" s="383" t="s">
        <v>398</v>
      </c>
      <c r="C171" s="502" t="s">
        <v>398</v>
      </c>
      <c r="D171" s="483" t="s">
        <v>18</v>
      </c>
      <c r="E171" s="502" t="s">
        <v>204</v>
      </c>
      <c r="F171" s="575" t="s">
        <v>420</v>
      </c>
      <c r="G171" s="576">
        <v>0.41060000000000008</v>
      </c>
      <c r="H171" s="571">
        <v>1</v>
      </c>
    </row>
    <row r="172" spans="2:8" hidden="1" outlineLevel="2">
      <c r="B172" s="383" t="s">
        <v>398</v>
      </c>
      <c r="C172" s="502" t="s">
        <v>398</v>
      </c>
      <c r="D172" s="483" t="s">
        <v>18</v>
      </c>
      <c r="E172" s="502" t="s">
        <v>204</v>
      </c>
      <c r="F172" s="575" t="s">
        <v>422</v>
      </c>
      <c r="G172" s="576">
        <v>0.10265000000000002</v>
      </c>
      <c r="H172" s="571">
        <v>1</v>
      </c>
    </row>
    <row r="173" spans="2:8" hidden="1" outlineLevel="1" collapsed="1">
      <c r="B173" s="401" t="s">
        <v>319</v>
      </c>
      <c r="C173" s="500" t="s">
        <v>319</v>
      </c>
      <c r="D173" s="499" t="s">
        <v>18</v>
      </c>
      <c r="E173" s="500" t="s">
        <v>204</v>
      </c>
      <c r="F173" s="568" t="s">
        <v>1680</v>
      </c>
      <c r="G173" s="569">
        <f>SUM(G174:G176)</f>
        <v>0.28500000000000003</v>
      </c>
      <c r="H173" s="569">
        <f>SUM(H174:H176)</f>
        <v>3</v>
      </c>
    </row>
    <row r="174" spans="2:8" hidden="1" outlineLevel="2">
      <c r="B174" s="383" t="s">
        <v>319</v>
      </c>
      <c r="C174" s="502" t="s">
        <v>319</v>
      </c>
      <c r="D174" s="483" t="s">
        <v>18</v>
      </c>
      <c r="E174" s="502" t="s">
        <v>204</v>
      </c>
      <c r="F174" s="420" t="s">
        <v>341</v>
      </c>
      <c r="G174" s="573">
        <v>9.5000000000000015E-2</v>
      </c>
      <c r="H174" s="571">
        <v>1</v>
      </c>
    </row>
    <row r="175" spans="2:8" hidden="1" outlineLevel="2">
      <c r="B175" s="383" t="s">
        <v>319</v>
      </c>
      <c r="C175" s="502" t="s">
        <v>319</v>
      </c>
      <c r="D175" s="483" t="s">
        <v>18</v>
      </c>
      <c r="E175" s="502" t="s">
        <v>204</v>
      </c>
      <c r="F175" s="420" t="s">
        <v>342</v>
      </c>
      <c r="G175" s="573">
        <v>9.5000000000000015E-2</v>
      </c>
      <c r="H175" s="571">
        <v>1</v>
      </c>
    </row>
    <row r="176" spans="2:8" hidden="1" outlineLevel="2">
      <c r="B176" s="383" t="s">
        <v>319</v>
      </c>
      <c r="C176" s="502" t="s">
        <v>319</v>
      </c>
      <c r="D176" s="483" t="s">
        <v>18</v>
      </c>
      <c r="E176" s="502" t="s">
        <v>204</v>
      </c>
      <c r="F176" s="420" t="s">
        <v>469</v>
      </c>
      <c r="G176" s="573">
        <v>9.5000000000000015E-2</v>
      </c>
      <c r="H176" s="571">
        <v>1</v>
      </c>
    </row>
    <row r="177" spans="1:12" hidden="1" outlineLevel="1">
      <c r="B177" s="401" t="s">
        <v>474</v>
      </c>
      <c r="C177" s="500" t="s">
        <v>136</v>
      </c>
      <c r="D177" s="499" t="s">
        <v>18</v>
      </c>
      <c r="E177" s="500" t="s">
        <v>204</v>
      </c>
      <c r="F177" s="568" t="s">
        <v>1687</v>
      </c>
      <c r="G177" s="569">
        <v>0</v>
      </c>
      <c r="H177" s="569">
        <v>0</v>
      </c>
    </row>
    <row r="178" spans="1:12" hidden="1" outlineLevel="1" collapsed="1">
      <c r="B178" s="401" t="s">
        <v>486</v>
      </c>
      <c r="C178" s="500" t="s">
        <v>136</v>
      </c>
      <c r="D178" s="499" t="s">
        <v>18</v>
      </c>
      <c r="E178" s="500" t="s">
        <v>204</v>
      </c>
      <c r="F178" s="568" t="s">
        <v>1688</v>
      </c>
      <c r="G178" s="569">
        <f>SUM(G179)</f>
        <v>8.9136273921988848E-2</v>
      </c>
      <c r="H178" s="569">
        <f>SUM(H179)</f>
        <v>1</v>
      </c>
    </row>
    <row r="179" spans="1:12" hidden="1" outlineLevel="2">
      <c r="B179" s="383" t="s">
        <v>486</v>
      </c>
      <c r="C179" s="502" t="s">
        <v>136</v>
      </c>
      <c r="D179" s="483" t="s">
        <v>18</v>
      </c>
      <c r="E179" s="502" t="s">
        <v>204</v>
      </c>
      <c r="F179" s="561" t="s">
        <v>32</v>
      </c>
      <c r="G179" s="573">
        <v>8.9136273921988848E-2</v>
      </c>
      <c r="H179" s="571">
        <v>1</v>
      </c>
    </row>
    <row r="180" spans="1:12" hidden="1" outlineLevel="1" collapsed="1">
      <c r="B180" s="401" t="s">
        <v>490</v>
      </c>
      <c r="C180" s="500" t="s">
        <v>136</v>
      </c>
      <c r="D180" s="499" t="s">
        <v>18</v>
      </c>
      <c r="E180" s="500" t="s">
        <v>204</v>
      </c>
      <c r="F180" s="568" t="s">
        <v>1689</v>
      </c>
      <c r="G180" s="569">
        <f>SUM(G181)</f>
        <v>5.8216850999999993E-2</v>
      </c>
      <c r="H180" s="569">
        <f>SUM(H181)</f>
        <v>1</v>
      </c>
    </row>
    <row r="181" spans="1:12" hidden="1" outlineLevel="2">
      <c r="B181" s="383" t="s">
        <v>490</v>
      </c>
      <c r="C181" s="502" t="s">
        <v>136</v>
      </c>
      <c r="D181" s="483" t="s">
        <v>18</v>
      </c>
      <c r="E181" s="502" t="s">
        <v>204</v>
      </c>
      <c r="F181" s="561" t="s">
        <v>32</v>
      </c>
      <c r="G181" s="573">
        <v>5.8216850999999993E-2</v>
      </c>
      <c r="H181" s="571">
        <v>1</v>
      </c>
    </row>
    <row r="182" spans="1:12" hidden="1" outlineLevel="1">
      <c r="B182" s="401" t="s">
        <v>498</v>
      </c>
      <c r="C182" s="500" t="s">
        <v>136</v>
      </c>
      <c r="D182" s="499" t="s">
        <v>18</v>
      </c>
      <c r="E182" s="500" t="s">
        <v>204</v>
      </c>
      <c r="F182" s="568" t="s">
        <v>1690</v>
      </c>
      <c r="G182" s="569">
        <v>0</v>
      </c>
      <c r="H182" s="569">
        <v>0</v>
      </c>
    </row>
    <row r="183" spans="1:12" hidden="1" outlineLevel="1" collapsed="1">
      <c r="B183" s="401" t="s">
        <v>503</v>
      </c>
      <c r="C183" s="500" t="s">
        <v>503</v>
      </c>
      <c r="D183" s="499" t="s">
        <v>18</v>
      </c>
      <c r="E183" s="500" t="s">
        <v>204</v>
      </c>
      <c r="F183" s="568" t="s">
        <v>1691</v>
      </c>
      <c r="G183" s="569">
        <f>SUM(G184)</f>
        <v>1.6141000000000003</v>
      </c>
      <c r="H183" s="569">
        <f>SUM(H184)</f>
        <v>1</v>
      </c>
    </row>
    <row r="184" spans="1:12" hidden="1" outlineLevel="2">
      <c r="B184" s="383" t="s">
        <v>503</v>
      </c>
      <c r="C184" s="502" t="s">
        <v>503</v>
      </c>
      <c r="D184" s="483" t="s">
        <v>18</v>
      </c>
      <c r="E184" s="502" t="s">
        <v>204</v>
      </c>
      <c r="F184" s="561" t="s">
        <v>334</v>
      </c>
      <c r="G184" s="573">
        <v>1.6141000000000003</v>
      </c>
      <c r="H184" s="571">
        <v>1</v>
      </c>
    </row>
    <row r="185" spans="1:12" hidden="1" outlineLevel="1" collapsed="1">
      <c r="B185" s="401" t="s">
        <v>330</v>
      </c>
      <c r="C185" s="500" t="s">
        <v>80</v>
      </c>
      <c r="D185" s="499" t="s">
        <v>18</v>
      </c>
      <c r="E185" s="500" t="s">
        <v>204</v>
      </c>
      <c r="F185" s="568" t="s">
        <v>1669</v>
      </c>
      <c r="G185" s="569">
        <f>SUM(G186:G187)</f>
        <v>0.16999999999999998</v>
      </c>
      <c r="H185" s="569">
        <f>SUM(H186:H187)</f>
        <v>2</v>
      </c>
    </row>
    <row r="186" spans="1:12" hidden="1" outlineLevel="2">
      <c r="B186" s="383" t="s">
        <v>330</v>
      </c>
      <c r="C186" s="502" t="s">
        <v>80</v>
      </c>
      <c r="D186" s="483" t="s">
        <v>18</v>
      </c>
      <c r="E186" s="502" t="s">
        <v>204</v>
      </c>
      <c r="F186" s="561" t="s">
        <v>341</v>
      </c>
      <c r="G186" s="573">
        <v>0.11</v>
      </c>
      <c r="H186" s="571">
        <v>1</v>
      </c>
    </row>
    <row r="187" spans="1:12" hidden="1" outlineLevel="2">
      <c r="B187" s="383" t="s">
        <v>330</v>
      </c>
      <c r="C187" s="502" t="s">
        <v>80</v>
      </c>
      <c r="D187" s="483" t="s">
        <v>18</v>
      </c>
      <c r="E187" s="502" t="s">
        <v>204</v>
      </c>
      <c r="F187" s="561" t="s">
        <v>342</v>
      </c>
      <c r="G187" s="573">
        <v>0.06</v>
      </c>
      <c r="H187" s="571">
        <v>1</v>
      </c>
    </row>
    <row r="188" spans="1:12" hidden="1" outlineLevel="1" collapsed="1">
      <c r="B188" s="401" t="s">
        <v>536</v>
      </c>
      <c r="C188" s="500" t="s">
        <v>537</v>
      </c>
      <c r="D188" s="499" t="s">
        <v>18</v>
      </c>
      <c r="E188" s="500" t="s">
        <v>204</v>
      </c>
      <c r="F188" s="568" t="s">
        <v>1682</v>
      </c>
      <c r="G188" s="569">
        <f>SUM(G189:G190)</f>
        <v>0.06</v>
      </c>
      <c r="H188" s="569">
        <f>SUM(H189:H190)</f>
        <v>2</v>
      </c>
    </row>
    <row r="189" spans="1:12" hidden="1" outlineLevel="2">
      <c r="B189" s="383" t="s">
        <v>536</v>
      </c>
      <c r="C189" s="502" t="s">
        <v>537</v>
      </c>
      <c r="D189" s="483" t="s">
        <v>18</v>
      </c>
      <c r="E189" s="502" t="s">
        <v>204</v>
      </c>
      <c r="F189" s="420" t="s">
        <v>565</v>
      </c>
      <c r="G189" s="573">
        <v>0.03</v>
      </c>
      <c r="H189" s="571">
        <v>1</v>
      </c>
    </row>
    <row r="190" spans="1:12" hidden="1" outlineLevel="2">
      <c r="B190" s="383" t="s">
        <v>536</v>
      </c>
      <c r="C190" s="502" t="s">
        <v>537</v>
      </c>
      <c r="D190" s="483" t="s">
        <v>18</v>
      </c>
      <c r="E190" s="502" t="s">
        <v>204</v>
      </c>
      <c r="F190" s="420" t="s">
        <v>566</v>
      </c>
      <c r="G190" s="573">
        <v>0.03</v>
      </c>
      <c r="H190" s="571">
        <v>1</v>
      </c>
    </row>
    <row r="191" spans="1:12" ht="3" customHeight="1">
      <c r="A191" s="382"/>
      <c r="B191" s="382"/>
      <c r="C191" s="382"/>
      <c r="D191" s="382"/>
      <c r="E191" s="382"/>
      <c r="F191" s="561"/>
      <c r="G191" s="567"/>
      <c r="H191" s="567"/>
      <c r="I191" s="382"/>
    </row>
    <row r="192" spans="1:12" s="434" customFormat="1" ht="15.6">
      <c r="A192" s="386"/>
      <c r="B192" s="563" t="s">
        <v>286</v>
      </c>
      <c r="C192" s="564"/>
      <c r="D192" s="564"/>
      <c r="E192" s="564"/>
      <c r="F192" s="565"/>
      <c r="G192" s="566">
        <f>SUM(G194,G195,G204,G209)</f>
        <v>0.85280446699999979</v>
      </c>
      <c r="H192" s="566">
        <f>SUM(H194,H195,H204,H209)</f>
        <v>15</v>
      </c>
      <c r="I192" s="386"/>
      <c r="L192" s="474"/>
    </row>
    <row r="193" spans="1:9" ht="3" customHeight="1" outlineLevel="1">
      <c r="A193" s="382"/>
      <c r="B193" s="382"/>
      <c r="C193" s="382"/>
      <c r="D193" s="382"/>
      <c r="E193" s="382"/>
      <c r="F193" s="561"/>
      <c r="G193" s="567"/>
      <c r="H193" s="567"/>
      <c r="I193" s="382"/>
    </row>
    <row r="194" spans="1:9" outlineLevel="1">
      <c r="B194" s="401" t="s">
        <v>285</v>
      </c>
      <c r="C194" s="500" t="s">
        <v>285</v>
      </c>
      <c r="D194" s="499" t="s">
        <v>18</v>
      </c>
      <c r="E194" s="500" t="s">
        <v>286</v>
      </c>
      <c r="F194" s="568" t="s">
        <v>1692</v>
      </c>
      <c r="G194" s="569">
        <v>0</v>
      </c>
      <c r="H194" s="569">
        <v>0</v>
      </c>
    </row>
    <row r="195" spans="1:9" outlineLevel="1" collapsed="1">
      <c r="B195" s="401" t="s">
        <v>288</v>
      </c>
      <c r="C195" s="500" t="s">
        <v>288</v>
      </c>
      <c r="D195" s="499" t="s">
        <v>18</v>
      </c>
      <c r="E195" s="500" t="s">
        <v>286</v>
      </c>
      <c r="F195" s="568" t="s">
        <v>1695</v>
      </c>
      <c r="G195" s="569">
        <f>SUM(G196:G203)</f>
        <v>0.69534587499999978</v>
      </c>
      <c r="H195" s="569">
        <f>SUM(H196:H203)</f>
        <v>8</v>
      </c>
    </row>
    <row r="196" spans="1:9" hidden="1" outlineLevel="2">
      <c r="B196" s="383" t="s">
        <v>288</v>
      </c>
      <c r="C196" s="502" t="s">
        <v>288</v>
      </c>
      <c r="D196" s="483" t="s">
        <v>18</v>
      </c>
      <c r="E196" s="502" t="s">
        <v>286</v>
      </c>
      <c r="F196" s="570" t="s">
        <v>278</v>
      </c>
      <c r="G196" s="571">
        <v>0.15625749999999999</v>
      </c>
      <c r="H196" s="571">
        <v>1</v>
      </c>
    </row>
    <row r="197" spans="1:9" hidden="1" outlineLevel="2">
      <c r="B197" s="383" t="s">
        <v>288</v>
      </c>
      <c r="C197" s="502" t="s">
        <v>288</v>
      </c>
      <c r="D197" s="483" t="s">
        <v>18</v>
      </c>
      <c r="E197" s="502" t="s">
        <v>286</v>
      </c>
      <c r="F197" s="570" t="s">
        <v>279</v>
      </c>
      <c r="G197" s="571">
        <v>0.23438624999999996</v>
      </c>
      <c r="H197" s="571">
        <v>1</v>
      </c>
    </row>
    <row r="198" spans="1:9" hidden="1" outlineLevel="2">
      <c r="B198" s="383" t="s">
        <v>288</v>
      </c>
      <c r="C198" s="502" t="s">
        <v>288</v>
      </c>
      <c r="D198" s="483" t="s">
        <v>18</v>
      </c>
      <c r="E198" s="502" t="s">
        <v>286</v>
      </c>
      <c r="F198" s="570" t="s">
        <v>33</v>
      </c>
      <c r="G198" s="571">
        <v>0.15625749999999999</v>
      </c>
      <c r="H198" s="571">
        <v>1</v>
      </c>
    </row>
    <row r="199" spans="1:9" hidden="1" outlineLevel="2">
      <c r="B199" s="473" t="s">
        <v>288</v>
      </c>
      <c r="C199" s="577" t="s">
        <v>288</v>
      </c>
      <c r="D199" s="578" t="s">
        <v>18</v>
      </c>
      <c r="E199" s="577" t="s">
        <v>286</v>
      </c>
      <c r="F199" s="579" t="s">
        <v>279</v>
      </c>
      <c r="G199" s="580">
        <v>7.1431999999999995E-2</v>
      </c>
      <c r="H199" s="580">
        <v>1</v>
      </c>
    </row>
    <row r="200" spans="1:9" hidden="1" outlineLevel="2">
      <c r="B200" s="473" t="s">
        <v>288</v>
      </c>
      <c r="C200" s="577" t="s">
        <v>288</v>
      </c>
      <c r="D200" s="578" t="s">
        <v>18</v>
      </c>
      <c r="E200" s="577" t="s">
        <v>286</v>
      </c>
      <c r="F200" s="579" t="s">
        <v>279</v>
      </c>
      <c r="G200" s="580">
        <v>2.009025E-2</v>
      </c>
      <c r="H200" s="580">
        <v>1</v>
      </c>
    </row>
    <row r="201" spans="1:9" hidden="1" outlineLevel="2">
      <c r="B201" s="473" t="s">
        <v>288</v>
      </c>
      <c r="C201" s="577" t="s">
        <v>288</v>
      </c>
      <c r="D201" s="578" t="s">
        <v>18</v>
      </c>
      <c r="E201" s="577" t="s">
        <v>286</v>
      </c>
      <c r="F201" s="579" t="s">
        <v>33</v>
      </c>
      <c r="G201" s="580">
        <v>2.009025E-2</v>
      </c>
      <c r="H201" s="580">
        <v>1</v>
      </c>
    </row>
    <row r="202" spans="1:9" hidden="1" outlineLevel="2">
      <c r="B202" s="473" t="s">
        <v>288</v>
      </c>
      <c r="C202" s="577" t="s">
        <v>288</v>
      </c>
      <c r="D202" s="578" t="s">
        <v>18</v>
      </c>
      <c r="E202" s="577" t="s">
        <v>286</v>
      </c>
      <c r="F202" s="579" t="s">
        <v>279</v>
      </c>
      <c r="G202" s="580">
        <v>1.6741875E-2</v>
      </c>
      <c r="H202" s="580">
        <v>1</v>
      </c>
    </row>
    <row r="203" spans="1:9" hidden="1" outlineLevel="2">
      <c r="B203" s="473" t="s">
        <v>288</v>
      </c>
      <c r="C203" s="577" t="s">
        <v>288</v>
      </c>
      <c r="D203" s="578" t="s">
        <v>18</v>
      </c>
      <c r="E203" s="577" t="s">
        <v>286</v>
      </c>
      <c r="F203" s="579" t="s">
        <v>33</v>
      </c>
      <c r="G203" s="580">
        <v>2.009025E-2</v>
      </c>
      <c r="H203" s="580">
        <v>1</v>
      </c>
    </row>
    <row r="204" spans="1:9" outlineLevel="1">
      <c r="B204" s="401" t="s">
        <v>297</v>
      </c>
      <c r="C204" s="500" t="s">
        <v>297</v>
      </c>
      <c r="D204" s="499" t="s">
        <v>18</v>
      </c>
      <c r="E204" s="500" t="s">
        <v>286</v>
      </c>
      <c r="F204" s="568" t="s">
        <v>1702</v>
      </c>
      <c r="G204" s="569">
        <f>SUM(G205:G208)</f>
        <v>4.0000000000000001E-3</v>
      </c>
      <c r="H204" s="569">
        <f>SUM(H205:H208)</f>
        <v>4</v>
      </c>
    </row>
    <row r="205" spans="1:9" outlineLevel="2">
      <c r="B205" s="383" t="s">
        <v>297</v>
      </c>
      <c r="C205" s="502" t="s">
        <v>297</v>
      </c>
      <c r="D205" s="483" t="s">
        <v>18</v>
      </c>
      <c r="E205" s="502" t="s">
        <v>286</v>
      </c>
      <c r="F205" s="570" t="s">
        <v>300</v>
      </c>
      <c r="G205" s="571">
        <v>2.0999999999999999E-3</v>
      </c>
      <c r="H205" s="571">
        <v>1</v>
      </c>
    </row>
    <row r="206" spans="1:9" outlineLevel="2">
      <c r="B206" s="383" t="s">
        <v>297</v>
      </c>
      <c r="C206" s="502" t="s">
        <v>297</v>
      </c>
      <c r="D206" s="483" t="s">
        <v>18</v>
      </c>
      <c r="E206" s="502" t="s">
        <v>286</v>
      </c>
      <c r="F206" s="570" t="s">
        <v>301</v>
      </c>
      <c r="G206" s="571">
        <v>8.7500000000000002E-4</v>
      </c>
      <c r="H206" s="571">
        <v>1</v>
      </c>
    </row>
    <row r="207" spans="1:9" outlineLevel="2">
      <c r="B207" s="383" t="s">
        <v>297</v>
      </c>
      <c r="C207" s="502" t="s">
        <v>297</v>
      </c>
      <c r="D207" s="483" t="s">
        <v>18</v>
      </c>
      <c r="E207" s="502" t="s">
        <v>286</v>
      </c>
      <c r="F207" s="570" t="s">
        <v>302</v>
      </c>
      <c r="G207" s="571">
        <v>5.2499999999999997E-4</v>
      </c>
      <c r="H207" s="571">
        <v>1</v>
      </c>
    </row>
    <row r="208" spans="1:9" outlineLevel="2">
      <c r="B208" s="383" t="s">
        <v>297</v>
      </c>
      <c r="C208" s="502" t="s">
        <v>297</v>
      </c>
      <c r="D208" s="483" t="s">
        <v>18</v>
      </c>
      <c r="E208" s="502" t="s">
        <v>286</v>
      </c>
      <c r="F208" s="570" t="s">
        <v>303</v>
      </c>
      <c r="G208" s="571">
        <v>5.0000000000000001E-4</v>
      </c>
      <c r="H208" s="571">
        <v>1</v>
      </c>
    </row>
    <row r="209" spans="1:12" outlineLevel="1" collapsed="1">
      <c r="B209" s="401" t="s">
        <v>521</v>
      </c>
      <c r="C209" s="500" t="s">
        <v>521</v>
      </c>
      <c r="D209" s="499" t="s">
        <v>18</v>
      </c>
      <c r="E209" s="500" t="s">
        <v>286</v>
      </c>
      <c r="F209" s="568" t="s">
        <v>1704</v>
      </c>
      <c r="G209" s="569">
        <f>SUM(G210:G212)</f>
        <v>0.153458592</v>
      </c>
      <c r="H209" s="569">
        <f>SUM(H210:H212)</f>
        <v>3</v>
      </c>
    </row>
    <row r="210" spans="1:12" hidden="1" outlineLevel="2">
      <c r="B210" s="383" t="s">
        <v>521</v>
      </c>
      <c r="C210" s="502" t="s">
        <v>521</v>
      </c>
      <c r="D210" s="483" t="s">
        <v>18</v>
      </c>
      <c r="E210" s="502" t="s">
        <v>286</v>
      </c>
      <c r="F210" s="581" t="s">
        <v>278</v>
      </c>
      <c r="G210" s="582">
        <v>4.3845312000000004E-2</v>
      </c>
      <c r="H210" s="582">
        <v>1</v>
      </c>
    </row>
    <row r="211" spans="1:12" hidden="1" outlineLevel="2">
      <c r="B211" s="383" t="s">
        <v>521</v>
      </c>
      <c r="C211" s="502" t="s">
        <v>521</v>
      </c>
      <c r="D211" s="483" t="s">
        <v>18</v>
      </c>
      <c r="E211" s="502" t="s">
        <v>286</v>
      </c>
      <c r="F211" s="581" t="s">
        <v>279</v>
      </c>
      <c r="G211" s="582">
        <v>6.576796800000001E-2</v>
      </c>
      <c r="H211" s="582">
        <v>1</v>
      </c>
    </row>
    <row r="212" spans="1:12" hidden="1" outlineLevel="2">
      <c r="B212" s="383" t="s">
        <v>521</v>
      </c>
      <c r="C212" s="502" t="s">
        <v>521</v>
      </c>
      <c r="D212" s="483" t="s">
        <v>18</v>
      </c>
      <c r="E212" s="502" t="s">
        <v>286</v>
      </c>
      <c r="F212" s="581" t="s">
        <v>33</v>
      </c>
      <c r="G212" s="582">
        <v>4.3845312000000004E-2</v>
      </c>
      <c r="H212" s="582">
        <v>1</v>
      </c>
    </row>
    <row r="213" spans="1:12" ht="3" customHeight="1">
      <c r="A213" s="382"/>
      <c r="B213" s="382"/>
      <c r="C213" s="382"/>
      <c r="D213" s="382"/>
      <c r="E213" s="382"/>
      <c r="F213" s="561"/>
      <c r="G213" s="567"/>
      <c r="H213" s="567"/>
      <c r="I213" s="382"/>
    </row>
    <row r="214" spans="1:12" s="434" customFormat="1" ht="15.6" collapsed="1">
      <c r="A214" s="386"/>
      <c r="B214" s="563" t="s">
        <v>654</v>
      </c>
      <c r="C214" s="564"/>
      <c r="D214" s="564"/>
      <c r="E214" s="564"/>
      <c r="F214" s="565"/>
      <c r="G214" s="566">
        <f>SUM(G216:G220)</f>
        <v>0</v>
      </c>
      <c r="H214" s="566">
        <f>SUM(H216:H220)</f>
        <v>11</v>
      </c>
      <c r="I214" s="386"/>
      <c r="L214" s="474"/>
    </row>
    <row r="215" spans="1:12" ht="3" hidden="1" customHeight="1" outlineLevel="1">
      <c r="A215" s="382"/>
      <c r="B215" s="382"/>
      <c r="C215" s="382"/>
      <c r="D215" s="382"/>
      <c r="E215" s="382"/>
      <c r="F215" s="561"/>
      <c r="G215" s="567"/>
      <c r="H215" s="567"/>
      <c r="I215" s="382"/>
    </row>
    <row r="216" spans="1:12" hidden="1" outlineLevel="1">
      <c r="B216" s="383" t="s">
        <v>200</v>
      </c>
      <c r="C216" s="502" t="s">
        <v>309</v>
      </c>
      <c r="D216" s="483" t="s">
        <v>18</v>
      </c>
      <c r="E216" s="502" t="s">
        <v>654</v>
      </c>
      <c r="F216" s="570" t="s">
        <v>312</v>
      </c>
      <c r="G216" s="571"/>
      <c r="H216" s="571">
        <v>3</v>
      </c>
    </row>
    <row r="217" spans="1:12" hidden="1" outlineLevel="1">
      <c r="B217" s="383" t="s">
        <v>313</v>
      </c>
      <c r="C217" s="502" t="s">
        <v>309</v>
      </c>
      <c r="D217" s="483" t="s">
        <v>18</v>
      </c>
      <c r="E217" s="502" t="s">
        <v>654</v>
      </c>
      <c r="F217" s="570" t="s">
        <v>314</v>
      </c>
      <c r="G217" s="571"/>
      <c r="H217" s="571">
        <v>3</v>
      </c>
    </row>
    <row r="218" spans="1:12" hidden="1" outlineLevel="1">
      <c r="B218" s="383" t="s">
        <v>315</v>
      </c>
      <c r="C218" s="502" t="s">
        <v>309</v>
      </c>
      <c r="D218" s="483" t="s">
        <v>18</v>
      </c>
      <c r="E218" s="502" t="s">
        <v>654</v>
      </c>
      <c r="F218" s="570" t="s">
        <v>316</v>
      </c>
      <c r="G218" s="571"/>
      <c r="H218" s="571">
        <v>2</v>
      </c>
    </row>
    <row r="219" spans="1:12" hidden="1" outlineLevel="1">
      <c r="B219" s="383" t="s">
        <v>317</v>
      </c>
      <c r="C219" s="502" t="s">
        <v>309</v>
      </c>
      <c r="D219" s="483" t="s">
        <v>18</v>
      </c>
      <c r="E219" s="502" t="s">
        <v>654</v>
      </c>
      <c r="F219" s="570" t="s">
        <v>318</v>
      </c>
      <c r="G219" s="571"/>
      <c r="H219" s="571">
        <v>1</v>
      </c>
    </row>
    <row r="220" spans="1:12" hidden="1" outlineLevel="1">
      <c r="B220" s="383" t="s">
        <v>319</v>
      </c>
      <c r="C220" s="502" t="s">
        <v>309</v>
      </c>
      <c r="D220" s="483" t="s">
        <v>18</v>
      </c>
      <c r="E220" s="502" t="s">
        <v>654</v>
      </c>
      <c r="F220" s="570" t="s">
        <v>320</v>
      </c>
      <c r="G220" s="571"/>
      <c r="H220" s="571">
        <v>2</v>
      </c>
    </row>
    <row r="221" spans="1:12" ht="3" customHeight="1">
      <c r="A221" s="382"/>
      <c r="B221" s="382"/>
      <c r="C221" s="382"/>
      <c r="D221" s="382"/>
      <c r="E221" s="382"/>
      <c r="F221" s="561"/>
      <c r="G221" s="567"/>
      <c r="H221" s="567"/>
      <c r="I221" s="382"/>
    </row>
    <row r="222" spans="1:12" s="434" customFormat="1" ht="15.6" collapsed="1">
      <c r="A222" s="386"/>
      <c r="B222" s="563" t="s">
        <v>27</v>
      </c>
      <c r="C222" s="564"/>
      <c r="D222" s="564"/>
      <c r="E222" s="564"/>
      <c r="F222" s="565"/>
      <c r="G222" s="566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566">
        <f>SUM(H224,H226,H229,H245,H250,H254,H263,H267,H271,H283,H288,H291,H292,H298,H303,H305,H321,H328,H329,H330,H331,H333,H337,H338,H340,H342,H344,H346,H349,H351,H353,H357,H360,H362,H367,H368,H369,H370,H372,H374)</f>
        <v>113</v>
      </c>
      <c r="I222" s="386"/>
      <c r="L222" s="474"/>
    </row>
    <row r="223" spans="1:12" ht="3" hidden="1" customHeight="1" outlineLevel="1">
      <c r="A223" s="382"/>
      <c r="B223" s="382"/>
      <c r="C223" s="382"/>
      <c r="D223" s="382"/>
      <c r="E223" s="382"/>
      <c r="F223" s="561"/>
      <c r="G223" s="567"/>
      <c r="H223" s="567"/>
      <c r="I223" s="382"/>
    </row>
    <row r="224" spans="1:12" hidden="1" outlineLevel="1" collapsed="1">
      <c r="B224" s="401" t="s">
        <v>15</v>
      </c>
      <c r="C224" s="401" t="s">
        <v>19</v>
      </c>
      <c r="D224" s="401" t="s">
        <v>26</v>
      </c>
      <c r="E224" s="401" t="s">
        <v>27</v>
      </c>
      <c r="F224" s="568" t="s">
        <v>1672</v>
      </c>
      <c r="G224" s="583">
        <f>SUM(G225)</f>
        <v>5.2867302539999998E-3</v>
      </c>
      <c r="H224" s="583">
        <f>SUM(H225)</f>
        <v>1</v>
      </c>
    </row>
    <row r="225" spans="2:8" hidden="1" outlineLevel="2">
      <c r="B225" s="383" t="s">
        <v>15</v>
      </c>
      <c r="C225" s="383" t="s">
        <v>19</v>
      </c>
      <c r="D225" s="383" t="s">
        <v>26</v>
      </c>
      <c r="E225" s="383" t="s">
        <v>27</v>
      </c>
      <c r="F225" s="584" t="s">
        <v>22</v>
      </c>
      <c r="G225" s="585">
        <v>5.2867302539999998E-3</v>
      </c>
      <c r="H225" s="585">
        <v>1</v>
      </c>
    </row>
    <row r="226" spans="2:8" hidden="1" outlineLevel="1" collapsed="1">
      <c r="B226" s="401" t="s">
        <v>15</v>
      </c>
      <c r="C226" s="401" t="s">
        <v>23</v>
      </c>
      <c r="D226" s="401" t="s">
        <v>26</v>
      </c>
      <c r="E226" s="401" t="s">
        <v>27</v>
      </c>
      <c r="F226" s="568" t="s">
        <v>1672</v>
      </c>
      <c r="G226" s="583">
        <f>SUM(G227:G228)</f>
        <v>1.6064216963956598E-2</v>
      </c>
      <c r="H226" s="583">
        <f>SUM(H227:H228)</f>
        <v>2</v>
      </c>
    </row>
    <row r="227" spans="2:8" hidden="1" outlineLevel="2">
      <c r="B227" s="383" t="s">
        <v>15</v>
      </c>
      <c r="C227" s="383" t="s">
        <v>23</v>
      </c>
      <c r="D227" s="383" t="s">
        <v>26</v>
      </c>
      <c r="E227" s="383" t="s">
        <v>27</v>
      </c>
      <c r="F227" s="584" t="s">
        <v>24</v>
      </c>
      <c r="G227" s="585">
        <v>1.0861267500000001E-2</v>
      </c>
      <c r="H227" s="585">
        <v>1</v>
      </c>
    </row>
    <row r="228" spans="2:8" hidden="1" outlineLevel="2">
      <c r="B228" s="383" t="s">
        <v>15</v>
      </c>
      <c r="C228" s="383" t="s">
        <v>23</v>
      </c>
      <c r="D228" s="383" t="s">
        <v>26</v>
      </c>
      <c r="E228" s="383" t="s">
        <v>27</v>
      </c>
      <c r="F228" s="584" t="s">
        <v>25</v>
      </c>
      <c r="G228" s="585">
        <v>5.2029494639565963E-3</v>
      </c>
      <c r="H228" s="585">
        <v>1</v>
      </c>
    </row>
    <row r="229" spans="2:8" hidden="1" outlineLevel="1" collapsed="1">
      <c r="B229" s="401" t="s">
        <v>15</v>
      </c>
      <c r="C229" s="401" t="s">
        <v>30</v>
      </c>
      <c r="D229" s="401" t="s">
        <v>26</v>
      </c>
      <c r="E229" s="401" t="s">
        <v>27</v>
      </c>
      <c r="F229" s="568" t="s">
        <v>1672</v>
      </c>
      <c r="G229" s="583">
        <f>SUM(G230:G244)</f>
        <v>0.35597209492231208</v>
      </c>
      <c r="H229" s="583">
        <f>SUM(H230:H244)</f>
        <v>15</v>
      </c>
    </row>
    <row r="230" spans="2:8" hidden="1" outlineLevel="2">
      <c r="B230" s="383" t="s">
        <v>15</v>
      </c>
      <c r="C230" s="383" t="s">
        <v>30</v>
      </c>
      <c r="D230" s="383" t="s">
        <v>26</v>
      </c>
      <c r="E230" s="383" t="s">
        <v>27</v>
      </c>
      <c r="F230" s="584" t="s">
        <v>32</v>
      </c>
      <c r="G230" s="585">
        <v>9.3421603890201377E-2</v>
      </c>
      <c r="H230" s="585">
        <v>1</v>
      </c>
    </row>
    <row r="231" spans="2:8" hidden="1" outlineLevel="2">
      <c r="B231" s="383" t="s">
        <v>15</v>
      </c>
      <c r="C231" s="383" t="s">
        <v>30</v>
      </c>
      <c r="D231" s="383" t="s">
        <v>26</v>
      </c>
      <c r="E231" s="383" t="s">
        <v>27</v>
      </c>
      <c r="F231" s="584" t="s">
        <v>34</v>
      </c>
      <c r="G231" s="585">
        <v>9.3421603890201377E-2</v>
      </c>
      <c r="H231" s="585">
        <v>1</v>
      </c>
    </row>
    <row r="232" spans="2:8" hidden="1" outlineLevel="2">
      <c r="B232" s="383" t="s">
        <v>15</v>
      </c>
      <c r="C232" s="383" t="s">
        <v>30</v>
      </c>
      <c r="D232" s="383" t="s">
        <v>26</v>
      </c>
      <c r="E232" s="383" t="s">
        <v>27</v>
      </c>
      <c r="F232" s="584" t="s">
        <v>50</v>
      </c>
      <c r="G232" s="585">
        <v>2.1106865436972901E-2</v>
      </c>
      <c r="H232" s="585">
        <v>1</v>
      </c>
    </row>
    <row r="233" spans="2:8" hidden="1" outlineLevel="2">
      <c r="B233" s="383" t="s">
        <v>15</v>
      </c>
      <c r="C233" s="383" t="s">
        <v>30</v>
      </c>
      <c r="D233" s="383" t="s">
        <v>26</v>
      </c>
      <c r="E233" s="383" t="s">
        <v>27</v>
      </c>
      <c r="F233" s="584" t="s">
        <v>51</v>
      </c>
      <c r="G233" s="585">
        <v>3.166029815545935E-2</v>
      </c>
      <c r="H233" s="585">
        <v>1</v>
      </c>
    </row>
    <row r="234" spans="2:8" hidden="1" outlineLevel="2">
      <c r="B234" s="383" t="s">
        <v>15</v>
      </c>
      <c r="C234" s="383" t="s">
        <v>30</v>
      </c>
      <c r="D234" s="383" t="s">
        <v>26</v>
      </c>
      <c r="E234" s="383" t="s">
        <v>27</v>
      </c>
      <c r="F234" s="584" t="s">
        <v>40</v>
      </c>
      <c r="G234" s="585">
        <v>5.2767163592432253E-3</v>
      </c>
      <c r="H234" s="585">
        <v>1</v>
      </c>
    </row>
    <row r="235" spans="2:8" hidden="1" outlineLevel="2">
      <c r="B235" s="383" t="s">
        <v>15</v>
      </c>
      <c r="C235" s="383" t="s">
        <v>30</v>
      </c>
      <c r="D235" s="383" t="s">
        <v>26</v>
      </c>
      <c r="E235" s="383" t="s">
        <v>27</v>
      </c>
      <c r="F235" s="584" t="s">
        <v>52</v>
      </c>
      <c r="G235" s="585">
        <v>2.1106865436972901E-2</v>
      </c>
      <c r="H235" s="585">
        <v>1</v>
      </c>
    </row>
    <row r="236" spans="2:8" hidden="1" outlineLevel="2">
      <c r="B236" s="383" t="s">
        <v>15</v>
      </c>
      <c r="C236" s="383" t="s">
        <v>30</v>
      </c>
      <c r="D236" s="383" t="s">
        <v>26</v>
      </c>
      <c r="E236" s="383" t="s">
        <v>27</v>
      </c>
      <c r="F236" s="584" t="s">
        <v>53</v>
      </c>
      <c r="G236" s="585">
        <v>3.166029815545935E-2</v>
      </c>
      <c r="H236" s="585">
        <v>1</v>
      </c>
    </row>
    <row r="237" spans="2:8" hidden="1" outlineLevel="2">
      <c r="B237" s="383" t="s">
        <v>15</v>
      </c>
      <c r="C237" s="383" t="s">
        <v>30</v>
      </c>
      <c r="D237" s="383" t="s">
        <v>26</v>
      </c>
      <c r="E237" s="383" t="s">
        <v>27</v>
      </c>
      <c r="F237" s="584" t="s">
        <v>42</v>
      </c>
      <c r="G237" s="585">
        <v>5.2767163592432253E-3</v>
      </c>
      <c r="H237" s="585">
        <v>1</v>
      </c>
    </row>
    <row r="238" spans="2:8" hidden="1" outlineLevel="2">
      <c r="B238" s="383" t="s">
        <v>15</v>
      </c>
      <c r="C238" s="383" t="s">
        <v>30</v>
      </c>
      <c r="D238" s="383" t="s">
        <v>26</v>
      </c>
      <c r="E238" s="383" t="s">
        <v>27</v>
      </c>
      <c r="F238" s="584" t="s">
        <v>54</v>
      </c>
      <c r="G238" s="585">
        <v>4.0000000000000001E-3</v>
      </c>
      <c r="H238" s="585">
        <v>1</v>
      </c>
    </row>
    <row r="239" spans="2:8" hidden="1" outlineLevel="2">
      <c r="B239" s="383" t="s">
        <v>15</v>
      </c>
      <c r="C239" s="383" t="s">
        <v>30</v>
      </c>
      <c r="D239" s="383" t="s">
        <v>26</v>
      </c>
      <c r="E239" s="383" t="s">
        <v>27</v>
      </c>
      <c r="F239" s="584" t="s">
        <v>55</v>
      </c>
      <c r="G239" s="585">
        <v>7.0000000000000001E-3</v>
      </c>
      <c r="H239" s="585">
        <v>1</v>
      </c>
    </row>
    <row r="240" spans="2:8" hidden="1" outlineLevel="2">
      <c r="B240" s="383" t="s">
        <v>15</v>
      </c>
      <c r="C240" s="383" t="s">
        <v>30</v>
      </c>
      <c r="D240" s="383" t="s">
        <v>26</v>
      </c>
      <c r="E240" s="383" t="s">
        <v>27</v>
      </c>
      <c r="F240" s="584" t="s">
        <v>43</v>
      </c>
      <c r="G240" s="585">
        <v>1E-3</v>
      </c>
      <c r="H240" s="585">
        <v>1</v>
      </c>
    </row>
    <row r="241" spans="2:8" hidden="1" outlineLevel="2">
      <c r="B241" s="383" t="s">
        <v>15</v>
      </c>
      <c r="C241" s="383" t="s">
        <v>30</v>
      </c>
      <c r="D241" s="383" t="s">
        <v>26</v>
      </c>
      <c r="E241" s="383" t="s">
        <v>27</v>
      </c>
      <c r="F241" s="584" t="s">
        <v>44</v>
      </c>
      <c r="G241" s="585">
        <v>2.3452072707747665E-3</v>
      </c>
      <c r="H241" s="585">
        <v>1</v>
      </c>
    </row>
    <row r="242" spans="2:8" hidden="1" outlineLevel="2">
      <c r="B242" s="383" t="s">
        <v>15</v>
      </c>
      <c r="C242" s="383" t="s">
        <v>30</v>
      </c>
      <c r="D242" s="383" t="s">
        <v>26</v>
      </c>
      <c r="E242" s="383" t="s">
        <v>27</v>
      </c>
      <c r="F242" s="584" t="s">
        <v>58</v>
      </c>
      <c r="G242" s="585">
        <v>1.4071243624648597E-2</v>
      </c>
      <c r="H242" s="585">
        <v>1</v>
      </c>
    </row>
    <row r="243" spans="2:8" hidden="1" outlineLevel="2">
      <c r="B243" s="383" t="s">
        <v>15</v>
      </c>
      <c r="C243" s="383" t="s">
        <v>30</v>
      </c>
      <c r="D243" s="383" t="s">
        <v>26</v>
      </c>
      <c r="E243" s="383" t="s">
        <v>27</v>
      </c>
      <c r="F243" s="584" t="s">
        <v>59</v>
      </c>
      <c r="G243" s="585">
        <v>2.1106865436972894E-2</v>
      </c>
      <c r="H243" s="585">
        <v>1</v>
      </c>
    </row>
    <row r="244" spans="2:8" hidden="1" outlineLevel="2">
      <c r="B244" s="383" t="s">
        <v>15</v>
      </c>
      <c r="C244" s="383" t="s">
        <v>30</v>
      </c>
      <c r="D244" s="383" t="s">
        <v>26</v>
      </c>
      <c r="E244" s="383" t="s">
        <v>27</v>
      </c>
      <c r="F244" s="584" t="s">
        <v>46</v>
      </c>
      <c r="G244" s="585">
        <v>3.5178109061621493E-3</v>
      </c>
      <c r="H244" s="585">
        <v>1</v>
      </c>
    </row>
    <row r="245" spans="2:8" hidden="1" outlineLevel="1" collapsed="1">
      <c r="B245" s="401" t="s">
        <v>70</v>
      </c>
      <c r="C245" s="401" t="s">
        <v>71</v>
      </c>
      <c r="D245" s="401" t="s">
        <v>26</v>
      </c>
      <c r="E245" s="401" t="s">
        <v>27</v>
      </c>
      <c r="F245" s="568" t="s">
        <v>1676</v>
      </c>
      <c r="G245" s="583">
        <f>SUM(G246:G249)</f>
        <v>0.41389850293631264</v>
      </c>
      <c r="H245" s="583">
        <f>SUM(H246:H249)</f>
        <v>4</v>
      </c>
    </row>
    <row r="246" spans="2:8" hidden="1" outlineLevel="2">
      <c r="B246" s="383" t="s">
        <v>70</v>
      </c>
      <c r="C246" s="383" t="s">
        <v>71</v>
      </c>
      <c r="D246" s="383" t="s">
        <v>26</v>
      </c>
      <c r="E246" s="383" t="s">
        <v>27</v>
      </c>
      <c r="F246" s="584" t="s">
        <v>75</v>
      </c>
      <c r="G246" s="585">
        <v>0.12911355532138755</v>
      </c>
      <c r="H246" s="585">
        <v>1</v>
      </c>
    </row>
    <row r="247" spans="2:8" hidden="1" outlineLevel="2">
      <c r="B247" s="383" t="s">
        <v>70</v>
      </c>
      <c r="C247" s="383" t="s">
        <v>71</v>
      </c>
      <c r="D247" s="383" t="s">
        <v>26</v>
      </c>
      <c r="E247" s="383" t="s">
        <v>27</v>
      </c>
      <c r="F247" s="584" t="s">
        <v>76</v>
      </c>
      <c r="G247" s="585">
        <v>0.25822711064277509</v>
      </c>
      <c r="H247" s="585">
        <v>1</v>
      </c>
    </row>
    <row r="248" spans="2:8" hidden="1" outlineLevel="2">
      <c r="B248" s="383" t="s">
        <v>70</v>
      </c>
      <c r="C248" s="383" t="s">
        <v>71</v>
      </c>
      <c r="D248" s="383" t="s">
        <v>26</v>
      </c>
      <c r="E248" s="383" t="s">
        <v>27</v>
      </c>
      <c r="F248" s="584" t="s">
        <v>73</v>
      </c>
      <c r="G248" s="585">
        <v>1.4486092893899998E-2</v>
      </c>
      <c r="H248" s="585">
        <v>1</v>
      </c>
    </row>
    <row r="249" spans="2:8" hidden="1" outlineLevel="2">
      <c r="B249" s="383" t="s">
        <v>70</v>
      </c>
      <c r="C249" s="383" t="s">
        <v>71</v>
      </c>
      <c r="D249" s="383" t="s">
        <v>26</v>
      </c>
      <c r="E249" s="383" t="s">
        <v>27</v>
      </c>
      <c r="F249" s="584" t="s">
        <v>24</v>
      </c>
      <c r="G249" s="585">
        <v>1.2071744078249999E-2</v>
      </c>
      <c r="H249" s="585">
        <v>1</v>
      </c>
    </row>
    <row r="250" spans="2:8" hidden="1" outlineLevel="1" collapsed="1">
      <c r="B250" s="401" t="s">
        <v>84</v>
      </c>
      <c r="C250" s="401" t="s">
        <v>85</v>
      </c>
      <c r="D250" s="401" t="s">
        <v>26</v>
      </c>
      <c r="E250" s="401" t="s">
        <v>27</v>
      </c>
      <c r="F250" s="568" t="s">
        <v>1673</v>
      </c>
      <c r="G250" s="583">
        <f>SUM(G251:G253)</f>
        <v>0.36</v>
      </c>
      <c r="H250" s="583">
        <f>SUM(H251:H253)</f>
        <v>3</v>
      </c>
    </row>
    <row r="251" spans="2:8" hidden="1" outlineLevel="2">
      <c r="B251" s="383" t="s">
        <v>84</v>
      </c>
      <c r="C251" s="383" t="s">
        <v>85</v>
      </c>
      <c r="D251" s="383" t="s">
        <v>26</v>
      </c>
      <c r="E251" s="383" t="s">
        <v>27</v>
      </c>
      <c r="F251" s="584" t="s">
        <v>96</v>
      </c>
      <c r="G251" s="585">
        <v>0.19</v>
      </c>
      <c r="H251" s="585">
        <v>1</v>
      </c>
    </row>
    <row r="252" spans="2:8" hidden="1" outlineLevel="2">
      <c r="B252" s="383" t="s">
        <v>84</v>
      </c>
      <c r="C252" s="383" t="s">
        <v>85</v>
      </c>
      <c r="D252" s="383" t="s">
        <v>26</v>
      </c>
      <c r="E252" s="383" t="s">
        <v>27</v>
      </c>
      <c r="F252" s="584" t="s">
        <v>97</v>
      </c>
      <c r="G252" s="585">
        <v>0.16</v>
      </c>
      <c r="H252" s="585">
        <v>1</v>
      </c>
    </row>
    <row r="253" spans="2:8" hidden="1" outlineLevel="2">
      <c r="B253" s="383" t="s">
        <v>84</v>
      </c>
      <c r="C253" s="383" t="s">
        <v>85</v>
      </c>
      <c r="D253" s="383" t="s">
        <v>26</v>
      </c>
      <c r="E253" s="383" t="s">
        <v>27</v>
      </c>
      <c r="F253" s="584" t="s">
        <v>98</v>
      </c>
      <c r="G253" s="585">
        <v>0.01</v>
      </c>
      <c r="H253" s="585">
        <v>1</v>
      </c>
    </row>
    <row r="254" spans="2:8" hidden="1" outlineLevel="1" collapsed="1">
      <c r="B254" s="401" t="s">
        <v>101</v>
      </c>
      <c r="C254" s="401" t="s">
        <v>102</v>
      </c>
      <c r="D254" s="401" t="s">
        <v>26</v>
      </c>
      <c r="E254" s="401" t="s">
        <v>27</v>
      </c>
      <c r="F254" s="568" t="s">
        <v>1674</v>
      </c>
      <c r="G254" s="583">
        <f>SUM(G255:G262)</f>
        <v>2.1</v>
      </c>
      <c r="H254" s="583">
        <f>SUM(H255:H262)</f>
        <v>8</v>
      </c>
    </row>
    <row r="255" spans="2:8" hidden="1" outlineLevel="2">
      <c r="B255" s="383" t="s">
        <v>101</v>
      </c>
      <c r="C255" s="383" t="s">
        <v>102</v>
      </c>
      <c r="D255" s="383" t="s">
        <v>26</v>
      </c>
      <c r="E255" s="383" t="s">
        <v>27</v>
      </c>
      <c r="F255" s="584" t="s">
        <v>113</v>
      </c>
      <c r="G255" s="585">
        <v>0.2</v>
      </c>
      <c r="H255" s="585">
        <v>1</v>
      </c>
    </row>
    <row r="256" spans="2:8" hidden="1" outlineLevel="2">
      <c r="B256" s="383" t="s">
        <v>101</v>
      </c>
      <c r="C256" s="383" t="s">
        <v>102</v>
      </c>
      <c r="D256" s="383" t="s">
        <v>26</v>
      </c>
      <c r="E256" s="383" t="s">
        <v>27</v>
      </c>
      <c r="F256" s="584" t="s">
        <v>114</v>
      </c>
      <c r="G256" s="585">
        <v>0.4</v>
      </c>
      <c r="H256" s="585">
        <v>1</v>
      </c>
    </row>
    <row r="257" spans="2:8" hidden="1" outlineLevel="2">
      <c r="B257" s="383" t="s">
        <v>101</v>
      </c>
      <c r="C257" s="383" t="s">
        <v>102</v>
      </c>
      <c r="D257" s="383" t="s">
        <v>26</v>
      </c>
      <c r="E257" s="383" t="s">
        <v>27</v>
      </c>
      <c r="F257" s="584" t="s">
        <v>123</v>
      </c>
      <c r="G257" s="585">
        <v>0.32</v>
      </c>
      <c r="H257" s="585">
        <v>1</v>
      </c>
    </row>
    <row r="258" spans="2:8" hidden="1" outlineLevel="2">
      <c r="B258" s="383" t="s">
        <v>101</v>
      </c>
      <c r="C258" s="383" t="s">
        <v>102</v>
      </c>
      <c r="D258" s="383" t="s">
        <v>26</v>
      </c>
      <c r="E258" s="383" t="s">
        <v>27</v>
      </c>
      <c r="F258" s="584" t="s">
        <v>124</v>
      </c>
      <c r="G258" s="585">
        <v>0.32</v>
      </c>
      <c r="H258" s="585">
        <v>1</v>
      </c>
    </row>
    <row r="259" spans="2:8" hidden="1" outlineLevel="2">
      <c r="B259" s="383" t="s">
        <v>101</v>
      </c>
      <c r="C259" s="383" t="s">
        <v>102</v>
      </c>
      <c r="D259" s="383" t="s">
        <v>26</v>
      </c>
      <c r="E259" s="383" t="s">
        <v>27</v>
      </c>
      <c r="F259" s="584" t="s">
        <v>125</v>
      </c>
      <c r="G259" s="585">
        <v>0.43</v>
      </c>
      <c r="H259" s="585">
        <v>1</v>
      </c>
    </row>
    <row r="260" spans="2:8" hidden="1" outlineLevel="2">
      <c r="B260" s="383" t="s">
        <v>101</v>
      </c>
      <c r="C260" s="383" t="s">
        <v>102</v>
      </c>
      <c r="D260" s="383" t="s">
        <v>26</v>
      </c>
      <c r="E260" s="383" t="s">
        <v>27</v>
      </c>
      <c r="F260" s="584" t="s">
        <v>96</v>
      </c>
      <c r="G260" s="585">
        <v>0.02</v>
      </c>
      <c r="H260" s="585">
        <v>1</v>
      </c>
    </row>
    <row r="261" spans="2:8" hidden="1" outlineLevel="2">
      <c r="B261" s="383" t="s">
        <v>101</v>
      </c>
      <c r="C261" s="383" t="s">
        <v>102</v>
      </c>
      <c r="D261" s="383" t="s">
        <v>26</v>
      </c>
      <c r="E261" s="383" t="s">
        <v>27</v>
      </c>
      <c r="F261" s="584" t="s">
        <v>97</v>
      </c>
      <c r="G261" s="585">
        <v>0.01</v>
      </c>
      <c r="H261" s="585">
        <v>1</v>
      </c>
    </row>
    <row r="262" spans="2:8" hidden="1" outlineLevel="2">
      <c r="B262" s="383" t="s">
        <v>101</v>
      </c>
      <c r="C262" s="383" t="s">
        <v>102</v>
      </c>
      <c r="D262" s="383" t="s">
        <v>26</v>
      </c>
      <c r="E262" s="383" t="s">
        <v>27</v>
      </c>
      <c r="F262" s="584" t="s">
        <v>324</v>
      </c>
      <c r="G262" s="585">
        <v>0.4</v>
      </c>
      <c r="H262" s="585">
        <v>1</v>
      </c>
    </row>
    <row r="263" spans="2:8" hidden="1" outlineLevel="1" collapsed="1">
      <c r="B263" s="401" t="s">
        <v>135</v>
      </c>
      <c r="C263" s="401" t="s">
        <v>136</v>
      </c>
      <c r="D263" s="401" t="s">
        <v>26</v>
      </c>
      <c r="E263" s="401" t="s">
        <v>27</v>
      </c>
      <c r="F263" s="568" t="s">
        <v>1660</v>
      </c>
      <c r="G263" s="583">
        <f>SUM(G264:G266)</f>
        <v>8.4072167695988034E-2</v>
      </c>
      <c r="H263" s="583">
        <f>SUM(H264:H266)</f>
        <v>3</v>
      </c>
    </row>
    <row r="264" spans="2:8" hidden="1" outlineLevel="2">
      <c r="B264" s="383" t="s">
        <v>135</v>
      </c>
      <c r="C264" s="383" t="s">
        <v>136</v>
      </c>
      <c r="D264" s="383" t="s">
        <v>26</v>
      </c>
      <c r="E264" s="383" t="s">
        <v>27</v>
      </c>
      <c r="F264" s="584" t="s">
        <v>137</v>
      </c>
      <c r="G264" s="585">
        <v>6.0248605439999423E-2</v>
      </c>
      <c r="H264" s="585">
        <v>1</v>
      </c>
    </row>
    <row r="265" spans="2:8" hidden="1" outlineLevel="2">
      <c r="B265" s="383" t="s">
        <v>135</v>
      </c>
      <c r="C265" s="383" t="s">
        <v>136</v>
      </c>
      <c r="D265" s="383" t="s">
        <v>26</v>
      </c>
      <c r="E265" s="383" t="s">
        <v>27</v>
      </c>
      <c r="F265" s="584" t="s">
        <v>140</v>
      </c>
      <c r="G265" s="585">
        <v>1.1911781127994301E-2</v>
      </c>
      <c r="H265" s="585">
        <v>1</v>
      </c>
    </row>
    <row r="266" spans="2:8" hidden="1" outlineLevel="2">
      <c r="B266" s="383" t="s">
        <v>135</v>
      </c>
      <c r="C266" s="383" t="s">
        <v>136</v>
      </c>
      <c r="D266" s="383" t="s">
        <v>26</v>
      </c>
      <c r="E266" s="383" t="s">
        <v>27</v>
      </c>
      <c r="F266" s="584" t="s">
        <v>141</v>
      </c>
      <c r="G266" s="585">
        <v>1.1911781127994301E-2</v>
      </c>
      <c r="H266" s="585">
        <v>1</v>
      </c>
    </row>
    <row r="267" spans="2:8" hidden="1" outlineLevel="1" collapsed="1">
      <c r="B267" s="401" t="s">
        <v>142</v>
      </c>
      <c r="C267" s="401" t="s">
        <v>143</v>
      </c>
      <c r="D267" s="401" t="s">
        <v>26</v>
      </c>
      <c r="E267" s="401" t="s">
        <v>27</v>
      </c>
      <c r="F267" s="568" t="s">
        <v>1661</v>
      </c>
      <c r="G267" s="583">
        <f>SUM(G268:G270)</f>
        <v>0.16918995130000003</v>
      </c>
      <c r="H267" s="583">
        <f>SUM(H268:H270)</f>
        <v>3</v>
      </c>
    </row>
    <row r="268" spans="2:8" hidden="1" outlineLevel="2">
      <c r="B268" s="383" t="s">
        <v>142</v>
      </c>
      <c r="C268" s="383" t="s">
        <v>143</v>
      </c>
      <c r="D268" s="383" t="s">
        <v>26</v>
      </c>
      <c r="E268" s="383" t="s">
        <v>27</v>
      </c>
      <c r="F268" s="584" t="s">
        <v>145</v>
      </c>
      <c r="G268" s="585">
        <v>7.0000000000000007E-2</v>
      </c>
      <c r="H268" s="585">
        <v>1</v>
      </c>
    </row>
    <row r="269" spans="2:8" hidden="1" outlineLevel="2">
      <c r="B269" s="383" t="s">
        <v>142</v>
      </c>
      <c r="C269" s="383" t="s">
        <v>143</v>
      </c>
      <c r="D269" s="383" t="s">
        <v>26</v>
      </c>
      <c r="E269" s="383" t="s">
        <v>27</v>
      </c>
      <c r="F269" s="584" t="s">
        <v>137</v>
      </c>
      <c r="G269" s="585">
        <v>5.4103609800000001E-2</v>
      </c>
      <c r="H269" s="585">
        <v>1</v>
      </c>
    </row>
    <row r="270" spans="2:8" hidden="1" outlineLevel="2">
      <c r="B270" s="383" t="s">
        <v>142</v>
      </c>
      <c r="C270" s="383" t="s">
        <v>143</v>
      </c>
      <c r="D270" s="383" t="s">
        <v>26</v>
      </c>
      <c r="E270" s="383" t="s">
        <v>27</v>
      </c>
      <c r="F270" s="584" t="s">
        <v>146</v>
      </c>
      <c r="G270" s="585">
        <v>4.5086341500000002E-2</v>
      </c>
      <c r="H270" s="585">
        <v>1</v>
      </c>
    </row>
    <row r="271" spans="2:8" hidden="1" outlineLevel="1" collapsed="1">
      <c r="B271" s="401" t="s">
        <v>147</v>
      </c>
      <c r="C271" s="401" t="s">
        <v>148</v>
      </c>
      <c r="D271" s="401" t="s">
        <v>26</v>
      </c>
      <c r="E271" s="401" t="s">
        <v>27</v>
      </c>
      <c r="F271" s="568" t="s">
        <v>1662</v>
      </c>
      <c r="G271" s="583">
        <f>SUM(G272:G282)</f>
        <v>1.1200000000000001</v>
      </c>
      <c r="H271" s="583">
        <f>SUM(H272:H282)</f>
        <v>11</v>
      </c>
    </row>
    <row r="272" spans="2:8" hidden="1" outlineLevel="2">
      <c r="B272" s="383" t="s">
        <v>147</v>
      </c>
      <c r="C272" s="383" t="s">
        <v>148</v>
      </c>
      <c r="D272" s="383" t="s">
        <v>26</v>
      </c>
      <c r="E272" s="383" t="s">
        <v>27</v>
      </c>
      <c r="F272" s="584" t="s">
        <v>164</v>
      </c>
      <c r="G272" s="585">
        <v>7.0000000000000007E-2</v>
      </c>
      <c r="H272" s="585">
        <v>1</v>
      </c>
    </row>
    <row r="273" spans="2:8" hidden="1" outlineLevel="2">
      <c r="B273" s="383" t="s">
        <v>147</v>
      </c>
      <c r="C273" s="383" t="s">
        <v>148</v>
      </c>
      <c r="D273" s="383" t="s">
        <v>26</v>
      </c>
      <c r="E273" s="383" t="s">
        <v>27</v>
      </c>
      <c r="F273" s="584" t="s">
        <v>165</v>
      </c>
      <c r="G273" s="585">
        <v>7.0000000000000007E-2</v>
      </c>
      <c r="H273" s="585">
        <v>1</v>
      </c>
    </row>
    <row r="274" spans="2:8" hidden="1" outlineLevel="2">
      <c r="B274" s="383" t="s">
        <v>147</v>
      </c>
      <c r="C274" s="383" t="s">
        <v>148</v>
      </c>
      <c r="D274" s="383" t="s">
        <v>26</v>
      </c>
      <c r="E274" s="383" t="s">
        <v>27</v>
      </c>
      <c r="F274" s="584" t="s">
        <v>166</v>
      </c>
      <c r="G274" s="585">
        <v>7.0000000000000007E-2</v>
      </c>
      <c r="H274" s="585">
        <v>1</v>
      </c>
    </row>
    <row r="275" spans="2:8" hidden="1" outlineLevel="2">
      <c r="B275" s="383" t="s">
        <v>147</v>
      </c>
      <c r="C275" s="383" t="s">
        <v>148</v>
      </c>
      <c r="D275" s="383" t="s">
        <v>26</v>
      </c>
      <c r="E275" s="383" t="s">
        <v>27</v>
      </c>
      <c r="F275" s="584" t="s">
        <v>167</v>
      </c>
      <c r="G275" s="585">
        <v>7.0000000000000007E-2</v>
      </c>
      <c r="H275" s="585">
        <v>1</v>
      </c>
    </row>
    <row r="276" spans="2:8" hidden="1" outlineLevel="2">
      <c r="B276" s="383" t="s">
        <v>147</v>
      </c>
      <c r="C276" s="383" t="s">
        <v>148</v>
      </c>
      <c r="D276" s="383" t="s">
        <v>26</v>
      </c>
      <c r="E276" s="383" t="s">
        <v>27</v>
      </c>
      <c r="F276" s="584" t="s">
        <v>168</v>
      </c>
      <c r="G276" s="585">
        <v>7.0000000000000007E-2</v>
      </c>
      <c r="H276" s="585">
        <v>1</v>
      </c>
    </row>
    <row r="277" spans="2:8" hidden="1" outlineLevel="2">
      <c r="B277" s="383" t="s">
        <v>147</v>
      </c>
      <c r="C277" s="383" t="s">
        <v>148</v>
      </c>
      <c r="D277" s="383" t="s">
        <v>26</v>
      </c>
      <c r="E277" s="383" t="s">
        <v>27</v>
      </c>
      <c r="F277" s="584" t="s">
        <v>169</v>
      </c>
      <c r="G277" s="585">
        <v>7.0000000000000007E-2</v>
      </c>
      <c r="H277" s="585">
        <v>1</v>
      </c>
    </row>
    <row r="278" spans="2:8" hidden="1" outlineLevel="2">
      <c r="B278" s="383" t="s">
        <v>147</v>
      </c>
      <c r="C278" s="383" t="s">
        <v>148</v>
      </c>
      <c r="D278" s="383" t="s">
        <v>26</v>
      </c>
      <c r="E278" s="383" t="s">
        <v>27</v>
      </c>
      <c r="F278" s="584" t="s">
        <v>170</v>
      </c>
      <c r="G278" s="585">
        <v>0.13</v>
      </c>
      <c r="H278" s="585">
        <v>1</v>
      </c>
    </row>
    <row r="279" spans="2:8" hidden="1" outlineLevel="2">
      <c r="B279" s="383" t="s">
        <v>147</v>
      </c>
      <c r="C279" s="383" t="s">
        <v>148</v>
      </c>
      <c r="D279" s="383" t="s">
        <v>26</v>
      </c>
      <c r="E279" s="383" t="s">
        <v>27</v>
      </c>
      <c r="F279" s="584" t="s">
        <v>171</v>
      </c>
      <c r="G279" s="585">
        <v>0.18</v>
      </c>
      <c r="H279" s="585">
        <v>1</v>
      </c>
    </row>
    <row r="280" spans="2:8" hidden="1" outlineLevel="2">
      <c r="B280" s="383" t="s">
        <v>147</v>
      </c>
      <c r="C280" s="383" t="s">
        <v>148</v>
      </c>
      <c r="D280" s="383" t="s">
        <v>26</v>
      </c>
      <c r="E280" s="383" t="s">
        <v>27</v>
      </c>
      <c r="F280" s="584" t="s">
        <v>172</v>
      </c>
      <c r="G280" s="585">
        <v>0.13</v>
      </c>
      <c r="H280" s="585">
        <v>1</v>
      </c>
    </row>
    <row r="281" spans="2:8" hidden="1" outlineLevel="2">
      <c r="B281" s="383" t="s">
        <v>147</v>
      </c>
      <c r="C281" s="383" t="s">
        <v>148</v>
      </c>
      <c r="D281" s="383" t="s">
        <v>26</v>
      </c>
      <c r="E281" s="383" t="s">
        <v>27</v>
      </c>
      <c r="F281" s="584" t="s">
        <v>176</v>
      </c>
      <c r="G281" s="585">
        <v>0.13</v>
      </c>
      <c r="H281" s="585">
        <v>1</v>
      </c>
    </row>
    <row r="282" spans="2:8" hidden="1" outlineLevel="2">
      <c r="B282" s="383" t="s">
        <v>147</v>
      </c>
      <c r="C282" s="383" t="s">
        <v>148</v>
      </c>
      <c r="D282" s="383" t="s">
        <v>26</v>
      </c>
      <c r="E282" s="383" t="s">
        <v>27</v>
      </c>
      <c r="F282" s="584" t="s">
        <v>160</v>
      </c>
      <c r="G282" s="585">
        <v>0.13</v>
      </c>
      <c r="H282" s="585">
        <v>1</v>
      </c>
    </row>
    <row r="283" spans="2:8" hidden="1" outlineLevel="1" collapsed="1">
      <c r="B283" s="401" t="s">
        <v>180</v>
      </c>
      <c r="C283" s="401" t="s">
        <v>23</v>
      </c>
      <c r="D283" s="401" t="s">
        <v>26</v>
      </c>
      <c r="E283" s="401" t="s">
        <v>27</v>
      </c>
      <c r="F283" s="568" t="s">
        <v>1663</v>
      </c>
      <c r="G283" s="583">
        <f>SUM(G284:G287)</f>
        <v>0.28480034280014982</v>
      </c>
      <c r="H283" s="583">
        <f>SUM(H284:H287)</f>
        <v>4</v>
      </c>
    </row>
    <row r="284" spans="2:8" hidden="1" outlineLevel="2">
      <c r="B284" s="383" t="s">
        <v>180</v>
      </c>
      <c r="C284" s="383" t="s">
        <v>23</v>
      </c>
      <c r="D284" s="383" t="s">
        <v>26</v>
      </c>
      <c r="E284" s="383" t="s">
        <v>27</v>
      </c>
      <c r="F284" s="584" t="s">
        <v>193</v>
      </c>
      <c r="G284" s="585">
        <v>9.7617811500000009E-3</v>
      </c>
      <c r="H284" s="585">
        <v>1</v>
      </c>
    </row>
    <row r="285" spans="2:8" hidden="1" outlineLevel="2">
      <c r="B285" s="383" t="s">
        <v>180</v>
      </c>
      <c r="C285" s="383" t="s">
        <v>23</v>
      </c>
      <c r="D285" s="383" t="s">
        <v>26</v>
      </c>
      <c r="E285" s="383" t="s">
        <v>27</v>
      </c>
      <c r="F285" s="584" t="s">
        <v>183</v>
      </c>
      <c r="G285" s="585">
        <v>3.9047124600000004E-2</v>
      </c>
      <c r="H285" s="585">
        <v>1</v>
      </c>
    </row>
    <row r="286" spans="2:8" hidden="1" outlineLevel="2">
      <c r="B286" s="383" t="s">
        <v>180</v>
      </c>
      <c r="C286" s="383" t="s">
        <v>23</v>
      </c>
      <c r="D286" s="383" t="s">
        <v>26</v>
      </c>
      <c r="E286" s="383" t="s">
        <v>27</v>
      </c>
      <c r="F286" s="584" t="s">
        <v>187</v>
      </c>
      <c r="G286" s="585">
        <v>0.11799571852507491</v>
      </c>
      <c r="H286" s="585">
        <v>1</v>
      </c>
    </row>
    <row r="287" spans="2:8" hidden="1" outlineLevel="2">
      <c r="B287" s="383" t="s">
        <v>180</v>
      </c>
      <c r="C287" s="383" t="s">
        <v>23</v>
      </c>
      <c r="D287" s="383" t="s">
        <v>26</v>
      </c>
      <c r="E287" s="383" t="s">
        <v>27</v>
      </c>
      <c r="F287" s="584" t="s">
        <v>188</v>
      </c>
      <c r="G287" s="585">
        <v>0.11799571852507491</v>
      </c>
      <c r="H287" s="585">
        <v>1</v>
      </c>
    </row>
    <row r="288" spans="2:8" hidden="1" outlineLevel="1" collapsed="1">
      <c r="B288" s="401" t="s">
        <v>362</v>
      </c>
      <c r="C288" s="401" t="s">
        <v>363</v>
      </c>
      <c r="D288" s="401" t="s">
        <v>26</v>
      </c>
      <c r="E288" s="401" t="s">
        <v>27</v>
      </c>
      <c r="F288" s="568" t="s">
        <v>1664</v>
      </c>
      <c r="G288" s="583">
        <f>SUM(G289:G291)</f>
        <v>3.257897459827789</v>
      </c>
      <c r="H288" s="583">
        <f>SUM(H289:H291)</f>
        <v>2</v>
      </c>
    </row>
    <row r="289" spans="2:8" hidden="1" outlineLevel="2">
      <c r="B289" s="383" t="s">
        <v>362</v>
      </c>
      <c r="C289" s="383" t="s">
        <v>363</v>
      </c>
      <c r="D289" s="383" t="s">
        <v>26</v>
      </c>
      <c r="E289" s="383" t="s">
        <v>27</v>
      </c>
      <c r="F289" s="584" t="s">
        <v>32</v>
      </c>
      <c r="G289" s="585">
        <v>1.3962417684976238</v>
      </c>
      <c r="H289" s="585">
        <v>1</v>
      </c>
    </row>
    <row r="290" spans="2:8" hidden="1" outlineLevel="2">
      <c r="B290" s="383" t="s">
        <v>362</v>
      </c>
      <c r="C290" s="383" t="s">
        <v>363</v>
      </c>
      <c r="D290" s="383" t="s">
        <v>26</v>
      </c>
      <c r="E290" s="383" t="s">
        <v>27</v>
      </c>
      <c r="F290" s="584" t="s">
        <v>34</v>
      </c>
      <c r="G290" s="585">
        <v>1.8616556913301652</v>
      </c>
      <c r="H290" s="585">
        <v>1</v>
      </c>
    </row>
    <row r="291" spans="2:8" hidden="1" outlineLevel="1">
      <c r="B291" s="383" t="s">
        <v>326</v>
      </c>
      <c r="C291" s="383" t="s">
        <v>327</v>
      </c>
      <c r="D291" s="383" t="s">
        <v>26</v>
      </c>
      <c r="E291" s="383" t="s">
        <v>27</v>
      </c>
      <c r="F291" s="568" t="s">
        <v>1746</v>
      </c>
      <c r="G291" s="585">
        <v>0</v>
      </c>
      <c r="H291" s="585">
        <v>0</v>
      </c>
    </row>
    <row r="292" spans="2:8" hidden="1" outlineLevel="1" collapsed="1">
      <c r="B292" s="401" t="s">
        <v>194</v>
      </c>
      <c r="C292" s="401" t="s">
        <v>136</v>
      </c>
      <c r="D292" s="401" t="s">
        <v>26</v>
      </c>
      <c r="E292" s="401" t="s">
        <v>27</v>
      </c>
      <c r="F292" s="568" t="s">
        <v>1665</v>
      </c>
      <c r="G292" s="583">
        <f>SUM(G293:G297)</f>
        <v>0.38000000000000006</v>
      </c>
      <c r="H292" s="583">
        <f>SUM(H293:H297)</f>
        <v>5</v>
      </c>
    </row>
    <row r="293" spans="2:8" hidden="1" outlineLevel="2">
      <c r="B293" s="383" t="s">
        <v>194</v>
      </c>
      <c r="C293" s="383" t="s">
        <v>136</v>
      </c>
      <c r="D293" s="383" t="s">
        <v>26</v>
      </c>
      <c r="E293" s="383" t="s">
        <v>27</v>
      </c>
      <c r="F293" s="584" t="s">
        <v>197</v>
      </c>
      <c r="G293" s="585">
        <v>0.08</v>
      </c>
      <c r="H293" s="585">
        <v>1</v>
      </c>
    </row>
    <row r="294" spans="2:8" hidden="1" outlineLevel="2">
      <c r="B294" s="383" t="s">
        <v>194</v>
      </c>
      <c r="C294" s="383" t="s">
        <v>136</v>
      </c>
      <c r="D294" s="383" t="s">
        <v>26</v>
      </c>
      <c r="E294" s="383" t="s">
        <v>27</v>
      </c>
      <c r="F294" s="584" t="s">
        <v>198</v>
      </c>
      <c r="G294" s="585">
        <v>0.17</v>
      </c>
      <c r="H294" s="585">
        <v>1</v>
      </c>
    </row>
    <row r="295" spans="2:8" hidden="1" outlineLevel="2">
      <c r="B295" s="383" t="s">
        <v>194</v>
      </c>
      <c r="C295" s="383" t="s">
        <v>136</v>
      </c>
      <c r="D295" s="383" t="s">
        <v>26</v>
      </c>
      <c r="E295" s="383" t="s">
        <v>27</v>
      </c>
      <c r="F295" s="584" t="s">
        <v>137</v>
      </c>
      <c r="G295" s="585">
        <v>0.03</v>
      </c>
      <c r="H295" s="585">
        <v>1</v>
      </c>
    </row>
    <row r="296" spans="2:8" hidden="1" outlineLevel="2">
      <c r="B296" s="383" t="s">
        <v>194</v>
      </c>
      <c r="C296" s="383" t="s">
        <v>136</v>
      </c>
      <c r="D296" s="383" t="s">
        <v>26</v>
      </c>
      <c r="E296" s="383" t="s">
        <v>27</v>
      </c>
      <c r="F296" s="584" t="s">
        <v>146</v>
      </c>
      <c r="G296" s="585">
        <v>0.03</v>
      </c>
      <c r="H296" s="585">
        <v>1</v>
      </c>
    </row>
    <row r="297" spans="2:8" hidden="1" outlineLevel="2">
      <c r="B297" s="383" t="s">
        <v>194</v>
      </c>
      <c r="C297" s="383" t="s">
        <v>136</v>
      </c>
      <c r="D297" s="383" t="s">
        <v>26</v>
      </c>
      <c r="E297" s="383" t="s">
        <v>27</v>
      </c>
      <c r="F297" s="584" t="s">
        <v>199</v>
      </c>
      <c r="G297" s="585">
        <v>7.0000000000000007E-2</v>
      </c>
      <c r="H297" s="585">
        <v>1</v>
      </c>
    </row>
    <row r="298" spans="2:8" hidden="1" outlineLevel="1" collapsed="1">
      <c r="B298" s="401" t="s">
        <v>200</v>
      </c>
      <c r="C298" s="401" t="s">
        <v>200</v>
      </c>
      <c r="D298" s="401" t="s">
        <v>26</v>
      </c>
      <c r="E298" s="401" t="s">
        <v>27</v>
      </c>
      <c r="F298" s="568" t="s">
        <v>1683</v>
      </c>
      <c r="G298" s="583">
        <f>SUM(G299:G302)</f>
        <v>0.80072687637712625</v>
      </c>
      <c r="H298" s="583">
        <f>SUM(H299:H302)</f>
        <v>4</v>
      </c>
    </row>
    <row r="299" spans="2:8" hidden="1" outlineLevel="2">
      <c r="B299" s="383" t="s">
        <v>200</v>
      </c>
      <c r="C299" s="383" t="s">
        <v>200</v>
      </c>
      <c r="D299" s="383" t="s">
        <v>26</v>
      </c>
      <c r="E299" s="383" t="s">
        <v>27</v>
      </c>
      <c r="F299" s="584" t="s">
        <v>96</v>
      </c>
      <c r="G299" s="585">
        <v>0.40295193575893268</v>
      </c>
      <c r="H299" s="585">
        <v>1</v>
      </c>
    </row>
    <row r="300" spans="2:8" hidden="1" outlineLevel="2">
      <c r="B300" s="383" t="s">
        <v>200</v>
      </c>
      <c r="C300" s="383" t="s">
        <v>200</v>
      </c>
      <c r="D300" s="383" t="s">
        <v>26</v>
      </c>
      <c r="E300" s="383" t="s">
        <v>27</v>
      </c>
      <c r="F300" s="584" t="s">
        <v>97</v>
      </c>
      <c r="G300" s="585">
        <v>0.33579327979911056</v>
      </c>
      <c r="H300" s="585">
        <v>1</v>
      </c>
    </row>
    <row r="301" spans="2:8" hidden="1" outlineLevel="2">
      <c r="B301" s="383" t="s">
        <v>200</v>
      </c>
      <c r="C301" s="383" t="s">
        <v>200</v>
      </c>
      <c r="D301" s="383" t="s">
        <v>26</v>
      </c>
      <c r="E301" s="383" t="s">
        <v>27</v>
      </c>
      <c r="F301" s="584" t="s">
        <v>117</v>
      </c>
      <c r="G301" s="585">
        <v>3.0990830409541533E-2</v>
      </c>
      <c r="H301" s="585">
        <v>1</v>
      </c>
    </row>
    <row r="302" spans="2:8" hidden="1" outlineLevel="2">
      <c r="B302" s="383" t="s">
        <v>200</v>
      </c>
      <c r="C302" s="383" t="s">
        <v>200</v>
      </c>
      <c r="D302" s="383" t="s">
        <v>26</v>
      </c>
      <c r="E302" s="383" t="s">
        <v>27</v>
      </c>
      <c r="F302" s="584" t="s">
        <v>118</v>
      </c>
      <c r="G302" s="585">
        <v>3.0990830409541533E-2</v>
      </c>
      <c r="H302" s="585">
        <v>1</v>
      </c>
    </row>
    <row r="303" spans="2:8" hidden="1" outlineLevel="1" collapsed="1">
      <c r="B303" s="401" t="s">
        <v>209</v>
      </c>
      <c r="C303" s="401" t="s">
        <v>80</v>
      </c>
      <c r="D303" s="401" t="s">
        <v>26</v>
      </c>
      <c r="E303" s="401" t="s">
        <v>27</v>
      </c>
      <c r="F303" s="568" t="s">
        <v>1747</v>
      </c>
      <c r="G303" s="583">
        <f>SUM(G304)</f>
        <v>0.03</v>
      </c>
      <c r="H303" s="583">
        <f>SUM(H304)</f>
        <v>1</v>
      </c>
    </row>
    <row r="304" spans="2:8" hidden="1" outlineLevel="2">
      <c r="B304" s="383" t="s">
        <v>209</v>
      </c>
      <c r="C304" s="383" t="s">
        <v>80</v>
      </c>
      <c r="D304" s="383" t="s">
        <v>26</v>
      </c>
      <c r="E304" s="383" t="s">
        <v>27</v>
      </c>
      <c r="F304" s="584" t="s">
        <v>211</v>
      </c>
      <c r="G304" s="585">
        <v>0.03</v>
      </c>
      <c r="H304" s="585">
        <v>1</v>
      </c>
    </row>
    <row r="305" spans="2:8" hidden="1" outlineLevel="1" collapsed="1">
      <c r="B305" s="401" t="s">
        <v>212</v>
      </c>
      <c r="C305" s="401" t="s">
        <v>212</v>
      </c>
      <c r="D305" s="401" t="s">
        <v>26</v>
      </c>
      <c r="E305" s="401" t="s">
        <v>27</v>
      </c>
      <c r="F305" s="568" t="s">
        <v>1684</v>
      </c>
      <c r="G305" s="583">
        <f>SUM(G306:G320)</f>
        <v>3.6357532598400004</v>
      </c>
      <c r="H305" s="583">
        <f>SUM(H306:H320)</f>
        <v>15</v>
      </c>
    </row>
    <row r="306" spans="2:8" hidden="1" outlineLevel="2">
      <c r="B306" s="383" t="s">
        <v>212</v>
      </c>
      <c r="C306" s="383" t="s">
        <v>212</v>
      </c>
      <c r="D306" s="383" t="s">
        <v>26</v>
      </c>
      <c r="E306" s="383" t="s">
        <v>27</v>
      </c>
      <c r="F306" s="584" t="s">
        <v>231</v>
      </c>
      <c r="G306" s="585">
        <v>2.25123394992</v>
      </c>
      <c r="H306" s="585">
        <v>1</v>
      </c>
    </row>
    <row r="307" spans="2:8" hidden="1" outlineLevel="2">
      <c r="B307" s="383" t="s">
        <v>212</v>
      </c>
      <c r="C307" s="383" t="s">
        <v>212</v>
      </c>
      <c r="D307" s="383" t="s">
        <v>26</v>
      </c>
      <c r="E307" s="383" t="s">
        <v>27</v>
      </c>
      <c r="F307" s="584" t="s">
        <v>224</v>
      </c>
      <c r="G307" s="585">
        <v>0.5295810499200001</v>
      </c>
      <c r="H307" s="585">
        <v>1</v>
      </c>
    </row>
    <row r="308" spans="2:8" hidden="1" outlineLevel="2">
      <c r="B308" s="383" t="s">
        <v>212</v>
      </c>
      <c r="C308" s="383" t="s">
        <v>212</v>
      </c>
      <c r="D308" s="383" t="s">
        <v>26</v>
      </c>
      <c r="E308" s="383" t="s">
        <v>27</v>
      </c>
      <c r="F308" s="584" t="s">
        <v>233</v>
      </c>
      <c r="G308" s="585">
        <v>2.5612785000000002E-2</v>
      </c>
      <c r="H308" s="585">
        <v>1</v>
      </c>
    </row>
    <row r="309" spans="2:8" hidden="1" outlineLevel="2">
      <c r="B309" s="383" t="s">
        <v>212</v>
      </c>
      <c r="C309" s="383" t="s">
        <v>212</v>
      </c>
      <c r="D309" s="383" t="s">
        <v>26</v>
      </c>
      <c r="E309" s="383" t="s">
        <v>27</v>
      </c>
      <c r="F309" s="584" t="s">
        <v>236</v>
      </c>
      <c r="G309" s="585">
        <v>0.10833933000000003</v>
      </c>
      <c r="H309" s="585">
        <v>1</v>
      </c>
    </row>
    <row r="310" spans="2:8" hidden="1" outlineLevel="2">
      <c r="B310" s="383" t="s">
        <v>212</v>
      </c>
      <c r="C310" s="383" t="s">
        <v>212</v>
      </c>
      <c r="D310" s="383" t="s">
        <v>26</v>
      </c>
      <c r="E310" s="383" t="s">
        <v>27</v>
      </c>
      <c r="F310" s="584" t="s">
        <v>237</v>
      </c>
      <c r="G310" s="585">
        <v>5.4169665000000013E-2</v>
      </c>
      <c r="H310" s="585">
        <v>1</v>
      </c>
    </row>
    <row r="311" spans="2:8" hidden="1" outlineLevel="2">
      <c r="B311" s="383" t="s">
        <v>212</v>
      </c>
      <c r="C311" s="383" t="s">
        <v>212</v>
      </c>
      <c r="D311" s="383" t="s">
        <v>26</v>
      </c>
      <c r="E311" s="383" t="s">
        <v>27</v>
      </c>
      <c r="F311" s="584" t="s">
        <v>240</v>
      </c>
      <c r="G311" s="585">
        <v>0.10833933000000003</v>
      </c>
      <c r="H311" s="585">
        <v>1</v>
      </c>
    </row>
    <row r="312" spans="2:8" hidden="1" outlineLevel="2">
      <c r="B312" s="383" t="s">
        <v>212</v>
      </c>
      <c r="C312" s="383" t="s">
        <v>212</v>
      </c>
      <c r="D312" s="383" t="s">
        <v>26</v>
      </c>
      <c r="E312" s="383" t="s">
        <v>27</v>
      </c>
      <c r="F312" s="584" t="s">
        <v>242</v>
      </c>
      <c r="G312" s="585">
        <v>5.4169665000000013E-2</v>
      </c>
      <c r="H312" s="585">
        <v>1</v>
      </c>
    </row>
    <row r="313" spans="2:8" hidden="1" outlineLevel="2">
      <c r="B313" s="383" t="s">
        <v>212</v>
      </c>
      <c r="C313" s="383" t="s">
        <v>212</v>
      </c>
      <c r="D313" s="383" t="s">
        <v>26</v>
      </c>
      <c r="E313" s="383" t="s">
        <v>27</v>
      </c>
      <c r="F313" s="584" t="s">
        <v>245</v>
      </c>
      <c r="G313" s="585">
        <v>0.10833933000000003</v>
      </c>
      <c r="H313" s="585">
        <v>1</v>
      </c>
    </row>
    <row r="314" spans="2:8" hidden="1" outlineLevel="2">
      <c r="B314" s="383" t="s">
        <v>212</v>
      </c>
      <c r="C314" s="383" t="s">
        <v>212</v>
      </c>
      <c r="D314" s="383" t="s">
        <v>26</v>
      </c>
      <c r="E314" s="383" t="s">
        <v>27</v>
      </c>
      <c r="F314" s="584" t="s">
        <v>246</v>
      </c>
      <c r="G314" s="585">
        <v>5.4169665000000013E-2</v>
      </c>
      <c r="H314" s="585">
        <v>1</v>
      </c>
    </row>
    <row r="315" spans="2:8" hidden="1" outlineLevel="2">
      <c r="B315" s="383" t="s">
        <v>212</v>
      </c>
      <c r="C315" s="383" t="s">
        <v>212</v>
      </c>
      <c r="D315" s="383" t="s">
        <v>26</v>
      </c>
      <c r="E315" s="383" t="s">
        <v>27</v>
      </c>
      <c r="F315" s="584" t="s">
        <v>250</v>
      </c>
      <c r="G315" s="585">
        <v>0.10833933000000003</v>
      </c>
      <c r="H315" s="585">
        <v>1</v>
      </c>
    </row>
    <row r="316" spans="2:8" hidden="1" outlineLevel="2">
      <c r="B316" s="383" t="s">
        <v>212</v>
      </c>
      <c r="C316" s="383" t="s">
        <v>212</v>
      </c>
      <c r="D316" s="383" t="s">
        <v>26</v>
      </c>
      <c r="E316" s="383" t="s">
        <v>27</v>
      </c>
      <c r="F316" s="584" t="s">
        <v>251</v>
      </c>
      <c r="G316" s="585">
        <v>5.4169665000000013E-2</v>
      </c>
      <c r="H316" s="585">
        <v>1</v>
      </c>
    </row>
    <row r="317" spans="2:8" hidden="1" outlineLevel="2">
      <c r="B317" s="383" t="s">
        <v>212</v>
      </c>
      <c r="C317" s="383" t="s">
        <v>212</v>
      </c>
      <c r="D317" s="383" t="s">
        <v>26</v>
      </c>
      <c r="E317" s="383" t="s">
        <v>27</v>
      </c>
      <c r="F317" s="584" t="s">
        <v>254</v>
      </c>
      <c r="G317" s="585">
        <v>5.1225570000000005E-2</v>
      </c>
      <c r="H317" s="585">
        <v>1</v>
      </c>
    </row>
    <row r="318" spans="2:8" hidden="1" outlineLevel="2">
      <c r="B318" s="383" t="s">
        <v>212</v>
      </c>
      <c r="C318" s="383" t="s">
        <v>212</v>
      </c>
      <c r="D318" s="383" t="s">
        <v>26</v>
      </c>
      <c r="E318" s="383" t="s">
        <v>27</v>
      </c>
      <c r="F318" s="584" t="s">
        <v>255</v>
      </c>
      <c r="G318" s="585">
        <v>5.1225570000000005E-2</v>
      </c>
      <c r="H318" s="585">
        <v>1</v>
      </c>
    </row>
    <row r="319" spans="2:8" hidden="1" outlineLevel="2">
      <c r="B319" s="383" t="s">
        <v>212</v>
      </c>
      <c r="C319" s="383" t="s">
        <v>212</v>
      </c>
      <c r="D319" s="383" t="s">
        <v>26</v>
      </c>
      <c r="E319" s="383" t="s">
        <v>27</v>
      </c>
      <c r="F319" s="584" t="s">
        <v>256</v>
      </c>
      <c r="G319" s="585">
        <v>5.1225570000000005E-2</v>
      </c>
      <c r="H319" s="585">
        <v>1</v>
      </c>
    </row>
    <row r="320" spans="2:8" hidden="1" outlineLevel="2">
      <c r="B320" s="383" t="s">
        <v>212</v>
      </c>
      <c r="C320" s="383" t="s">
        <v>212</v>
      </c>
      <c r="D320" s="383" t="s">
        <v>26</v>
      </c>
      <c r="E320" s="383" t="s">
        <v>27</v>
      </c>
      <c r="F320" s="584" t="s">
        <v>257</v>
      </c>
      <c r="G320" s="585">
        <v>2.5612785000000002E-2</v>
      </c>
      <c r="H320" s="585">
        <v>1</v>
      </c>
    </row>
    <row r="321" spans="2:8" hidden="1" outlineLevel="1" collapsed="1">
      <c r="B321" s="401" t="s">
        <v>263</v>
      </c>
      <c r="C321" s="401" t="s">
        <v>263</v>
      </c>
      <c r="D321" s="401" t="s">
        <v>26</v>
      </c>
      <c r="E321" s="401" t="s">
        <v>27</v>
      </c>
      <c r="F321" s="568" t="s">
        <v>1685</v>
      </c>
      <c r="G321" s="583">
        <f>SUM(G322:G327)</f>
        <v>0.34545700083561953</v>
      </c>
      <c r="H321" s="583">
        <f>SUM(H322:H327)</f>
        <v>6</v>
      </c>
    </row>
    <row r="322" spans="2:8" hidden="1" outlineLevel="2">
      <c r="B322" s="383" t="s">
        <v>263</v>
      </c>
      <c r="C322" s="383" t="s">
        <v>263</v>
      </c>
      <c r="D322" s="383" t="s">
        <v>26</v>
      </c>
      <c r="E322" s="383" t="s">
        <v>27</v>
      </c>
      <c r="F322" s="584" t="s">
        <v>271</v>
      </c>
      <c r="G322" s="585">
        <v>0.20115878538561949</v>
      </c>
      <c r="H322" s="585">
        <v>1</v>
      </c>
    </row>
    <row r="323" spans="2:8" hidden="1" outlineLevel="2">
      <c r="B323" s="383" t="s">
        <v>263</v>
      </c>
      <c r="C323" s="383" t="s">
        <v>263</v>
      </c>
      <c r="D323" s="383" t="s">
        <v>26</v>
      </c>
      <c r="E323" s="383" t="s">
        <v>27</v>
      </c>
      <c r="F323" s="584" t="s">
        <v>73</v>
      </c>
      <c r="G323" s="585">
        <v>5.8456730700000001E-2</v>
      </c>
      <c r="H323" s="585">
        <v>1</v>
      </c>
    </row>
    <row r="324" spans="2:8" hidden="1" outlineLevel="2">
      <c r="B324" s="383" t="s">
        <v>263</v>
      </c>
      <c r="C324" s="383" t="s">
        <v>263</v>
      </c>
      <c r="D324" s="383" t="s">
        <v>26</v>
      </c>
      <c r="E324" s="383" t="s">
        <v>27</v>
      </c>
      <c r="F324" s="584" t="s">
        <v>24</v>
      </c>
      <c r="G324" s="585">
        <v>4.8713942250000003E-2</v>
      </c>
      <c r="H324" s="585">
        <v>1</v>
      </c>
    </row>
    <row r="325" spans="2:8" hidden="1" outlineLevel="2">
      <c r="B325" s="383" t="s">
        <v>263</v>
      </c>
      <c r="C325" s="383" t="s">
        <v>263</v>
      </c>
      <c r="D325" s="383" t="s">
        <v>26</v>
      </c>
      <c r="E325" s="383" t="s">
        <v>27</v>
      </c>
      <c r="F325" s="584" t="s">
        <v>205</v>
      </c>
      <c r="G325" s="585">
        <v>2.5989279749999997E-2</v>
      </c>
      <c r="H325" s="585">
        <v>1</v>
      </c>
    </row>
    <row r="326" spans="2:8" hidden="1" outlineLevel="2">
      <c r="B326" s="383" t="s">
        <v>263</v>
      </c>
      <c r="C326" s="383" t="s">
        <v>263</v>
      </c>
      <c r="D326" s="383" t="s">
        <v>26</v>
      </c>
      <c r="E326" s="383" t="s">
        <v>27</v>
      </c>
      <c r="F326" s="584" t="s">
        <v>117</v>
      </c>
      <c r="G326" s="585">
        <v>3.7127542499999998E-3</v>
      </c>
      <c r="H326" s="585">
        <v>1</v>
      </c>
    </row>
    <row r="327" spans="2:8" hidden="1" outlineLevel="2">
      <c r="B327" s="383" t="s">
        <v>263</v>
      </c>
      <c r="C327" s="383" t="s">
        <v>263</v>
      </c>
      <c r="D327" s="383" t="s">
        <v>26</v>
      </c>
      <c r="E327" s="383" t="s">
        <v>27</v>
      </c>
      <c r="F327" s="584" t="s">
        <v>273</v>
      </c>
      <c r="G327" s="585">
        <v>7.4255085000000005E-3</v>
      </c>
      <c r="H327" s="585">
        <v>1</v>
      </c>
    </row>
    <row r="328" spans="2:8" hidden="1" outlineLevel="1">
      <c r="B328" s="401" t="s">
        <v>276</v>
      </c>
      <c r="C328" s="401" t="s">
        <v>276</v>
      </c>
      <c r="D328" s="401" t="s">
        <v>26</v>
      </c>
      <c r="E328" s="401" t="s">
        <v>27</v>
      </c>
      <c r="F328" s="568" t="s">
        <v>1686</v>
      </c>
      <c r="G328" s="583">
        <v>0</v>
      </c>
      <c r="H328" s="583">
        <v>0</v>
      </c>
    </row>
    <row r="329" spans="2:8" hidden="1" outlineLevel="1">
      <c r="B329" s="401" t="s">
        <v>285</v>
      </c>
      <c r="C329" s="401" t="s">
        <v>285</v>
      </c>
      <c r="D329" s="401" t="s">
        <v>26</v>
      </c>
      <c r="E329" s="401" t="s">
        <v>27</v>
      </c>
      <c r="F329" s="568" t="s">
        <v>1692</v>
      </c>
      <c r="G329" s="583">
        <v>0</v>
      </c>
      <c r="H329" s="583">
        <v>0</v>
      </c>
    </row>
    <row r="330" spans="2:8" hidden="1" outlineLevel="1">
      <c r="B330" s="401" t="s">
        <v>288</v>
      </c>
      <c r="C330" s="401" t="s">
        <v>288</v>
      </c>
      <c r="D330" s="401" t="s">
        <v>26</v>
      </c>
      <c r="E330" s="401" t="s">
        <v>27</v>
      </c>
      <c r="F330" s="568" t="s">
        <v>1695</v>
      </c>
      <c r="G330" s="583">
        <v>0</v>
      </c>
      <c r="H330" s="583">
        <v>0</v>
      </c>
    </row>
    <row r="331" spans="2:8" hidden="1" outlineLevel="1" collapsed="1">
      <c r="B331" s="401" t="s">
        <v>290</v>
      </c>
      <c r="C331" s="401" t="s">
        <v>291</v>
      </c>
      <c r="D331" s="401" t="s">
        <v>26</v>
      </c>
      <c r="E331" s="401" t="s">
        <v>27</v>
      </c>
      <c r="F331" s="568" t="s">
        <v>1666</v>
      </c>
      <c r="G331" s="583">
        <f>SUM(G332)</f>
        <v>1.9200000000000002E-2</v>
      </c>
      <c r="H331" s="583">
        <f>SUM(H332)</f>
        <v>1</v>
      </c>
    </row>
    <row r="332" spans="2:8" hidden="1" outlineLevel="2">
      <c r="B332" s="383" t="s">
        <v>290</v>
      </c>
      <c r="C332" s="383" t="s">
        <v>291</v>
      </c>
      <c r="D332" s="383" t="s">
        <v>26</v>
      </c>
      <c r="E332" s="383" t="s">
        <v>27</v>
      </c>
      <c r="F332" s="584" t="s">
        <v>279</v>
      </c>
      <c r="G332" s="585">
        <v>1.9200000000000002E-2</v>
      </c>
      <c r="H332" s="585">
        <v>1</v>
      </c>
    </row>
    <row r="333" spans="2:8" hidden="1" outlineLevel="1" collapsed="1">
      <c r="B333" s="401" t="s">
        <v>293</v>
      </c>
      <c r="C333" s="401" t="s">
        <v>294</v>
      </c>
      <c r="D333" s="401" t="s">
        <v>26</v>
      </c>
      <c r="E333" s="401" t="s">
        <v>27</v>
      </c>
      <c r="F333" s="568" t="s">
        <v>1667</v>
      </c>
      <c r="G333" s="583">
        <f>SUM(G334:G336)</f>
        <v>0.22284000000000001</v>
      </c>
      <c r="H333" s="583">
        <f>SUM(H334:H336)</f>
        <v>3</v>
      </c>
    </row>
    <row r="334" spans="2:8" hidden="1" outlineLevel="2">
      <c r="B334" s="383" t="s">
        <v>293</v>
      </c>
      <c r="C334" s="383" t="s">
        <v>294</v>
      </c>
      <c r="D334" s="383" t="s">
        <v>26</v>
      </c>
      <c r="E334" s="383" t="s">
        <v>27</v>
      </c>
      <c r="F334" s="584" t="s">
        <v>280</v>
      </c>
      <c r="G334" s="585">
        <v>5.9424000000000005E-2</v>
      </c>
      <c r="H334" s="585">
        <v>1</v>
      </c>
    </row>
    <row r="335" spans="2:8" hidden="1" outlineLevel="2">
      <c r="B335" s="383" t="s">
        <v>293</v>
      </c>
      <c r="C335" s="383" t="s">
        <v>294</v>
      </c>
      <c r="D335" s="383" t="s">
        <v>26</v>
      </c>
      <c r="E335" s="383" t="s">
        <v>27</v>
      </c>
      <c r="F335" s="584" t="s">
        <v>281</v>
      </c>
      <c r="G335" s="585">
        <v>0.14856</v>
      </c>
      <c r="H335" s="585">
        <v>1</v>
      </c>
    </row>
    <row r="336" spans="2:8" hidden="1" outlineLevel="2">
      <c r="B336" s="383" t="s">
        <v>293</v>
      </c>
      <c r="C336" s="383" t="s">
        <v>294</v>
      </c>
      <c r="D336" s="383" t="s">
        <v>26</v>
      </c>
      <c r="E336" s="383" t="s">
        <v>27</v>
      </c>
      <c r="F336" s="584" t="s">
        <v>287</v>
      </c>
      <c r="G336" s="585">
        <v>1.4856000000000001E-2</v>
      </c>
      <c r="H336" s="585">
        <v>1</v>
      </c>
    </row>
    <row r="337" spans="2:8" hidden="1" outlineLevel="1">
      <c r="B337" s="401" t="s">
        <v>305</v>
      </c>
      <c r="C337" s="401" t="s">
        <v>306</v>
      </c>
      <c r="D337" s="401" t="s">
        <v>26</v>
      </c>
      <c r="E337" s="401" t="s">
        <v>27</v>
      </c>
      <c r="F337" s="568" t="s">
        <v>1668</v>
      </c>
      <c r="G337" s="583">
        <v>0</v>
      </c>
      <c r="H337" s="583">
        <v>0</v>
      </c>
    </row>
    <row r="338" spans="2:8" hidden="1" outlineLevel="1" collapsed="1">
      <c r="B338" s="401" t="s">
        <v>512</v>
      </c>
      <c r="C338" s="401" t="s">
        <v>512</v>
      </c>
      <c r="D338" s="401" t="s">
        <v>26</v>
      </c>
      <c r="E338" s="401" t="s">
        <v>27</v>
      </c>
      <c r="F338" s="568" t="s">
        <v>1749</v>
      </c>
      <c r="G338" s="583">
        <f>SUM(G339)</f>
        <v>0</v>
      </c>
      <c r="H338" s="583">
        <f>SUM(H339)</f>
        <v>1</v>
      </c>
    </row>
    <row r="339" spans="2:8" hidden="1" outlineLevel="2">
      <c r="B339" s="383" t="s">
        <v>512</v>
      </c>
      <c r="C339" s="383" t="s">
        <v>512</v>
      </c>
      <c r="D339" s="383" t="s">
        <v>26</v>
      </c>
      <c r="E339" s="383" t="s">
        <v>27</v>
      </c>
      <c r="F339" s="584" t="s">
        <v>279</v>
      </c>
      <c r="G339" s="585"/>
      <c r="H339" s="585">
        <v>1</v>
      </c>
    </row>
    <row r="340" spans="2:8" hidden="1" outlineLevel="1" collapsed="1">
      <c r="B340" s="401" t="s">
        <v>516</v>
      </c>
      <c r="C340" s="401" t="s">
        <v>517</v>
      </c>
      <c r="D340" s="401" t="s">
        <v>26</v>
      </c>
      <c r="E340" s="401" t="s">
        <v>27</v>
      </c>
      <c r="F340" s="568" t="s">
        <v>1677</v>
      </c>
      <c r="G340" s="583">
        <f>SUM(G341)</f>
        <v>0.19</v>
      </c>
      <c r="H340" s="583">
        <f>SUM(H341)</f>
        <v>1</v>
      </c>
    </row>
    <row r="341" spans="2:8" hidden="1" outlineLevel="2">
      <c r="B341" s="383" t="s">
        <v>516</v>
      </c>
      <c r="C341" s="383" t="s">
        <v>517</v>
      </c>
      <c r="D341" s="383" t="s">
        <v>26</v>
      </c>
      <c r="E341" s="383" t="s">
        <v>27</v>
      </c>
      <c r="F341" s="584" t="s">
        <v>279</v>
      </c>
      <c r="G341" s="585">
        <v>0.19</v>
      </c>
      <c r="H341" s="585">
        <v>1</v>
      </c>
    </row>
    <row r="342" spans="2:8" hidden="1" outlineLevel="1" collapsed="1">
      <c r="B342" s="401" t="s">
        <v>330</v>
      </c>
      <c r="C342" s="401" t="s">
        <v>80</v>
      </c>
      <c r="D342" s="401" t="s">
        <v>26</v>
      </c>
      <c r="E342" s="401" t="s">
        <v>27</v>
      </c>
      <c r="F342" s="568" t="s">
        <v>1669</v>
      </c>
      <c r="G342" s="583">
        <f>SUM(G343)</f>
        <v>0.17172000000000001</v>
      </c>
      <c r="H342" s="583">
        <f>SUM(H343)</f>
        <v>1</v>
      </c>
    </row>
    <row r="343" spans="2:8" hidden="1" outlineLevel="2">
      <c r="B343" s="383" t="s">
        <v>330</v>
      </c>
      <c r="C343" s="383" t="s">
        <v>80</v>
      </c>
      <c r="D343" s="383" t="s">
        <v>26</v>
      </c>
      <c r="E343" s="383" t="s">
        <v>27</v>
      </c>
      <c r="F343" s="584" t="s">
        <v>32</v>
      </c>
      <c r="G343" s="585">
        <v>0.17172000000000001</v>
      </c>
      <c r="H343" s="585">
        <v>1</v>
      </c>
    </row>
    <row r="344" spans="2:8" hidden="1" outlineLevel="1" collapsed="1">
      <c r="B344" s="401" t="s">
        <v>349</v>
      </c>
      <c r="C344" s="401" t="s">
        <v>30</v>
      </c>
      <c r="D344" s="401" t="s">
        <v>26</v>
      </c>
      <c r="E344" s="401" t="s">
        <v>27</v>
      </c>
      <c r="F344" s="568" t="s">
        <v>1678</v>
      </c>
      <c r="G344" s="583">
        <f>SUM(G345)</f>
        <v>7.8635040000000003E-2</v>
      </c>
      <c r="H344" s="583">
        <f>SUM(H345)</f>
        <v>1</v>
      </c>
    </row>
    <row r="345" spans="2:8" hidden="1" outlineLevel="2">
      <c r="B345" s="383" t="s">
        <v>349</v>
      </c>
      <c r="C345" s="383" t="s">
        <v>30</v>
      </c>
      <c r="D345" s="383" t="s">
        <v>26</v>
      </c>
      <c r="E345" s="383" t="s">
        <v>27</v>
      </c>
      <c r="F345" s="584" t="s">
        <v>32</v>
      </c>
      <c r="G345" s="585">
        <v>7.8635040000000003E-2</v>
      </c>
      <c r="H345" s="585">
        <v>1</v>
      </c>
    </row>
    <row r="346" spans="2:8" hidden="1" outlineLevel="1" collapsed="1">
      <c r="B346" s="401" t="s">
        <v>398</v>
      </c>
      <c r="C346" s="401" t="s">
        <v>398</v>
      </c>
      <c r="D346" s="401" t="s">
        <v>26</v>
      </c>
      <c r="E346" s="401" t="s">
        <v>27</v>
      </c>
      <c r="F346" s="568" t="s">
        <v>1670</v>
      </c>
      <c r="G346" s="583">
        <f>SUM(G347:G348)</f>
        <v>2.0244304000000004</v>
      </c>
      <c r="H346" s="583">
        <f>SUM(H347:H348)</f>
        <v>2</v>
      </c>
    </row>
    <row r="347" spans="2:8" hidden="1" outlineLevel="2">
      <c r="B347" s="383" t="s">
        <v>398</v>
      </c>
      <c r="C347" s="383" t="s">
        <v>398</v>
      </c>
      <c r="D347" s="383" t="s">
        <v>26</v>
      </c>
      <c r="E347" s="383" t="s">
        <v>27</v>
      </c>
      <c r="F347" s="584" t="s">
        <v>32</v>
      </c>
      <c r="G347" s="585">
        <v>1.5183228000000002</v>
      </c>
      <c r="H347" s="585">
        <v>1</v>
      </c>
    </row>
    <row r="348" spans="2:8" hidden="1" outlineLevel="2">
      <c r="B348" s="383" t="s">
        <v>398</v>
      </c>
      <c r="C348" s="383" t="s">
        <v>398</v>
      </c>
      <c r="D348" s="383" t="s">
        <v>26</v>
      </c>
      <c r="E348" s="383" t="s">
        <v>27</v>
      </c>
      <c r="F348" s="584" t="s">
        <v>197</v>
      </c>
      <c r="G348" s="585">
        <v>0.5061076000000001</v>
      </c>
      <c r="H348" s="585">
        <v>1</v>
      </c>
    </row>
    <row r="349" spans="2:8" hidden="1" outlineLevel="1" collapsed="1">
      <c r="B349" s="401" t="s">
        <v>440</v>
      </c>
      <c r="C349" s="401" t="s">
        <v>440</v>
      </c>
      <c r="D349" s="401" t="s">
        <v>26</v>
      </c>
      <c r="E349" s="401" t="s">
        <v>27</v>
      </c>
      <c r="F349" s="568" t="s">
        <v>1681</v>
      </c>
      <c r="G349" s="583">
        <f>SUM(G350)</f>
        <v>1.5621756360000001</v>
      </c>
      <c r="H349" s="583">
        <f>SUM(H350)</f>
        <v>1</v>
      </c>
    </row>
    <row r="350" spans="2:8" hidden="1" outlineLevel="2">
      <c r="B350" s="383" t="s">
        <v>440</v>
      </c>
      <c r="C350" s="383" t="s">
        <v>440</v>
      </c>
      <c r="D350" s="383" t="s">
        <v>26</v>
      </c>
      <c r="E350" s="383" t="s">
        <v>27</v>
      </c>
      <c r="F350" s="584" t="s">
        <v>32</v>
      </c>
      <c r="G350" s="585">
        <v>1.5621756360000001</v>
      </c>
      <c r="H350" s="585">
        <v>1</v>
      </c>
    </row>
    <row r="351" spans="2:8" hidden="1" outlineLevel="1" collapsed="1">
      <c r="B351" s="401" t="s">
        <v>447</v>
      </c>
      <c r="C351" s="401" t="s">
        <v>447</v>
      </c>
      <c r="D351" s="401" t="s">
        <v>26</v>
      </c>
      <c r="E351" s="401" t="s">
        <v>27</v>
      </c>
      <c r="F351" s="568" t="s">
        <v>1679</v>
      </c>
      <c r="G351" s="583">
        <f>SUM(G352)</f>
        <v>0.52072521199999999</v>
      </c>
      <c r="H351" s="583">
        <f>SUM(H352)</f>
        <v>1</v>
      </c>
    </row>
    <row r="352" spans="2:8" hidden="1" outlineLevel="2">
      <c r="B352" s="383" t="s">
        <v>447</v>
      </c>
      <c r="C352" s="383" t="s">
        <v>447</v>
      </c>
      <c r="D352" s="383" t="s">
        <v>26</v>
      </c>
      <c r="E352" s="383" t="s">
        <v>27</v>
      </c>
      <c r="F352" s="584" t="s">
        <v>32</v>
      </c>
      <c r="G352" s="585">
        <v>0.52072521199999999</v>
      </c>
      <c r="H352" s="585">
        <v>1</v>
      </c>
    </row>
    <row r="353" spans="2:8" hidden="1" outlineLevel="1" collapsed="1">
      <c r="B353" s="401" t="s">
        <v>319</v>
      </c>
      <c r="C353" s="401" t="s">
        <v>319</v>
      </c>
      <c r="D353" s="401" t="s">
        <v>26</v>
      </c>
      <c r="E353" s="401" t="s">
        <v>27</v>
      </c>
      <c r="F353" s="568" t="s">
        <v>1680</v>
      </c>
      <c r="G353" s="583">
        <f>SUM(G354:G356)</f>
        <v>0.57240000000000002</v>
      </c>
      <c r="H353" s="583">
        <f>SUM(H354:H356)</f>
        <v>3</v>
      </c>
    </row>
    <row r="354" spans="2:8" hidden="1" outlineLevel="2">
      <c r="B354" s="383" t="s">
        <v>319</v>
      </c>
      <c r="C354" s="383" t="s">
        <v>319</v>
      </c>
      <c r="D354" s="383" t="s">
        <v>26</v>
      </c>
      <c r="E354" s="383" t="s">
        <v>27</v>
      </c>
      <c r="F354" s="584" t="s">
        <v>32</v>
      </c>
      <c r="G354" s="585">
        <v>0.1431</v>
      </c>
      <c r="H354" s="585">
        <v>1</v>
      </c>
    </row>
    <row r="355" spans="2:8" hidden="1" outlineLevel="2">
      <c r="B355" s="383" t="s">
        <v>319</v>
      </c>
      <c r="C355" s="383" t="s">
        <v>319</v>
      </c>
      <c r="D355" s="383" t="s">
        <v>26</v>
      </c>
      <c r="E355" s="383" t="s">
        <v>27</v>
      </c>
      <c r="F355" s="584" t="s">
        <v>34</v>
      </c>
      <c r="G355" s="585">
        <v>0.28620000000000001</v>
      </c>
      <c r="H355" s="585">
        <v>1</v>
      </c>
    </row>
    <row r="356" spans="2:8" hidden="1" outlineLevel="2">
      <c r="B356" s="383" t="s">
        <v>319</v>
      </c>
      <c r="C356" s="383" t="s">
        <v>319</v>
      </c>
      <c r="D356" s="383" t="s">
        <v>26</v>
      </c>
      <c r="E356" s="383" t="s">
        <v>27</v>
      </c>
      <c r="F356" s="584" t="s">
        <v>471</v>
      </c>
      <c r="G356" s="585">
        <v>0.1431</v>
      </c>
      <c r="H356" s="585">
        <v>1</v>
      </c>
    </row>
    <row r="357" spans="2:8" hidden="1" outlineLevel="1" collapsed="1">
      <c r="B357" s="401" t="s">
        <v>474</v>
      </c>
      <c r="C357" s="401" t="s">
        <v>136</v>
      </c>
      <c r="D357" s="401" t="s">
        <v>26</v>
      </c>
      <c r="E357" s="401" t="s">
        <v>27</v>
      </c>
      <c r="F357" s="568" t="s">
        <v>1687</v>
      </c>
      <c r="G357" s="583">
        <f>SUM(G358:G359)</f>
        <v>0.72504000000000002</v>
      </c>
      <c r="H357" s="583">
        <f>SUM(H358:H359)</f>
        <v>2</v>
      </c>
    </row>
    <row r="358" spans="2:8" hidden="1" outlineLevel="2">
      <c r="B358" s="383" t="s">
        <v>474</v>
      </c>
      <c r="C358" s="383" t="s">
        <v>136</v>
      </c>
      <c r="D358" s="383" t="s">
        <v>26</v>
      </c>
      <c r="E358" s="383" t="s">
        <v>27</v>
      </c>
      <c r="F358" s="584" t="s">
        <v>32</v>
      </c>
      <c r="G358" s="585">
        <v>0.36252000000000001</v>
      </c>
      <c r="H358" s="585">
        <v>1</v>
      </c>
    </row>
    <row r="359" spans="2:8" hidden="1" outlineLevel="2">
      <c r="B359" s="383" t="s">
        <v>474</v>
      </c>
      <c r="C359" s="383" t="s">
        <v>136</v>
      </c>
      <c r="D359" s="383" t="s">
        <v>26</v>
      </c>
      <c r="E359" s="383" t="s">
        <v>27</v>
      </c>
      <c r="F359" s="584" t="s">
        <v>471</v>
      </c>
      <c r="G359" s="585">
        <v>0.36252000000000001</v>
      </c>
      <c r="H359" s="585">
        <v>1</v>
      </c>
    </row>
    <row r="360" spans="2:8" hidden="1" outlineLevel="1" collapsed="1">
      <c r="B360" s="401" t="s">
        <v>486</v>
      </c>
      <c r="C360" s="401" t="s">
        <v>136</v>
      </c>
      <c r="D360" s="401" t="s">
        <v>26</v>
      </c>
      <c r="E360" s="401" t="s">
        <v>27</v>
      </c>
      <c r="F360" s="568" t="s">
        <v>1688</v>
      </c>
      <c r="G360" s="583">
        <f>SUM(G361)</f>
        <v>0.20033977216751808</v>
      </c>
      <c r="H360" s="583">
        <f>SUM(H361)</f>
        <v>1</v>
      </c>
    </row>
    <row r="361" spans="2:8" hidden="1" outlineLevel="2">
      <c r="B361" s="383" t="s">
        <v>486</v>
      </c>
      <c r="C361" s="383" t="s">
        <v>136</v>
      </c>
      <c r="D361" s="383" t="s">
        <v>26</v>
      </c>
      <c r="E361" s="383" t="s">
        <v>27</v>
      </c>
      <c r="F361" s="584" t="s">
        <v>32</v>
      </c>
      <c r="G361" s="585">
        <v>0.20033977216751808</v>
      </c>
      <c r="H361" s="585">
        <v>1</v>
      </c>
    </row>
    <row r="362" spans="2:8" hidden="1" outlineLevel="1" collapsed="1">
      <c r="B362" s="401" t="s">
        <v>490</v>
      </c>
      <c r="C362" s="401" t="s">
        <v>136</v>
      </c>
      <c r="D362" s="401" t="s">
        <v>26</v>
      </c>
      <c r="E362" s="401" t="s">
        <v>27</v>
      </c>
      <c r="F362" s="568" t="s">
        <v>1689</v>
      </c>
      <c r="G362" s="583">
        <f>SUM(G363:G366)</f>
        <v>0.5747066038098001</v>
      </c>
      <c r="H362" s="583">
        <f>SUM(H363:H366)</f>
        <v>4</v>
      </c>
    </row>
    <row r="363" spans="2:8" hidden="1" outlineLevel="2">
      <c r="B363" s="383" t="s">
        <v>490</v>
      </c>
      <c r="C363" s="383" t="s">
        <v>136</v>
      </c>
      <c r="D363" s="383" t="s">
        <v>26</v>
      </c>
      <c r="E363" s="383" t="s">
        <v>27</v>
      </c>
      <c r="F363" s="584" t="s">
        <v>32</v>
      </c>
      <c r="G363" s="585">
        <v>0.12908390889240001</v>
      </c>
      <c r="H363" s="585">
        <v>1</v>
      </c>
    </row>
    <row r="364" spans="2:8" hidden="1" outlineLevel="2">
      <c r="B364" s="383" t="s">
        <v>490</v>
      </c>
      <c r="C364" s="383" t="s">
        <v>136</v>
      </c>
      <c r="D364" s="383" t="s">
        <v>26</v>
      </c>
      <c r="E364" s="383" t="s">
        <v>27</v>
      </c>
      <c r="F364" s="584" t="s">
        <v>34</v>
      </c>
      <c r="G364" s="585">
        <v>0.25816781778480002</v>
      </c>
      <c r="H364" s="585">
        <v>1</v>
      </c>
    </row>
    <row r="365" spans="2:8" hidden="1" outlineLevel="2">
      <c r="B365" s="383" t="s">
        <v>490</v>
      </c>
      <c r="C365" s="383" t="s">
        <v>136</v>
      </c>
      <c r="D365" s="383" t="s">
        <v>26</v>
      </c>
      <c r="E365" s="383" t="s">
        <v>27</v>
      </c>
      <c r="F365" s="584" t="s">
        <v>471</v>
      </c>
      <c r="G365" s="585">
        <v>0.12908390889240001</v>
      </c>
      <c r="H365" s="585">
        <v>1</v>
      </c>
    </row>
    <row r="366" spans="2:8" hidden="1" outlineLevel="2">
      <c r="B366" s="383" t="s">
        <v>490</v>
      </c>
      <c r="C366" s="383" t="s">
        <v>136</v>
      </c>
      <c r="D366" s="383" t="s">
        <v>26</v>
      </c>
      <c r="E366" s="383" t="s">
        <v>27</v>
      </c>
      <c r="F366" s="584" t="s">
        <v>494</v>
      </c>
      <c r="G366" s="585">
        <v>5.8370968240200008E-2</v>
      </c>
      <c r="H366" s="585">
        <v>1</v>
      </c>
    </row>
    <row r="367" spans="2:8" hidden="1" outlineLevel="1">
      <c r="B367" s="401" t="s">
        <v>498</v>
      </c>
      <c r="C367" s="401" t="s">
        <v>136</v>
      </c>
      <c r="D367" s="401" t="s">
        <v>26</v>
      </c>
      <c r="E367" s="401" t="s">
        <v>27</v>
      </c>
      <c r="F367" s="568" t="s">
        <v>1690</v>
      </c>
      <c r="G367" s="583">
        <v>0</v>
      </c>
      <c r="H367" s="583">
        <v>0</v>
      </c>
    </row>
    <row r="368" spans="2:8" hidden="1" outlineLevel="1">
      <c r="B368" s="401" t="s">
        <v>503</v>
      </c>
      <c r="C368" s="401" t="s">
        <v>503</v>
      </c>
      <c r="D368" s="401" t="s">
        <v>26</v>
      </c>
      <c r="E368" s="401" t="s">
        <v>27</v>
      </c>
      <c r="F368" s="568" t="s">
        <v>1691</v>
      </c>
      <c r="G368" s="583">
        <v>0</v>
      </c>
      <c r="H368" s="583">
        <v>0</v>
      </c>
    </row>
    <row r="369" spans="1:12" hidden="1" outlineLevel="1">
      <c r="B369" s="401" t="s">
        <v>510</v>
      </c>
      <c r="C369" s="401" t="s">
        <v>510</v>
      </c>
      <c r="D369" s="401" t="s">
        <v>26</v>
      </c>
      <c r="E369" s="401" t="s">
        <v>27</v>
      </c>
      <c r="F369" s="568" t="s">
        <v>1675</v>
      </c>
      <c r="G369" s="583">
        <v>0</v>
      </c>
      <c r="H369" s="583">
        <v>0</v>
      </c>
    </row>
    <row r="370" spans="1:12" hidden="1" outlineLevel="1" collapsed="1">
      <c r="B370" s="401" t="s">
        <v>297</v>
      </c>
      <c r="C370" s="401" t="s">
        <v>298</v>
      </c>
      <c r="D370" s="401" t="s">
        <v>26</v>
      </c>
      <c r="E370" s="401" t="s">
        <v>27</v>
      </c>
      <c r="F370" s="568" t="s">
        <v>1702</v>
      </c>
      <c r="G370" s="583">
        <f>SUM(G371)</f>
        <v>8.0000000000000004E-4</v>
      </c>
      <c r="H370" s="583">
        <f>SUM(H371)</f>
        <v>1</v>
      </c>
    </row>
    <row r="371" spans="1:12" hidden="1" outlineLevel="2">
      <c r="B371" s="383" t="s">
        <v>297</v>
      </c>
      <c r="C371" s="383" t="s">
        <v>298</v>
      </c>
      <c r="D371" s="383" t="s">
        <v>26</v>
      </c>
      <c r="E371" s="383" t="s">
        <v>27</v>
      </c>
      <c r="F371" s="584" t="s">
        <v>303</v>
      </c>
      <c r="G371" s="585">
        <v>8.0000000000000004E-4</v>
      </c>
      <c r="H371" s="585">
        <v>1</v>
      </c>
    </row>
    <row r="372" spans="1:12" hidden="1" outlineLevel="1" collapsed="1">
      <c r="B372" s="401" t="s">
        <v>521</v>
      </c>
      <c r="C372" s="401" t="s">
        <v>521</v>
      </c>
      <c r="D372" s="401" t="s">
        <v>26</v>
      </c>
      <c r="E372" s="401" t="s">
        <v>27</v>
      </c>
      <c r="F372" s="568" t="s">
        <v>1704</v>
      </c>
      <c r="G372" s="583">
        <f>SUM(G373)</f>
        <v>2.0043571200000002E-2</v>
      </c>
      <c r="H372" s="583">
        <f>SUM(H373)</f>
        <v>1</v>
      </c>
    </row>
    <row r="373" spans="1:12" hidden="1" outlineLevel="2">
      <c r="B373" s="383" t="s">
        <v>521</v>
      </c>
      <c r="C373" s="383" t="s">
        <v>521</v>
      </c>
      <c r="D373" s="383" t="s">
        <v>26</v>
      </c>
      <c r="E373" s="383" t="s">
        <v>27</v>
      </c>
      <c r="F373" s="584" t="s">
        <v>279</v>
      </c>
      <c r="G373" s="585">
        <v>2.0043571200000002E-2</v>
      </c>
      <c r="H373" s="585">
        <v>1</v>
      </c>
    </row>
    <row r="374" spans="1:12" hidden="1" outlineLevel="1" collapsed="1">
      <c r="B374" s="401" t="s">
        <v>536</v>
      </c>
      <c r="C374" s="401" t="s">
        <v>537</v>
      </c>
      <c r="D374" s="401" t="s">
        <v>26</v>
      </c>
      <c r="E374" s="401" t="s">
        <v>27</v>
      </c>
      <c r="F374" s="568" t="s">
        <v>1682</v>
      </c>
      <c r="G374" s="583">
        <f>SUM(G375:G376)</f>
        <v>0.62984501100000001</v>
      </c>
      <c r="H374" s="583">
        <f>SUM(H375:H376)</f>
        <v>2</v>
      </c>
    </row>
    <row r="375" spans="1:12" hidden="1" outlineLevel="2">
      <c r="B375" s="383" t="s">
        <v>536</v>
      </c>
      <c r="C375" s="383" t="s">
        <v>537</v>
      </c>
      <c r="D375" s="383" t="s">
        <v>26</v>
      </c>
      <c r="E375" s="383" t="s">
        <v>27</v>
      </c>
      <c r="F375" s="584" t="s">
        <v>540</v>
      </c>
      <c r="G375" s="585">
        <v>0.26984501099999997</v>
      </c>
      <c r="H375" s="585">
        <v>1</v>
      </c>
    </row>
    <row r="376" spans="1:12" hidden="1" outlineLevel="2">
      <c r="B376" s="383" t="s">
        <v>536</v>
      </c>
      <c r="C376" s="383" t="s">
        <v>537</v>
      </c>
      <c r="D376" s="383" t="s">
        <v>26</v>
      </c>
      <c r="E376" s="383" t="s">
        <v>27</v>
      </c>
      <c r="F376" s="584" t="s">
        <v>353</v>
      </c>
      <c r="G376" s="585">
        <v>0.36</v>
      </c>
      <c r="H376" s="585">
        <v>1</v>
      </c>
    </row>
    <row r="377" spans="1:12" ht="3" customHeight="1">
      <c r="A377" s="382"/>
      <c r="B377" s="382"/>
      <c r="C377" s="382"/>
      <c r="D377" s="382"/>
      <c r="E377" s="382"/>
      <c r="F377" s="382"/>
      <c r="G377" s="567"/>
      <c r="H377" s="567"/>
      <c r="I377" s="382"/>
    </row>
    <row r="378" spans="1:12" s="434" customFormat="1" ht="15.6" collapsed="1">
      <c r="A378" s="386"/>
      <c r="B378" s="563" t="s">
        <v>708</v>
      </c>
      <c r="C378" s="564"/>
      <c r="D378" s="564"/>
      <c r="E378" s="564"/>
      <c r="F378" s="564"/>
      <c r="G378" s="566">
        <f>SUM(G380,G382,G395,G398,G403,G407,G410,G413,G419,G421,G426,G428,G431,G432,G433,G434,G447,G438,G449,G450,G458,G462,G467,G472,G478,G481,G484,G492,G503,G511,G528,G529,G530,G531,G536)</f>
        <v>18.674600815481217</v>
      </c>
      <c r="H378" s="566">
        <f>SUM(H380,H382,H395,H398,H403,H407,H410,H413,H419,H421,H426,H428,H431,H432,H433,H434,H438,H447,H449,H450,H458,H462,H467,H472,H478,H481,H484,H492,H503,H511,H528,H529,H530,H531,H536)</f>
        <v>127</v>
      </c>
      <c r="I378" s="386"/>
      <c r="L378" s="474"/>
    </row>
    <row r="379" spans="1:12" ht="3" hidden="1" customHeight="1" outlineLevel="1">
      <c r="A379" s="382"/>
      <c r="B379" s="382"/>
      <c r="C379" s="382"/>
      <c r="D379" s="382"/>
      <c r="E379" s="382"/>
      <c r="F379" s="382"/>
      <c r="G379" s="567"/>
      <c r="H379" s="567"/>
      <c r="I379" s="382"/>
    </row>
    <row r="380" spans="1:12" hidden="1" outlineLevel="1" collapsed="1">
      <c r="B380" s="401" t="s">
        <v>15</v>
      </c>
      <c r="C380" s="401" t="s">
        <v>23</v>
      </c>
      <c r="D380" s="395" t="s">
        <v>28</v>
      </c>
      <c r="E380" s="401" t="s">
        <v>708</v>
      </c>
      <c r="F380" s="568" t="s">
        <v>1672</v>
      </c>
      <c r="G380" s="583">
        <f>SUM(G381)</f>
        <v>1.4336873100000001E-2</v>
      </c>
      <c r="H380" s="583">
        <f>SUM(H381)</f>
        <v>1</v>
      </c>
    </row>
    <row r="381" spans="1:12" hidden="1" outlineLevel="2">
      <c r="B381" s="383" t="s">
        <v>15</v>
      </c>
      <c r="C381" s="401" t="s">
        <v>23</v>
      </c>
      <c r="D381" s="382" t="s">
        <v>28</v>
      </c>
      <c r="E381" s="383" t="s">
        <v>708</v>
      </c>
      <c r="F381" s="561" t="s">
        <v>24</v>
      </c>
      <c r="G381" s="573">
        <v>1.4336873100000001E-2</v>
      </c>
      <c r="H381" s="573">
        <v>1</v>
      </c>
    </row>
    <row r="382" spans="1:12" hidden="1" outlineLevel="1" collapsed="1">
      <c r="B382" s="401" t="s">
        <v>15</v>
      </c>
      <c r="C382" s="401" t="s">
        <v>30</v>
      </c>
      <c r="D382" s="401"/>
      <c r="E382" s="401" t="s">
        <v>708</v>
      </c>
      <c r="F382" s="568" t="s">
        <v>1672</v>
      </c>
      <c r="G382" s="583">
        <f>SUM(G383:G394)</f>
        <v>0.36573175713220468</v>
      </c>
      <c r="H382" s="583">
        <f>SUM(H383:H394)</f>
        <v>12</v>
      </c>
    </row>
    <row r="383" spans="1:12" hidden="1" outlineLevel="2">
      <c r="B383" s="383" t="s">
        <v>15</v>
      </c>
      <c r="C383" s="383" t="s">
        <v>30</v>
      </c>
      <c r="D383" s="382" t="s">
        <v>28</v>
      </c>
      <c r="E383" s="383" t="s">
        <v>708</v>
      </c>
      <c r="F383" s="584" t="s">
        <v>60</v>
      </c>
      <c r="G383" s="586">
        <v>2.1499694035440806E-2</v>
      </c>
      <c r="H383" s="586">
        <v>1</v>
      </c>
    </row>
    <row r="384" spans="1:12" hidden="1" outlineLevel="2">
      <c r="B384" s="383" t="s">
        <v>15</v>
      </c>
      <c r="C384" s="383" t="s">
        <v>30</v>
      </c>
      <c r="D384" s="382" t="s">
        <v>28</v>
      </c>
      <c r="E384" s="383" t="s">
        <v>708</v>
      </c>
      <c r="F384" s="584" t="s">
        <v>61</v>
      </c>
      <c r="G384" s="586">
        <v>2.1499694035440806E-2</v>
      </c>
      <c r="H384" s="586">
        <v>1</v>
      </c>
    </row>
    <row r="385" spans="2:8" hidden="1" outlineLevel="2">
      <c r="B385" s="383" t="s">
        <v>15</v>
      </c>
      <c r="C385" s="383" t="s">
        <v>30</v>
      </c>
      <c r="D385" s="382" t="s">
        <v>28</v>
      </c>
      <c r="E385" s="383" t="s">
        <v>708</v>
      </c>
      <c r="F385" s="584" t="s">
        <v>62</v>
      </c>
      <c r="G385" s="586">
        <v>9.4245302543668119E-4</v>
      </c>
      <c r="H385" s="586">
        <v>1</v>
      </c>
    </row>
    <row r="386" spans="2:8" hidden="1" outlineLevel="2">
      <c r="B386" s="383" t="s">
        <v>15</v>
      </c>
      <c r="C386" s="383" t="s">
        <v>30</v>
      </c>
      <c r="D386" s="382" t="s">
        <v>28</v>
      </c>
      <c r="E386" s="383" t="s">
        <v>708</v>
      </c>
      <c r="F386" s="584" t="s">
        <v>63</v>
      </c>
      <c r="G386" s="586">
        <v>1.8849060508733624E-3</v>
      </c>
      <c r="H386" s="586">
        <v>1</v>
      </c>
    </row>
    <row r="387" spans="2:8" hidden="1" outlineLevel="2">
      <c r="B387" s="383" t="s">
        <v>15</v>
      </c>
      <c r="C387" s="383" t="s">
        <v>30</v>
      </c>
      <c r="D387" s="382" t="s">
        <v>28</v>
      </c>
      <c r="E387" s="383" t="s">
        <v>708</v>
      </c>
      <c r="F387" s="584" t="s">
        <v>38</v>
      </c>
      <c r="G387" s="586">
        <v>2.8273590763100436E-3</v>
      </c>
      <c r="H387" s="586">
        <v>1</v>
      </c>
    </row>
    <row r="388" spans="2:8" hidden="1" outlineLevel="2">
      <c r="B388" s="383" t="s">
        <v>15</v>
      </c>
      <c r="C388" s="383" t="s">
        <v>30</v>
      </c>
      <c r="D388" s="382" t="s">
        <v>28</v>
      </c>
      <c r="E388" s="383" t="s">
        <v>708</v>
      </c>
      <c r="F388" s="584" t="s">
        <v>35</v>
      </c>
      <c r="G388" s="586">
        <v>0.10494596538461541</v>
      </c>
      <c r="H388" s="586">
        <v>1</v>
      </c>
    </row>
    <row r="389" spans="2:8" hidden="1" outlineLevel="2">
      <c r="B389" s="383" t="s">
        <v>15</v>
      </c>
      <c r="C389" s="383" t="s">
        <v>30</v>
      </c>
      <c r="D389" s="382" t="s">
        <v>28</v>
      </c>
      <c r="E389" s="383" t="s">
        <v>708</v>
      </c>
      <c r="F389" s="584" t="s">
        <v>47</v>
      </c>
      <c r="G389" s="586">
        <v>0.04</v>
      </c>
      <c r="H389" s="586">
        <v>1</v>
      </c>
    </row>
    <row r="390" spans="2:8" hidden="1" outlineLevel="2">
      <c r="B390" s="383" t="s">
        <v>15</v>
      </c>
      <c r="C390" s="383" t="s">
        <v>30</v>
      </c>
      <c r="D390" s="382" t="s">
        <v>64</v>
      </c>
      <c r="E390" s="383" t="s">
        <v>708</v>
      </c>
      <c r="F390" s="584" t="s">
        <v>32</v>
      </c>
      <c r="G390" s="586">
        <v>4.7863519954722676E-2</v>
      </c>
      <c r="H390" s="586">
        <v>1</v>
      </c>
    </row>
    <row r="391" spans="2:8" hidden="1" outlineLevel="2">
      <c r="B391" s="383" t="s">
        <v>15</v>
      </c>
      <c r="C391" s="383" t="s">
        <v>30</v>
      </c>
      <c r="D391" s="382" t="s">
        <v>64</v>
      </c>
      <c r="E391" s="383" t="s">
        <v>708</v>
      </c>
      <c r="F391" s="584" t="s">
        <v>66</v>
      </c>
      <c r="G391" s="586">
        <v>4.7863519954722676E-2</v>
      </c>
      <c r="H391" s="586">
        <v>1</v>
      </c>
    </row>
    <row r="392" spans="2:8" hidden="1" outlineLevel="2">
      <c r="B392" s="383" t="s">
        <v>15</v>
      </c>
      <c r="C392" s="383" t="s">
        <v>30</v>
      </c>
      <c r="D392" s="382" t="s">
        <v>64</v>
      </c>
      <c r="E392" s="383" t="s">
        <v>708</v>
      </c>
      <c r="F392" s="584" t="s">
        <v>67</v>
      </c>
      <c r="G392" s="586">
        <v>4.6404645614642186E-2</v>
      </c>
      <c r="H392" s="586">
        <v>1</v>
      </c>
    </row>
    <row r="393" spans="2:8" hidden="1" outlineLevel="2">
      <c r="B393" s="383" t="s">
        <v>15</v>
      </c>
      <c r="C393" s="383" t="s">
        <v>30</v>
      </c>
      <c r="D393" s="382" t="s">
        <v>64</v>
      </c>
      <c r="E393" s="383" t="s">
        <v>708</v>
      </c>
      <c r="F393" s="584" t="s">
        <v>69</v>
      </c>
      <c r="G393" s="586">
        <v>0.02</v>
      </c>
      <c r="H393" s="586">
        <v>1</v>
      </c>
    </row>
    <row r="394" spans="2:8" hidden="1" outlineLevel="2">
      <c r="B394" s="383" t="s">
        <v>15</v>
      </c>
      <c r="C394" s="383" t="s">
        <v>30</v>
      </c>
      <c r="D394" s="382" t="s">
        <v>64</v>
      </c>
      <c r="E394" s="383" t="s">
        <v>708</v>
      </c>
      <c r="F394" s="584" t="s">
        <v>49</v>
      </c>
      <c r="G394" s="586">
        <v>0.01</v>
      </c>
      <c r="H394" s="586">
        <v>1</v>
      </c>
    </row>
    <row r="395" spans="2:8" hidden="1" outlineLevel="1" collapsed="1">
      <c r="B395" s="401" t="s">
        <v>70</v>
      </c>
      <c r="C395" s="401" t="s">
        <v>71</v>
      </c>
      <c r="D395" s="401"/>
      <c r="E395" s="401" t="s">
        <v>708</v>
      </c>
      <c r="F395" s="568" t="s">
        <v>1676</v>
      </c>
      <c r="G395" s="583">
        <f>SUM(G396:G397)</f>
        <v>0.16750548359999998</v>
      </c>
      <c r="H395" s="583">
        <f>SUM(H396:H397)</f>
        <v>2</v>
      </c>
    </row>
    <row r="396" spans="2:8" hidden="1" outlineLevel="2">
      <c r="B396" s="383" t="s">
        <v>70</v>
      </c>
      <c r="C396" s="383" t="s">
        <v>71</v>
      </c>
      <c r="D396" s="382" t="s">
        <v>28</v>
      </c>
      <c r="E396" s="383" t="s">
        <v>708</v>
      </c>
      <c r="F396" s="584" t="s">
        <v>47</v>
      </c>
      <c r="G396" s="586">
        <v>3.8655111599999993E-2</v>
      </c>
      <c r="H396" s="586">
        <v>1</v>
      </c>
    </row>
    <row r="397" spans="2:8" hidden="1" outlineLevel="2">
      <c r="B397" s="383" t="s">
        <v>70</v>
      </c>
      <c r="C397" s="383" t="s">
        <v>71</v>
      </c>
      <c r="D397" s="382" t="s">
        <v>28</v>
      </c>
      <c r="E397" s="383" t="s">
        <v>708</v>
      </c>
      <c r="F397" s="584" t="s">
        <v>24</v>
      </c>
      <c r="G397" s="586">
        <v>0.12885037199999999</v>
      </c>
      <c r="H397" s="586">
        <v>1</v>
      </c>
    </row>
    <row r="398" spans="2:8" hidden="1" outlineLevel="1" collapsed="1">
      <c r="B398" s="401" t="s">
        <v>84</v>
      </c>
      <c r="C398" s="401" t="s">
        <v>85</v>
      </c>
      <c r="D398" s="401"/>
      <c r="E398" s="401" t="s">
        <v>708</v>
      </c>
      <c r="F398" s="568" t="s">
        <v>1673</v>
      </c>
      <c r="G398" s="583">
        <f>SUM(G399:G402)</f>
        <v>0.40327449999999998</v>
      </c>
      <c r="H398" s="583">
        <f>SUM(H399:H402)</f>
        <v>4</v>
      </c>
    </row>
    <row r="399" spans="2:8" hidden="1" outlineLevel="2">
      <c r="B399" s="383" t="s">
        <v>84</v>
      </c>
      <c r="C399" s="383" t="s">
        <v>85</v>
      </c>
      <c r="D399" s="382" t="s">
        <v>28</v>
      </c>
      <c r="E399" s="383" t="s">
        <v>708</v>
      </c>
      <c r="F399" s="584" t="s">
        <v>97</v>
      </c>
      <c r="G399" s="586">
        <v>0.36</v>
      </c>
      <c r="H399" s="586">
        <v>1</v>
      </c>
    </row>
    <row r="400" spans="2:8" hidden="1" outlineLevel="2">
      <c r="B400" s="383" t="s">
        <v>84</v>
      </c>
      <c r="C400" s="383" t="s">
        <v>85</v>
      </c>
      <c r="D400" s="382" t="s">
        <v>28</v>
      </c>
      <c r="E400" s="383" t="s">
        <v>708</v>
      </c>
      <c r="F400" s="584" t="s">
        <v>99</v>
      </c>
      <c r="G400" s="586">
        <v>2.183E-3</v>
      </c>
      <c r="H400" s="586">
        <v>1</v>
      </c>
    </row>
    <row r="401" spans="2:8" hidden="1" outlineLevel="2">
      <c r="B401" s="383" t="s">
        <v>84</v>
      </c>
      <c r="C401" s="383" t="s">
        <v>85</v>
      </c>
      <c r="D401" s="382" t="s">
        <v>28</v>
      </c>
      <c r="E401" s="383" t="s">
        <v>708</v>
      </c>
      <c r="F401" s="584" t="s">
        <v>98</v>
      </c>
      <c r="G401" s="586">
        <v>1.0915E-3</v>
      </c>
      <c r="H401" s="586">
        <v>1</v>
      </c>
    </row>
    <row r="402" spans="2:8" hidden="1" outlineLevel="2">
      <c r="B402" s="383" t="s">
        <v>84</v>
      </c>
      <c r="C402" s="383" t="s">
        <v>85</v>
      </c>
      <c r="D402" s="382" t="s">
        <v>64</v>
      </c>
      <c r="E402" s="383" t="s">
        <v>708</v>
      </c>
      <c r="F402" s="584" t="s">
        <v>100</v>
      </c>
      <c r="G402" s="586">
        <v>0.04</v>
      </c>
      <c r="H402" s="586">
        <v>1</v>
      </c>
    </row>
    <row r="403" spans="2:8" hidden="1" outlineLevel="1" collapsed="1">
      <c r="B403" s="401" t="s">
        <v>101</v>
      </c>
      <c r="C403" s="401" t="s">
        <v>102</v>
      </c>
      <c r="D403" s="401"/>
      <c r="E403" s="401" t="s">
        <v>708</v>
      </c>
      <c r="F403" s="568" t="s">
        <v>1674</v>
      </c>
      <c r="G403" s="583">
        <f>SUM(G404:G406)</f>
        <v>0.14000000000000001</v>
      </c>
      <c r="H403" s="583">
        <f>SUM(H404:H406)</f>
        <v>3</v>
      </c>
    </row>
    <row r="404" spans="2:8" hidden="1" outlineLevel="2">
      <c r="B404" s="383" t="s">
        <v>101</v>
      </c>
      <c r="C404" s="383" t="s">
        <v>102</v>
      </c>
      <c r="D404" s="382" t="s">
        <v>28</v>
      </c>
      <c r="E404" s="383" t="s">
        <v>708</v>
      </c>
      <c r="F404" s="584" t="s">
        <v>127</v>
      </c>
      <c r="G404" s="586">
        <v>0.02</v>
      </c>
      <c r="H404" s="586">
        <v>1</v>
      </c>
    </row>
    <row r="405" spans="2:8" hidden="1" outlineLevel="2">
      <c r="B405" s="383" t="s">
        <v>101</v>
      </c>
      <c r="C405" s="383" t="s">
        <v>102</v>
      </c>
      <c r="D405" s="382" t="s">
        <v>28</v>
      </c>
      <c r="E405" s="383" t="s">
        <v>708</v>
      </c>
      <c r="F405" s="584" t="s">
        <v>128</v>
      </c>
      <c r="G405" s="586">
        <v>0.06</v>
      </c>
      <c r="H405" s="586">
        <v>1</v>
      </c>
    </row>
    <row r="406" spans="2:8" hidden="1" outlineLevel="2">
      <c r="B406" s="383" t="s">
        <v>101</v>
      </c>
      <c r="C406" s="383" t="s">
        <v>102</v>
      </c>
      <c r="D406" s="382" t="s">
        <v>28</v>
      </c>
      <c r="E406" s="383" t="s">
        <v>708</v>
      </c>
      <c r="F406" s="584" t="s">
        <v>129</v>
      </c>
      <c r="G406" s="586">
        <v>0.06</v>
      </c>
      <c r="H406" s="586">
        <v>1</v>
      </c>
    </row>
    <row r="407" spans="2:8" hidden="1" outlineLevel="1" collapsed="1">
      <c r="B407" s="401" t="s">
        <v>147</v>
      </c>
      <c r="C407" s="401" t="s">
        <v>148</v>
      </c>
      <c r="D407" s="401"/>
      <c r="E407" s="401" t="s">
        <v>708</v>
      </c>
      <c r="F407" s="568" t="s">
        <v>1662</v>
      </c>
      <c r="G407" s="583">
        <f>SUM(G408:G409)</f>
        <v>3.1655887211519997E-2</v>
      </c>
      <c r="H407" s="583">
        <f>SUM(H408:H409)</f>
        <v>2</v>
      </c>
    </row>
    <row r="408" spans="2:8" hidden="1" outlineLevel="2">
      <c r="B408" s="383" t="s">
        <v>147</v>
      </c>
      <c r="C408" s="383" t="s">
        <v>148</v>
      </c>
      <c r="D408" s="382" t="s">
        <v>28</v>
      </c>
      <c r="E408" s="383" t="s">
        <v>708</v>
      </c>
      <c r="F408" s="584" t="s">
        <v>177</v>
      </c>
      <c r="G408" s="586">
        <v>1.5827943605759998E-2</v>
      </c>
      <c r="H408" s="586">
        <v>1</v>
      </c>
    </row>
    <row r="409" spans="2:8" hidden="1" outlineLevel="2">
      <c r="B409" s="383" t="s">
        <v>147</v>
      </c>
      <c r="C409" s="383" t="s">
        <v>148</v>
      </c>
      <c r="D409" s="382" t="s">
        <v>28</v>
      </c>
      <c r="E409" s="383" t="s">
        <v>708</v>
      </c>
      <c r="F409" s="584" t="s">
        <v>178</v>
      </c>
      <c r="G409" s="586">
        <v>1.5827943605759998E-2</v>
      </c>
      <c r="H409" s="586">
        <v>1</v>
      </c>
    </row>
    <row r="410" spans="2:8" hidden="1" outlineLevel="1" collapsed="1">
      <c r="B410" s="401" t="s">
        <v>180</v>
      </c>
      <c r="C410" s="401" t="s">
        <v>23</v>
      </c>
      <c r="D410" s="401"/>
      <c r="E410" s="401" t="s">
        <v>708</v>
      </c>
      <c r="F410" s="568" t="s">
        <v>1663</v>
      </c>
      <c r="G410" s="583">
        <f>SUM(G411:G412)</f>
        <v>4.7122779914999996E-2</v>
      </c>
      <c r="H410" s="583">
        <f>SUM(H411:H412)</f>
        <v>2</v>
      </c>
    </row>
    <row r="411" spans="2:8" hidden="1" outlineLevel="2">
      <c r="B411" s="383" t="s">
        <v>180</v>
      </c>
      <c r="C411" s="383" t="s">
        <v>23</v>
      </c>
      <c r="D411" s="383" t="s">
        <v>28</v>
      </c>
      <c r="E411" s="383" t="s">
        <v>708</v>
      </c>
      <c r="F411" s="587" t="s">
        <v>183</v>
      </c>
      <c r="G411" s="586">
        <v>1.6300332674999998E-2</v>
      </c>
      <c r="H411" s="586">
        <v>1</v>
      </c>
    </row>
    <row r="412" spans="2:8" hidden="1" outlineLevel="2">
      <c r="B412" s="383" t="s">
        <v>180</v>
      </c>
      <c r="C412" s="383" t="s">
        <v>23</v>
      </c>
      <c r="D412" s="383" t="s">
        <v>28</v>
      </c>
      <c r="E412" s="383" t="s">
        <v>708</v>
      </c>
      <c r="F412" s="587" t="s">
        <v>187</v>
      </c>
      <c r="G412" s="586">
        <v>3.0822447240000002E-2</v>
      </c>
      <c r="H412" s="586">
        <v>1</v>
      </c>
    </row>
    <row r="413" spans="2:8" hidden="1" outlineLevel="1" collapsed="1">
      <c r="B413" s="401" t="s">
        <v>362</v>
      </c>
      <c r="C413" s="401" t="s">
        <v>363</v>
      </c>
      <c r="D413" s="401"/>
      <c r="E413" s="401" t="s">
        <v>708</v>
      </c>
      <c r="F413" s="568" t="s">
        <v>1664</v>
      </c>
      <c r="G413" s="583">
        <f>SUM(G414:G418)</f>
        <v>2.1646138109098385</v>
      </c>
      <c r="H413" s="583">
        <f>SUM(H414:H418)</f>
        <v>5</v>
      </c>
    </row>
    <row r="414" spans="2:8" hidden="1" outlineLevel="2">
      <c r="B414" s="383" t="s">
        <v>362</v>
      </c>
      <c r="C414" s="383" t="s">
        <v>363</v>
      </c>
      <c r="D414" s="383" t="s">
        <v>28</v>
      </c>
      <c r="E414" s="383" t="s">
        <v>29</v>
      </c>
      <c r="F414" s="584" t="s">
        <v>32</v>
      </c>
      <c r="G414" s="585">
        <v>0.51810229145509312</v>
      </c>
      <c r="H414" s="585">
        <v>1</v>
      </c>
    </row>
    <row r="415" spans="2:8" hidden="1" outlineLevel="2">
      <c r="B415" s="383" t="s">
        <v>362</v>
      </c>
      <c r="C415" s="383" t="s">
        <v>363</v>
      </c>
      <c r="D415" s="383" t="s">
        <v>28</v>
      </c>
      <c r="E415" s="383" t="s">
        <v>29</v>
      </c>
      <c r="F415" s="584" t="s">
        <v>34</v>
      </c>
      <c r="G415" s="585">
        <v>0.51810229145509312</v>
      </c>
      <c r="H415" s="585">
        <v>1</v>
      </c>
    </row>
    <row r="416" spans="2:8" hidden="1" outlineLevel="2">
      <c r="B416" s="383" t="s">
        <v>362</v>
      </c>
      <c r="C416" s="383" t="s">
        <v>363</v>
      </c>
      <c r="D416" s="383" t="s">
        <v>28</v>
      </c>
      <c r="E416" s="383" t="s">
        <v>29</v>
      </c>
      <c r="F416" s="584" t="s">
        <v>197</v>
      </c>
      <c r="G416" s="585">
        <v>0.25905114572754701</v>
      </c>
      <c r="H416" s="585">
        <v>1</v>
      </c>
    </row>
    <row r="417" spans="2:8" hidden="1" outlineLevel="2">
      <c r="B417" s="383" t="s">
        <v>362</v>
      </c>
      <c r="C417" s="383" t="s">
        <v>363</v>
      </c>
      <c r="D417" s="383" t="s">
        <v>64</v>
      </c>
      <c r="E417" s="383" t="s">
        <v>29</v>
      </c>
      <c r="F417" s="584" t="s">
        <v>32</v>
      </c>
      <c r="G417" s="585">
        <v>0.43467904113605266</v>
      </c>
      <c r="H417" s="585">
        <v>1</v>
      </c>
    </row>
    <row r="418" spans="2:8" hidden="1" outlineLevel="2">
      <c r="B418" s="383" t="s">
        <v>362</v>
      </c>
      <c r="C418" s="383" t="s">
        <v>363</v>
      </c>
      <c r="D418" s="383" t="s">
        <v>64</v>
      </c>
      <c r="E418" s="383" t="s">
        <v>29</v>
      </c>
      <c r="F418" s="584" t="s">
        <v>34</v>
      </c>
      <c r="G418" s="585">
        <v>0.43467904113605266</v>
      </c>
      <c r="H418" s="585">
        <v>1</v>
      </c>
    </row>
    <row r="419" spans="2:8" hidden="1" outlineLevel="1" collapsed="1">
      <c r="B419" s="401" t="s">
        <v>194</v>
      </c>
      <c r="C419" s="401" t="s">
        <v>136</v>
      </c>
      <c r="D419" s="401"/>
      <c r="E419" s="401" t="s">
        <v>708</v>
      </c>
      <c r="F419" s="568" t="s">
        <v>1665</v>
      </c>
      <c r="G419" s="583">
        <f>SUM(G420)</f>
        <v>0.04</v>
      </c>
      <c r="H419" s="583">
        <f>SUM(H420)</f>
        <v>1</v>
      </c>
    </row>
    <row r="420" spans="2:8" hidden="1" outlineLevel="2">
      <c r="B420" s="383" t="s">
        <v>194</v>
      </c>
      <c r="C420" s="383" t="s">
        <v>136</v>
      </c>
      <c r="D420" s="383" t="s">
        <v>28</v>
      </c>
      <c r="E420" s="383" t="s">
        <v>708</v>
      </c>
      <c r="F420" s="587" t="s">
        <v>146</v>
      </c>
      <c r="G420" s="586">
        <v>0.04</v>
      </c>
      <c r="H420" s="586">
        <v>1</v>
      </c>
    </row>
    <row r="421" spans="2:8" hidden="1" outlineLevel="1" collapsed="1">
      <c r="B421" s="401" t="s">
        <v>200</v>
      </c>
      <c r="C421" s="401" t="s">
        <v>200</v>
      </c>
      <c r="D421" s="401"/>
      <c r="E421" s="401" t="s">
        <v>708</v>
      </c>
      <c r="F421" s="568" t="s">
        <v>1683</v>
      </c>
      <c r="G421" s="583">
        <f>SUM(G422:G425)</f>
        <v>0.32421103968587378</v>
      </c>
      <c r="H421" s="583">
        <f>SUM(H422:H425)</f>
        <v>4</v>
      </c>
    </row>
    <row r="422" spans="2:8" hidden="1" outlineLevel="2">
      <c r="B422" s="383" t="s">
        <v>200</v>
      </c>
      <c r="C422" s="383" t="s">
        <v>200</v>
      </c>
      <c r="D422" s="383" t="s">
        <v>28</v>
      </c>
      <c r="E422" s="383" t="s">
        <v>29</v>
      </c>
      <c r="F422" s="587" t="s">
        <v>205</v>
      </c>
      <c r="G422" s="585">
        <v>0.17350895211679071</v>
      </c>
      <c r="H422" s="585">
        <v>1</v>
      </c>
    </row>
    <row r="423" spans="2:8" hidden="1" outlineLevel="2">
      <c r="B423" s="383" t="s">
        <v>200</v>
      </c>
      <c r="C423" s="383" t="s">
        <v>200</v>
      </c>
      <c r="D423" s="383" t="s">
        <v>28</v>
      </c>
      <c r="E423" s="383" t="s">
        <v>29</v>
      </c>
      <c r="F423" s="587" t="s">
        <v>117</v>
      </c>
      <c r="G423" s="585">
        <v>4.9573986319083066E-2</v>
      </c>
      <c r="H423" s="585">
        <v>1</v>
      </c>
    </row>
    <row r="424" spans="2:8" hidden="1" outlineLevel="2">
      <c r="B424" s="383" t="s">
        <v>200</v>
      </c>
      <c r="C424" s="383" t="s">
        <v>200</v>
      </c>
      <c r="D424" s="383" t="s">
        <v>28</v>
      </c>
      <c r="E424" s="383" t="s">
        <v>29</v>
      </c>
      <c r="F424" s="587" t="s">
        <v>98</v>
      </c>
      <c r="G424" s="585">
        <v>0.02</v>
      </c>
      <c r="H424" s="585">
        <v>1</v>
      </c>
    </row>
    <row r="425" spans="2:8" hidden="1" outlineLevel="2">
      <c r="B425" s="383" t="s">
        <v>200</v>
      </c>
      <c r="C425" s="383" t="s">
        <v>200</v>
      </c>
      <c r="D425" s="383" t="s">
        <v>64</v>
      </c>
      <c r="E425" s="383" t="s">
        <v>29</v>
      </c>
      <c r="F425" s="587" t="s">
        <v>118</v>
      </c>
      <c r="G425" s="585">
        <v>8.1128101250000001E-2</v>
      </c>
      <c r="H425" s="585">
        <v>1</v>
      </c>
    </row>
    <row r="426" spans="2:8" hidden="1" outlineLevel="1" collapsed="1">
      <c r="B426" s="401" t="s">
        <v>212</v>
      </c>
      <c r="C426" s="401" t="s">
        <v>212</v>
      </c>
      <c r="D426" s="401"/>
      <c r="E426" s="401" t="s">
        <v>708</v>
      </c>
      <c r="F426" s="568" t="s">
        <v>1684</v>
      </c>
      <c r="G426" s="583">
        <f>SUM(G427)</f>
        <v>3.6853334887931043E-2</v>
      </c>
      <c r="H426" s="583">
        <f>SUM(H427)</f>
        <v>1</v>
      </c>
    </row>
    <row r="427" spans="2:8" s="385" customFormat="1" hidden="1" outlineLevel="2">
      <c r="B427" s="383" t="s">
        <v>212</v>
      </c>
      <c r="C427" s="383" t="s">
        <v>212</v>
      </c>
      <c r="D427" s="382" t="s">
        <v>28</v>
      </c>
      <c r="E427" s="383" t="s">
        <v>708</v>
      </c>
      <c r="F427" s="561" t="s">
        <v>261</v>
      </c>
      <c r="G427" s="573">
        <v>3.6853334887931043E-2</v>
      </c>
      <c r="H427" s="573">
        <v>1</v>
      </c>
    </row>
    <row r="428" spans="2:8" hidden="1" outlineLevel="1" collapsed="1">
      <c r="B428" s="401" t="s">
        <v>263</v>
      </c>
      <c r="C428" s="401" t="s">
        <v>263</v>
      </c>
      <c r="D428" s="401"/>
      <c r="E428" s="401" t="s">
        <v>708</v>
      </c>
      <c r="F428" s="568" t="s">
        <v>1685</v>
      </c>
      <c r="G428" s="583">
        <f>SUM(G429:G430)</f>
        <v>2.1397857699999998E-2</v>
      </c>
      <c r="H428" s="583">
        <f>SUM(H429:H430)</f>
        <v>2</v>
      </c>
    </row>
    <row r="429" spans="2:8" hidden="1" outlineLevel="2">
      <c r="B429" s="383" t="s">
        <v>263</v>
      </c>
      <c r="C429" s="383" t="s">
        <v>263</v>
      </c>
      <c r="D429" s="382" t="s">
        <v>28</v>
      </c>
      <c r="E429" s="383" t="s">
        <v>708</v>
      </c>
      <c r="F429" s="561" t="s">
        <v>274</v>
      </c>
      <c r="G429" s="573">
        <v>2.0842521999999999E-2</v>
      </c>
      <c r="H429" s="573">
        <v>1</v>
      </c>
    </row>
    <row r="430" spans="2:8" hidden="1" outlineLevel="2">
      <c r="B430" s="383" t="s">
        <v>263</v>
      </c>
      <c r="C430" s="383" t="s">
        <v>263</v>
      </c>
      <c r="D430" s="382" t="s">
        <v>28</v>
      </c>
      <c r="E430" s="383" t="s">
        <v>708</v>
      </c>
      <c r="F430" s="561" t="s">
        <v>275</v>
      </c>
      <c r="G430" s="573">
        <v>5.5533570000000003E-4</v>
      </c>
      <c r="H430" s="573">
        <v>1</v>
      </c>
    </row>
    <row r="431" spans="2:8" hidden="1" outlineLevel="1">
      <c r="B431" s="401" t="s">
        <v>276</v>
      </c>
      <c r="C431" s="401" t="s">
        <v>276</v>
      </c>
      <c r="D431" s="401"/>
      <c r="E431" s="401" t="s">
        <v>708</v>
      </c>
      <c r="F431" s="568" t="s">
        <v>1686</v>
      </c>
      <c r="G431" s="583">
        <v>0</v>
      </c>
      <c r="H431" s="583">
        <v>0</v>
      </c>
    </row>
    <row r="432" spans="2:8" hidden="1" outlineLevel="1">
      <c r="B432" s="401" t="s">
        <v>285</v>
      </c>
      <c r="C432" s="401" t="s">
        <v>285</v>
      </c>
      <c r="D432" s="401"/>
      <c r="E432" s="401" t="s">
        <v>708</v>
      </c>
      <c r="F432" s="568" t="s">
        <v>1692</v>
      </c>
      <c r="G432" s="583">
        <v>0</v>
      </c>
      <c r="H432" s="583">
        <v>0</v>
      </c>
    </row>
    <row r="433" spans="2:8" hidden="1" outlineLevel="1">
      <c r="B433" s="401" t="s">
        <v>288</v>
      </c>
      <c r="C433" s="401" t="s">
        <v>288</v>
      </c>
      <c r="D433" s="401"/>
      <c r="E433" s="401" t="s">
        <v>708</v>
      </c>
      <c r="F433" s="568" t="s">
        <v>1695</v>
      </c>
      <c r="G433" s="583">
        <v>0</v>
      </c>
      <c r="H433" s="583">
        <v>0</v>
      </c>
    </row>
    <row r="434" spans="2:8" hidden="1" outlineLevel="1" collapsed="1">
      <c r="B434" s="401" t="s">
        <v>290</v>
      </c>
      <c r="C434" s="401" t="s">
        <v>291</v>
      </c>
      <c r="D434" s="401"/>
      <c r="E434" s="401" t="s">
        <v>708</v>
      </c>
      <c r="F434" s="568" t="s">
        <v>1666</v>
      </c>
      <c r="G434" s="583">
        <f>SUM(G435:G437)</f>
        <v>1.6800000000000002E-2</v>
      </c>
      <c r="H434" s="583">
        <f>SUM(H435:H437)</f>
        <v>3</v>
      </c>
    </row>
    <row r="435" spans="2:8" hidden="1" outlineLevel="2">
      <c r="B435" s="383" t="s">
        <v>290</v>
      </c>
      <c r="C435" s="383" t="s">
        <v>291</v>
      </c>
      <c r="D435" s="383" t="s">
        <v>28</v>
      </c>
      <c r="E435" s="383" t="s">
        <v>29</v>
      </c>
      <c r="F435" s="584" t="s">
        <v>279</v>
      </c>
      <c r="G435" s="585">
        <v>5.4000000000000003E-3</v>
      </c>
      <c r="H435" s="585">
        <v>1</v>
      </c>
    </row>
    <row r="436" spans="2:8" hidden="1" outlineLevel="2">
      <c r="B436" s="383" t="s">
        <v>290</v>
      </c>
      <c r="C436" s="383" t="s">
        <v>291</v>
      </c>
      <c r="D436" s="383" t="s">
        <v>28</v>
      </c>
      <c r="E436" s="383" t="s">
        <v>29</v>
      </c>
      <c r="F436" s="584" t="s">
        <v>33</v>
      </c>
      <c r="G436" s="585">
        <v>5.4000000000000003E-3</v>
      </c>
      <c r="H436" s="585">
        <v>1</v>
      </c>
    </row>
    <row r="437" spans="2:8" hidden="1" outlineLevel="2">
      <c r="B437" s="383" t="s">
        <v>290</v>
      </c>
      <c r="C437" s="383" t="s">
        <v>291</v>
      </c>
      <c r="D437" s="383" t="s">
        <v>64</v>
      </c>
      <c r="E437" s="383" t="s">
        <v>29</v>
      </c>
      <c r="F437" s="584" t="s">
        <v>279</v>
      </c>
      <c r="G437" s="585">
        <v>6.0000000000000001E-3</v>
      </c>
      <c r="H437" s="585">
        <v>1</v>
      </c>
    </row>
    <row r="438" spans="2:8" hidden="1" outlineLevel="1" collapsed="1">
      <c r="B438" s="401" t="s">
        <v>293</v>
      </c>
      <c r="C438" s="401" t="s">
        <v>294</v>
      </c>
      <c r="D438" s="401"/>
      <c r="E438" s="401" t="s">
        <v>708</v>
      </c>
      <c r="F438" s="568" t="s">
        <v>1667</v>
      </c>
      <c r="G438" s="583">
        <f>SUM(G439:G446)</f>
        <v>0.23026800000000003</v>
      </c>
      <c r="H438" s="583">
        <f>SUM(H439:H446)</f>
        <v>8</v>
      </c>
    </row>
    <row r="439" spans="2:8" hidden="1" outlineLevel="2">
      <c r="B439" s="383" t="s">
        <v>293</v>
      </c>
      <c r="C439" s="383" t="s">
        <v>294</v>
      </c>
      <c r="D439" s="383" t="s">
        <v>28</v>
      </c>
      <c r="E439" s="383" t="s">
        <v>29</v>
      </c>
      <c r="F439" s="584" t="s">
        <v>33</v>
      </c>
      <c r="G439" s="585">
        <v>1.6713000000000002E-2</v>
      </c>
      <c r="H439" s="585">
        <v>1</v>
      </c>
    </row>
    <row r="440" spans="2:8" hidden="1" outlineLevel="2">
      <c r="B440" s="383" t="s">
        <v>293</v>
      </c>
      <c r="C440" s="383" t="s">
        <v>294</v>
      </c>
      <c r="D440" s="383" t="s">
        <v>28</v>
      </c>
      <c r="E440" s="383" t="s">
        <v>29</v>
      </c>
      <c r="F440" s="584" t="s">
        <v>280</v>
      </c>
      <c r="G440" s="585">
        <v>1.6713000000000002E-2</v>
      </c>
      <c r="H440" s="585">
        <v>1</v>
      </c>
    </row>
    <row r="441" spans="2:8" hidden="1" outlineLevel="2">
      <c r="B441" s="383" t="s">
        <v>293</v>
      </c>
      <c r="C441" s="383" t="s">
        <v>294</v>
      </c>
      <c r="D441" s="383" t="s">
        <v>28</v>
      </c>
      <c r="E441" s="383" t="s">
        <v>29</v>
      </c>
      <c r="F441" s="584" t="s">
        <v>281</v>
      </c>
      <c r="G441" s="585">
        <v>5.8495499999999999E-2</v>
      </c>
      <c r="H441" s="585">
        <v>1</v>
      </c>
    </row>
    <row r="442" spans="2:8" hidden="1" outlineLevel="2">
      <c r="B442" s="383" t="s">
        <v>293</v>
      </c>
      <c r="C442" s="383" t="s">
        <v>294</v>
      </c>
      <c r="D442" s="383" t="s">
        <v>28</v>
      </c>
      <c r="E442" s="383" t="s">
        <v>29</v>
      </c>
      <c r="F442" s="584" t="s">
        <v>287</v>
      </c>
      <c r="G442" s="585">
        <v>2.5069499999999998E-2</v>
      </c>
      <c r="H442" s="585">
        <v>1</v>
      </c>
    </row>
    <row r="443" spans="2:8" hidden="1" outlineLevel="2">
      <c r="B443" s="383" t="s">
        <v>293</v>
      </c>
      <c r="C443" s="383" t="s">
        <v>294</v>
      </c>
      <c r="D443" s="383" t="s">
        <v>28</v>
      </c>
      <c r="E443" s="383" t="s">
        <v>29</v>
      </c>
      <c r="F443" s="584" t="s">
        <v>284</v>
      </c>
      <c r="G443" s="585">
        <v>2.5069499999999998E-2</v>
      </c>
      <c r="H443" s="585">
        <v>1</v>
      </c>
    </row>
    <row r="444" spans="2:8" hidden="1" outlineLevel="2">
      <c r="B444" s="383" t="s">
        <v>293</v>
      </c>
      <c r="C444" s="383" t="s">
        <v>294</v>
      </c>
      <c r="D444" s="383" t="s">
        <v>64</v>
      </c>
      <c r="E444" s="383" t="s">
        <v>29</v>
      </c>
      <c r="F444" s="584" t="s">
        <v>279</v>
      </c>
      <c r="G444" s="585">
        <v>1.857E-2</v>
      </c>
      <c r="H444" s="585">
        <v>1</v>
      </c>
    </row>
    <row r="445" spans="2:8" hidden="1" outlineLevel="2">
      <c r="B445" s="383" t="s">
        <v>293</v>
      </c>
      <c r="C445" s="383" t="s">
        <v>294</v>
      </c>
      <c r="D445" s="383" t="s">
        <v>64</v>
      </c>
      <c r="E445" s="383" t="s">
        <v>29</v>
      </c>
      <c r="F445" s="584" t="s">
        <v>280</v>
      </c>
      <c r="G445" s="585">
        <v>1.857E-2</v>
      </c>
      <c r="H445" s="585">
        <v>1</v>
      </c>
    </row>
    <row r="446" spans="2:8" hidden="1" outlineLevel="2">
      <c r="B446" s="383" t="s">
        <v>293</v>
      </c>
      <c r="C446" s="383" t="s">
        <v>294</v>
      </c>
      <c r="D446" s="383" t="s">
        <v>64</v>
      </c>
      <c r="E446" s="383" t="s">
        <v>29</v>
      </c>
      <c r="F446" s="584" t="s">
        <v>287</v>
      </c>
      <c r="G446" s="585">
        <v>5.1067500000000002E-2</v>
      </c>
      <c r="H446" s="585">
        <v>1</v>
      </c>
    </row>
    <row r="447" spans="2:8" hidden="1" outlineLevel="1" collapsed="1">
      <c r="B447" s="401" t="s">
        <v>297</v>
      </c>
      <c r="C447" s="401" t="s">
        <v>298</v>
      </c>
      <c r="D447" s="401"/>
      <c r="E447" s="401" t="s">
        <v>708</v>
      </c>
      <c r="F447" s="568" t="s">
        <v>1702</v>
      </c>
      <c r="G447" s="583">
        <f>SUM(G448)</f>
        <v>1.13E-4</v>
      </c>
      <c r="H447" s="583">
        <f>SUM(H448)</f>
        <v>1</v>
      </c>
    </row>
    <row r="448" spans="2:8" hidden="1" outlineLevel="2">
      <c r="B448" s="383" t="s">
        <v>297</v>
      </c>
      <c r="C448" s="383" t="s">
        <v>298</v>
      </c>
      <c r="D448" s="383" t="s">
        <v>64</v>
      </c>
      <c r="E448" s="383" t="s">
        <v>29</v>
      </c>
      <c r="F448" s="584" t="s">
        <v>304</v>
      </c>
      <c r="G448" s="585">
        <v>1.13E-4</v>
      </c>
      <c r="H448" s="585">
        <v>1</v>
      </c>
    </row>
    <row r="449" spans="2:8" hidden="1" outlineLevel="1">
      <c r="B449" s="401" t="s">
        <v>305</v>
      </c>
      <c r="C449" s="401" t="s">
        <v>306</v>
      </c>
      <c r="D449" s="401"/>
      <c r="E449" s="401" t="s">
        <v>708</v>
      </c>
      <c r="F449" s="568" t="s">
        <v>1668</v>
      </c>
      <c r="G449" s="583">
        <v>0</v>
      </c>
      <c r="H449" s="583">
        <v>0</v>
      </c>
    </row>
    <row r="450" spans="2:8" hidden="1" outlineLevel="1" collapsed="1">
      <c r="B450" s="401" t="s">
        <v>512</v>
      </c>
      <c r="C450" s="401" t="s">
        <v>512</v>
      </c>
      <c r="D450" s="401"/>
      <c r="E450" s="401" t="s">
        <v>708</v>
      </c>
      <c r="F450" s="568" t="s">
        <v>1749</v>
      </c>
      <c r="G450" s="583">
        <f>SUM(G451:G457)</f>
        <v>0</v>
      </c>
      <c r="H450" s="583">
        <f>SUM(H451:H457)</f>
        <v>7</v>
      </c>
    </row>
    <row r="451" spans="2:8" hidden="1" outlineLevel="2">
      <c r="B451" s="383" t="s">
        <v>512</v>
      </c>
      <c r="C451" s="383" t="s">
        <v>512</v>
      </c>
      <c r="D451" s="383" t="s">
        <v>202</v>
      </c>
      <c r="E451" s="383" t="s">
        <v>29</v>
      </c>
      <c r="F451" s="584" t="s">
        <v>334</v>
      </c>
      <c r="G451" s="585"/>
      <c r="H451" s="585">
        <v>1</v>
      </c>
    </row>
    <row r="452" spans="2:8" hidden="1" outlineLevel="2">
      <c r="B452" s="383" t="s">
        <v>512</v>
      </c>
      <c r="C452" s="383" t="s">
        <v>512</v>
      </c>
      <c r="D452" s="383" t="s">
        <v>202</v>
      </c>
      <c r="E452" s="383" t="s">
        <v>29</v>
      </c>
      <c r="F452" s="584" t="s">
        <v>279</v>
      </c>
      <c r="G452" s="585"/>
      <c r="H452" s="585">
        <v>1</v>
      </c>
    </row>
    <row r="453" spans="2:8" hidden="1" outlineLevel="2">
      <c r="B453" s="383" t="s">
        <v>512</v>
      </c>
      <c r="C453" s="383" t="s">
        <v>512</v>
      </c>
      <c r="D453" s="383" t="s">
        <v>202</v>
      </c>
      <c r="E453" s="383" t="s">
        <v>29</v>
      </c>
      <c r="F453" s="584" t="s">
        <v>33</v>
      </c>
      <c r="G453" s="585"/>
      <c r="H453" s="585">
        <v>1</v>
      </c>
    </row>
    <row r="454" spans="2:8" hidden="1" outlineLevel="2">
      <c r="B454" s="383" t="s">
        <v>512</v>
      </c>
      <c r="C454" s="383" t="s">
        <v>512</v>
      </c>
      <c r="D454" s="383" t="s">
        <v>28</v>
      </c>
      <c r="E454" s="383" t="s">
        <v>29</v>
      </c>
      <c r="F454" s="584" t="s">
        <v>279</v>
      </c>
      <c r="G454" s="585"/>
      <c r="H454" s="585">
        <v>1</v>
      </c>
    </row>
    <row r="455" spans="2:8" hidden="1" outlineLevel="2">
      <c r="B455" s="383" t="s">
        <v>512</v>
      </c>
      <c r="C455" s="383" t="s">
        <v>512</v>
      </c>
      <c r="D455" s="383" t="s">
        <v>28</v>
      </c>
      <c r="E455" s="383" t="s">
        <v>29</v>
      </c>
      <c r="F455" s="584" t="s">
        <v>33</v>
      </c>
      <c r="G455" s="585"/>
      <c r="H455" s="585">
        <v>1</v>
      </c>
    </row>
    <row r="456" spans="2:8" hidden="1" outlineLevel="2">
      <c r="B456" s="383" t="s">
        <v>512</v>
      </c>
      <c r="C456" s="383" t="s">
        <v>512</v>
      </c>
      <c r="D456" s="383" t="s">
        <v>64</v>
      </c>
      <c r="E456" s="383" t="s">
        <v>29</v>
      </c>
      <c r="F456" s="584" t="s">
        <v>279</v>
      </c>
      <c r="G456" s="585"/>
      <c r="H456" s="585">
        <v>1</v>
      </c>
    </row>
    <row r="457" spans="2:8" hidden="1" outlineLevel="2">
      <c r="B457" s="383" t="s">
        <v>512</v>
      </c>
      <c r="C457" s="383" t="s">
        <v>512</v>
      </c>
      <c r="D457" s="383" t="s">
        <v>64</v>
      </c>
      <c r="E457" s="383" t="s">
        <v>29</v>
      </c>
      <c r="F457" s="584" t="s">
        <v>33</v>
      </c>
      <c r="G457" s="585"/>
      <c r="H457" s="585">
        <v>1</v>
      </c>
    </row>
    <row r="458" spans="2:8" hidden="1" outlineLevel="1" collapsed="1">
      <c r="B458" s="401" t="s">
        <v>516</v>
      </c>
      <c r="C458" s="401" t="s">
        <v>517</v>
      </c>
      <c r="D458" s="401"/>
      <c r="E458" s="401" t="s">
        <v>708</v>
      </c>
      <c r="F458" s="568" t="s">
        <v>1677</v>
      </c>
      <c r="G458" s="583">
        <f>SUM(G459:G461)</f>
        <v>0.15000000000000002</v>
      </c>
      <c r="H458" s="583">
        <f>SUM(H459:H461)</f>
        <v>3</v>
      </c>
    </row>
    <row r="459" spans="2:8" hidden="1" outlineLevel="2">
      <c r="B459" s="383" t="s">
        <v>516</v>
      </c>
      <c r="C459" s="383" t="s">
        <v>517</v>
      </c>
      <c r="D459" s="383" t="s">
        <v>28</v>
      </c>
      <c r="E459" s="383" t="s">
        <v>29</v>
      </c>
      <c r="F459" s="584" t="s">
        <v>279</v>
      </c>
      <c r="G459" s="585">
        <v>0.05</v>
      </c>
      <c r="H459" s="585">
        <v>1</v>
      </c>
    </row>
    <row r="460" spans="2:8" hidden="1" outlineLevel="2">
      <c r="B460" s="383" t="s">
        <v>516</v>
      </c>
      <c r="C460" s="383" t="s">
        <v>517</v>
      </c>
      <c r="D460" s="383" t="s">
        <v>28</v>
      </c>
      <c r="E460" s="383" t="s">
        <v>29</v>
      </c>
      <c r="F460" s="584" t="s">
        <v>33</v>
      </c>
      <c r="G460" s="585">
        <v>0.05</v>
      </c>
      <c r="H460" s="585">
        <v>1</v>
      </c>
    </row>
    <row r="461" spans="2:8" hidden="1" outlineLevel="2">
      <c r="B461" s="383" t="s">
        <v>516</v>
      </c>
      <c r="C461" s="383" t="s">
        <v>517</v>
      </c>
      <c r="D461" s="383" t="s">
        <v>64</v>
      </c>
      <c r="E461" s="383" t="s">
        <v>29</v>
      </c>
      <c r="F461" s="584" t="s">
        <v>33</v>
      </c>
      <c r="G461" s="585">
        <v>0.05</v>
      </c>
      <c r="H461" s="585">
        <v>1</v>
      </c>
    </row>
    <row r="462" spans="2:8" hidden="1" outlineLevel="1" collapsed="1">
      <c r="B462" s="401" t="s">
        <v>330</v>
      </c>
      <c r="C462" s="401" t="s">
        <v>80</v>
      </c>
      <c r="D462" s="401"/>
      <c r="E462" s="401" t="s">
        <v>708</v>
      </c>
      <c r="F462" s="568" t="s">
        <v>1669</v>
      </c>
      <c r="G462" s="583">
        <f>SUM(G463:G466)</f>
        <v>0.16686000000000001</v>
      </c>
      <c r="H462" s="583">
        <f>SUM(H463:H466)</f>
        <v>4</v>
      </c>
    </row>
    <row r="463" spans="2:8" hidden="1" outlineLevel="2">
      <c r="B463" s="383" t="s">
        <v>330</v>
      </c>
      <c r="C463" s="383" t="s">
        <v>80</v>
      </c>
      <c r="D463" s="382" t="s">
        <v>28</v>
      </c>
      <c r="E463" s="383" t="s">
        <v>708</v>
      </c>
      <c r="F463" s="584" t="s">
        <v>32</v>
      </c>
      <c r="G463" s="586">
        <v>6.3719999999999999E-2</v>
      </c>
      <c r="H463" s="586">
        <v>1</v>
      </c>
    </row>
    <row r="464" spans="2:8" hidden="1" outlineLevel="2">
      <c r="B464" s="383" t="s">
        <v>330</v>
      </c>
      <c r="C464" s="383" t="s">
        <v>80</v>
      </c>
      <c r="D464" s="382" t="s">
        <v>28</v>
      </c>
      <c r="E464" s="383" t="s">
        <v>708</v>
      </c>
      <c r="F464" s="584" t="s">
        <v>33</v>
      </c>
      <c r="G464" s="586">
        <v>3.1859999999999999E-2</v>
      </c>
      <c r="H464" s="586">
        <v>1</v>
      </c>
    </row>
    <row r="465" spans="2:8" hidden="1" outlineLevel="2">
      <c r="B465" s="383" t="s">
        <v>330</v>
      </c>
      <c r="C465" s="383" t="s">
        <v>80</v>
      </c>
      <c r="D465" s="382" t="s">
        <v>64</v>
      </c>
      <c r="E465" s="383" t="s">
        <v>708</v>
      </c>
      <c r="F465" s="584" t="s">
        <v>32</v>
      </c>
      <c r="G465" s="586">
        <v>5.3460000000000001E-2</v>
      </c>
      <c r="H465" s="586">
        <v>1</v>
      </c>
    </row>
    <row r="466" spans="2:8" hidden="1" outlineLevel="2">
      <c r="B466" s="383" t="s">
        <v>330</v>
      </c>
      <c r="C466" s="383" t="s">
        <v>80</v>
      </c>
      <c r="D466" s="382" t="s">
        <v>64</v>
      </c>
      <c r="E466" s="383" t="s">
        <v>708</v>
      </c>
      <c r="F466" s="584" t="s">
        <v>33</v>
      </c>
      <c r="G466" s="586">
        <v>1.7819999999999999E-2</v>
      </c>
      <c r="H466" s="586">
        <v>1</v>
      </c>
    </row>
    <row r="467" spans="2:8" hidden="1" outlineLevel="1" collapsed="1">
      <c r="B467" s="401" t="s">
        <v>349</v>
      </c>
      <c r="C467" s="401" t="s">
        <v>30</v>
      </c>
      <c r="D467" s="401"/>
      <c r="E467" s="401" t="s">
        <v>708</v>
      </c>
      <c r="F467" s="568" t="s">
        <v>1678</v>
      </c>
      <c r="G467" s="583">
        <f>SUM(G468:G471)</f>
        <v>7.6409520000000009E-2</v>
      </c>
      <c r="H467" s="583">
        <f>SUM(H468:H471)</f>
        <v>4</v>
      </c>
    </row>
    <row r="468" spans="2:8" hidden="1" outlineLevel="2">
      <c r="B468" s="383" t="s">
        <v>349</v>
      </c>
      <c r="C468" s="383" t="s">
        <v>30</v>
      </c>
      <c r="D468" s="383" t="s">
        <v>28</v>
      </c>
      <c r="E468" s="383" t="s">
        <v>708</v>
      </c>
      <c r="F468" s="584" t="s">
        <v>32</v>
      </c>
      <c r="G468" s="586">
        <v>2.9179040000000003E-2</v>
      </c>
      <c r="H468" s="586">
        <v>1</v>
      </c>
    </row>
    <row r="469" spans="2:8" hidden="1" outlineLevel="2">
      <c r="B469" s="383" t="s">
        <v>349</v>
      </c>
      <c r="C469" s="383" t="s">
        <v>30</v>
      </c>
      <c r="D469" s="383" t="s">
        <v>28</v>
      </c>
      <c r="E469" s="383" t="s">
        <v>708</v>
      </c>
      <c r="F469" s="584" t="s">
        <v>33</v>
      </c>
      <c r="G469" s="586">
        <v>1.4589520000000002E-2</v>
      </c>
      <c r="H469" s="586">
        <v>1</v>
      </c>
    </row>
    <row r="470" spans="2:8" hidden="1" outlineLevel="2">
      <c r="B470" s="383" t="s">
        <v>349</v>
      </c>
      <c r="C470" s="383" t="s">
        <v>30</v>
      </c>
      <c r="D470" s="383" t="s">
        <v>64</v>
      </c>
      <c r="E470" s="383" t="s">
        <v>708</v>
      </c>
      <c r="F470" s="584" t="s">
        <v>32</v>
      </c>
      <c r="G470" s="586">
        <v>2.4480720000000001E-2</v>
      </c>
      <c r="H470" s="586">
        <v>1</v>
      </c>
    </row>
    <row r="471" spans="2:8" hidden="1" outlineLevel="2">
      <c r="B471" s="383" t="s">
        <v>349</v>
      </c>
      <c r="C471" s="383" t="s">
        <v>30</v>
      </c>
      <c r="D471" s="383" t="s">
        <v>64</v>
      </c>
      <c r="E471" s="383" t="s">
        <v>708</v>
      </c>
      <c r="F471" s="584" t="s">
        <v>33</v>
      </c>
      <c r="G471" s="586">
        <v>8.1602400000000009E-3</v>
      </c>
      <c r="H471" s="586">
        <v>1</v>
      </c>
    </row>
    <row r="472" spans="2:8" hidden="1" outlineLevel="1" collapsed="1">
      <c r="B472" s="401" t="s">
        <v>398</v>
      </c>
      <c r="C472" s="401" t="s">
        <v>398</v>
      </c>
      <c r="D472" s="401"/>
      <c r="E472" s="401" t="s">
        <v>708</v>
      </c>
      <c r="F472" s="568" t="s">
        <v>1670</v>
      </c>
      <c r="G472" s="583">
        <f>SUM(G473:G477)</f>
        <v>1.7570528000000003</v>
      </c>
      <c r="H472" s="583">
        <f>SUM(H473:H477)</f>
        <v>5</v>
      </c>
    </row>
    <row r="473" spans="2:8" hidden="1" outlineLevel="2">
      <c r="B473" s="383" t="s">
        <v>398</v>
      </c>
      <c r="C473" s="383" t="s">
        <v>398</v>
      </c>
      <c r="D473" s="383" t="s">
        <v>28</v>
      </c>
      <c r="E473" s="383" t="s">
        <v>708</v>
      </c>
      <c r="F473" s="584" t="s">
        <v>32</v>
      </c>
      <c r="G473" s="586">
        <v>0.56340280000000009</v>
      </c>
      <c r="H473" s="586">
        <v>1</v>
      </c>
    </row>
    <row r="474" spans="2:8" hidden="1" outlineLevel="2">
      <c r="B474" s="383" t="s">
        <v>398</v>
      </c>
      <c r="C474" s="383" t="s">
        <v>398</v>
      </c>
      <c r="D474" s="383" t="s">
        <v>28</v>
      </c>
      <c r="E474" s="383" t="s">
        <v>708</v>
      </c>
      <c r="F474" s="584" t="s">
        <v>33</v>
      </c>
      <c r="G474" s="586">
        <v>0.28170140000000005</v>
      </c>
      <c r="H474" s="586">
        <v>1</v>
      </c>
    </row>
    <row r="475" spans="2:8" hidden="1" outlineLevel="2">
      <c r="B475" s="383" t="s">
        <v>398</v>
      </c>
      <c r="C475" s="383" t="s">
        <v>398</v>
      </c>
      <c r="D475" s="383" t="s">
        <v>28</v>
      </c>
      <c r="E475" s="383" t="s">
        <v>708</v>
      </c>
      <c r="F475" s="584" t="s">
        <v>197</v>
      </c>
      <c r="G475" s="586">
        <v>0.28170140000000005</v>
      </c>
      <c r="H475" s="586">
        <v>1</v>
      </c>
    </row>
    <row r="476" spans="2:8" hidden="1" outlineLevel="2">
      <c r="B476" s="383" t="s">
        <v>398</v>
      </c>
      <c r="C476" s="383" t="s">
        <v>398</v>
      </c>
      <c r="D476" s="383" t="s">
        <v>64</v>
      </c>
      <c r="E476" s="383" t="s">
        <v>708</v>
      </c>
      <c r="F476" s="584" t="s">
        <v>32</v>
      </c>
      <c r="G476" s="586">
        <v>0.47268540000000003</v>
      </c>
      <c r="H476" s="586">
        <v>1</v>
      </c>
    </row>
    <row r="477" spans="2:8" hidden="1" outlineLevel="2">
      <c r="B477" s="383" t="s">
        <v>398</v>
      </c>
      <c r="C477" s="383" t="s">
        <v>398</v>
      </c>
      <c r="D477" s="383" t="s">
        <v>64</v>
      </c>
      <c r="E477" s="383" t="s">
        <v>708</v>
      </c>
      <c r="F477" s="584" t="s">
        <v>197</v>
      </c>
      <c r="G477" s="586">
        <v>0.15756180000000003</v>
      </c>
      <c r="H477" s="586">
        <v>1</v>
      </c>
    </row>
    <row r="478" spans="2:8" hidden="1" outlineLevel="1" collapsed="1">
      <c r="B478" s="401" t="s">
        <v>440</v>
      </c>
      <c r="C478" s="401" t="s">
        <v>440</v>
      </c>
      <c r="D478" s="401"/>
      <c r="E478" s="401" t="s">
        <v>708</v>
      </c>
      <c r="F478" s="568" t="s">
        <v>1681</v>
      </c>
      <c r="G478" s="583">
        <f>SUM(G479:G480)</f>
        <v>0.86951285400000011</v>
      </c>
      <c r="H478" s="583">
        <f>SUM(H479:H480)</f>
        <v>2</v>
      </c>
    </row>
    <row r="479" spans="2:8" hidden="1" outlineLevel="2">
      <c r="B479" s="383" t="s">
        <v>440</v>
      </c>
      <c r="C479" s="383" t="s">
        <v>440</v>
      </c>
      <c r="D479" s="383" t="s">
        <v>28</v>
      </c>
      <c r="E479" s="383" t="s">
        <v>708</v>
      </c>
      <c r="F479" s="584" t="s">
        <v>32</v>
      </c>
      <c r="G479" s="586">
        <v>0.43475642700000006</v>
      </c>
      <c r="H479" s="586">
        <v>1</v>
      </c>
    </row>
    <row r="480" spans="2:8" hidden="1" outlineLevel="2">
      <c r="B480" s="383" t="s">
        <v>440</v>
      </c>
      <c r="C480" s="383" t="s">
        <v>440</v>
      </c>
      <c r="D480" s="383" t="s">
        <v>28</v>
      </c>
      <c r="E480" s="383" t="s">
        <v>708</v>
      </c>
      <c r="F480" s="584" t="s">
        <v>33</v>
      </c>
      <c r="G480" s="586">
        <v>0.43475642700000006</v>
      </c>
      <c r="H480" s="586">
        <v>1</v>
      </c>
    </row>
    <row r="481" spans="2:8" hidden="1" outlineLevel="1" collapsed="1">
      <c r="B481" s="401" t="s">
        <v>447</v>
      </c>
      <c r="C481" s="401" t="s">
        <v>447</v>
      </c>
      <c r="D481" s="401"/>
      <c r="E481" s="401" t="s">
        <v>708</v>
      </c>
      <c r="F481" s="568" t="s">
        <v>1679</v>
      </c>
      <c r="G481" s="583">
        <f>SUM(G482:G483)</f>
        <v>0.28983761800000002</v>
      </c>
      <c r="H481" s="583">
        <f>SUM(H482:H483)</f>
        <v>2</v>
      </c>
    </row>
    <row r="482" spans="2:8" hidden="1" outlineLevel="2">
      <c r="B482" s="383" t="s">
        <v>447</v>
      </c>
      <c r="C482" s="383" t="s">
        <v>447</v>
      </c>
      <c r="D482" s="383" t="s">
        <v>28</v>
      </c>
      <c r="E482" s="383" t="s">
        <v>708</v>
      </c>
      <c r="F482" s="584" t="s">
        <v>32</v>
      </c>
      <c r="G482" s="586">
        <v>0.14491880900000001</v>
      </c>
      <c r="H482" s="586">
        <v>1</v>
      </c>
    </row>
    <row r="483" spans="2:8" hidden="1" outlineLevel="2">
      <c r="B483" s="383" t="s">
        <v>447</v>
      </c>
      <c r="C483" s="383" t="s">
        <v>447</v>
      </c>
      <c r="D483" s="383" t="s">
        <v>28</v>
      </c>
      <c r="E483" s="383" t="s">
        <v>708</v>
      </c>
      <c r="F483" s="584" t="s">
        <v>33</v>
      </c>
      <c r="G483" s="586">
        <v>0.14491880900000001</v>
      </c>
      <c r="H483" s="586">
        <v>1</v>
      </c>
    </row>
    <row r="484" spans="2:8" hidden="1" outlineLevel="1" collapsed="1">
      <c r="B484" s="401" t="s">
        <v>319</v>
      </c>
      <c r="C484" s="401" t="s">
        <v>319</v>
      </c>
      <c r="D484" s="401"/>
      <c r="E484" s="401" t="s">
        <v>708</v>
      </c>
      <c r="F484" s="568" t="s">
        <v>1680</v>
      </c>
      <c r="G484" s="583">
        <f>SUM(G485:G491)</f>
        <v>0.32804999999999995</v>
      </c>
      <c r="H484" s="583">
        <f>SUM(H485:H491)</f>
        <v>7</v>
      </c>
    </row>
    <row r="485" spans="2:8" hidden="1" outlineLevel="2">
      <c r="B485" s="383" t="s">
        <v>319</v>
      </c>
      <c r="C485" s="383" t="s">
        <v>319</v>
      </c>
      <c r="D485" s="383" t="s">
        <v>28</v>
      </c>
      <c r="E485" s="383" t="s">
        <v>29</v>
      </c>
      <c r="F485" s="584" t="s">
        <v>32</v>
      </c>
      <c r="G485" s="585">
        <v>3.9824999999999999E-2</v>
      </c>
      <c r="H485" s="585">
        <v>1</v>
      </c>
    </row>
    <row r="486" spans="2:8" hidden="1" outlineLevel="2">
      <c r="B486" s="383" t="s">
        <v>319</v>
      </c>
      <c r="C486" s="383" t="s">
        <v>319</v>
      </c>
      <c r="D486" s="383" t="s">
        <v>28</v>
      </c>
      <c r="E486" s="383" t="s">
        <v>29</v>
      </c>
      <c r="F486" s="584" t="s">
        <v>33</v>
      </c>
      <c r="G486" s="585">
        <v>7.9649999999999999E-2</v>
      </c>
      <c r="H486" s="585">
        <v>1</v>
      </c>
    </row>
    <row r="487" spans="2:8" hidden="1" outlineLevel="2">
      <c r="B487" s="383" t="s">
        <v>319</v>
      </c>
      <c r="C487" s="383" t="s">
        <v>319</v>
      </c>
      <c r="D487" s="383" t="s">
        <v>28</v>
      </c>
      <c r="E487" s="383" t="s">
        <v>29</v>
      </c>
      <c r="F487" s="584" t="s">
        <v>34</v>
      </c>
      <c r="G487" s="585">
        <v>7.9649999999999999E-2</v>
      </c>
      <c r="H487" s="585">
        <v>1</v>
      </c>
    </row>
    <row r="488" spans="2:8" hidden="1" outlineLevel="2">
      <c r="B488" s="383" t="s">
        <v>319</v>
      </c>
      <c r="C488" s="383" t="s">
        <v>319</v>
      </c>
      <c r="D488" s="383" t="s">
        <v>28</v>
      </c>
      <c r="E488" s="383" t="s">
        <v>29</v>
      </c>
      <c r="F488" s="584" t="s">
        <v>197</v>
      </c>
      <c r="G488" s="585">
        <v>3.9824999999999999E-2</v>
      </c>
      <c r="H488" s="585">
        <v>1</v>
      </c>
    </row>
    <row r="489" spans="2:8" hidden="1" outlineLevel="2">
      <c r="B489" s="383" t="s">
        <v>319</v>
      </c>
      <c r="C489" s="383" t="s">
        <v>319</v>
      </c>
      <c r="D489" s="383" t="s">
        <v>64</v>
      </c>
      <c r="E489" s="383" t="s">
        <v>29</v>
      </c>
      <c r="F489" s="584" t="s">
        <v>32</v>
      </c>
      <c r="G489" s="585">
        <v>4.4550000000000006E-2</v>
      </c>
      <c r="H489" s="585">
        <v>1</v>
      </c>
    </row>
    <row r="490" spans="2:8" hidden="1" outlineLevel="2">
      <c r="B490" s="383" t="s">
        <v>319</v>
      </c>
      <c r="C490" s="383" t="s">
        <v>319</v>
      </c>
      <c r="D490" s="383" t="s">
        <v>64</v>
      </c>
      <c r="E490" s="383" t="s">
        <v>29</v>
      </c>
      <c r="F490" s="584" t="s">
        <v>34</v>
      </c>
      <c r="G490" s="585">
        <v>2.2275000000000003E-2</v>
      </c>
      <c r="H490" s="585">
        <v>1</v>
      </c>
    </row>
    <row r="491" spans="2:8" hidden="1" outlineLevel="2">
      <c r="B491" s="383" t="s">
        <v>319</v>
      </c>
      <c r="C491" s="383" t="s">
        <v>319</v>
      </c>
      <c r="D491" s="383" t="s">
        <v>64</v>
      </c>
      <c r="E491" s="383" t="s">
        <v>29</v>
      </c>
      <c r="F491" s="584" t="s">
        <v>471</v>
      </c>
      <c r="G491" s="585">
        <v>2.2275000000000003E-2</v>
      </c>
      <c r="H491" s="585">
        <v>1</v>
      </c>
    </row>
    <row r="492" spans="2:8" hidden="1" outlineLevel="1" collapsed="1">
      <c r="B492" s="401" t="s">
        <v>474</v>
      </c>
      <c r="C492" s="401" t="s">
        <v>136</v>
      </c>
      <c r="D492" s="401"/>
      <c r="E492" s="401" t="s">
        <v>708</v>
      </c>
      <c r="F492" s="568" t="s">
        <v>1687</v>
      </c>
      <c r="G492" s="583">
        <f>SUM(G493:G502)</f>
        <v>5.2621400000000005</v>
      </c>
      <c r="H492" s="583">
        <f>SUM(H493:H502)</f>
        <v>10</v>
      </c>
    </row>
    <row r="493" spans="2:8" hidden="1" outlineLevel="2">
      <c r="B493" s="383" t="s">
        <v>474</v>
      </c>
      <c r="C493" s="383" t="s">
        <v>136</v>
      </c>
      <c r="D493" s="383" t="s">
        <v>202</v>
      </c>
      <c r="E493" s="383" t="s">
        <v>29</v>
      </c>
      <c r="F493" s="584" t="s">
        <v>334</v>
      </c>
      <c r="G493" s="585">
        <v>0.85500000000000009</v>
      </c>
      <c r="H493" s="585">
        <v>1</v>
      </c>
    </row>
    <row r="494" spans="2:8" hidden="1" outlineLevel="2">
      <c r="B494" s="383" t="s">
        <v>474</v>
      </c>
      <c r="C494" s="383" t="s">
        <v>136</v>
      </c>
      <c r="D494" s="383" t="s">
        <v>202</v>
      </c>
      <c r="E494" s="383" t="s">
        <v>29</v>
      </c>
      <c r="F494" s="584" t="s">
        <v>32</v>
      </c>
      <c r="G494" s="585">
        <v>1.4050000000000002</v>
      </c>
      <c r="H494" s="585">
        <v>1</v>
      </c>
    </row>
    <row r="495" spans="2:8" hidden="1" outlineLevel="2">
      <c r="B495" s="383" t="s">
        <v>474</v>
      </c>
      <c r="C495" s="383" t="s">
        <v>136</v>
      </c>
      <c r="D495" s="383" t="s">
        <v>202</v>
      </c>
      <c r="E495" s="383" t="s">
        <v>29</v>
      </c>
      <c r="F495" s="584" t="s">
        <v>33</v>
      </c>
      <c r="G495" s="585">
        <v>1.4050000000000002</v>
      </c>
      <c r="H495" s="585">
        <v>1</v>
      </c>
    </row>
    <row r="496" spans="2:8" hidden="1" outlineLevel="2">
      <c r="B496" s="383" t="s">
        <v>474</v>
      </c>
      <c r="C496" s="383" t="s">
        <v>136</v>
      </c>
      <c r="D496" s="383" t="s">
        <v>202</v>
      </c>
      <c r="E496" s="383" t="s">
        <v>29</v>
      </c>
      <c r="F496" s="584" t="s">
        <v>471</v>
      </c>
      <c r="G496" s="585">
        <v>0.85500000000000009</v>
      </c>
      <c r="H496" s="585">
        <v>1</v>
      </c>
    </row>
    <row r="497" spans="2:8" hidden="1" outlineLevel="2">
      <c r="B497" s="383" t="s">
        <v>474</v>
      </c>
      <c r="C497" s="383" t="s">
        <v>136</v>
      </c>
      <c r="D497" s="383" t="s">
        <v>28</v>
      </c>
      <c r="E497" s="383" t="s">
        <v>29</v>
      </c>
      <c r="F497" s="584" t="s">
        <v>32</v>
      </c>
      <c r="G497" s="585">
        <v>0.10088999999999999</v>
      </c>
      <c r="H497" s="585">
        <v>1</v>
      </c>
    </row>
    <row r="498" spans="2:8" hidden="1" outlineLevel="2">
      <c r="B498" s="383" t="s">
        <v>474</v>
      </c>
      <c r="C498" s="383" t="s">
        <v>136</v>
      </c>
      <c r="D498" s="383" t="s">
        <v>28</v>
      </c>
      <c r="E498" s="383" t="s">
        <v>29</v>
      </c>
      <c r="F498" s="584" t="s">
        <v>33</v>
      </c>
      <c r="G498" s="585">
        <v>0.20177999999999999</v>
      </c>
      <c r="H498" s="585">
        <v>1</v>
      </c>
    </row>
    <row r="499" spans="2:8" hidden="1" outlineLevel="2">
      <c r="B499" s="383" t="s">
        <v>474</v>
      </c>
      <c r="C499" s="383" t="s">
        <v>136</v>
      </c>
      <c r="D499" s="383" t="s">
        <v>28</v>
      </c>
      <c r="E499" s="383" t="s">
        <v>29</v>
      </c>
      <c r="F499" s="584" t="s">
        <v>471</v>
      </c>
      <c r="G499" s="585">
        <v>0.10088999999999999</v>
      </c>
      <c r="H499" s="585">
        <v>1</v>
      </c>
    </row>
    <row r="500" spans="2:8" hidden="1" outlineLevel="2">
      <c r="B500" s="383" t="s">
        <v>474</v>
      </c>
      <c r="C500" s="383" t="s">
        <v>136</v>
      </c>
      <c r="D500" s="383" t="s">
        <v>64</v>
      </c>
      <c r="E500" s="383" t="s">
        <v>29</v>
      </c>
      <c r="F500" s="584" t="s">
        <v>32</v>
      </c>
      <c r="G500" s="585">
        <v>0.11286000000000002</v>
      </c>
      <c r="H500" s="585">
        <v>1</v>
      </c>
    </row>
    <row r="501" spans="2:8" hidden="1" outlineLevel="2">
      <c r="B501" s="383" t="s">
        <v>474</v>
      </c>
      <c r="C501" s="383" t="s">
        <v>136</v>
      </c>
      <c r="D501" s="383" t="s">
        <v>64</v>
      </c>
      <c r="E501" s="383" t="s">
        <v>29</v>
      </c>
      <c r="F501" s="584" t="s">
        <v>33</v>
      </c>
      <c r="G501" s="585">
        <v>0.16929</v>
      </c>
      <c r="H501" s="585">
        <v>1</v>
      </c>
    </row>
    <row r="502" spans="2:8" hidden="1" outlineLevel="2">
      <c r="B502" s="383" t="s">
        <v>474</v>
      </c>
      <c r="C502" s="383" t="s">
        <v>136</v>
      </c>
      <c r="D502" s="383" t="s">
        <v>64</v>
      </c>
      <c r="E502" s="383" t="s">
        <v>29</v>
      </c>
      <c r="F502" s="584" t="s">
        <v>471</v>
      </c>
      <c r="G502" s="585">
        <v>5.6430000000000008E-2</v>
      </c>
      <c r="H502" s="585">
        <v>1</v>
      </c>
    </row>
    <row r="503" spans="2:8" hidden="1" outlineLevel="1" collapsed="1">
      <c r="B503" s="401" t="s">
        <v>486</v>
      </c>
      <c r="C503" s="401" t="s">
        <v>136</v>
      </c>
      <c r="D503" s="401"/>
      <c r="E503" s="401" t="s">
        <v>708</v>
      </c>
      <c r="F503" s="568" t="s">
        <v>1688</v>
      </c>
      <c r="G503" s="583">
        <f>SUM(G504:G510)</f>
        <v>2.5074143979111465</v>
      </c>
      <c r="H503" s="583">
        <f>SUM(H504:H510)</f>
        <v>7</v>
      </c>
    </row>
    <row r="504" spans="2:8" hidden="1" outlineLevel="2">
      <c r="B504" s="383" t="s">
        <v>486</v>
      </c>
      <c r="C504" s="383" t="s">
        <v>136</v>
      </c>
      <c r="D504" s="383" t="s">
        <v>202</v>
      </c>
      <c r="E504" s="383" t="s">
        <v>29</v>
      </c>
      <c r="F504" s="584" t="s">
        <v>334</v>
      </c>
      <c r="G504" s="585">
        <v>0.4724994626592407</v>
      </c>
      <c r="H504" s="585">
        <v>1</v>
      </c>
    </row>
    <row r="505" spans="2:8" hidden="1" outlineLevel="2">
      <c r="B505" s="383" t="s">
        <v>486</v>
      </c>
      <c r="C505" s="383" t="s">
        <v>136</v>
      </c>
      <c r="D505" s="383" t="s">
        <v>202</v>
      </c>
      <c r="E505" s="383" t="s">
        <v>29</v>
      </c>
      <c r="F505" s="584" t="s">
        <v>32</v>
      </c>
      <c r="G505" s="585">
        <v>0.85586265139649265</v>
      </c>
      <c r="H505" s="585">
        <v>1</v>
      </c>
    </row>
    <row r="506" spans="2:8" hidden="1" outlineLevel="2">
      <c r="B506" s="383" t="s">
        <v>486</v>
      </c>
      <c r="C506" s="383" t="s">
        <v>136</v>
      </c>
      <c r="D506" s="383" t="s">
        <v>202</v>
      </c>
      <c r="E506" s="383" t="s">
        <v>29</v>
      </c>
      <c r="F506" s="584" t="s">
        <v>33</v>
      </c>
      <c r="G506" s="585">
        <v>0.85586265139649265</v>
      </c>
      <c r="H506" s="585">
        <v>1</v>
      </c>
    </row>
    <row r="507" spans="2:8" hidden="1" outlineLevel="2">
      <c r="B507" s="383" t="s">
        <v>486</v>
      </c>
      <c r="C507" s="383" t="s">
        <v>136</v>
      </c>
      <c r="D507" s="383" t="s">
        <v>28</v>
      </c>
      <c r="E507" s="383" t="s">
        <v>29</v>
      </c>
      <c r="F507" s="584" t="s">
        <v>32</v>
      </c>
      <c r="G507" s="585">
        <v>5.5754936593790397E-2</v>
      </c>
      <c r="H507" s="585">
        <v>1</v>
      </c>
    </row>
    <row r="508" spans="2:8" hidden="1" outlineLevel="2">
      <c r="B508" s="383" t="s">
        <v>486</v>
      </c>
      <c r="C508" s="383" t="s">
        <v>136</v>
      </c>
      <c r="D508" s="383" t="s">
        <v>28</v>
      </c>
      <c r="E508" s="383" t="s">
        <v>29</v>
      </c>
      <c r="F508" s="584" t="s">
        <v>33</v>
      </c>
      <c r="G508" s="585">
        <v>0.11150987318758079</v>
      </c>
      <c r="H508" s="585">
        <v>1</v>
      </c>
    </row>
    <row r="509" spans="2:8" hidden="1" outlineLevel="2">
      <c r="B509" s="383" t="s">
        <v>486</v>
      </c>
      <c r="C509" s="383" t="s">
        <v>136</v>
      </c>
      <c r="D509" s="383" t="s">
        <v>64</v>
      </c>
      <c r="E509" s="383" t="s">
        <v>29</v>
      </c>
      <c r="F509" s="584" t="s">
        <v>32</v>
      </c>
      <c r="G509" s="585">
        <v>6.2369929071019771E-2</v>
      </c>
      <c r="H509" s="585">
        <v>1</v>
      </c>
    </row>
    <row r="510" spans="2:8" hidden="1" outlineLevel="2">
      <c r="B510" s="383" t="s">
        <v>486</v>
      </c>
      <c r="C510" s="383" t="s">
        <v>136</v>
      </c>
      <c r="D510" s="383" t="s">
        <v>64</v>
      </c>
      <c r="E510" s="383" t="s">
        <v>29</v>
      </c>
      <c r="F510" s="584" t="s">
        <v>33</v>
      </c>
      <c r="G510" s="585">
        <v>9.3554893606529646E-2</v>
      </c>
      <c r="H510" s="585">
        <v>1</v>
      </c>
    </row>
    <row r="511" spans="2:8" hidden="1" outlineLevel="1" collapsed="1">
      <c r="B511" s="401" t="s">
        <v>490</v>
      </c>
      <c r="C511" s="401" t="s">
        <v>136</v>
      </c>
      <c r="D511" s="401"/>
      <c r="E511" s="401" t="s">
        <v>708</v>
      </c>
      <c r="F511" s="568" t="s">
        <v>1689</v>
      </c>
      <c r="G511" s="583">
        <f>SUM(G512:G527)</f>
        <v>2.7927693686277002</v>
      </c>
      <c r="H511" s="583">
        <f>SUM(H512:H527)</f>
        <v>16</v>
      </c>
    </row>
    <row r="512" spans="2:8" hidden="1" outlineLevel="2">
      <c r="B512" s="383" t="s">
        <v>490</v>
      </c>
      <c r="C512" s="383" t="s">
        <v>136</v>
      </c>
      <c r="D512" s="383" t="s">
        <v>202</v>
      </c>
      <c r="E512" s="383" t="s">
        <v>29</v>
      </c>
      <c r="F512" s="584" t="s">
        <v>492</v>
      </c>
      <c r="G512" s="585">
        <v>0.55066951170000011</v>
      </c>
      <c r="H512" s="585">
        <v>1</v>
      </c>
    </row>
    <row r="513" spans="2:8" hidden="1" outlineLevel="2">
      <c r="B513" s="383" t="s">
        <v>490</v>
      </c>
      <c r="C513" s="383" t="s">
        <v>136</v>
      </c>
      <c r="D513" s="383" t="s">
        <v>202</v>
      </c>
      <c r="E513" s="383" t="s">
        <v>29</v>
      </c>
      <c r="F513" s="584" t="s">
        <v>493</v>
      </c>
      <c r="G513" s="585">
        <v>0.55066951170000011</v>
      </c>
      <c r="H513" s="585">
        <v>1</v>
      </c>
    </row>
    <row r="514" spans="2:8" hidden="1" outlineLevel="2">
      <c r="B514" s="383" t="s">
        <v>490</v>
      </c>
      <c r="C514" s="383" t="s">
        <v>136</v>
      </c>
      <c r="D514" s="383" t="s">
        <v>202</v>
      </c>
      <c r="E514" s="383" t="s">
        <v>29</v>
      </c>
      <c r="F514" s="584" t="s">
        <v>34</v>
      </c>
      <c r="G514" s="585">
        <v>0.55066951170000011</v>
      </c>
      <c r="H514" s="585">
        <v>1</v>
      </c>
    </row>
    <row r="515" spans="2:8" hidden="1" outlineLevel="2">
      <c r="B515" s="383" t="s">
        <v>490</v>
      </c>
      <c r="C515" s="383" t="s">
        <v>136</v>
      </c>
      <c r="D515" s="383" t="s">
        <v>202</v>
      </c>
      <c r="E515" s="383" t="s">
        <v>29</v>
      </c>
      <c r="F515" s="584" t="s">
        <v>471</v>
      </c>
      <c r="G515" s="585">
        <v>0.30444318135000004</v>
      </c>
      <c r="H515" s="585">
        <v>1</v>
      </c>
    </row>
    <row r="516" spans="2:8" hidden="1" outlineLevel="2">
      <c r="B516" s="383" t="s">
        <v>490</v>
      </c>
      <c r="C516" s="383" t="s">
        <v>136</v>
      </c>
      <c r="D516" s="383" t="s">
        <v>202</v>
      </c>
      <c r="E516" s="383" t="s">
        <v>29</v>
      </c>
      <c r="F516" s="584" t="s">
        <v>335</v>
      </c>
      <c r="G516" s="585">
        <v>0.30444318135000004</v>
      </c>
      <c r="H516" s="585">
        <v>1</v>
      </c>
    </row>
    <row r="517" spans="2:8" hidden="1" outlineLevel="2">
      <c r="B517" s="383" t="s">
        <v>490</v>
      </c>
      <c r="C517" s="383" t="s">
        <v>136</v>
      </c>
      <c r="D517" s="383" t="s">
        <v>202</v>
      </c>
      <c r="E517" s="383" t="s">
        <v>29</v>
      </c>
      <c r="F517" s="584" t="s">
        <v>494</v>
      </c>
      <c r="G517" s="585">
        <v>0.16520085351</v>
      </c>
      <c r="H517" s="585">
        <v>1</v>
      </c>
    </row>
    <row r="518" spans="2:8" hidden="1" outlineLevel="2">
      <c r="B518" s="383" t="s">
        <v>490</v>
      </c>
      <c r="C518" s="383" t="s">
        <v>136</v>
      </c>
      <c r="D518" s="383" t="s">
        <v>28</v>
      </c>
      <c r="E518" s="383" t="s">
        <v>29</v>
      </c>
      <c r="F518" s="584" t="s">
        <v>32</v>
      </c>
      <c r="G518" s="585">
        <v>3.5924295399299998E-2</v>
      </c>
      <c r="H518" s="585">
        <v>1</v>
      </c>
    </row>
    <row r="519" spans="2:8" hidden="1" outlineLevel="2">
      <c r="B519" s="383" t="s">
        <v>490</v>
      </c>
      <c r="C519" s="383" t="s">
        <v>136</v>
      </c>
      <c r="D519" s="383" t="s">
        <v>28</v>
      </c>
      <c r="E519" s="383" t="s">
        <v>29</v>
      </c>
      <c r="F519" s="584" t="s">
        <v>493</v>
      </c>
      <c r="G519" s="585">
        <v>7.1848590798599996E-2</v>
      </c>
      <c r="H519" s="585">
        <v>1</v>
      </c>
    </row>
    <row r="520" spans="2:8" hidden="1" outlineLevel="2">
      <c r="B520" s="383" t="s">
        <v>490</v>
      </c>
      <c r="C520" s="383" t="s">
        <v>136</v>
      </c>
      <c r="D520" s="383" t="s">
        <v>28</v>
      </c>
      <c r="E520" s="383" t="s">
        <v>29</v>
      </c>
      <c r="F520" s="584" t="s">
        <v>34</v>
      </c>
      <c r="G520" s="585">
        <v>7.1848590798599996E-2</v>
      </c>
      <c r="H520" s="585">
        <v>1</v>
      </c>
    </row>
    <row r="521" spans="2:8" hidden="1" outlineLevel="2">
      <c r="B521" s="383" t="s">
        <v>490</v>
      </c>
      <c r="C521" s="383" t="s">
        <v>136</v>
      </c>
      <c r="D521" s="383" t="s">
        <v>28</v>
      </c>
      <c r="E521" s="383" t="s">
        <v>29</v>
      </c>
      <c r="F521" s="584" t="s">
        <v>471</v>
      </c>
      <c r="G521" s="585">
        <v>3.5924295399299998E-2</v>
      </c>
      <c r="H521" s="585">
        <v>1</v>
      </c>
    </row>
    <row r="522" spans="2:8" hidden="1" outlineLevel="2">
      <c r="B522" s="383" t="s">
        <v>490</v>
      </c>
      <c r="C522" s="383" t="s">
        <v>136</v>
      </c>
      <c r="D522" s="383" t="s">
        <v>28</v>
      </c>
      <c r="E522" s="383" t="s">
        <v>29</v>
      </c>
      <c r="F522" s="584" t="s">
        <v>460</v>
      </c>
      <c r="G522" s="585">
        <v>3.2489501190300002E-2</v>
      </c>
      <c r="H522" s="585">
        <v>1</v>
      </c>
    </row>
    <row r="523" spans="2:8" hidden="1" outlineLevel="2">
      <c r="B523" s="383" t="s">
        <v>490</v>
      </c>
      <c r="C523" s="383" t="s">
        <v>136</v>
      </c>
      <c r="D523" s="383" t="s">
        <v>64</v>
      </c>
      <c r="E523" s="383" t="s">
        <v>29</v>
      </c>
      <c r="F523" s="584" t="s">
        <v>32</v>
      </c>
      <c r="G523" s="585">
        <v>4.0186499938200004E-2</v>
      </c>
      <c r="H523" s="585">
        <v>1</v>
      </c>
    </row>
    <row r="524" spans="2:8" hidden="1" outlineLevel="2">
      <c r="B524" s="383" t="s">
        <v>490</v>
      </c>
      <c r="C524" s="383" t="s">
        <v>136</v>
      </c>
      <c r="D524" s="383" t="s">
        <v>64</v>
      </c>
      <c r="E524" s="383" t="s">
        <v>29</v>
      </c>
      <c r="F524" s="584" t="s">
        <v>34</v>
      </c>
      <c r="G524" s="585">
        <v>2.0093249969100002E-2</v>
      </c>
      <c r="H524" s="585">
        <v>1</v>
      </c>
    </row>
    <row r="525" spans="2:8" hidden="1" outlineLevel="2">
      <c r="B525" s="383" t="s">
        <v>490</v>
      </c>
      <c r="C525" s="383" t="s">
        <v>136</v>
      </c>
      <c r="D525" s="383" t="s">
        <v>64</v>
      </c>
      <c r="E525" s="383" t="s">
        <v>29</v>
      </c>
      <c r="F525" s="584" t="s">
        <v>471</v>
      </c>
      <c r="G525" s="585">
        <v>2.0093249969100002E-2</v>
      </c>
      <c r="H525" s="585">
        <v>1</v>
      </c>
    </row>
    <row r="526" spans="2:8" hidden="1" outlineLevel="2">
      <c r="B526" s="383" t="s">
        <v>490</v>
      </c>
      <c r="C526" s="383" t="s">
        <v>136</v>
      </c>
      <c r="D526" s="383" t="s">
        <v>64</v>
      </c>
      <c r="E526" s="383" t="s">
        <v>29</v>
      </c>
      <c r="F526" s="584" t="s">
        <v>335</v>
      </c>
      <c r="G526" s="585">
        <v>2.0093249969100002E-2</v>
      </c>
      <c r="H526" s="585">
        <v>1</v>
      </c>
    </row>
    <row r="527" spans="2:8" hidden="1" outlineLevel="2">
      <c r="B527" s="383" t="s">
        <v>490</v>
      </c>
      <c r="C527" s="383" t="s">
        <v>136</v>
      </c>
      <c r="D527" s="383" t="s">
        <v>64</v>
      </c>
      <c r="E527" s="383" t="s">
        <v>29</v>
      </c>
      <c r="F527" s="584" t="s">
        <v>460</v>
      </c>
      <c r="G527" s="585">
        <v>1.8172093886100003E-2</v>
      </c>
      <c r="H527" s="585">
        <v>1</v>
      </c>
    </row>
    <row r="528" spans="2:8" hidden="1" outlineLevel="1">
      <c r="B528" s="401" t="s">
        <v>498</v>
      </c>
      <c r="C528" s="401" t="s">
        <v>136</v>
      </c>
      <c r="D528" s="401"/>
      <c r="E528" s="401" t="s">
        <v>708</v>
      </c>
      <c r="F528" s="568" t="s">
        <v>1690</v>
      </c>
      <c r="G528" s="583">
        <v>0</v>
      </c>
      <c r="H528" s="583">
        <v>0</v>
      </c>
    </row>
    <row r="529" spans="1:9" hidden="1" outlineLevel="1">
      <c r="B529" s="401" t="s">
        <v>503</v>
      </c>
      <c r="C529" s="401" t="s">
        <v>503</v>
      </c>
      <c r="D529" s="401"/>
      <c r="E529" s="401" t="s">
        <v>708</v>
      </c>
      <c r="F529" s="568" t="s">
        <v>1691</v>
      </c>
      <c r="G529" s="583">
        <v>0</v>
      </c>
      <c r="H529" s="583">
        <v>0</v>
      </c>
    </row>
    <row r="530" spans="1:9" hidden="1" outlineLevel="1">
      <c r="B530" s="401" t="s">
        <v>510</v>
      </c>
      <c r="C530" s="401" t="s">
        <v>510</v>
      </c>
      <c r="D530" s="401"/>
      <c r="E530" s="401" t="s">
        <v>708</v>
      </c>
      <c r="F530" s="568" t="s">
        <v>1675</v>
      </c>
      <c r="G530" s="583">
        <v>0</v>
      </c>
      <c r="H530" s="583">
        <v>0</v>
      </c>
    </row>
    <row r="531" spans="1:9" hidden="1" outlineLevel="1" collapsed="1">
      <c r="B531" s="401" t="s">
        <v>521</v>
      </c>
      <c r="C531" s="401" t="s">
        <v>521</v>
      </c>
      <c r="D531" s="401"/>
      <c r="E531" s="401" t="s">
        <v>708</v>
      </c>
      <c r="F531" s="568" t="s">
        <v>1704</v>
      </c>
      <c r="G531" s="583">
        <f>SUM(G532:G535)</f>
        <v>2.0669932799999999E-2</v>
      </c>
      <c r="H531" s="583">
        <f>SUM(H532:H535)</f>
        <v>4</v>
      </c>
    </row>
    <row r="532" spans="1:9" hidden="1" outlineLevel="2">
      <c r="B532" s="383" t="s">
        <v>521</v>
      </c>
      <c r="C532" s="383" t="s">
        <v>521</v>
      </c>
      <c r="D532" s="383" t="s">
        <v>28</v>
      </c>
      <c r="E532" s="383" t="s">
        <v>29</v>
      </c>
      <c r="F532" s="584" t="s">
        <v>279</v>
      </c>
      <c r="G532" s="585">
        <v>5.6372543999999997E-3</v>
      </c>
      <c r="H532" s="585">
        <v>1</v>
      </c>
    </row>
    <row r="533" spans="1:9" hidden="1" outlineLevel="2">
      <c r="B533" s="383" t="s">
        <v>521</v>
      </c>
      <c r="C533" s="383" t="s">
        <v>521</v>
      </c>
      <c r="D533" s="383" t="s">
        <v>28</v>
      </c>
      <c r="E533" s="383" t="s">
        <v>29</v>
      </c>
      <c r="F533" s="584" t="s">
        <v>33</v>
      </c>
      <c r="G533" s="585">
        <v>5.6372543999999997E-3</v>
      </c>
      <c r="H533" s="585">
        <v>1</v>
      </c>
    </row>
    <row r="534" spans="1:9" hidden="1" outlineLevel="2">
      <c r="B534" s="383" t="s">
        <v>521</v>
      </c>
      <c r="C534" s="383" t="s">
        <v>521</v>
      </c>
      <c r="D534" s="383" t="s">
        <v>64</v>
      </c>
      <c r="E534" s="383" t="s">
        <v>29</v>
      </c>
      <c r="F534" s="584" t="s">
        <v>279</v>
      </c>
      <c r="G534" s="585">
        <v>4.6977119999999997E-3</v>
      </c>
      <c r="H534" s="585">
        <v>1</v>
      </c>
    </row>
    <row r="535" spans="1:9" hidden="1" outlineLevel="2">
      <c r="B535" s="383" t="s">
        <v>521</v>
      </c>
      <c r="C535" s="383" t="s">
        <v>521</v>
      </c>
      <c r="D535" s="383" t="s">
        <v>64</v>
      </c>
      <c r="E535" s="383" t="s">
        <v>29</v>
      </c>
      <c r="F535" s="584" t="s">
        <v>33</v>
      </c>
      <c r="G535" s="585">
        <v>4.6977119999999997E-3</v>
      </c>
      <c r="H535" s="585">
        <v>1</v>
      </c>
    </row>
    <row r="536" spans="1:9" hidden="1" outlineLevel="1" collapsed="1">
      <c r="B536" s="401" t="s">
        <v>536</v>
      </c>
      <c r="C536" s="401" t="s">
        <v>537</v>
      </c>
      <c r="D536" s="401"/>
      <c r="E536" s="401" t="s">
        <v>708</v>
      </c>
      <c r="F536" s="568" t="s">
        <v>1682</v>
      </c>
      <c r="G536" s="583">
        <f>SUM(G537:G541)</f>
        <v>0.45</v>
      </c>
      <c r="H536" s="583">
        <f>SUM(H537:H541)</f>
        <v>5</v>
      </c>
    </row>
    <row r="537" spans="1:9" hidden="1" outlineLevel="2">
      <c r="B537" s="383" t="s">
        <v>536</v>
      </c>
      <c r="C537" s="383" t="s">
        <v>537</v>
      </c>
      <c r="D537" s="383" t="s">
        <v>28</v>
      </c>
      <c r="E537" s="383" t="s">
        <v>29</v>
      </c>
      <c r="F537" s="584" t="s">
        <v>32</v>
      </c>
      <c r="G537" s="585">
        <v>0.1</v>
      </c>
      <c r="H537" s="585">
        <v>1</v>
      </c>
    </row>
    <row r="538" spans="1:9" hidden="1" outlineLevel="2">
      <c r="B538" s="383" t="s">
        <v>536</v>
      </c>
      <c r="C538" s="383" t="s">
        <v>537</v>
      </c>
      <c r="D538" s="383" t="s">
        <v>28</v>
      </c>
      <c r="E538" s="383" t="s">
        <v>29</v>
      </c>
      <c r="F538" s="584" t="s">
        <v>33</v>
      </c>
      <c r="G538" s="585">
        <v>0.05</v>
      </c>
      <c r="H538" s="585">
        <v>1</v>
      </c>
    </row>
    <row r="539" spans="1:9" hidden="1" outlineLevel="2">
      <c r="B539" s="383" t="s">
        <v>536</v>
      </c>
      <c r="C539" s="383" t="s">
        <v>537</v>
      </c>
      <c r="D539" s="383" t="s">
        <v>28</v>
      </c>
      <c r="E539" s="383" t="s">
        <v>29</v>
      </c>
      <c r="F539" s="584" t="s">
        <v>353</v>
      </c>
      <c r="G539" s="585">
        <v>0.1</v>
      </c>
      <c r="H539" s="585">
        <v>1</v>
      </c>
    </row>
    <row r="540" spans="1:9" hidden="1" outlineLevel="2">
      <c r="B540" s="383" t="s">
        <v>536</v>
      </c>
      <c r="C540" s="383" t="s">
        <v>537</v>
      </c>
      <c r="D540" s="383" t="s">
        <v>64</v>
      </c>
      <c r="E540" s="383" t="s">
        <v>29</v>
      </c>
      <c r="F540" s="584" t="s">
        <v>32</v>
      </c>
      <c r="G540" s="585">
        <v>0.15</v>
      </c>
      <c r="H540" s="585">
        <v>1</v>
      </c>
    </row>
    <row r="541" spans="1:9" hidden="1" outlineLevel="2">
      <c r="B541" s="383" t="s">
        <v>536</v>
      </c>
      <c r="C541" s="383" t="s">
        <v>537</v>
      </c>
      <c r="D541" s="383" t="s">
        <v>64</v>
      </c>
      <c r="E541" s="383" t="s">
        <v>29</v>
      </c>
      <c r="F541" s="584" t="s">
        <v>33</v>
      </c>
      <c r="G541" s="585">
        <v>0.05</v>
      </c>
      <c r="H541" s="585">
        <v>1</v>
      </c>
    </row>
    <row r="542" spans="1:9" ht="3" customHeight="1">
      <c r="A542" s="382"/>
      <c r="B542" s="382"/>
      <c r="C542" s="382"/>
      <c r="D542" s="382"/>
      <c r="E542" s="382"/>
      <c r="F542" s="561"/>
      <c r="G542" s="382"/>
      <c r="H542" s="382"/>
      <c r="I542" s="382"/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BDF9-F82C-46C3-858A-9396328B6365}"/>
</file>

<file path=customXml/itemProps2.xml><?xml version="1.0" encoding="utf-8"?>
<ds:datastoreItem xmlns:ds="http://schemas.openxmlformats.org/officeDocument/2006/customXml" ds:itemID="{2D840187-9EF4-4E44-B2B9-F79E5D103205}"/>
</file>

<file path=customXml/itemProps3.xml><?xml version="1.0" encoding="utf-8"?>
<ds:datastoreItem xmlns:ds="http://schemas.openxmlformats.org/officeDocument/2006/customXml" ds:itemID="{3DE5799E-AB61-4DDC-845D-25723C8EE911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Mallola Satishbabu</cp:lastModifiedBy>
  <cp:revision/>
  <dcterms:created xsi:type="dcterms:W3CDTF">2024-04-25T11:54:44Z</dcterms:created>
  <dcterms:modified xsi:type="dcterms:W3CDTF">2026-09-23T06:21:51Z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