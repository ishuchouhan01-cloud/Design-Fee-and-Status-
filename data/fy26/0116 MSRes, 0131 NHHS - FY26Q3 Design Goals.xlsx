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otalenvmt.sharepoint.com/sites/pmo/PMO Collaboration/18 WPS/2026/FY26-27Q3 Project-wise Goals/"/>
    </mc:Choice>
  </mc:AlternateContent>
  <xr:revisionPtr revIDLastSave="1317" documentId="8_{9CC0317C-AB2F-49D0-BD72-75F971846930}" xr6:coauthVersionLast="47" xr6:coauthVersionMax="47" xr10:uidLastSave="{DCFBA786-2179-40C6-B54A-578BDD25CEF5}"/>
  <bookViews>
    <workbookView xWindow="-108" yWindow="-108" windowWidth="23256" windowHeight="12456" tabRatio="749" xr2:uid="{5EF5F934-3F74-4DA0-B71A-DE90FB105D78}"/>
  </bookViews>
  <sheets>
    <sheet name="0116MS Res,0131NHHS FY26Q3" sheetId="57" r:id="rId1"/>
    <sheet name="0116 MSRes Pkgs Smmy (Status) " sheetId="58" r:id="rId2"/>
    <sheet name="0131 NHHS Pkgs Smmy (Status)" sheetId="56" r:id="rId3"/>
    <sheet name="Goals FY 26-27Q2" sheetId="60" state="hidden" r:id="rId4"/>
  </sheets>
  <definedNames>
    <definedName name="_" localSheetId="1" hidden="1">#REF!</definedName>
    <definedName name="_" localSheetId="2" hidden="1">#REF!</definedName>
    <definedName name="_" hidden="1">#REF!</definedName>
    <definedName name="__123Graph_A" localSheetId="1" hidden="1">#REF!</definedName>
    <definedName name="__123Graph_A" localSheetId="2" hidden="1">#REF!</definedName>
    <definedName name="__123Graph_A" hidden="1">#REF!</definedName>
    <definedName name="__123Graph_B" localSheetId="1" hidden="1">#REF!</definedName>
    <definedName name="__123Graph_B" localSheetId="2" hidden="1">#REF!</definedName>
    <definedName name="__123Graph_B" hidden="1">#REF!</definedName>
    <definedName name="__123Graph_C" localSheetId="1" hidden="1">#REF!</definedName>
    <definedName name="__123Graph_C" localSheetId="2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IntlFixup" hidden="1">TRUE</definedName>
    <definedName name="_c" hidden="1">#REF!</definedName>
    <definedName name="_Dist_Bin" hidden="1">#REF!</definedName>
    <definedName name="_Dist_Values" hidden="1">#REF!</definedName>
    <definedName name="_Fill" hidden="1">#REF!</definedName>
    <definedName name="_xlnm._FilterDatabase" localSheetId="1" hidden="1">'0116 MSRes Pkgs Smmy (Status) '!#REF!</definedName>
    <definedName name="_xlnm._FilterDatabase" localSheetId="0">'0116MS Res,0131NHHS FY26Q3'!$B$4:$Z$94</definedName>
    <definedName name="_xlnm._FilterDatabase" localSheetId="2" hidden="1">'0131 NHHS Pkgs Smmy (Status)'!#REF!</definedName>
    <definedName name="_xlnm._FilterDatabase" localSheetId="3">'Goals FY 26-27Q2'!$B$4:$Z$16</definedName>
    <definedName name="_xlnm._FilterDatabase" hidden="1">#REF!</definedName>
    <definedName name="_Goal_New" hidden="1">#REF!</definedName>
    <definedName name="_Key1" localSheetId="1" hidden="1">#REF!</definedName>
    <definedName name="_Key1" localSheetId="2" hidden="1">#REF!</definedName>
    <definedName name="_Key1" hidden="1">#REF!</definedName>
    <definedName name="_Key2" hidden="1">#REF!</definedName>
    <definedName name="_Order1" hidden="1">255</definedName>
    <definedName name="_Parse_In" hidden="1">#REF!</definedName>
    <definedName name="_Parse_Out" localSheetId="1" hidden="1">#REF!</definedName>
    <definedName name="_Parse_Out" localSheetId="2" hidden="1">#REF!</definedName>
    <definedName name="_Parse_Out" hidden="1">#REF!</definedName>
    <definedName name="_Regression_Int" hidden="1">1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AccessDatabase" hidden="1">"W:\2000-01 Srb\March 2001\Lease Payments\outstanding lease.mdb"</definedName>
    <definedName name="ALupro" localSheetId="1" hidden="1">{"BSSCHA4",#N/A,FALSE,"sch bs"}</definedName>
    <definedName name="ALupro" localSheetId="0" hidden="1">{"BSSCHA4",#N/A,FALSE,"sch bs"}</definedName>
    <definedName name="ALupro" localSheetId="2" hidden="1">{"BSSCHA4",#N/A,FALSE,"sch bs"}</definedName>
    <definedName name="ALupro" localSheetId="3" hidden="1">{"BSSCHA4",#N/A,FALSE,"sch bs"}</definedName>
    <definedName name="ALupro" hidden="1">{"BSSCHA4",#N/A,FALSE,"sch bs"}</definedName>
    <definedName name="ALupro0" localSheetId="0" hidden="1">{"BSSCHA4",#N/A,FALSE,"sch bs"}</definedName>
    <definedName name="ALupro0" localSheetId="3" hidden="1">{"BSSCHA4",#N/A,FALSE,"sch bs"}</definedName>
    <definedName name="ALupro0" hidden="1">{"BSSCHA4",#N/A,FALSE,"sch bs"}</definedName>
    <definedName name="annexure" localSheetId="1" hidden="1">{"BSSCHA4",#N/A,FALSE,"sch bs"}</definedName>
    <definedName name="annexure" localSheetId="0" hidden="1">{"BSSCHA4",#N/A,FALSE,"sch bs"}</definedName>
    <definedName name="annexure" localSheetId="2" hidden="1">{"BSSCHA4",#N/A,FALSE,"sch bs"}</definedName>
    <definedName name="annexure" localSheetId="3" hidden="1">{"BSSCHA4",#N/A,FALSE,"sch bs"}</definedName>
    <definedName name="annexure" hidden="1">{"BSSCHA4",#N/A,FALSE,"sch bs"}</definedName>
    <definedName name="annexure_1" localSheetId="0" hidden="1">{"BSSCHA4",#N/A,FALSE,"sch bs"}</definedName>
    <definedName name="annexure_1" localSheetId="3" hidden="1">{"BSSCHA4",#N/A,FALSE,"sch bs"}</definedName>
    <definedName name="annexure_1" hidden="1">{"BSSCHA4",#N/A,FALSE,"sch bs"}</definedName>
    <definedName name="as" hidden="1">#REF!</definedName>
    <definedName name="AS2DocOpenMode" hidden="1">"AS2DocumentEdit"</definedName>
    <definedName name="AS2HasNoAutoHeaderFooter" hidden="1">" "</definedName>
    <definedName name="AS2NamedRange" hidden="1">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vneeep" localSheetId="0" hidden="1">{"A4BS",#N/A,FALSE,"bs"}</definedName>
    <definedName name="avneeep" localSheetId="3" hidden="1">{"A4BS",#N/A,FALSE,"bs"}</definedName>
    <definedName name="avneeep" hidden="1">{"A4BS",#N/A,FALSE,"bs"}</definedName>
    <definedName name="avneeep_1" localSheetId="0" hidden="1">{"A4BS",#N/A,FALSE,"bs"}</definedName>
    <definedName name="avneeep_1" localSheetId="3" hidden="1">{"A4BS",#N/A,FALSE,"bs"}</definedName>
    <definedName name="avneeep_1" hidden="1">{"A4BS",#N/A,FALSE,"bs"}</definedName>
    <definedName name="BG_Del" hidden="1">15</definedName>
    <definedName name="BG_Ins" hidden="1">4</definedName>
    <definedName name="BG_Mod" hidden="1">6</definedName>
    <definedName name="BLPH1" hidden="1">#REF!</definedName>
    <definedName name="CIQWBGuid" hidden="1">"e353c960-9a20-40e3-8480-874cea54de8e"</definedName>
    <definedName name="dde" hidden="1">#REF!</definedName>
    <definedName name="depn" hidden="1">#REF!</definedName>
    <definedName name="dist" hidden="1">#REF!</definedName>
    <definedName name="egdywmk" localSheetId="0" hidden="1">{"A4depsch",#N/A,FALSE,"fa&amp;dep"}</definedName>
    <definedName name="egdywmk" localSheetId="3" hidden="1">{"A4depsch",#N/A,FALSE,"fa&amp;dep"}</definedName>
    <definedName name="egdywmk" hidden="1">{"A4depsch",#N/A,FALSE,"fa&amp;dep"}</definedName>
    <definedName name="egdywmk_1" localSheetId="0" hidden="1">{"A4depsch",#N/A,FALSE,"fa&amp;dep"}</definedName>
    <definedName name="egdywmk_1" localSheetId="3" hidden="1">{"A4depsch",#N/A,FALSE,"fa&amp;dep"}</definedName>
    <definedName name="egdywmk_1" hidden="1">{"A4depsch",#N/A,FALSE,"fa&amp;dep"}</definedName>
    <definedName name="Empty" hidden="1">#REF!</definedName>
    <definedName name="Empty1" hidden="1">#REF!</definedName>
    <definedName name="Empty2" hidden="1">#REF!</definedName>
    <definedName name="etc" hidden="1">#REF!</definedName>
    <definedName name="EV__LASTREFTIME__" hidden="1">39021.6595138889</definedName>
    <definedName name="EV__MAXEXPCOLS__" hidden="1">100</definedName>
    <definedName name="EV__MAXEXPROWS__" hidden="1">1000</definedName>
    <definedName name="EV__WBEVMODE__" hidden="1">1</definedName>
    <definedName name="EV__WBREFOPTIONS__" hidden="1">134217728</definedName>
    <definedName name="EV__WBVERSION__" hidden="1">0</definedName>
    <definedName name="FA" hidden="1">#REF!</definedName>
    <definedName name="ffff" hidden="1">#REF!</definedName>
    <definedName name="fffffffffffffffffffffffffffjjjjjj" localSheetId="1" hidden="1">#REF!</definedName>
    <definedName name="fffffffffffffffffffffffffffjjjjjj" localSheetId="2" hidden="1">#REF!</definedName>
    <definedName name="fffffffffffffffffffffffffffjjjjjj" hidden="1">#REF!</definedName>
    <definedName name="fgfg" hidden="1">#REF!</definedName>
    <definedName name="form3cd" hidden="1">#REF!</definedName>
    <definedName name="g" hidden="1">#REF!</definedName>
    <definedName name="gallup" localSheetId="1" hidden="1">{"a4p&amp;L",#N/A,FALSE,"tr &amp; pl"}</definedName>
    <definedName name="gallup" localSheetId="0" hidden="1">{"a4p&amp;L",#N/A,FALSE,"tr &amp; pl"}</definedName>
    <definedName name="gallup" localSheetId="2" hidden="1">{"a4p&amp;L",#N/A,FALSE,"tr &amp; pl"}</definedName>
    <definedName name="gallup" localSheetId="3" hidden="1">{"a4p&amp;L",#N/A,FALSE,"tr &amp; pl"}</definedName>
    <definedName name="gallup" hidden="1">{"a4p&amp;L",#N/A,FALSE,"tr &amp; pl"}</definedName>
    <definedName name="gallup_1" localSheetId="0" hidden="1">{"a4p&amp;L",#N/A,FALSE,"tr &amp; pl"}</definedName>
    <definedName name="gallup_1" localSheetId="3" hidden="1">{"a4p&amp;L",#N/A,FALSE,"tr &amp; pl"}</definedName>
    <definedName name="gallup_1" hidden="1">{"a4p&amp;L",#N/A,FALSE,"tr &amp; pl"}</definedName>
    <definedName name="GDF" localSheetId="0" hidden="1">{#N/A,#N/A,FALSE,"COMP"}</definedName>
    <definedName name="GDF" localSheetId="3" hidden="1">{#N/A,#N/A,FALSE,"COMP"}</definedName>
    <definedName name="GDF" hidden="1">{#N/A,#N/A,FALSE,"COMP"}</definedName>
    <definedName name="Goal" hidden="1">#REF!</definedName>
    <definedName name="Goal_New" hidden="1">#REF!</definedName>
    <definedName name="Goal_new1" hidden="1">#REF!</definedName>
    <definedName name="Goals_new" hidden="1">#REF!</definedName>
    <definedName name="hgfhtr" localSheetId="0" hidden="1">{#N/A,#N/A,FALSE,"COMP"}</definedName>
    <definedName name="hgfhtr" localSheetId="3" hidden="1">{#N/A,#N/A,FALSE,"COMP"}</definedName>
    <definedName name="hgfhtr" hidden="1">{#N/A,#N/A,FALSE,"COMP"}</definedName>
    <definedName name="hgkh" localSheetId="1" hidden="1">{#N/A,#N/A,FALSE,"Aging Summary";#N/A,#N/A,FALSE,"Ratio Analysis";#N/A,#N/A,FALSE,"Test 120 Day Accts";#N/A,#N/A,FALSE,"Tickmarks"}</definedName>
    <definedName name="hgkh" localSheetId="0" hidden="1">{#N/A,#N/A,FALSE,"Aging Summary";#N/A,#N/A,FALSE,"Ratio Analysis";#N/A,#N/A,FALSE,"Test 120 Day Accts";#N/A,#N/A,FALSE,"Tickmarks"}</definedName>
    <definedName name="hgkh" localSheetId="2" hidden="1">{#N/A,#N/A,FALSE,"Aging Summary";#N/A,#N/A,FALSE,"Ratio Analysis";#N/A,#N/A,FALSE,"Test 120 Day Accts";#N/A,#N/A,FALSE,"Tickmarks"}</definedName>
    <definedName name="hgkh" localSheetId="3" hidden="1">{#N/A,#N/A,FALSE,"Aging Summary";#N/A,#N/A,FALSE,"Ratio Analysis";#N/A,#N/A,FALSE,"Test 120 Day Accts";#N/A,#N/A,FALSE,"Tickmarks"}</definedName>
    <definedName name="hgkh" hidden="1">{#N/A,#N/A,FALSE,"Aging Summary";#N/A,#N/A,FALSE,"Ratio Analysis";#N/A,#N/A,FALSE,"Test 120 Day Accts";#N/A,#N/A,FALSE,"Tickmarks"}</definedName>
    <definedName name="HTML_CodePage" hidden="1">1252</definedName>
    <definedName name="HTML_Control" localSheetId="0" hidden="1">{"'August 2000'!$A$1:$J$101"}</definedName>
    <definedName name="HTML_Control" localSheetId="3" hidden="1">{"'August 2000'!$A$1:$J$101"}</definedName>
    <definedName name="HTML_Control" hidden="1">{"'August 2000'!$A$1:$J$101"}</definedName>
    <definedName name="HTML_Description" hidden="1">""</definedName>
    <definedName name="HTML_Email" hidden="1">"neerajk@ranbaxy.co.in"</definedName>
    <definedName name="HTML_Header" hidden="1">"September 2000"</definedName>
    <definedName name="HTML_LastUpdate" hidden="1">"10/3/00"</definedName>
    <definedName name="HTML_LineAfter" hidden="1">FALSE</definedName>
    <definedName name="HTML_LineBefore" hidden="1">FALSE</definedName>
    <definedName name="HTML_Name" hidden="1">"Neeraj Kukreti"</definedName>
    <definedName name="HTML_OBDlg2" hidden="1">TRUE</definedName>
    <definedName name="HTML_OBDlg4" hidden="1">TRUE</definedName>
    <definedName name="HTML_OS" hidden="1">0</definedName>
    <definedName name="HTML_PathFile" hidden="1">"C:\WINDOWS\Desktop\cash_flash.htm"</definedName>
    <definedName name="HTML_Title" hidden="1">"cf_SEP2000"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42223.6254861111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jay" hidden="1">#REF!</definedName>
    <definedName name="M" hidden="1">#REF!</definedName>
    <definedName name="PEDESTAL2" hidden="1">#REF!</definedName>
    <definedName name="_xlnm.Print_Area" localSheetId="1">'0116 MSRes Pkgs Smmy (Status) '!#REF!</definedName>
    <definedName name="_xlnm.Print_Area" localSheetId="2">'0131 NHHS Pkgs Smmy (Status)'!#REF!</definedName>
    <definedName name="_xlnm.Print_Titles" localSheetId="1">'0116 MSRes Pkgs Smmy (Status) '!$1:$7</definedName>
    <definedName name="_xlnm.Print_Titles" localSheetId="0">'0116MS Res,0131NHHS FY26Q3'!$2:$4</definedName>
    <definedName name="_xlnm.Print_Titles" localSheetId="2">'0131 NHHS Pkgs Smmy (Status)'!$1:$7</definedName>
    <definedName name="_xlnm.Print_Titles" localSheetId="3">'Goals FY 26-27Q2'!$2:$4</definedName>
    <definedName name="Prof" localSheetId="1" hidden="1">#REF!</definedName>
    <definedName name="Prof" localSheetId="2" hidden="1">#REF!</definedName>
    <definedName name="Prof" hidden="1">#REF!</definedName>
    <definedName name="q" localSheetId="1" hidden="1">#REF!</definedName>
    <definedName name="q" localSheetId="2" hidden="1">#REF!</definedName>
    <definedName name="q" hidden="1">#REF!</definedName>
    <definedName name="sales1" localSheetId="0" hidden="1">{#N/A,#N/A,FALSE,"OPSTATE";#N/A,#N/A,FALSE,"BSLIABILITY";#N/A,#N/A,FALSE,"BSASSETS";#N/A,#N/A,FALSE,"Sheet1"}</definedName>
    <definedName name="sales1" localSheetId="3" hidden="1">{#N/A,#N/A,FALSE,"OPSTATE";#N/A,#N/A,FALSE,"BSLIABILITY";#N/A,#N/A,FALSE,"BSASSETS";#N/A,#N/A,FALSE,"Sheet1"}</definedName>
    <definedName name="sales1" hidden="1">{#N/A,#N/A,FALSE,"OPSTATE";#N/A,#N/A,FALSE,"BSLIABILITY";#N/A,#N/A,FALSE,"BSASSETS";#N/A,#N/A,FALSE,"Sheet1"}</definedName>
    <definedName name="salws2" localSheetId="0" hidden="1">{"A4depsch",#N/A,FALSE,"fa&amp;dep"}</definedName>
    <definedName name="salws2" localSheetId="3" hidden="1">{"A4depsch",#N/A,FALSE,"fa&amp;dep"}</definedName>
    <definedName name="salws2" hidden="1">{"A4depsch",#N/A,FALSE,"fa&amp;dep"}</definedName>
    <definedName name="SAPBEXdnldView" hidden="1">"431YL7QMJN6KP6IQEL77FEM9L"</definedName>
    <definedName name="SAPBEXsysID" hidden="1">"BP1"</definedName>
    <definedName name="sencount" hidden="1">1</definedName>
    <definedName name="shp" hidden="1">#REF!</definedName>
    <definedName name="SORT1" hidden="1">#REF!</definedName>
    <definedName name="sss" localSheetId="0" hidden="1">{#N/A,#N/A,FALSE,"COMP"}</definedName>
    <definedName name="sss" localSheetId="3" hidden="1">{#N/A,#N/A,FALSE,"COMP"}</definedName>
    <definedName name="sss" hidden="1">{#N/A,#N/A,FALSE,"COMP"}</definedName>
    <definedName name="the" localSheetId="0" hidden="1">{#N/A,#N/A,FALSE,"COMP"}</definedName>
    <definedName name="the" localSheetId="3" hidden="1">{#N/A,#N/A,FALSE,"COMP"}</definedName>
    <definedName name="the" hidden="1">{#N/A,#N/A,FALSE,"COMP"}</definedName>
    <definedName name="v" hidden="1">#REF!,#REF!</definedName>
    <definedName name="vivek1" localSheetId="1" hidden="1">#REF!</definedName>
    <definedName name="vivek1" localSheetId="2" hidden="1">#REF!</definedName>
    <definedName name="vivek1" hidden="1">#REF!</definedName>
    <definedName name="vivek11" hidden="1">#REF!</definedName>
    <definedName name="vivek12" hidden="1">#REF!</definedName>
    <definedName name="vivek13" hidden="1">#REF!</definedName>
    <definedName name="vivek17" hidden="1">#REF!</definedName>
    <definedName name="vivek18" hidden="1">#REF!</definedName>
    <definedName name="vivek2" hidden="1">#REF!</definedName>
    <definedName name="vivek220" hidden="1">#REF!</definedName>
    <definedName name="vivek288888" hidden="1">#REF!</definedName>
    <definedName name="vivek2dddddddddddddddd" hidden="1">#REF!</definedName>
    <definedName name="vivek2oooooooooooooooo" hidden="1">#REF!</definedName>
    <definedName name="vivek3" hidden="1">#REF!</definedName>
    <definedName name="vivek4" hidden="1">#REF!</definedName>
    <definedName name="vivek444" hidden="1">#REF!</definedName>
    <definedName name="vivek5" hidden="1">#REF!</definedName>
    <definedName name="vivek6" hidden="1">#REF!</definedName>
    <definedName name="vivek6666" hidden="1">#REF!</definedName>
    <definedName name="vivek9" hidden="1">#REF!</definedName>
    <definedName name="wr" localSheetId="0" hidden="1">{#N/A,#N/A,FALSE,"COMP"}</definedName>
    <definedName name="wr" localSheetId="3" hidden="1">{#N/A,#N/A,FALSE,"COMP"}</definedName>
    <definedName name="wr" hidden="1">{#N/A,#N/A,FALSE,"COMP"}</definedName>
    <definedName name="WRI" localSheetId="0" hidden="1">{#N/A,#N/A,FALSE,"COMP"}</definedName>
    <definedName name="WRI" localSheetId="3" hidden="1">{#N/A,#N/A,FALSE,"COMP"}</definedName>
    <definedName name="WRI" hidden="1">{#N/A,#N/A,FALSE,"COMP"}</definedName>
    <definedName name="wrn.A4BSSCH." localSheetId="1" hidden="1">{"BSSCHA4",#N/A,FALSE,"sch bs"}</definedName>
    <definedName name="wrn.A4BSSCH." localSheetId="0" hidden="1">{"BSSCHA4",#N/A,FALSE,"sch bs"}</definedName>
    <definedName name="wrn.A4BSSCH." localSheetId="2" hidden="1">{"BSSCHA4",#N/A,FALSE,"sch bs"}</definedName>
    <definedName name="wrn.A4BSSCH." localSheetId="3" hidden="1">{"BSSCHA4",#N/A,FALSE,"sch bs"}</definedName>
    <definedName name="wrn.A4BSSCH." hidden="1">{"BSSCHA4",#N/A,FALSE,"sch bs"}</definedName>
    <definedName name="wrn.A4BSSCH._1" localSheetId="0" hidden="1">{"BSSCHA4",#N/A,FALSE,"sch bs"}</definedName>
    <definedName name="wrn.A4BSSCH._1" localSheetId="3" hidden="1">{"BSSCHA4",#N/A,FALSE,"sch bs"}</definedName>
    <definedName name="wrn.A4BSSCH._1" hidden="1">{"BSSCHA4",#N/A,FALSE,"sch bs"}</definedName>
    <definedName name="wrn.A4PL." localSheetId="1" hidden="1">{"a4p&amp;L",#N/A,FALSE,"tr &amp; pl"}</definedName>
    <definedName name="wrn.A4PL." localSheetId="0" hidden="1">{"a4p&amp;L",#N/A,FALSE,"tr &amp; pl"}</definedName>
    <definedName name="wrn.A4PL." localSheetId="2" hidden="1">{"a4p&amp;L",#N/A,FALSE,"tr &amp; pl"}</definedName>
    <definedName name="wrn.A4PL." localSheetId="3" hidden="1">{"a4p&amp;L",#N/A,FALSE,"tr &amp; pl"}</definedName>
    <definedName name="wrn.A4PL." hidden="1">{"a4p&amp;L",#N/A,FALSE,"tr &amp; pl"}</definedName>
    <definedName name="wrn.A4PL._1" localSheetId="0" hidden="1">{"a4p&amp;L",#N/A,FALSE,"tr &amp; pl"}</definedName>
    <definedName name="wrn.A4PL._1" localSheetId="3" hidden="1">{"a4p&amp;L",#N/A,FALSE,"tr &amp; pl"}</definedName>
    <definedName name="wrn.A4PL._1" hidden="1">{"a4p&amp;L",#N/A,FALSE,"tr &amp; pl"}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krutiCMA." localSheetId="1" hidden="1">{#N/A,#N/A,FALSE,"OPSTATE";#N/A,#N/A,FALSE,"BSLIABILITY";#N/A,#N/A,FALSE,"BSASSETS";#N/A,#N/A,FALSE,"Sheet1"}</definedName>
    <definedName name="wrn.AkrutiCMA." localSheetId="0" hidden="1">{#N/A,#N/A,FALSE,"OPSTATE";#N/A,#N/A,FALSE,"BSLIABILITY";#N/A,#N/A,FALSE,"BSASSETS";#N/A,#N/A,FALSE,"Sheet1"}</definedName>
    <definedName name="wrn.AkrutiCMA." localSheetId="2" hidden="1">{#N/A,#N/A,FALSE,"OPSTATE";#N/A,#N/A,FALSE,"BSLIABILITY";#N/A,#N/A,FALSE,"BSASSETS";#N/A,#N/A,FALSE,"Sheet1"}</definedName>
    <definedName name="wrn.AkrutiCMA." localSheetId="3" hidden="1">{#N/A,#N/A,FALSE,"OPSTATE";#N/A,#N/A,FALSE,"BSLIABILITY";#N/A,#N/A,FALSE,"BSASSETS";#N/A,#N/A,FALSE,"Sheet1"}</definedName>
    <definedName name="wrn.AkrutiCMA." hidden="1">{#N/A,#N/A,FALSE,"OPSTATE";#N/A,#N/A,FALSE,"BSLIABILITY";#N/A,#N/A,FALSE,"BSASSETS";#N/A,#N/A,FALSE,"Sheet1"}</definedName>
    <definedName name="wrn.All." localSheetId="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BSA4." localSheetId="1" hidden="1">{"A4BS",#N/A,FALSE,"bs"}</definedName>
    <definedName name="wrn.BSA4." localSheetId="0" hidden="1">{"A4BS",#N/A,FALSE,"bs"}</definedName>
    <definedName name="wrn.BSA4." localSheetId="2" hidden="1">{"A4BS",#N/A,FALSE,"bs"}</definedName>
    <definedName name="wrn.BSA4." localSheetId="3" hidden="1">{"A4BS",#N/A,FALSE,"bs"}</definedName>
    <definedName name="wrn.BSA4." hidden="1">{"A4BS",#N/A,FALSE,"bs"}</definedName>
    <definedName name="wrn.BSA4._1" localSheetId="0" hidden="1">{"A4BS",#N/A,FALSE,"bs"}</definedName>
    <definedName name="wrn.BSA4._1" localSheetId="3" hidden="1">{"A4BS",#N/A,FALSE,"bs"}</definedName>
    <definedName name="wrn.BSA4._1" hidden="1">{"A4BS",#N/A,FALSE,"bs"}</definedName>
    <definedName name="wrn.capA4." localSheetId="1" hidden="1">{"capA4",#N/A,FALSE,"capt"}</definedName>
    <definedName name="wrn.capA4." localSheetId="0" hidden="1">{"capA4",#N/A,FALSE,"capt"}</definedName>
    <definedName name="wrn.capA4." localSheetId="2" hidden="1">{"capA4",#N/A,FALSE,"capt"}</definedName>
    <definedName name="wrn.capA4." localSheetId="3" hidden="1">{"capA4",#N/A,FALSE,"capt"}</definedName>
    <definedName name="wrn.capA4." hidden="1">{"capA4",#N/A,FALSE,"capt"}</definedName>
    <definedName name="wrn.capA4._1" localSheetId="0" hidden="1">{"capA4",#N/A,FALSE,"capt"}</definedName>
    <definedName name="wrn.capA4._1" localSheetId="3" hidden="1">{"capA4",#N/A,FALSE,"capt"}</definedName>
    <definedName name="wrn.capA4._1" hidden="1">{"capA4",#N/A,FALSE,"capt"}</definedName>
    <definedName name="wrn.depschA4." localSheetId="1" hidden="1">{"A4depsch",#N/A,FALSE,"fa&amp;dep"}</definedName>
    <definedName name="wrn.depschA4." localSheetId="0" hidden="1">{"A4depsch",#N/A,FALSE,"fa&amp;dep"}</definedName>
    <definedName name="wrn.depschA4." localSheetId="2" hidden="1">{"A4depsch",#N/A,FALSE,"fa&amp;dep"}</definedName>
    <definedName name="wrn.depschA4." localSheetId="3" hidden="1">{"A4depsch",#N/A,FALSE,"fa&amp;dep"}</definedName>
    <definedName name="wrn.depschA4." hidden="1">{"A4depsch",#N/A,FALSE,"fa&amp;dep"}</definedName>
    <definedName name="wrn.depschA4._1" localSheetId="0" hidden="1">{"A4depsch",#N/A,FALSE,"fa&amp;dep"}</definedName>
    <definedName name="wrn.depschA4._1" localSheetId="3" hidden="1">{"A4depsch",#N/A,FALSE,"fa&amp;dep"}</definedName>
    <definedName name="wrn.depschA4._1" hidden="1">{"A4depsch",#N/A,FALSE,"fa&amp;dep"}</definedName>
    <definedName name="wrn.EVEREST." localSheetId="1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0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FORM1." localSheetId="0" hidden="1">{#N/A,#N/A,FALSE,"COMP"}</definedName>
    <definedName name="wrn.FORM1." localSheetId="3" hidden="1">{#N/A,#N/A,FALSE,"COMP"}</definedName>
    <definedName name="wrn.FORM1." hidden="1">{#N/A,#N/A,FALSE,"COMP"}</definedName>
    <definedName name="wrn.Full._.Financials." localSheetId="1" hidden="1">{#N/A,#N/A,TRUE,"Financials";#N/A,#N/A,TRUE,"Operating Statistics";#N/A,#N/A,TRUE,"Capex &amp; Depreciation";#N/A,#N/A,TRUE,"Debt"}</definedName>
    <definedName name="wrn.Full._.Financials." localSheetId="0" hidden="1">{#N/A,#N/A,TRUE,"Financials";#N/A,#N/A,TRUE,"Operating Statistics";#N/A,#N/A,TRUE,"Capex &amp; Depreciation";#N/A,#N/A,TRUE,"Debt"}</definedName>
    <definedName name="wrn.Full._.Financials." localSheetId="2" hidden="1">{#N/A,#N/A,TRUE,"Financials";#N/A,#N/A,TRUE,"Operating Statistics";#N/A,#N/A,TRUE,"Capex &amp; Depreciation";#N/A,#N/A,TRUE,"Debt"}</definedName>
    <definedName name="wrn.Full._.Financials." localSheetId="3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One._.Pager._.plus._.Technicals." localSheetId="1" hidden="1">{#N/A,#N/A,FALSE,"One Pager";#N/A,#N/A,FALSE,"Technical"}</definedName>
    <definedName name="wrn.One._.Pager._.plus._.Technicals." localSheetId="0" hidden="1">{#N/A,#N/A,FALSE,"One Pager";#N/A,#N/A,FALSE,"Technical"}</definedName>
    <definedName name="wrn.One._.Pager._.plus._.Technicals." localSheetId="2" hidden="1">{#N/A,#N/A,FALSE,"One Pager";#N/A,#N/A,FALSE,"Technical"}</definedName>
    <definedName name="wrn.One._.Pager._.plus._.Technicals." localSheetId="3" hidden="1">{#N/A,#N/A,FALSE,"One Pager";#N/A,#N/A,FALSE,"Technical"}</definedName>
    <definedName name="wrn.One._.Pager._.plus._.Technicals." hidden="1">{#N/A,#N/A,FALSE,"One Pager";#N/A,#N/A,FALSE,"Technical"}</definedName>
    <definedName name="wrn.PLSCHA4." localSheetId="1" hidden="1">{"A4PLSCH",#N/A,FALSE,"sch pl"}</definedName>
    <definedName name="wrn.PLSCHA4." localSheetId="0" hidden="1">{"A4PLSCH",#N/A,FALSE,"sch pl"}</definedName>
    <definedName name="wrn.PLSCHA4." localSheetId="2" hidden="1">{"A4PLSCH",#N/A,FALSE,"sch pl"}</definedName>
    <definedName name="wrn.PLSCHA4." localSheetId="3" hidden="1">{"A4PLSCH",#N/A,FALSE,"sch pl"}</definedName>
    <definedName name="wrn.PLSCHA4." hidden="1">{"A4PLSCH",#N/A,FALSE,"sch pl"}</definedName>
    <definedName name="wrn.PLSCHA4._1" localSheetId="0" hidden="1">{"A4PLSCH",#N/A,FALSE,"sch pl"}</definedName>
    <definedName name="wrn.PLSCHA4._1" localSheetId="3" hidden="1">{"A4PLSCH",#N/A,FALSE,"sch pl"}</definedName>
    <definedName name="wrn.PLSCHA4._1" hidden="1">{"A4PLSCH",#N/A,FALSE,"sch pl"}</definedName>
    <definedName name="wrn.Print." localSheetId="1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0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Short." localSheetId="1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0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Saiwadi." localSheetId="1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0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unSteel." localSheetId="1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0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WATINORMAL." localSheetId="1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0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pyRangeCount" hidden="1">6</definedName>
    <definedName name="XRefPasteRangeCount" hidden="1">4</definedName>
    <definedName name="XYZ" hidden="1">#REF!,#REF!</definedName>
    <definedName name="Z_0185ADC1_3830_11D3_88E4_00104B2D4E50_.wvu.FilterData" localSheetId="1" hidden="1">#REF!</definedName>
    <definedName name="Z_0185ADC1_3830_11D3_88E4_00104B2D4E50_.wvu.FilterData" localSheetId="2" hidden="1">#REF!</definedName>
    <definedName name="Z_0185ADC1_3830_11D3_88E4_00104B2D4E50_.wvu.FilterData" hidden="1">#REF!</definedName>
    <definedName name="Z_0185ADC2_3830_11D3_88E4_00104B2D4E50_.wvu.FilterData" hidden="1">#REF!</definedName>
    <definedName name="Z_020243C4_4FC9_11D3_88E5_00104B2D4E50_.wvu.FilterData" hidden="1">#REF!</definedName>
    <definedName name="Z_020243C5_4FC9_11D3_88E5_00104B2D4E50_.wvu.FilterData" hidden="1">#REF!</definedName>
    <definedName name="Z_020243D6_4FC9_11D3_88E5_00104B2D4E50_.wvu.FilterData" hidden="1">#REF!</definedName>
    <definedName name="Z_020243D9_4FC9_11D3_88E5_00104B2D4E50_.wvu.FilterData" hidden="1">#REF!</definedName>
    <definedName name="Z_18E867C2_363F_11D3_B384_00104B203064_.wvu.Cols" hidden="1">#REF!</definedName>
    <definedName name="Z_18E867C2_363F_11D3_B384_00104B203064_.wvu.FilterData" hidden="1">#REF!</definedName>
    <definedName name="Z_18E867C6_363F_11D3_B384_00104B203064_.wvu.FilterData" hidden="1">#REF!</definedName>
    <definedName name="Z_2529F30F_675A_11D3_88E6_00104B2D4E50_.wvu.FilterData" hidden="1">#REF!</definedName>
    <definedName name="Z_37C90060_2018_11D3_9FEA_008048EE1BB3_.wvu.Cols" hidden="1">#REF!</definedName>
    <definedName name="Z_37C90060_2018_11D3_9FEA_008048EE1BB3_.wvu.FilterData" hidden="1">#REF!</definedName>
    <definedName name="Z_37C90061_2018_11D3_9FEA_008048EE1BB3_.wvu.FilterData" hidden="1">#REF!</definedName>
    <definedName name="Z_37C90063_2018_11D3_9FEA_008048EE1BB3_.wvu.FilterData" hidden="1">#REF!</definedName>
    <definedName name="Z_42177D60_3622_11D3_B2D2_008048EE2662_.wvu.FilterData" hidden="1">#REF!</definedName>
    <definedName name="Z_87846904_F246_11D2_88E4_00104B2D4E50_.wvu.PrintTitles" hidden="1">#REF!,#REF!</definedName>
    <definedName name="Z_9C36B7A0_8E17_11D3_B2D2_008048EE2662_.wvu.Rows" hidden="1">#REF!,#REF!,#REF!</definedName>
    <definedName name="Z_AF67EA27_37A9_11D3_88E4_00104B2D4E50_.wvu.FilterData" hidden="1">#REF!</definedName>
    <definedName name="Z_CC26C000_67A6_11D3_B801_444553540000_.wvu.FilterData" hidden="1">#REF!</definedName>
    <definedName name="Z_D840F8B1_668B_11D3_88E6_00104B2D4E50_.wvu.FilterData" hidden="1">#REF!</definedName>
    <definedName name="Z_F0339D6F_2232_11D3_88E4_00104B2D4E50_.wvu.FilterData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7" i="57" l="1"/>
  <c r="K47" i="57"/>
  <c r="J47" i="57"/>
  <c r="M34" i="57"/>
  <c r="K34" i="57"/>
  <c r="J34" i="57"/>
  <c r="M21" i="57"/>
  <c r="K21" i="57"/>
  <c r="J21" i="57"/>
  <c r="M7" i="57"/>
  <c r="K7" i="57"/>
  <c r="J7" i="57"/>
  <c r="L31" i="57"/>
  <c r="L44" i="57"/>
  <c r="L54" i="57"/>
  <c r="L18" i="57"/>
  <c r="K6" i="57" l="1"/>
  <c r="M6" i="57"/>
  <c r="J6" i="57"/>
  <c r="L16" i="60"/>
  <c r="L15" i="60" s="1"/>
  <c r="M15" i="60"/>
  <c r="K15" i="60"/>
  <c r="J15" i="60"/>
  <c r="L14" i="60"/>
  <c r="L13" i="60"/>
  <c r="M12" i="60"/>
  <c r="K12" i="60"/>
  <c r="J12" i="60"/>
  <c r="L11" i="60"/>
  <c r="L10" i="60" s="1"/>
  <c r="M10" i="60"/>
  <c r="K10" i="60"/>
  <c r="J10" i="60"/>
  <c r="L9" i="60"/>
  <c r="L8" i="60"/>
  <c r="M7" i="60"/>
  <c r="K7" i="60"/>
  <c r="J7" i="60"/>
  <c r="L4" i="58"/>
  <c r="J4" i="58"/>
  <c r="H4" i="58"/>
  <c r="F4" i="58"/>
  <c r="L3" i="58"/>
  <c r="J3" i="58"/>
  <c r="H3" i="58"/>
  <c r="F3" i="58"/>
  <c r="L7" i="60" l="1"/>
  <c r="K6" i="60"/>
  <c r="J6" i="60"/>
  <c r="M6" i="60"/>
  <c r="L12" i="60"/>
  <c r="L76" i="57"/>
  <c r="L79" i="57"/>
  <c r="L82" i="57"/>
  <c r="L85" i="57"/>
  <c r="M71" i="57"/>
  <c r="K71" i="57"/>
  <c r="J71" i="57"/>
  <c r="L74" i="57"/>
  <c r="L73" i="57"/>
  <c r="L72" i="57"/>
  <c r="L51" i="57"/>
  <c r="L92" i="57"/>
  <c r="L89" i="57"/>
  <c r="M88" i="57"/>
  <c r="K88" i="57"/>
  <c r="J88" i="57"/>
  <c r="M75" i="57"/>
  <c r="K75" i="57"/>
  <c r="J75" i="57"/>
  <c r="L68" i="57"/>
  <c r="L65" i="57"/>
  <c r="L62" i="57"/>
  <c r="L59" i="57"/>
  <c r="M58" i="57"/>
  <c r="K58" i="57"/>
  <c r="J58" i="57"/>
  <c r="L48" i="57"/>
  <c r="L41" i="57"/>
  <c r="L38" i="57"/>
  <c r="L35" i="57"/>
  <c r="L28" i="57"/>
  <c r="L25" i="57"/>
  <c r="L22" i="57"/>
  <c r="L15" i="57"/>
  <c r="L11" i="57"/>
  <c r="L8" i="57"/>
  <c r="F3" i="56"/>
  <c r="L3" i="56"/>
  <c r="J3" i="56"/>
  <c r="H3" i="56"/>
  <c r="L4" i="56"/>
  <c r="J4" i="56"/>
  <c r="H4" i="56"/>
  <c r="F4" i="56"/>
  <c r="L47" i="57" l="1"/>
  <c r="L34" i="57"/>
  <c r="L7" i="57"/>
  <c r="L21" i="57"/>
  <c r="K2" i="60"/>
  <c r="L6" i="60"/>
  <c r="J2" i="60"/>
  <c r="L71" i="57"/>
  <c r="L58" i="57"/>
  <c r="L88" i="57"/>
  <c r="M57" i="57"/>
  <c r="L75" i="57"/>
  <c r="J57" i="57"/>
  <c r="K57" i="57"/>
  <c r="L6" i="57" l="1"/>
  <c r="L2" i="60"/>
  <c r="AA2" i="60" s="1"/>
  <c r="M2" i="60"/>
  <c r="AB2" i="60" s="1"/>
  <c r="L57" i="57"/>
  <c r="AA4" i="60" l="1"/>
  <c r="AB4" i="60"/>
  <c r="J2" i="57"/>
  <c r="M2" i="57"/>
  <c r="L2" i="57"/>
  <c r="K2" i="57"/>
</calcChain>
</file>

<file path=xl/sharedStrings.xml><?xml version="1.0" encoding="utf-8"?>
<sst xmlns="http://schemas.openxmlformats.org/spreadsheetml/2006/main" count="527" uniqueCount="119">
  <si>
    <t>0116 MS Res, 0131 NHHS | Design package release FY26-27 Q3</t>
  </si>
  <si>
    <t>Project</t>
  </si>
  <si>
    <t>Description</t>
  </si>
  <si>
    <t>Release date</t>
  </si>
  <si>
    <t>Responsible</t>
  </si>
  <si>
    <t>Remarks</t>
  </si>
  <si>
    <t>Plan - Billing [Cr.]</t>
  </si>
  <si>
    <t>Plan - Pkgs</t>
  </si>
  <si>
    <t>Actuals - Billing [Cr.]</t>
  </si>
  <si>
    <t>Actuals - Pkgs</t>
  </si>
  <si>
    <t>Design Lead</t>
  </si>
  <si>
    <t>Lead</t>
  </si>
  <si>
    <t>Person 1</t>
  </si>
  <si>
    <t>Person 2</t>
  </si>
  <si>
    <t>Person 3</t>
  </si>
  <si>
    <t>Draftperson</t>
  </si>
  <si>
    <t>MeenaSai Res</t>
  </si>
  <si>
    <t>Package Release</t>
  </si>
  <si>
    <t>Architecture</t>
  </si>
  <si>
    <t>Complete LoD 300, LoD 350 [except Interiors]</t>
  </si>
  <si>
    <t>LoD 200 - Schematic Concept</t>
  </si>
  <si>
    <t>Cijey M</t>
  </si>
  <si>
    <t>Niashinlulu</t>
  </si>
  <si>
    <t>Syed Musharaff</t>
  </si>
  <si>
    <t>Step 1</t>
  </si>
  <si>
    <t>Confirmation on Layout by Shibanee ma'am</t>
  </si>
  <si>
    <t>User 1</t>
  </si>
  <si>
    <t>Step 2</t>
  </si>
  <si>
    <t>Structural framing closure</t>
  </si>
  <si>
    <t>User 2</t>
  </si>
  <si>
    <t>LoD 300 - Pre Construction set</t>
  </si>
  <si>
    <t>Subrahmanya</t>
  </si>
  <si>
    <t>Step 3</t>
  </si>
  <si>
    <t>PHE, Electrical and HVAC coordination closure</t>
  </si>
  <si>
    <t xml:space="preserve">Praveen </t>
  </si>
  <si>
    <t>LoD 350 - Foundation and Structure</t>
  </si>
  <si>
    <t>Task description 1</t>
  </si>
  <si>
    <t>Task description 2</t>
  </si>
  <si>
    <t>LoD 350 - Building Envelope + Plot Development</t>
  </si>
  <si>
    <t>Structural</t>
  </si>
  <si>
    <t>Complete LoD 300, LoD 350 Foundation and Structure, Building Envelope + Plot development</t>
  </si>
  <si>
    <t>Prakash C</t>
  </si>
  <si>
    <t>Lincy</t>
  </si>
  <si>
    <t>Abhishek</t>
  </si>
  <si>
    <t>Darshan</t>
  </si>
  <si>
    <t>Column locations, framing plans with details of beams, levels and sections (wherever requried)</t>
  </si>
  <si>
    <t>completed</t>
  </si>
  <si>
    <t>Updated structural model with tentative foundation sizes (based on geotechnical report)</t>
  </si>
  <si>
    <t>LoD 200 completion - confirmation awaited</t>
  </si>
  <si>
    <t>Updated framing plan with sleeve details and services requriements incorporated</t>
  </si>
  <si>
    <t xml:space="preserve">Details pending from arch and MEP ( 5 days) </t>
  </si>
  <si>
    <t>Signed off  drawings with finalised member sizes</t>
  </si>
  <si>
    <t xml:space="preserve">After completion of step 1 ( 2 days) </t>
  </si>
  <si>
    <t>After LoD 300</t>
  </si>
  <si>
    <t>MEP</t>
  </si>
  <si>
    <t>Gagan</t>
  </si>
  <si>
    <t>Awaiting updated layouts from Architects</t>
  </si>
  <si>
    <t>Salomi</t>
  </si>
  <si>
    <t>Eranna
Praveen
Hareesha</t>
  </si>
  <si>
    <t>Avinash
Sampath
Mahadev</t>
  </si>
  <si>
    <t>Eranna/Praveen/Rinu/Shekar</t>
  </si>
  <si>
    <t xml:space="preserve">Awating updated layout from architect / structural </t>
  </si>
  <si>
    <t>Landscape</t>
  </si>
  <si>
    <t>Complete LoD 300, LoD 350 Building Envelope + Plot development</t>
  </si>
  <si>
    <t>Lajja</t>
  </si>
  <si>
    <t>Anisha</t>
  </si>
  <si>
    <t>NH Homestay</t>
  </si>
  <si>
    <t>Complete the project</t>
  </si>
  <si>
    <t>DBR pending</t>
  </si>
  <si>
    <t xml:space="preserve">Theodora Rodrigues </t>
  </si>
  <si>
    <t>Aishwarya Hegde</t>
  </si>
  <si>
    <t>Thomas Pradip Moreira</t>
  </si>
  <si>
    <t xml:space="preserve"> </t>
  </si>
  <si>
    <t>LoD 350 - Interiors</t>
  </si>
  <si>
    <t>All STR Deliverables completed by Aug'26</t>
  </si>
  <si>
    <t>Completed</t>
  </si>
  <si>
    <t>Eranna
Bhavya
Hareesha</t>
  </si>
  <si>
    <t>Avinash
Ajay
Matsarambabu</t>
  </si>
  <si>
    <t>GRMS Consultant onboarding</t>
  </si>
  <si>
    <t>Chetan</t>
  </si>
  <si>
    <t>0116 | Meena and KrishnaSai residence</t>
  </si>
  <si>
    <t>AR</t>
  </si>
  <si>
    <t>ST</t>
  </si>
  <si>
    <t>LS</t>
  </si>
  <si>
    <t>Scope</t>
  </si>
  <si>
    <t>Pending</t>
  </si>
  <si>
    <t>Actuals</t>
  </si>
  <si>
    <t>NA</t>
  </si>
  <si>
    <t>DESIGN CONCEPT</t>
  </si>
  <si>
    <t>Contract + Design Brief</t>
  </si>
  <si>
    <t>Schematic Concept</t>
  </si>
  <si>
    <t>Pre Construction Set</t>
  </si>
  <si>
    <t>Approvals</t>
  </si>
  <si>
    <t>CONSTRUCTION DOCUMENTS</t>
  </si>
  <si>
    <t>GFC | Block—01</t>
  </si>
  <si>
    <t>T01-01</t>
  </si>
  <si>
    <t>Foundation and Grade Slab</t>
  </si>
  <si>
    <t>T01-02</t>
  </si>
  <si>
    <t>Building Envelope and Plot development</t>
  </si>
  <si>
    <t>T01-03</t>
  </si>
  <si>
    <t>Interiors</t>
  </si>
  <si>
    <t>POST-CONSTRUCTION</t>
  </si>
  <si>
    <t>Archives</t>
  </si>
  <si>
    <t xml:space="preserve">Complete set of "As-Built" drawings, final BoQ and project costs, </t>
  </si>
  <si>
    <t>0131 | Homestay at Sultanpete</t>
  </si>
  <si>
    <t>DBRs pending</t>
  </si>
  <si>
    <t>FY 2026-27 Q2 | Design Goals + Billing</t>
  </si>
  <si>
    <t>Imagine Campus</t>
  </si>
  <si>
    <t xml:space="preserve">Package Release [Complete LoD 100, 200] </t>
  </si>
  <si>
    <t>Naveen Y</t>
  </si>
  <si>
    <t>Akhila G</t>
  </si>
  <si>
    <t>Fathima S</t>
  </si>
  <si>
    <t xml:space="preserve">Package Release [Complete LoD 200] </t>
  </si>
  <si>
    <t>Charan</t>
  </si>
  <si>
    <t>-</t>
  </si>
  <si>
    <t>Karthik</t>
  </si>
  <si>
    <t>Hareesha
Bhavya</t>
  </si>
  <si>
    <t>Byahattimath
Shreedhar
Viresh</t>
  </si>
  <si>
    <t>Aproova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</si>
</sst>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0%;\-0%;\-;@"/>
  </numFmts>
  <fonts count="41">
    <font>
      <sz val="10"/>
      <color theme="1"/>
      <name val="Meta-Normal"/>
      <family val="2"/>
    </font>
    <font>
      <sz val="11"/>
      <color theme="1"/>
      <name val="Neo Sans Pro Light"/>
      <family val="2"/>
    </font>
    <font>
      <sz val="11"/>
      <color theme="1"/>
      <name val="Aptos Narrow"/>
      <family val="2"/>
      <scheme val="minor"/>
    </font>
    <font>
      <sz val="10"/>
      <color theme="1"/>
      <name val="Meta-Normal"/>
      <family val="2"/>
    </font>
    <font>
      <sz val="12"/>
      <color theme="1"/>
      <name val="Aptos Narrow"/>
      <family val="2"/>
      <scheme val="minor"/>
    </font>
    <font>
      <sz val="8"/>
      <name val="Neo Sans Pro Light"/>
      <family val="2"/>
    </font>
    <font>
      <sz val="10"/>
      <name val="Arial"/>
      <family val="2"/>
    </font>
    <font>
      <sz val="10"/>
      <name val="Meta-Normal"/>
    </font>
    <font>
      <sz val="14"/>
      <color theme="0"/>
      <name val="Helvetica Neue Light"/>
      <family val="2"/>
    </font>
    <font>
      <sz val="10"/>
      <color theme="1"/>
      <name val="Helvetica Neue Light"/>
      <family val="2"/>
    </font>
    <font>
      <b/>
      <sz val="10"/>
      <color theme="1"/>
      <name val="Helvetica Neue Light"/>
      <family val="2"/>
    </font>
    <font>
      <sz val="10"/>
      <color theme="1"/>
      <name val="Meta-Normal"/>
    </font>
    <font>
      <sz val="10"/>
      <name val="Helvetica Neue Light"/>
      <family val="2"/>
    </font>
    <font>
      <sz val="11"/>
      <color theme="1"/>
      <name val="Meta-Normal"/>
    </font>
    <font>
      <sz val="12"/>
      <color theme="1"/>
      <name val="Helvetica Neue Medium"/>
      <family val="2"/>
    </font>
    <font>
      <sz val="14"/>
      <color theme="0"/>
      <name val="Helvetica Neue Condensed Black"/>
      <family val="2"/>
    </font>
    <font>
      <b/>
      <sz val="14"/>
      <color theme="0"/>
      <name val="Meta-Normal"/>
    </font>
    <font>
      <b/>
      <sz val="14"/>
      <color theme="0"/>
      <name val="Meta-Normal"/>
      <family val="2"/>
    </font>
    <font>
      <sz val="9"/>
      <color theme="1"/>
      <name val="Helvetica Neue Light"/>
      <family val="2"/>
    </font>
    <font>
      <sz val="9"/>
      <color theme="1"/>
      <name val="Meta-Normal"/>
      <family val="2"/>
    </font>
    <font>
      <sz val="9"/>
      <color theme="1"/>
      <name val="Meta-Normal"/>
    </font>
    <font>
      <sz val="9"/>
      <color theme="4" tint="0.39997558519241921"/>
      <name val="Helvetica Neue Light"/>
      <family val="2"/>
    </font>
    <font>
      <sz val="9"/>
      <color theme="4" tint="0.39997558519241921"/>
      <name val="Meta-Normal"/>
      <family val="2"/>
    </font>
    <font>
      <sz val="10"/>
      <color theme="1"/>
      <name val="Neo Sans Pro"/>
      <family val="2"/>
    </font>
    <font>
      <b/>
      <sz val="10"/>
      <color theme="1"/>
      <name val="Neo Sans Pro"/>
      <family val="2"/>
    </font>
    <font>
      <sz val="14"/>
      <color theme="0"/>
      <name val="Meta-Normal"/>
      <family val="3"/>
    </font>
    <font>
      <sz val="14"/>
      <color theme="0"/>
      <name val="Impact"/>
      <family val="2"/>
    </font>
    <font>
      <sz val="14"/>
      <color theme="0"/>
      <name val="Neo Sans Pro"/>
      <family val="2"/>
    </font>
    <font>
      <b/>
      <sz val="10"/>
      <color theme="1"/>
      <name val="Meta-Normal"/>
      <family val="3"/>
    </font>
    <font>
      <b/>
      <sz val="12"/>
      <color theme="1"/>
      <name val="Meta-Normal"/>
      <family val="3"/>
    </font>
    <font>
      <b/>
      <sz val="11"/>
      <color theme="1"/>
      <name val="Meta-Normal"/>
      <family val="3"/>
    </font>
    <font>
      <sz val="10"/>
      <color theme="1"/>
      <name val="Meta-Normal"/>
      <family val="3"/>
    </font>
    <font>
      <b/>
      <sz val="11"/>
      <color theme="0"/>
      <name val="Meta-Normal"/>
      <family val="3"/>
    </font>
    <font>
      <sz val="9"/>
      <color theme="1"/>
      <name val="Meta-Normal"/>
      <family val="3"/>
    </font>
    <font>
      <sz val="11"/>
      <color theme="1"/>
      <name val="Meta-Normal"/>
      <family val="3"/>
    </font>
    <font>
      <sz val="10"/>
      <name val="Neo Sans Pro"/>
      <family val="2"/>
    </font>
    <font>
      <sz val="9"/>
      <name val="Meta-Normal"/>
      <family val="3"/>
    </font>
    <font>
      <b/>
      <sz val="12"/>
      <color theme="1"/>
      <name val="Helvetica Neue Light"/>
      <family val="2"/>
    </font>
    <font>
      <b/>
      <sz val="10"/>
      <color theme="1"/>
      <name val="Meta-Normal"/>
    </font>
    <font>
      <sz val="10"/>
      <name val="Meta-Normal"/>
      <family val="2"/>
    </font>
    <font>
      <b/>
      <sz val="10"/>
      <color theme="1"/>
      <name val="Meta-Norm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3">
    <xf numFmtId="0" fontId="0" fillId="0" borderId="0"/>
    <xf numFmtId="164" fontId="3" fillId="0" borderId="0" applyFont="0" applyFill="0" applyBorder="0" applyAlignment="0" applyProtection="0"/>
    <xf numFmtId="0" fontId="2" fillId="0" borderId="0"/>
    <xf numFmtId="0" fontId="3" fillId="0" borderId="0"/>
    <xf numFmtId="0" fontId="4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3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43" fontId="3" fillId="0" borderId="0" applyFont="0" applyFill="0" applyBorder="0" applyAlignment="0" applyProtection="0"/>
    <xf numFmtId="0" fontId="4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1" fillId="0" borderId="0"/>
    <xf numFmtId="0" fontId="2" fillId="0" borderId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22">
    <xf numFmtId="0" fontId="0" fillId="0" borderId="0" xfId="0"/>
    <xf numFmtId="0" fontId="9" fillId="0" borderId="2" xfId="2" applyFont="1" applyBorder="1" applyAlignment="1">
      <alignment vertical="center"/>
    </xf>
    <xf numFmtId="0" fontId="9" fillId="0" borderId="0" xfId="2" applyFont="1" applyAlignment="1">
      <alignment vertical="center"/>
    </xf>
    <xf numFmtId="0" fontId="15" fillId="3" borderId="2" xfId="2" applyFont="1" applyFill="1" applyBorder="1" applyAlignment="1">
      <alignment vertical="center"/>
    </xf>
    <xf numFmtId="0" fontId="15" fillId="3" borderId="2" xfId="2" applyFont="1" applyFill="1" applyBorder="1" applyAlignment="1">
      <alignment vertical="center" wrapText="1"/>
    </xf>
    <xf numFmtId="0" fontId="14" fillId="4" borderId="2" xfId="2" applyFont="1" applyFill="1" applyBorder="1" applyAlignment="1">
      <alignment vertical="center"/>
    </xf>
    <xf numFmtId="0" fontId="9" fillId="0" borderId="0" xfId="2" applyFont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9" fillId="0" borderId="2" xfId="2" applyFont="1" applyBorder="1" applyAlignment="1">
      <alignment vertical="center" wrapText="1"/>
    </xf>
    <xf numFmtId="2" fontId="0" fillId="0" borderId="2" xfId="2" applyNumberFormat="1" applyFont="1" applyBorder="1" applyAlignment="1">
      <alignment vertical="center"/>
    </xf>
    <xf numFmtId="2" fontId="9" fillId="0" borderId="0" xfId="2" applyNumberFormat="1" applyFont="1" applyAlignment="1">
      <alignment vertical="center"/>
    </xf>
    <xf numFmtId="0" fontId="14" fillId="2" borderId="2" xfId="2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/>
    </xf>
    <xf numFmtId="0" fontId="10" fillId="2" borderId="2" xfId="2" applyFont="1" applyFill="1" applyBorder="1" applyAlignment="1">
      <alignment vertical="center" wrapText="1"/>
    </xf>
    <xf numFmtId="166" fontId="16" fillId="3" borderId="2" xfId="1" applyNumberFormat="1" applyFont="1" applyFill="1" applyBorder="1" applyAlignment="1">
      <alignment horizontal="center" vertical="center"/>
    </xf>
    <xf numFmtId="165" fontId="17" fillId="3" borderId="2" xfId="1" applyNumberFormat="1" applyFont="1" applyFill="1" applyBorder="1" applyAlignment="1">
      <alignment horizontal="center" vertical="center"/>
    </xf>
    <xf numFmtId="165" fontId="0" fillId="0" borderId="2" xfId="1" applyNumberFormat="1" applyFont="1" applyBorder="1" applyAlignment="1">
      <alignment vertical="center"/>
    </xf>
    <xf numFmtId="0" fontId="14" fillId="2" borderId="2" xfId="2" applyFont="1" applyFill="1" applyBorder="1" applyAlignment="1">
      <alignment horizontal="center" vertical="center" wrapText="1"/>
    </xf>
    <xf numFmtId="2" fontId="11" fillId="0" borderId="2" xfId="2" applyNumberFormat="1" applyFont="1" applyBorder="1" applyAlignment="1">
      <alignment vertical="center"/>
    </xf>
    <xf numFmtId="1" fontId="11" fillId="0" borderId="2" xfId="2" applyNumberFormat="1" applyFont="1" applyBorder="1" applyAlignment="1">
      <alignment vertical="center"/>
    </xf>
    <xf numFmtId="0" fontId="14" fillId="4" borderId="2" xfId="2" applyFont="1" applyFill="1" applyBorder="1" applyAlignment="1">
      <alignment vertical="center" wrapText="1"/>
    </xf>
    <xf numFmtId="2" fontId="13" fillId="4" borderId="2" xfId="2" applyNumberFormat="1" applyFont="1" applyFill="1" applyBorder="1" applyAlignment="1">
      <alignment vertical="center"/>
    </xf>
    <xf numFmtId="165" fontId="13" fillId="4" borderId="2" xfId="1" applyNumberFormat="1" applyFont="1" applyFill="1" applyBorder="1" applyAlignment="1">
      <alignment vertical="center"/>
    </xf>
    <xf numFmtId="165" fontId="11" fillId="0" borderId="2" xfId="1" applyNumberFormat="1" applyFont="1" applyBorder="1" applyAlignment="1">
      <alignment vertical="center"/>
    </xf>
    <xf numFmtId="0" fontId="9" fillId="0" borderId="0" xfId="2" applyFont="1" applyAlignment="1">
      <alignment vertical="center" wrapText="1"/>
    </xf>
    <xf numFmtId="0" fontId="9" fillId="5" borderId="0" xfId="2" applyFont="1" applyFill="1" applyAlignment="1">
      <alignment vertical="center"/>
    </xf>
    <xf numFmtId="0" fontId="9" fillId="5" borderId="0" xfId="2" applyFont="1" applyFill="1" applyAlignment="1">
      <alignment horizontal="center" vertical="center"/>
    </xf>
    <xf numFmtId="9" fontId="9" fillId="0" borderId="0" xfId="26" applyFont="1" applyAlignment="1">
      <alignment vertical="center"/>
    </xf>
    <xf numFmtId="165" fontId="17" fillId="3" borderId="2" xfId="1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18" fillId="0" borderId="2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18" fillId="5" borderId="0" xfId="2" applyFont="1" applyFill="1" applyAlignment="1">
      <alignment vertical="center"/>
    </xf>
    <xf numFmtId="2" fontId="20" fillId="0" borderId="2" xfId="2" applyNumberFormat="1" applyFont="1" applyBorder="1" applyAlignment="1">
      <alignment vertical="center"/>
    </xf>
    <xf numFmtId="165" fontId="20" fillId="0" borderId="2" xfId="1" applyNumberFormat="1" applyFont="1" applyBorder="1" applyAlignment="1">
      <alignment vertical="center"/>
    </xf>
    <xf numFmtId="2" fontId="19" fillId="0" borderId="2" xfId="2" applyNumberFormat="1" applyFont="1" applyBorder="1" applyAlignment="1">
      <alignment vertical="center"/>
    </xf>
    <xf numFmtId="0" fontId="18" fillId="0" borderId="3" xfId="2" applyFont="1" applyBorder="1" applyAlignment="1">
      <alignment vertical="center"/>
    </xf>
    <xf numFmtId="14" fontId="18" fillId="0" borderId="0" xfId="2" applyNumberFormat="1" applyFont="1" applyAlignment="1">
      <alignment vertical="center"/>
    </xf>
    <xf numFmtId="0" fontId="21" fillId="0" borderId="2" xfId="2" applyFont="1" applyBorder="1" applyAlignment="1">
      <alignment vertical="center"/>
    </xf>
    <xf numFmtId="0" fontId="21" fillId="0" borderId="2" xfId="2" applyFont="1" applyBorder="1" applyAlignment="1">
      <alignment vertical="center" wrapText="1"/>
    </xf>
    <xf numFmtId="15" fontId="22" fillId="0" borderId="2" xfId="2" applyNumberFormat="1" applyFont="1" applyBorder="1" applyAlignment="1">
      <alignment vertical="center"/>
    </xf>
    <xf numFmtId="2" fontId="21" fillId="0" borderId="2" xfId="2" applyNumberFormat="1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4" fillId="0" borderId="1" xfId="0" applyFont="1" applyBorder="1" applyAlignment="1">
      <alignment horizontal="right" vertical="center"/>
    </xf>
    <xf numFmtId="0" fontId="23" fillId="0" borderId="1" xfId="0" applyFont="1" applyBorder="1" applyAlignment="1">
      <alignment vertical="center" wrapText="1"/>
    </xf>
    <xf numFmtId="167" fontId="23" fillId="0" borderId="1" xfId="0" applyNumberFormat="1" applyFont="1" applyBorder="1" applyAlignment="1">
      <alignment horizontal="center" vertical="center"/>
    </xf>
    <xf numFmtId="167" fontId="23" fillId="0" borderId="1" xfId="0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167" fontId="27" fillId="0" borderId="1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27" fillId="0" borderId="1" xfId="0" applyFont="1" applyBorder="1" applyAlignment="1">
      <alignment vertical="center"/>
    </xf>
    <xf numFmtId="167" fontId="27" fillId="0" borderId="1" xfId="0" applyNumberFormat="1" applyFont="1" applyBorder="1" applyAlignment="1">
      <alignment vertical="center"/>
    </xf>
    <xf numFmtId="0" fontId="24" fillId="6" borderId="1" xfId="0" applyFont="1" applyFill="1" applyBorder="1" applyAlignment="1">
      <alignment horizontal="right" vertical="center"/>
    </xf>
    <xf numFmtId="0" fontId="27" fillId="6" borderId="1" xfId="0" applyFont="1" applyFill="1" applyBorder="1" applyAlignment="1">
      <alignment vertical="center" wrapText="1"/>
    </xf>
    <xf numFmtId="0" fontId="27" fillId="6" borderId="1" xfId="0" applyFont="1" applyFill="1" applyBorder="1" applyAlignment="1">
      <alignment vertical="center"/>
    </xf>
    <xf numFmtId="167" fontId="23" fillId="6" borderId="1" xfId="0" applyNumberFormat="1" applyFont="1" applyFill="1" applyBorder="1" applyAlignment="1">
      <alignment horizontal="center" vertical="center"/>
    </xf>
    <xf numFmtId="167" fontId="31" fillId="0" borderId="1" xfId="0" applyNumberFormat="1" applyFont="1" applyBorder="1" applyAlignment="1">
      <alignment horizontal="center" vertical="center"/>
    </xf>
    <xf numFmtId="167" fontId="30" fillId="0" borderId="1" xfId="0" applyNumberFormat="1" applyFont="1" applyBorder="1" applyAlignment="1">
      <alignment horizontal="center" vertical="center"/>
    </xf>
    <xf numFmtId="167" fontId="32" fillId="0" borderId="1" xfId="0" applyNumberFormat="1" applyFont="1" applyBorder="1" applyAlignment="1">
      <alignment vertical="center"/>
    </xf>
    <xf numFmtId="167" fontId="25" fillId="0" borderId="1" xfId="0" applyNumberFormat="1" applyFont="1" applyBorder="1" applyAlignment="1">
      <alignment vertical="center"/>
    </xf>
    <xf numFmtId="0" fontId="23" fillId="2" borderId="1" xfId="0" applyFont="1" applyFill="1" applyBorder="1" applyAlignment="1">
      <alignment vertical="center"/>
    </xf>
    <xf numFmtId="167" fontId="28" fillId="2" borderId="1" xfId="0" applyNumberFormat="1" applyFont="1" applyFill="1" applyBorder="1" applyAlignment="1">
      <alignment horizontal="center" vertical="center"/>
    </xf>
    <xf numFmtId="167" fontId="33" fillId="0" borderId="1" xfId="0" applyNumberFormat="1" applyFont="1" applyBorder="1" applyAlignment="1">
      <alignment horizontal="center" vertical="center"/>
    </xf>
    <xf numFmtId="167" fontId="33" fillId="0" borderId="1" xfId="0" applyNumberFormat="1" applyFont="1" applyBorder="1" applyAlignment="1">
      <alignment vertical="center"/>
    </xf>
    <xf numFmtId="167" fontId="34" fillId="2" borderId="1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right" vertical="center"/>
    </xf>
    <xf numFmtId="0" fontId="23" fillId="0" borderId="0" xfId="0" applyFont="1" applyAlignment="1">
      <alignment vertical="center" wrapText="1"/>
    </xf>
    <xf numFmtId="167" fontId="23" fillId="0" borderId="0" xfId="0" applyNumberFormat="1" applyFont="1" applyAlignment="1">
      <alignment horizontal="center" vertical="center"/>
    </xf>
    <xf numFmtId="167" fontId="23" fillId="0" borderId="0" xfId="0" applyNumberFormat="1" applyFont="1" applyAlignment="1">
      <alignment vertical="center"/>
    </xf>
    <xf numFmtId="0" fontId="35" fillId="0" borderId="1" xfId="0" applyFont="1" applyBorder="1" applyAlignment="1">
      <alignment vertical="center"/>
    </xf>
    <xf numFmtId="167" fontId="36" fillId="0" borderId="1" xfId="0" applyNumberFormat="1" applyFont="1" applyBorder="1" applyAlignment="1">
      <alignment horizontal="center" vertical="center"/>
    </xf>
    <xf numFmtId="167" fontId="36" fillId="0" borderId="1" xfId="0" applyNumberFormat="1" applyFont="1" applyBorder="1" applyAlignment="1">
      <alignment vertical="center"/>
    </xf>
    <xf numFmtId="0" fontId="35" fillId="0" borderId="0" xfId="0" applyFont="1" applyAlignment="1">
      <alignment vertical="center"/>
    </xf>
    <xf numFmtId="167" fontId="28" fillId="0" borderId="1" xfId="0" applyNumberFormat="1" applyFont="1" applyBorder="1" applyAlignment="1">
      <alignment horizontal="center" vertical="center"/>
    </xf>
    <xf numFmtId="167" fontId="33" fillId="0" borderId="1" xfId="0" applyNumberFormat="1" applyFont="1" applyBorder="1" applyAlignment="1">
      <alignment vertical="center" wrapText="1"/>
    </xf>
    <xf numFmtId="0" fontId="37" fillId="0" borderId="1" xfId="0" applyFont="1" applyBorder="1" applyAlignment="1">
      <alignment horizontal="right" wrapText="1"/>
    </xf>
    <xf numFmtId="0" fontId="10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10" fillId="0" borderId="0" xfId="0" applyFont="1" applyAlignment="1">
      <alignment horizontal="right" vertical="center"/>
    </xf>
    <xf numFmtId="1" fontId="9" fillId="0" borderId="1" xfId="0" applyNumberFormat="1" applyFont="1" applyBorder="1" applyAlignment="1">
      <alignment horizontal="right" vertical="center"/>
    </xf>
    <xf numFmtId="1" fontId="12" fillId="0" borderId="1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165" fontId="28" fillId="0" borderId="1" xfId="30" applyNumberFormat="1" applyFont="1" applyFill="1" applyBorder="1" applyAlignment="1">
      <alignment horizontal="center" vertical="center"/>
    </xf>
    <xf numFmtId="167" fontId="34" fillId="0" borderId="1" xfId="0" applyNumberFormat="1" applyFont="1" applyBorder="1" applyAlignment="1">
      <alignment horizontal="center" vertical="center"/>
    </xf>
    <xf numFmtId="167" fontId="26" fillId="3" borderId="1" xfId="0" applyNumberFormat="1" applyFont="1" applyFill="1" applyBorder="1" applyAlignment="1">
      <alignment horizontal="center" vertical="center"/>
    </xf>
    <xf numFmtId="165" fontId="9" fillId="0" borderId="1" xfId="30" applyNumberFormat="1" applyFont="1" applyFill="1" applyBorder="1" applyAlignment="1">
      <alignment horizontal="center" vertical="center"/>
    </xf>
    <xf numFmtId="0" fontId="9" fillId="0" borderId="3" xfId="2" applyFont="1" applyBorder="1" applyAlignment="1">
      <alignment horizontal="center" vertical="center" wrapText="1"/>
    </xf>
    <xf numFmtId="0" fontId="9" fillId="5" borderId="0" xfId="2" applyFont="1" applyFill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10" fillId="2" borderId="2" xfId="2" applyFont="1" applyFill="1" applyBorder="1" applyAlignment="1">
      <alignment vertical="center"/>
    </xf>
    <xf numFmtId="2" fontId="38" fillId="2" borderId="2" xfId="2" applyNumberFormat="1" applyFont="1" applyFill="1" applyBorder="1" applyAlignment="1">
      <alignment vertical="center"/>
    </xf>
    <xf numFmtId="165" fontId="38" fillId="2" borderId="2" xfId="1" applyNumberFormat="1" applyFont="1" applyFill="1" applyBorder="1" applyAlignment="1">
      <alignment vertical="center"/>
    </xf>
    <xf numFmtId="165" fontId="38" fillId="2" borderId="2" xfId="2" applyNumberFormat="1" applyFont="1" applyFill="1" applyBorder="1" applyAlignment="1">
      <alignment vertical="center"/>
    </xf>
    <xf numFmtId="15" fontId="39" fillId="0" borderId="2" xfId="2" applyNumberFormat="1" applyFont="1" applyBorder="1" applyAlignment="1">
      <alignment vertical="center"/>
    </xf>
    <xf numFmtId="15" fontId="7" fillId="0" borderId="2" xfId="2" applyNumberFormat="1" applyFont="1" applyBorder="1" applyAlignment="1">
      <alignment vertical="center"/>
    </xf>
    <xf numFmtId="0" fontId="10" fillId="8" borderId="2" xfId="2" applyFont="1" applyFill="1" applyBorder="1" applyAlignment="1">
      <alignment vertical="center"/>
    </xf>
    <xf numFmtId="0" fontId="10" fillId="8" borderId="2" xfId="2" applyFont="1" applyFill="1" applyBorder="1" applyAlignment="1">
      <alignment vertical="center" wrapText="1"/>
    </xf>
    <xf numFmtId="2" fontId="40" fillId="8" borderId="2" xfId="2" applyNumberFormat="1" applyFont="1" applyFill="1" applyBorder="1" applyAlignment="1">
      <alignment vertical="center"/>
    </xf>
    <xf numFmtId="165" fontId="40" fillId="8" borderId="2" xfId="1" applyNumberFormat="1" applyFont="1" applyFill="1" applyBorder="1" applyAlignment="1">
      <alignment vertical="center"/>
    </xf>
    <xf numFmtId="1" fontId="0" fillId="0" borderId="3" xfId="2" applyNumberFormat="1" applyFont="1" applyBorder="1" applyAlignment="1">
      <alignment vertical="center"/>
    </xf>
    <xf numFmtId="1" fontId="0" fillId="5" borderId="0" xfId="2" applyNumberFormat="1" applyFont="1" applyFill="1" applyAlignment="1">
      <alignment vertical="center"/>
    </xf>
    <xf numFmtId="1" fontId="0" fillId="0" borderId="0" xfId="2" applyNumberFormat="1" applyFont="1" applyAlignment="1">
      <alignment vertical="center"/>
    </xf>
    <xf numFmtId="0" fontId="9" fillId="0" borderId="3" xfId="2" applyFont="1" applyBorder="1" applyAlignment="1">
      <alignment horizontal="center" vertical="center"/>
    </xf>
    <xf numFmtId="15" fontId="9" fillId="0" borderId="0" xfId="2" applyNumberFormat="1" applyFont="1" applyAlignment="1">
      <alignment vertical="center"/>
    </xf>
    <xf numFmtId="0" fontId="9" fillId="2" borderId="2" xfId="2" applyFont="1" applyFill="1" applyBorder="1" applyAlignment="1">
      <alignment vertical="center"/>
    </xf>
    <xf numFmtId="0" fontId="8" fillId="3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 wrapText="1"/>
    </xf>
  </cellXfs>
  <cellStyles count="33">
    <cellStyle name="Comma" xfId="1" builtinId="3"/>
    <cellStyle name="Comma 10" xfId="22" xr:uid="{7DEE2C9A-C384-41B9-9C39-671BCA8A70B4}"/>
    <cellStyle name="Comma 2" xfId="6" xr:uid="{9974E87C-B3E8-4FCD-85D5-738EC5A00EBD}"/>
    <cellStyle name="Comma 2 10" xfId="31" xr:uid="{B2576190-C9C3-4ABE-8383-332BBFAA95D8}"/>
    <cellStyle name="Comma 2 2" xfId="15" xr:uid="{56E3BB82-B47C-4F8E-8C81-B7AE45EBD356}"/>
    <cellStyle name="Comma 2 2 2" xfId="18" xr:uid="{74D0584D-CE06-400C-9822-064532443BAD}"/>
    <cellStyle name="Comma 2 3" xfId="17" xr:uid="{75B5461C-6E48-455D-8A6A-467E583FFBE6}"/>
    <cellStyle name="Comma 2 4" xfId="20" xr:uid="{45C92782-944B-4D3C-A1F1-F1BF1422F133}"/>
    <cellStyle name="Comma 3" xfId="14" xr:uid="{60A7A182-7A5F-4172-B0D8-0297083A140B}"/>
    <cellStyle name="Comma 4" xfId="16" xr:uid="{A8AA4419-2BDF-487C-B3C3-91425DDFB4A2}"/>
    <cellStyle name="Comma 47" xfId="23" xr:uid="{5CB24E7C-3BED-4301-9BE7-D445FB20C459}"/>
    <cellStyle name="Comma 5" xfId="7" xr:uid="{552278EB-8DB7-4AB4-939D-74B16F96D747}"/>
    <cellStyle name="Comma 6" xfId="24" xr:uid="{8F64F0F1-AE23-4528-9461-18244EC3E3D6}"/>
    <cellStyle name="Comma 9" xfId="30" xr:uid="{5D6B080B-224D-4ABB-9746-7574687A0C34}"/>
    <cellStyle name="Normal" xfId="0" builtinId="0"/>
    <cellStyle name="Normal 170 2" xfId="4" xr:uid="{4B133F74-B308-4F27-AAC6-880253265B6A}"/>
    <cellStyle name="Normal 170 2 2" xfId="13" xr:uid="{C0FF7614-52E9-4BB9-90EE-9C2C4D0A634E}"/>
    <cellStyle name="Normal 170 2 2 2" xfId="11" xr:uid="{800CD04E-E8C2-4A36-8407-AB00702268E2}"/>
    <cellStyle name="Normal 170 2 2 3" xfId="21" xr:uid="{16651F48-3A16-4FE8-AB47-8D0E2375A284}"/>
    <cellStyle name="Normal 170 2 2 3 5" xfId="27" xr:uid="{E2E8F931-1A09-4522-81C6-EF9218A13C5A}"/>
    <cellStyle name="Normal 2" xfId="8" xr:uid="{9E5C3A08-B208-402D-8FFE-828530A336D4}"/>
    <cellStyle name="Normal 2 111" xfId="29" xr:uid="{BF3C3A79-D8AD-4AB5-9BE4-DE7FE84441CF}"/>
    <cellStyle name="Normal 3" xfId="9" xr:uid="{75325961-0C84-46B9-A78C-3AF447CB04F7}"/>
    <cellStyle name="Normal 3 3 2" xfId="19" xr:uid="{07C2A6DA-C14E-4B03-8B73-2E2F69B22545}"/>
    <cellStyle name="Normal 3 35" xfId="10" xr:uid="{6D4650CB-0A2A-4D5B-AB52-695BD12310F0}"/>
    <cellStyle name="Normal 4" xfId="2" xr:uid="{47204A2B-CF82-477F-8027-168EE23D2B09}"/>
    <cellStyle name="Normal 46" xfId="3" xr:uid="{4870A42E-E3CE-4C69-9ECF-500C8FF6AA76}"/>
    <cellStyle name="Normal 5" xfId="28" xr:uid="{9288BF0C-E91D-47EB-A104-7E112B2AD194}"/>
    <cellStyle name="Per cent" xfId="26" builtinId="5"/>
    <cellStyle name="Percent 2" xfId="12" xr:uid="{4C66D492-1276-4F92-86CC-4C6C4E71D4EC}"/>
    <cellStyle name="Percent 2 60" xfId="32" xr:uid="{A153B080-052D-4C91-8F45-FEB5A2480A7C}"/>
    <cellStyle name="Percent 3" xfId="5" xr:uid="{D1DC7DAE-1327-4E4E-B6F1-65DACDB4E605}"/>
    <cellStyle name="Percent 4" xfId="25" xr:uid="{F8EC7DE0-350B-4187-B2C0-55F72F0B43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C6E2C94-CADF-4BC4-81A6-871CBFA05743}"/>
  <namedSheetView name="View2" id="{9C77D9B7-7E0F-4A4F-8CF1-B89EB8376DF1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15285F77-874F-4CA5-AE23-B51DFE6FC1CB}"/>
  <namedSheetView name="View2" id="{CDBF8298-4713-419B-886C-5C27E35557A4}"/>
</namedSheetView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0AD6-78F6-472A-B7BD-AF9B99D52BF9}">
  <sheetPr>
    <outlinePr summaryBelow="0" summaryRight="0"/>
    <pageSetUpPr fitToPage="1"/>
  </sheetPr>
  <dimension ref="A2:AD94"/>
  <sheetViews>
    <sheetView tabSelected="1" zoomScaleNormal="100" workbookViewId="0">
      <pane xSplit="2" ySplit="4" topLeftCell="C5" activePane="bottomRight" state="frozen"/>
      <selection pane="bottomRight" activeCell="C9" sqref="C9"/>
      <selection pane="bottomLeft" activeCell="A8" sqref="A8"/>
      <selection pane="topRight"/>
    </sheetView>
  </sheetViews>
  <sheetFormatPr defaultColWidth="9.42578125" defaultRowHeight="13.15" outlineLevelRow="3" outlineLevelCol="1"/>
  <cols>
    <col min="1" max="1" width="0.5703125" style="2" customWidth="1"/>
    <col min="2" max="2" width="22.7109375" style="2" customWidth="1"/>
    <col min="3" max="3" width="53.7109375" style="24" customWidth="1"/>
    <col min="4" max="4" width="14.42578125" style="2" customWidth="1"/>
    <col min="5" max="5" width="23.85546875" style="2" customWidth="1"/>
    <col min="6" max="6" width="40.42578125" style="2" customWidth="1"/>
    <col min="7" max="9" width="0.5703125" style="2" customWidth="1" outlineLevel="1"/>
    <col min="10" max="10" width="13.28515625" style="2" customWidth="1" outlineLevel="1"/>
    <col min="11" max="11" width="9.5703125" style="2" customWidth="1" outlineLevel="1"/>
    <col min="12" max="12" width="16.28515625" style="2" customWidth="1" outlineLevel="1"/>
    <col min="13" max="13" width="14.28515625" style="2" customWidth="1" outlineLevel="1"/>
    <col min="14" max="16" width="0.5703125" style="2" customWidth="1" outlineLevel="1"/>
    <col min="17" max="23" width="14.42578125" style="2" customWidth="1" outlineLevel="1"/>
    <col min="24" max="26" width="0.5703125" style="2" customWidth="1"/>
    <col min="27" max="27" width="10.28515625" style="2" bestFit="1" customWidth="1"/>
    <col min="28" max="29" width="9.42578125" style="2"/>
    <col min="30" max="30" width="9.42578125" style="2" bestFit="1" customWidth="1"/>
    <col min="31" max="16384" width="9.42578125" style="2"/>
  </cols>
  <sheetData>
    <row r="2" spans="1:30" ht="17.45">
      <c r="A2" s="1"/>
      <c r="B2" s="3" t="s">
        <v>0</v>
      </c>
      <c r="C2" s="4"/>
      <c r="D2" s="3"/>
      <c r="E2" s="3"/>
      <c r="F2" s="3"/>
      <c r="G2" s="12"/>
      <c r="H2" s="25"/>
      <c r="J2" s="14">
        <f>SUBTOTAL(9,J6:J94)</f>
        <v>1.6072650000000002</v>
      </c>
      <c r="K2" s="15">
        <f>SUBTOTAL(9,K6:K94)</f>
        <v>28</v>
      </c>
      <c r="L2" s="14">
        <f>SUBTOTAL(9,L6:L94)</f>
        <v>0.22284000000000001</v>
      </c>
      <c r="M2" s="28">
        <f>SUBTOTAL(9,M6:M94)</f>
        <v>3</v>
      </c>
      <c r="N2" s="12"/>
      <c r="O2" s="25"/>
      <c r="Q2" s="3"/>
      <c r="R2" s="3"/>
      <c r="S2" s="3"/>
      <c r="T2" s="3"/>
      <c r="U2" s="3"/>
      <c r="V2" s="3"/>
      <c r="W2" s="3"/>
      <c r="Y2" s="25"/>
      <c r="AA2" s="10"/>
      <c r="AB2" s="10"/>
    </row>
    <row r="3" spans="1:30" ht="3" customHeight="1">
      <c r="A3" s="1"/>
      <c r="B3" s="1"/>
      <c r="C3" s="8"/>
      <c r="D3" s="1"/>
      <c r="E3" s="1"/>
      <c r="F3" s="1"/>
      <c r="G3" s="12"/>
      <c r="H3" s="25"/>
      <c r="J3" s="1"/>
      <c r="K3" s="1"/>
      <c r="L3" s="1"/>
      <c r="M3" s="1"/>
      <c r="N3" s="12"/>
      <c r="O3" s="25"/>
      <c r="Q3" s="1"/>
      <c r="R3" s="1"/>
      <c r="S3" s="1"/>
      <c r="T3" s="1"/>
      <c r="U3" s="1"/>
      <c r="V3" s="1"/>
      <c r="W3" s="1"/>
      <c r="Y3" s="25"/>
    </row>
    <row r="4" spans="1:30" s="6" customFormat="1" ht="30">
      <c r="A4" s="7"/>
      <c r="B4" s="11" t="s">
        <v>1</v>
      </c>
      <c r="C4" s="17" t="s">
        <v>2</v>
      </c>
      <c r="D4" s="11" t="s">
        <v>3</v>
      </c>
      <c r="E4" s="11" t="s">
        <v>4</v>
      </c>
      <c r="F4" s="11" t="s">
        <v>5</v>
      </c>
      <c r="G4" s="100"/>
      <c r="H4" s="101"/>
      <c r="I4" s="102"/>
      <c r="J4" s="17" t="s">
        <v>6</v>
      </c>
      <c r="K4" s="17" t="s">
        <v>7</v>
      </c>
      <c r="L4" s="17" t="s">
        <v>8</v>
      </c>
      <c r="M4" s="17" t="s">
        <v>9</v>
      </c>
      <c r="N4" s="100"/>
      <c r="O4" s="101"/>
      <c r="P4" s="102"/>
      <c r="Q4" s="11" t="s">
        <v>10</v>
      </c>
      <c r="R4" s="11" t="s">
        <v>11</v>
      </c>
      <c r="S4" s="11" t="s">
        <v>12</v>
      </c>
      <c r="T4" s="11" t="s">
        <v>13</v>
      </c>
      <c r="U4" s="11" t="s">
        <v>14</v>
      </c>
      <c r="V4" s="11" t="s">
        <v>15</v>
      </c>
      <c r="W4" s="11" t="s">
        <v>5</v>
      </c>
      <c r="Y4" s="26"/>
      <c r="AA4" s="27"/>
      <c r="AB4" s="27"/>
      <c r="AC4" s="2"/>
    </row>
    <row r="5" spans="1:30" ht="3" customHeight="1">
      <c r="A5" s="1"/>
      <c r="B5" s="1"/>
      <c r="C5" s="8"/>
      <c r="D5" s="1"/>
      <c r="E5" s="1"/>
      <c r="F5" s="1"/>
      <c r="G5" s="12"/>
      <c r="H5" s="25"/>
      <c r="J5" s="18"/>
      <c r="K5" s="19"/>
      <c r="L5" s="18"/>
      <c r="M5" s="19"/>
      <c r="N5" s="12"/>
      <c r="O5" s="25"/>
      <c r="Q5" s="1"/>
      <c r="R5" s="1"/>
      <c r="S5" s="1"/>
      <c r="T5" s="1"/>
      <c r="U5" s="1"/>
      <c r="V5" s="1"/>
      <c r="W5" s="1"/>
      <c r="Y5" s="25"/>
      <c r="AA5" s="10"/>
      <c r="AB5" s="10"/>
      <c r="AC5" s="10"/>
      <c r="AD5" s="10"/>
    </row>
    <row r="6" spans="1:30" ht="15">
      <c r="A6" s="1"/>
      <c r="B6" s="5" t="s">
        <v>16</v>
      </c>
      <c r="C6" s="20" t="s">
        <v>17</v>
      </c>
      <c r="D6" s="5"/>
      <c r="E6" s="5"/>
      <c r="F6" s="5"/>
      <c r="G6" s="12"/>
      <c r="H6" s="25"/>
      <c r="J6" s="21">
        <f>SUBTOTAL(9,J7:J56)</f>
        <v>0.40950000000000003</v>
      </c>
      <c r="K6" s="22">
        <f>SUBTOTAL(9,K7:K56)</f>
        <v>15</v>
      </c>
      <c r="L6" s="21">
        <f>SUBTOTAL(9,L7:L56)</f>
        <v>0</v>
      </c>
      <c r="M6" s="22">
        <f>SUBTOTAL(9,M7:M56)</f>
        <v>0</v>
      </c>
      <c r="N6" s="12"/>
      <c r="O6" s="25"/>
      <c r="Q6" s="5"/>
      <c r="R6" s="5"/>
      <c r="S6" s="5"/>
      <c r="T6" s="5"/>
      <c r="U6" s="5"/>
      <c r="V6" s="5"/>
      <c r="W6" s="5"/>
      <c r="Y6" s="25"/>
      <c r="AA6" s="10"/>
      <c r="AB6" s="10"/>
      <c r="AC6" s="10"/>
      <c r="AD6" s="10"/>
    </row>
    <row r="7" spans="1:30" outlineLevel="1">
      <c r="A7" s="1"/>
      <c r="B7" s="103" t="s">
        <v>18</v>
      </c>
      <c r="C7" s="13" t="s">
        <v>19</v>
      </c>
      <c r="D7" s="103"/>
      <c r="E7" s="103"/>
      <c r="F7" s="103"/>
      <c r="G7" s="12"/>
      <c r="H7" s="25"/>
      <c r="J7" s="104">
        <f>SUBTOTAL(9,J8:J20)</f>
        <v>0.252</v>
      </c>
      <c r="K7" s="105">
        <f>SUBTOTAL(9,K8:K20)</f>
        <v>4</v>
      </c>
      <c r="L7" s="104">
        <f>SUBTOTAL(9,L8:L20)</f>
        <v>0</v>
      </c>
      <c r="M7" s="105">
        <f>SUBTOTAL(9,M8:M20)</f>
        <v>0</v>
      </c>
      <c r="N7" s="12"/>
      <c r="O7" s="25"/>
      <c r="Q7" s="103"/>
      <c r="R7" s="103"/>
      <c r="S7" s="103"/>
      <c r="T7" s="103"/>
      <c r="U7" s="103"/>
      <c r="V7" s="103"/>
      <c r="W7" s="103"/>
      <c r="Y7" s="25"/>
    </row>
    <row r="8" spans="1:30" outlineLevel="2">
      <c r="A8" s="1"/>
      <c r="B8" s="1" t="s">
        <v>16</v>
      </c>
      <c r="C8" s="8" t="s">
        <v>20</v>
      </c>
      <c r="D8" s="107">
        <v>46310</v>
      </c>
      <c r="E8" s="1" t="s">
        <v>21</v>
      </c>
      <c r="F8" s="1"/>
      <c r="G8" s="12"/>
      <c r="H8" s="25"/>
      <c r="J8" s="18">
        <v>6.3E-2</v>
      </c>
      <c r="K8" s="23">
        <v>1</v>
      </c>
      <c r="L8" s="9">
        <f>IF(M8=1,J8,0)</f>
        <v>0</v>
      </c>
      <c r="M8" s="23"/>
      <c r="N8" s="12"/>
      <c r="O8" s="25"/>
      <c r="Q8" s="1" t="s">
        <v>21</v>
      </c>
      <c r="R8" s="1" t="s">
        <v>22</v>
      </c>
      <c r="S8" s="1" t="s">
        <v>23</v>
      </c>
      <c r="T8" s="1"/>
      <c r="U8" s="1"/>
      <c r="V8" s="1"/>
      <c r="W8" s="1"/>
      <c r="Y8" s="25"/>
    </row>
    <row r="9" spans="1:30" s="32" customFormat="1" ht="12.75" outlineLevel="3">
      <c r="A9" s="31"/>
      <c r="B9" s="39" t="s">
        <v>24</v>
      </c>
      <c r="C9" s="40" t="s">
        <v>25</v>
      </c>
      <c r="D9" s="41">
        <v>46289</v>
      </c>
      <c r="E9" s="42" t="s">
        <v>26</v>
      </c>
      <c r="F9" s="31"/>
      <c r="H9" s="33"/>
      <c r="J9" s="34"/>
      <c r="K9" s="35"/>
      <c r="L9" s="36"/>
      <c r="M9" s="35"/>
      <c r="N9" s="37"/>
      <c r="O9" s="33"/>
      <c r="Q9" s="31"/>
      <c r="R9" s="31"/>
      <c r="S9" s="31"/>
      <c r="T9" s="31"/>
      <c r="U9" s="31"/>
      <c r="V9" s="31"/>
      <c r="W9" s="37"/>
      <c r="X9" s="2"/>
      <c r="Y9" s="25"/>
      <c r="Z9" s="2"/>
      <c r="AA9" s="38"/>
    </row>
    <row r="10" spans="1:30" s="32" customFormat="1" ht="12.75" outlineLevel="3">
      <c r="A10" s="31"/>
      <c r="B10" s="39" t="s">
        <v>27</v>
      </c>
      <c r="C10" s="40" t="s">
        <v>28</v>
      </c>
      <c r="D10" s="41">
        <v>46297</v>
      </c>
      <c r="E10" s="42" t="s">
        <v>29</v>
      </c>
      <c r="F10" s="31"/>
      <c r="H10" s="33"/>
      <c r="J10" s="34"/>
      <c r="K10" s="35"/>
      <c r="L10" s="36"/>
      <c r="M10" s="35"/>
      <c r="N10" s="37"/>
      <c r="O10" s="33"/>
      <c r="Q10" s="31"/>
      <c r="R10" s="31"/>
      <c r="S10" s="31"/>
      <c r="T10" s="31"/>
      <c r="U10" s="31"/>
      <c r="V10" s="31"/>
      <c r="W10" s="37"/>
      <c r="X10" s="2"/>
      <c r="Y10" s="25"/>
      <c r="Z10" s="2"/>
    </row>
    <row r="11" spans="1:30" outlineLevel="2">
      <c r="A11" s="1"/>
      <c r="B11" s="1" t="s">
        <v>16</v>
      </c>
      <c r="C11" s="8" t="s">
        <v>30</v>
      </c>
      <c r="D11" s="107">
        <v>46346</v>
      </c>
      <c r="E11" s="1" t="s">
        <v>21</v>
      </c>
      <c r="F11" s="1"/>
      <c r="G11" s="12"/>
      <c r="H11" s="25"/>
      <c r="J11" s="18">
        <v>4.2000000000000003E-2</v>
      </c>
      <c r="K11" s="23">
        <v>1</v>
      </c>
      <c r="L11" s="9">
        <f>IF(M11=1,J11,0)</f>
        <v>0</v>
      </c>
      <c r="M11" s="23"/>
      <c r="N11" s="12"/>
      <c r="O11" s="25"/>
      <c r="Q11" s="1" t="s">
        <v>21</v>
      </c>
      <c r="R11" s="1" t="s">
        <v>22</v>
      </c>
      <c r="S11" s="1" t="s">
        <v>23</v>
      </c>
      <c r="T11" s="1"/>
      <c r="U11" s="1"/>
      <c r="V11" s="1"/>
      <c r="W11" s="1"/>
      <c r="Y11" s="25"/>
      <c r="AC11" s="117"/>
    </row>
    <row r="12" spans="1:30" s="32" customFormat="1" ht="12.75" outlineLevel="3">
      <c r="A12" s="31"/>
      <c r="B12" s="39" t="s">
        <v>24</v>
      </c>
      <c r="C12" s="40" t="s">
        <v>25</v>
      </c>
      <c r="D12" s="41">
        <v>46289</v>
      </c>
      <c r="E12" s="42" t="s">
        <v>26</v>
      </c>
      <c r="F12" s="31"/>
      <c r="H12" s="33"/>
      <c r="J12" s="34"/>
      <c r="K12" s="35"/>
      <c r="L12" s="36"/>
      <c r="M12" s="35"/>
      <c r="N12" s="37"/>
      <c r="O12" s="33"/>
      <c r="Q12" s="31"/>
      <c r="R12" s="31"/>
      <c r="S12" s="31"/>
      <c r="T12" s="31"/>
      <c r="U12" s="31"/>
      <c r="V12" s="31"/>
      <c r="W12" s="37"/>
      <c r="X12" s="2"/>
      <c r="Y12" s="25"/>
      <c r="Z12" s="2"/>
      <c r="AA12" s="38"/>
    </row>
    <row r="13" spans="1:30" s="32" customFormat="1" ht="12.75" outlineLevel="3">
      <c r="A13" s="31"/>
      <c r="B13" s="39" t="s">
        <v>27</v>
      </c>
      <c r="C13" s="40" t="s">
        <v>28</v>
      </c>
      <c r="D13" s="41">
        <v>46297</v>
      </c>
      <c r="E13" s="1" t="s">
        <v>31</v>
      </c>
      <c r="F13" s="31"/>
      <c r="H13" s="33"/>
      <c r="J13" s="34"/>
      <c r="K13" s="35"/>
      <c r="L13" s="36"/>
      <c r="M13" s="35"/>
      <c r="N13" s="37"/>
      <c r="O13" s="33"/>
      <c r="Q13" s="31"/>
      <c r="R13" s="31"/>
      <c r="S13" s="31"/>
      <c r="T13" s="31"/>
      <c r="U13" s="31"/>
      <c r="V13" s="31"/>
      <c r="W13" s="37"/>
      <c r="X13" s="2"/>
      <c r="Y13" s="25"/>
      <c r="Z13" s="2"/>
    </row>
    <row r="14" spans="1:30" s="32" customFormat="1" ht="12.75" outlineLevel="3">
      <c r="A14" s="31"/>
      <c r="B14" s="39" t="s">
        <v>32</v>
      </c>
      <c r="C14" s="40" t="s">
        <v>33</v>
      </c>
      <c r="D14" s="41">
        <v>46315</v>
      </c>
      <c r="E14" s="42" t="s">
        <v>34</v>
      </c>
      <c r="F14" s="31"/>
      <c r="H14" s="33"/>
      <c r="J14" s="34"/>
      <c r="K14" s="35"/>
      <c r="L14" s="36"/>
      <c r="M14" s="35"/>
      <c r="N14" s="37"/>
      <c r="O14" s="33"/>
      <c r="Q14" s="31"/>
      <c r="R14" s="31"/>
      <c r="S14" s="31"/>
      <c r="T14" s="31"/>
      <c r="U14" s="31"/>
      <c r="V14" s="31"/>
      <c r="W14" s="37"/>
      <c r="X14" s="2"/>
      <c r="Y14" s="25"/>
      <c r="Z14" s="2"/>
    </row>
    <row r="15" spans="1:30" outlineLevel="2">
      <c r="A15" s="1"/>
      <c r="B15" s="1" t="s">
        <v>16</v>
      </c>
      <c r="C15" s="8" t="s">
        <v>35</v>
      </c>
      <c r="D15" s="107">
        <v>46366</v>
      </c>
      <c r="E15" s="1" t="s">
        <v>21</v>
      </c>
      <c r="F15" s="1"/>
      <c r="G15" s="12"/>
      <c r="H15" s="25"/>
      <c r="J15" s="18">
        <v>8.4000000000000005E-2</v>
      </c>
      <c r="K15" s="23">
        <v>1</v>
      </c>
      <c r="L15" s="9">
        <f>IF(M15=1,J15,0)</f>
        <v>0</v>
      </c>
      <c r="M15" s="23"/>
      <c r="N15" s="12"/>
      <c r="O15" s="25"/>
      <c r="Q15" s="1" t="s">
        <v>21</v>
      </c>
      <c r="R15" s="1" t="s">
        <v>22</v>
      </c>
      <c r="S15" s="1" t="s">
        <v>23</v>
      </c>
      <c r="T15" s="1"/>
      <c r="U15" s="1"/>
      <c r="V15" s="1"/>
      <c r="W15" s="1"/>
      <c r="Y15" s="25"/>
      <c r="AC15" s="117"/>
    </row>
    <row r="16" spans="1:30" s="32" customFormat="1" outlineLevel="3">
      <c r="A16" s="31"/>
      <c r="B16" s="39" t="s">
        <v>24</v>
      </c>
      <c r="C16" s="40" t="s">
        <v>36</v>
      </c>
      <c r="D16" s="41">
        <v>46296</v>
      </c>
      <c r="E16" s="42" t="s">
        <v>26</v>
      </c>
      <c r="F16" s="31"/>
      <c r="H16" s="33"/>
      <c r="J16" s="34"/>
      <c r="K16" s="35"/>
      <c r="L16" s="36"/>
      <c r="M16" s="35"/>
      <c r="N16" s="37"/>
      <c r="O16" s="33"/>
      <c r="Q16" s="31"/>
      <c r="R16" s="31"/>
      <c r="S16" s="31"/>
      <c r="T16" s="31"/>
      <c r="U16" s="31"/>
      <c r="V16" s="31"/>
      <c r="W16" s="37"/>
      <c r="X16" s="2"/>
      <c r="Y16" s="25"/>
      <c r="Z16" s="2"/>
      <c r="AA16" s="38"/>
    </row>
    <row r="17" spans="1:29" s="32" customFormat="1" outlineLevel="3">
      <c r="A17" s="31"/>
      <c r="B17" s="39" t="s">
        <v>27</v>
      </c>
      <c r="C17" s="40" t="s">
        <v>37</v>
      </c>
      <c r="D17" s="41">
        <v>46300</v>
      </c>
      <c r="E17" s="42" t="s">
        <v>29</v>
      </c>
      <c r="F17" s="31"/>
      <c r="H17" s="33"/>
      <c r="J17" s="34"/>
      <c r="K17" s="35"/>
      <c r="L17" s="36"/>
      <c r="M17" s="35"/>
      <c r="N17" s="37"/>
      <c r="O17" s="33"/>
      <c r="Q17" s="31"/>
      <c r="R17" s="31"/>
      <c r="S17" s="31"/>
      <c r="T17" s="31"/>
      <c r="U17" s="31"/>
      <c r="V17" s="31"/>
      <c r="W17" s="37"/>
      <c r="X17" s="2"/>
      <c r="Y17" s="25"/>
      <c r="Z17" s="2"/>
    </row>
    <row r="18" spans="1:29" outlineLevel="2">
      <c r="A18" s="1"/>
      <c r="B18" s="1" t="s">
        <v>16</v>
      </c>
      <c r="C18" s="8" t="s">
        <v>38</v>
      </c>
      <c r="D18" s="107">
        <v>46380</v>
      </c>
      <c r="E18" s="1" t="s">
        <v>21</v>
      </c>
      <c r="F18" s="1"/>
      <c r="G18" s="12"/>
      <c r="H18" s="25"/>
      <c r="J18" s="18">
        <v>6.3E-2</v>
      </c>
      <c r="K18" s="23">
        <v>1</v>
      </c>
      <c r="L18" s="9">
        <f>IF(M18=1,J18,0)</f>
        <v>0</v>
      </c>
      <c r="M18" s="23"/>
      <c r="N18" s="12"/>
      <c r="O18" s="25"/>
      <c r="Q18" s="1" t="s">
        <v>21</v>
      </c>
      <c r="R18" s="1" t="s">
        <v>22</v>
      </c>
      <c r="S18" s="1" t="s">
        <v>23</v>
      </c>
      <c r="T18" s="1"/>
      <c r="U18" s="1"/>
      <c r="V18" s="1"/>
      <c r="W18" s="1"/>
      <c r="Y18" s="25"/>
      <c r="AC18" s="117"/>
    </row>
    <row r="19" spans="1:29" s="32" customFormat="1" outlineLevel="3">
      <c r="A19" s="31"/>
      <c r="B19" s="39" t="s">
        <v>24</v>
      </c>
      <c r="C19" s="40" t="s">
        <v>36</v>
      </c>
      <c r="D19" s="41">
        <v>46296</v>
      </c>
      <c r="E19" s="42" t="s">
        <v>26</v>
      </c>
      <c r="F19" s="31"/>
      <c r="H19" s="33"/>
      <c r="J19" s="34"/>
      <c r="K19" s="35"/>
      <c r="L19" s="36"/>
      <c r="M19" s="35"/>
      <c r="N19" s="37"/>
      <c r="O19" s="33"/>
      <c r="Q19" s="31"/>
      <c r="R19" s="31"/>
      <c r="S19" s="31"/>
      <c r="T19" s="31"/>
      <c r="U19" s="31"/>
      <c r="V19" s="31"/>
      <c r="W19" s="37"/>
      <c r="X19" s="2"/>
      <c r="Y19" s="25"/>
      <c r="Z19" s="2"/>
      <c r="AA19" s="38"/>
    </row>
    <row r="20" spans="1:29" s="32" customFormat="1" outlineLevel="3">
      <c r="A20" s="31"/>
      <c r="B20" s="39" t="s">
        <v>27</v>
      </c>
      <c r="C20" s="40" t="s">
        <v>37</v>
      </c>
      <c r="D20" s="41">
        <v>46300</v>
      </c>
      <c r="E20" s="42" t="s">
        <v>29</v>
      </c>
      <c r="F20" s="31"/>
      <c r="H20" s="33"/>
      <c r="J20" s="34"/>
      <c r="K20" s="35"/>
      <c r="L20" s="36"/>
      <c r="M20" s="35"/>
      <c r="N20" s="37"/>
      <c r="O20" s="33"/>
      <c r="Q20" s="31"/>
      <c r="R20" s="31"/>
      <c r="S20" s="31"/>
      <c r="T20" s="31"/>
      <c r="U20" s="31"/>
      <c r="V20" s="31"/>
      <c r="W20" s="37"/>
      <c r="X20" s="2"/>
      <c r="Y20" s="25"/>
      <c r="Z20" s="2"/>
    </row>
    <row r="21" spans="1:29" ht="26.45" outlineLevel="1">
      <c r="A21" s="1"/>
      <c r="B21" s="103" t="s">
        <v>39</v>
      </c>
      <c r="C21" s="13" t="s">
        <v>40</v>
      </c>
      <c r="D21" s="103"/>
      <c r="E21" s="103"/>
      <c r="F21" s="103"/>
      <c r="G21" s="12"/>
      <c r="H21" s="25"/>
      <c r="J21" s="104">
        <f>SUBTOTAL(9,J22:J33)</f>
        <v>9.1200000000000003E-2</v>
      </c>
      <c r="K21" s="105">
        <f>SUBTOTAL(9,K22:K33)</f>
        <v>4</v>
      </c>
      <c r="L21" s="104">
        <f>SUBTOTAL(9,L22:L33)</f>
        <v>0</v>
      </c>
      <c r="M21" s="105">
        <f>SUBTOTAL(9,M22:M33)</f>
        <v>0</v>
      </c>
      <c r="N21" s="12"/>
      <c r="O21" s="25"/>
      <c r="Q21" s="103"/>
      <c r="R21" s="103"/>
      <c r="S21" s="103"/>
      <c r="T21" s="103"/>
      <c r="U21" s="103"/>
      <c r="V21" s="103"/>
      <c r="W21" s="103"/>
      <c r="Y21" s="25"/>
    </row>
    <row r="22" spans="1:29" outlineLevel="2">
      <c r="A22" s="1"/>
      <c r="B22" s="1" t="s">
        <v>16</v>
      </c>
      <c r="C22" s="8" t="s">
        <v>20</v>
      </c>
      <c r="D22" s="107">
        <v>46317</v>
      </c>
      <c r="E22" s="1" t="s">
        <v>41</v>
      </c>
      <c r="F22" s="1"/>
      <c r="G22" s="12"/>
      <c r="H22" s="25"/>
      <c r="J22" s="9">
        <v>1.9200000000000002E-2</v>
      </c>
      <c r="K22" s="16">
        <v>1</v>
      </c>
      <c r="L22" s="9">
        <f>IF(M22=1,J22,0)</f>
        <v>0</v>
      </c>
      <c r="M22" s="16"/>
      <c r="N22" s="12"/>
      <c r="O22" s="25"/>
      <c r="Q22" s="1" t="s">
        <v>41</v>
      </c>
      <c r="R22" s="1" t="s">
        <v>42</v>
      </c>
      <c r="S22" s="1" t="s">
        <v>31</v>
      </c>
      <c r="T22" s="1" t="s">
        <v>43</v>
      </c>
      <c r="U22" s="1" t="s">
        <v>44</v>
      </c>
      <c r="V22" s="1"/>
      <c r="W22" s="1"/>
      <c r="Y22" s="25"/>
      <c r="AC22" s="117"/>
    </row>
    <row r="23" spans="1:29" s="32" customFormat="1" ht="25.5" outlineLevel="3">
      <c r="A23" s="31"/>
      <c r="B23" s="39" t="s">
        <v>24</v>
      </c>
      <c r="C23" s="40" t="s">
        <v>45</v>
      </c>
      <c r="D23" s="41">
        <v>46296</v>
      </c>
      <c r="E23" s="42" t="s">
        <v>26</v>
      </c>
      <c r="F23" s="31" t="s">
        <v>46</v>
      </c>
      <c r="H23" s="33"/>
      <c r="J23" s="34"/>
      <c r="K23" s="35"/>
      <c r="L23" s="36"/>
      <c r="M23" s="35"/>
      <c r="N23" s="37"/>
      <c r="O23" s="33"/>
      <c r="Q23" s="31"/>
      <c r="R23" s="31"/>
      <c r="S23" s="31"/>
      <c r="T23" s="31"/>
      <c r="U23" s="31"/>
      <c r="V23" s="31"/>
      <c r="W23" s="37"/>
      <c r="X23" s="2"/>
      <c r="Y23" s="25"/>
      <c r="Z23" s="2"/>
      <c r="AA23" s="38"/>
    </row>
    <row r="24" spans="1:29" s="32" customFormat="1" ht="25.5" outlineLevel="3">
      <c r="A24" s="31"/>
      <c r="B24" s="39" t="s">
        <v>27</v>
      </c>
      <c r="C24" s="40" t="s">
        <v>47</v>
      </c>
      <c r="D24" s="41">
        <v>46300</v>
      </c>
      <c r="E24" s="42" t="s">
        <v>29</v>
      </c>
      <c r="F24" s="31" t="s">
        <v>46</v>
      </c>
      <c r="H24" s="33"/>
      <c r="J24" s="34"/>
      <c r="K24" s="35"/>
      <c r="L24" s="36"/>
      <c r="M24" s="35"/>
      <c r="N24" s="37"/>
      <c r="O24" s="33"/>
      <c r="Q24" s="31"/>
      <c r="R24" s="31"/>
      <c r="S24" s="31"/>
      <c r="T24" s="31"/>
      <c r="U24" s="31"/>
      <c r="V24" s="31"/>
      <c r="W24" s="37"/>
      <c r="X24" s="2"/>
      <c r="Y24" s="25"/>
      <c r="Z24" s="2"/>
    </row>
    <row r="25" spans="1:29" outlineLevel="2">
      <c r="A25" s="1"/>
      <c r="B25" s="1" t="s">
        <v>16</v>
      </c>
      <c r="C25" s="8" t="s">
        <v>30</v>
      </c>
      <c r="D25" s="107">
        <v>46346</v>
      </c>
      <c r="E25" s="1" t="s">
        <v>41</v>
      </c>
      <c r="F25" s="1" t="s">
        <v>48</v>
      </c>
      <c r="G25" s="12"/>
      <c r="H25" s="25"/>
      <c r="J25" s="9">
        <v>1.9199999999999998E-2</v>
      </c>
      <c r="K25" s="16">
        <v>1</v>
      </c>
      <c r="L25" s="9">
        <f>IF(M25=1,J25,0)</f>
        <v>0</v>
      </c>
      <c r="M25" s="16"/>
      <c r="N25" s="12"/>
      <c r="O25" s="25"/>
      <c r="Q25" s="1" t="s">
        <v>41</v>
      </c>
      <c r="R25" s="1" t="s">
        <v>42</v>
      </c>
      <c r="S25" s="1" t="s">
        <v>31</v>
      </c>
      <c r="T25" s="1" t="s">
        <v>43</v>
      </c>
      <c r="U25" s="1" t="s">
        <v>44</v>
      </c>
      <c r="V25" s="1"/>
      <c r="W25" s="1"/>
      <c r="Y25" s="25"/>
      <c r="AC25" s="117"/>
    </row>
    <row r="26" spans="1:29" s="32" customFormat="1" ht="25.5" outlineLevel="3">
      <c r="A26" s="31"/>
      <c r="B26" s="39" t="s">
        <v>24</v>
      </c>
      <c r="C26" s="40" t="s">
        <v>49</v>
      </c>
      <c r="D26" s="41">
        <v>46296</v>
      </c>
      <c r="E26" s="42" t="s">
        <v>26</v>
      </c>
      <c r="F26" s="31" t="s">
        <v>50</v>
      </c>
      <c r="H26" s="33"/>
      <c r="J26" s="34"/>
      <c r="K26" s="35"/>
      <c r="L26" s="36"/>
      <c r="M26" s="35"/>
      <c r="N26" s="37"/>
      <c r="O26" s="33"/>
      <c r="Q26" s="31"/>
      <c r="R26" s="31"/>
      <c r="S26" s="31"/>
      <c r="T26" s="31"/>
      <c r="U26" s="31"/>
      <c r="V26" s="31"/>
      <c r="W26" s="37"/>
      <c r="X26" s="2"/>
      <c r="Y26" s="25"/>
      <c r="Z26" s="2"/>
      <c r="AA26" s="38"/>
    </row>
    <row r="27" spans="1:29" s="32" customFormat="1" ht="12.75" outlineLevel="3">
      <c r="A27" s="31"/>
      <c r="B27" s="39" t="s">
        <v>27</v>
      </c>
      <c r="C27" s="40" t="s">
        <v>51</v>
      </c>
      <c r="D27" s="41">
        <v>46300</v>
      </c>
      <c r="E27" s="42" t="s">
        <v>29</v>
      </c>
      <c r="F27" s="31" t="s">
        <v>52</v>
      </c>
      <c r="H27" s="33"/>
      <c r="J27" s="34"/>
      <c r="K27" s="35"/>
      <c r="L27" s="36"/>
      <c r="M27" s="35"/>
      <c r="N27" s="37"/>
      <c r="O27" s="33"/>
      <c r="Q27" s="31"/>
      <c r="R27" s="31"/>
      <c r="S27" s="31"/>
      <c r="T27" s="31"/>
      <c r="U27" s="31"/>
      <c r="V27" s="31"/>
      <c r="W27" s="37"/>
      <c r="X27" s="2"/>
      <c r="Y27" s="25"/>
      <c r="Z27" s="2"/>
    </row>
    <row r="28" spans="1:29" outlineLevel="2">
      <c r="A28" s="1"/>
      <c r="B28" s="1" t="s">
        <v>16</v>
      </c>
      <c r="C28" s="8" t="s">
        <v>35</v>
      </c>
      <c r="D28" s="107">
        <v>46365</v>
      </c>
      <c r="E28" s="1" t="s">
        <v>41</v>
      </c>
      <c r="F28" s="1" t="s">
        <v>53</v>
      </c>
      <c r="G28" s="12"/>
      <c r="H28" s="25"/>
      <c r="J28" s="18">
        <v>4.8000000000000001E-2</v>
      </c>
      <c r="K28" s="23">
        <v>1</v>
      </c>
      <c r="L28" s="9">
        <f>IF(M28=1,J28,0)</f>
        <v>0</v>
      </c>
      <c r="M28" s="23"/>
      <c r="N28" s="12"/>
      <c r="O28" s="25"/>
      <c r="Q28" s="1" t="s">
        <v>41</v>
      </c>
      <c r="R28" s="1" t="s">
        <v>42</v>
      </c>
      <c r="S28" s="1" t="s">
        <v>31</v>
      </c>
      <c r="T28" s="1" t="s">
        <v>43</v>
      </c>
      <c r="U28" s="1" t="s">
        <v>44</v>
      </c>
      <c r="V28" s="1"/>
      <c r="W28" s="1"/>
      <c r="Y28" s="25"/>
      <c r="AC28" s="117"/>
    </row>
    <row r="29" spans="1:29" s="32" customFormat="1" outlineLevel="3">
      <c r="A29" s="31"/>
      <c r="B29" s="39" t="s">
        <v>24</v>
      </c>
      <c r="C29" s="40" t="s">
        <v>36</v>
      </c>
      <c r="D29" s="41">
        <v>46296</v>
      </c>
      <c r="E29" s="42" t="s">
        <v>26</v>
      </c>
      <c r="F29" s="31"/>
      <c r="H29" s="33"/>
      <c r="J29" s="34"/>
      <c r="K29" s="35"/>
      <c r="L29" s="36"/>
      <c r="M29" s="35"/>
      <c r="N29" s="37"/>
      <c r="O29" s="33"/>
      <c r="Q29" s="31"/>
      <c r="R29" s="31"/>
      <c r="S29" s="31"/>
      <c r="T29" s="31"/>
      <c r="U29" s="31"/>
      <c r="V29" s="31"/>
      <c r="W29" s="37"/>
      <c r="X29" s="2"/>
      <c r="Y29" s="25"/>
      <c r="Z29" s="2"/>
      <c r="AA29" s="38"/>
    </row>
    <row r="30" spans="1:29" s="32" customFormat="1" outlineLevel="3">
      <c r="A30" s="31"/>
      <c r="B30" s="39" t="s">
        <v>27</v>
      </c>
      <c r="C30" s="40" t="s">
        <v>37</v>
      </c>
      <c r="D30" s="41">
        <v>46300</v>
      </c>
      <c r="E30" s="42" t="s">
        <v>29</v>
      </c>
      <c r="F30" s="31"/>
      <c r="H30" s="33"/>
      <c r="J30" s="34"/>
      <c r="K30" s="35"/>
      <c r="L30" s="36"/>
      <c r="M30" s="35"/>
      <c r="N30" s="37"/>
      <c r="O30" s="33"/>
      <c r="Q30" s="31"/>
      <c r="R30" s="31"/>
      <c r="S30" s="31"/>
      <c r="T30" s="31"/>
      <c r="U30" s="31"/>
      <c r="V30" s="31"/>
      <c r="W30" s="37"/>
      <c r="X30" s="2"/>
      <c r="Y30" s="25"/>
      <c r="Z30" s="2"/>
    </row>
    <row r="31" spans="1:29" outlineLevel="2" collapsed="1">
      <c r="A31" s="1"/>
      <c r="B31" s="1" t="s">
        <v>16</v>
      </c>
      <c r="C31" s="8" t="s">
        <v>38</v>
      </c>
      <c r="D31" s="107">
        <v>46380</v>
      </c>
      <c r="E31" s="1" t="s">
        <v>41</v>
      </c>
      <c r="F31" s="1"/>
      <c r="G31" s="12"/>
      <c r="H31" s="25"/>
      <c r="J31" s="18">
        <v>4.7999999999999996E-3</v>
      </c>
      <c r="K31" s="23">
        <v>1</v>
      </c>
      <c r="L31" s="9">
        <f>IF(M31=1,J31,0)</f>
        <v>0</v>
      </c>
      <c r="M31" s="23"/>
      <c r="N31" s="12"/>
      <c r="O31" s="25"/>
      <c r="Q31" s="1" t="s">
        <v>41</v>
      </c>
      <c r="R31" s="1" t="s">
        <v>42</v>
      </c>
      <c r="S31" s="1" t="s">
        <v>31</v>
      </c>
      <c r="T31" s="1" t="s">
        <v>43</v>
      </c>
      <c r="U31" s="1" t="s">
        <v>44</v>
      </c>
      <c r="V31" s="1"/>
      <c r="W31" s="1"/>
      <c r="Y31" s="25"/>
      <c r="AC31" s="117"/>
    </row>
    <row r="32" spans="1:29" s="32" customFormat="1" hidden="1" outlineLevel="3">
      <c r="A32" s="31"/>
      <c r="B32" s="39" t="s">
        <v>24</v>
      </c>
      <c r="C32" s="40" t="s">
        <v>36</v>
      </c>
      <c r="D32" s="41">
        <v>46296</v>
      </c>
      <c r="E32" s="42" t="s">
        <v>26</v>
      </c>
      <c r="F32" s="31"/>
      <c r="H32" s="33"/>
      <c r="J32" s="34"/>
      <c r="K32" s="35"/>
      <c r="L32" s="36"/>
      <c r="M32" s="35"/>
      <c r="N32" s="37"/>
      <c r="O32" s="33"/>
      <c r="Q32" s="31"/>
      <c r="R32" s="31"/>
      <c r="S32" s="31"/>
      <c r="T32" s="31"/>
      <c r="U32" s="31"/>
      <c r="V32" s="31"/>
      <c r="W32" s="37"/>
      <c r="X32" s="2"/>
      <c r="Y32" s="25"/>
      <c r="Z32" s="2"/>
      <c r="AA32" s="38"/>
    </row>
    <row r="33" spans="1:29" s="32" customFormat="1" hidden="1" outlineLevel="3">
      <c r="A33" s="31"/>
      <c r="B33" s="39" t="s">
        <v>27</v>
      </c>
      <c r="C33" s="40" t="s">
        <v>37</v>
      </c>
      <c r="D33" s="41">
        <v>46300</v>
      </c>
      <c r="E33" s="42" t="s">
        <v>29</v>
      </c>
      <c r="F33" s="31"/>
      <c r="H33" s="33"/>
      <c r="J33" s="34"/>
      <c r="K33" s="35"/>
      <c r="L33" s="36"/>
      <c r="M33" s="35"/>
      <c r="N33" s="37"/>
      <c r="O33" s="33"/>
      <c r="Q33" s="31"/>
      <c r="R33" s="31"/>
      <c r="S33" s="31"/>
      <c r="T33" s="31"/>
      <c r="U33" s="31"/>
      <c r="V33" s="31"/>
      <c r="W33" s="37"/>
      <c r="X33" s="2"/>
      <c r="Y33" s="25"/>
      <c r="Z33" s="2"/>
    </row>
    <row r="34" spans="1:29" outlineLevel="1">
      <c r="A34" s="1"/>
      <c r="B34" s="103" t="s">
        <v>54</v>
      </c>
      <c r="C34" s="13" t="s">
        <v>19</v>
      </c>
      <c r="D34" s="103"/>
      <c r="E34" s="103"/>
      <c r="F34" s="103"/>
      <c r="G34" s="12"/>
      <c r="H34" s="25"/>
      <c r="J34" s="104">
        <f>SUBTOTAL(9,J35:J46)</f>
        <v>3.78E-2</v>
      </c>
      <c r="K34" s="105">
        <f>SUBTOTAL(9,K35:K46)</f>
        <v>4</v>
      </c>
      <c r="L34" s="104">
        <f>SUBTOTAL(9,L35:L46)</f>
        <v>0</v>
      </c>
      <c r="M34" s="105">
        <f>SUBTOTAL(9,M35:M46)</f>
        <v>0</v>
      </c>
      <c r="N34" s="12"/>
      <c r="O34" s="25"/>
      <c r="Q34" s="103"/>
      <c r="R34" s="103"/>
      <c r="S34" s="103"/>
      <c r="T34" s="103"/>
      <c r="U34" s="103"/>
      <c r="V34" s="103"/>
      <c r="W34" s="103"/>
      <c r="Y34" s="25"/>
    </row>
    <row r="35" spans="1:29" ht="27.75" outlineLevel="2" collapsed="1">
      <c r="A35" s="1"/>
      <c r="B35" s="1" t="s">
        <v>16</v>
      </c>
      <c r="C35" s="8" t="s">
        <v>20</v>
      </c>
      <c r="D35" s="107">
        <v>46317</v>
      </c>
      <c r="E35" s="1" t="s">
        <v>55</v>
      </c>
      <c r="F35" s="8" t="s">
        <v>56</v>
      </c>
      <c r="G35" s="12"/>
      <c r="H35" s="25"/>
      <c r="J35" s="9">
        <v>5.4000000000000003E-3</v>
      </c>
      <c r="K35" s="16">
        <v>1</v>
      </c>
      <c r="L35" s="9">
        <f>IF(M35=1,J35,0)</f>
        <v>0</v>
      </c>
      <c r="M35" s="16"/>
      <c r="N35" s="12"/>
      <c r="O35" s="25"/>
      <c r="Q35" s="1" t="s">
        <v>55</v>
      </c>
      <c r="R35" s="1" t="s">
        <v>57</v>
      </c>
      <c r="S35" s="1" t="s">
        <v>58</v>
      </c>
      <c r="T35" s="1" t="s">
        <v>59</v>
      </c>
      <c r="U35" s="1"/>
      <c r="V35" s="1"/>
      <c r="W35" s="1"/>
      <c r="Y35" s="25"/>
      <c r="AC35" s="117"/>
    </row>
    <row r="36" spans="1:29" s="32" customFormat="1" hidden="1" outlineLevel="3">
      <c r="A36" s="31"/>
      <c r="B36" s="39" t="s">
        <v>24</v>
      </c>
      <c r="C36" s="40" t="s">
        <v>36</v>
      </c>
      <c r="D36" s="41">
        <v>46296</v>
      </c>
      <c r="E36" s="42" t="s">
        <v>60</v>
      </c>
      <c r="F36" s="31"/>
      <c r="H36" s="33"/>
      <c r="J36" s="34"/>
      <c r="K36" s="35"/>
      <c r="L36" s="36"/>
      <c r="M36" s="35"/>
      <c r="N36" s="37"/>
      <c r="O36" s="33"/>
      <c r="Q36" s="31"/>
      <c r="R36" s="31"/>
      <c r="S36" s="31"/>
      <c r="T36" s="31"/>
      <c r="U36" s="31"/>
      <c r="V36" s="31"/>
      <c r="W36" s="37"/>
      <c r="X36" s="2"/>
      <c r="Y36" s="25"/>
      <c r="Z36" s="2"/>
      <c r="AA36" s="38"/>
    </row>
    <row r="37" spans="1:29" s="32" customFormat="1" hidden="1" outlineLevel="3">
      <c r="A37" s="31"/>
      <c r="B37" s="39" t="s">
        <v>27</v>
      </c>
      <c r="C37" s="40" t="s">
        <v>37</v>
      </c>
      <c r="D37" s="41">
        <v>46300</v>
      </c>
      <c r="E37" s="42" t="s">
        <v>29</v>
      </c>
      <c r="F37" s="31"/>
      <c r="H37" s="33"/>
      <c r="J37" s="34"/>
      <c r="K37" s="35"/>
      <c r="L37" s="36"/>
      <c r="M37" s="35"/>
      <c r="N37" s="37"/>
      <c r="O37" s="33"/>
      <c r="Q37" s="31"/>
      <c r="R37" s="31"/>
      <c r="S37" s="31"/>
      <c r="T37" s="31"/>
      <c r="U37" s="31"/>
      <c r="V37" s="31"/>
      <c r="W37" s="37"/>
      <c r="X37" s="2"/>
      <c r="Y37" s="25"/>
      <c r="Z37" s="2"/>
    </row>
    <row r="38" spans="1:29" ht="27.75" outlineLevel="2" collapsed="1">
      <c r="A38" s="1"/>
      <c r="B38" s="1" t="s">
        <v>16</v>
      </c>
      <c r="C38" s="8" t="s">
        <v>30</v>
      </c>
      <c r="D38" s="107">
        <v>46346</v>
      </c>
      <c r="E38" s="1" t="s">
        <v>55</v>
      </c>
      <c r="F38" s="8" t="s">
        <v>56</v>
      </c>
      <c r="G38" s="12"/>
      <c r="H38" s="25"/>
      <c r="J38" s="9">
        <v>5.4000000000000003E-3</v>
      </c>
      <c r="K38" s="16">
        <v>1</v>
      </c>
      <c r="L38" s="9">
        <f>IF(M38=1,J38,0)</f>
        <v>0</v>
      </c>
      <c r="M38" s="16"/>
      <c r="N38" s="12"/>
      <c r="O38" s="25"/>
      <c r="Q38" s="1" t="s">
        <v>55</v>
      </c>
      <c r="R38" s="1" t="s">
        <v>57</v>
      </c>
      <c r="S38" s="1" t="s">
        <v>58</v>
      </c>
      <c r="T38" s="1" t="s">
        <v>59</v>
      </c>
      <c r="U38" s="1"/>
      <c r="V38" s="1"/>
      <c r="W38" s="1"/>
      <c r="Y38" s="25"/>
      <c r="AC38" s="117"/>
    </row>
    <row r="39" spans="1:29" s="32" customFormat="1" hidden="1" outlineLevel="3">
      <c r="A39" s="31"/>
      <c r="B39" s="39" t="s">
        <v>24</v>
      </c>
      <c r="C39" s="40" t="s">
        <v>36</v>
      </c>
      <c r="D39" s="41">
        <v>46296</v>
      </c>
      <c r="E39" s="42" t="s">
        <v>60</v>
      </c>
      <c r="F39" s="31"/>
      <c r="H39" s="33"/>
      <c r="J39" s="34"/>
      <c r="K39" s="35"/>
      <c r="L39" s="36"/>
      <c r="M39" s="35"/>
      <c r="N39" s="37"/>
      <c r="O39" s="33"/>
      <c r="Q39" s="31"/>
      <c r="R39" s="31"/>
      <c r="S39" s="31"/>
      <c r="T39" s="31"/>
      <c r="U39" s="31"/>
      <c r="V39" s="31"/>
      <c r="W39" s="37"/>
      <c r="X39" s="2"/>
      <c r="Y39" s="25"/>
      <c r="Z39" s="2"/>
      <c r="AA39" s="38"/>
    </row>
    <row r="40" spans="1:29" s="32" customFormat="1" hidden="1" outlineLevel="3">
      <c r="A40" s="31"/>
      <c r="B40" s="39" t="s">
        <v>27</v>
      </c>
      <c r="C40" s="40" t="s">
        <v>37</v>
      </c>
      <c r="D40" s="41">
        <v>46300</v>
      </c>
      <c r="E40" s="42" t="s">
        <v>29</v>
      </c>
      <c r="F40" s="31"/>
      <c r="H40" s="33"/>
      <c r="J40" s="34"/>
      <c r="K40" s="35"/>
      <c r="L40" s="36"/>
      <c r="M40" s="35"/>
      <c r="N40" s="37"/>
      <c r="O40" s="33"/>
      <c r="Q40" s="31"/>
      <c r="R40" s="31"/>
      <c r="S40" s="31"/>
      <c r="T40" s="31"/>
      <c r="U40" s="31"/>
      <c r="V40" s="31"/>
      <c r="W40" s="37"/>
      <c r="X40" s="2"/>
      <c r="Y40" s="25"/>
      <c r="Z40" s="2"/>
    </row>
    <row r="41" spans="1:29" ht="27.75" outlineLevel="2" collapsed="1">
      <c r="A41" s="1"/>
      <c r="B41" s="1" t="s">
        <v>16</v>
      </c>
      <c r="C41" s="8" t="s">
        <v>35</v>
      </c>
      <c r="D41" s="107">
        <v>46372</v>
      </c>
      <c r="E41" s="1" t="s">
        <v>55</v>
      </c>
      <c r="F41" s="8" t="s">
        <v>61</v>
      </c>
      <c r="G41" s="12"/>
      <c r="H41" s="25"/>
      <c r="J41" s="18">
        <v>1.89E-2</v>
      </c>
      <c r="K41" s="23">
        <v>1</v>
      </c>
      <c r="L41" s="9">
        <f>IF(M41=1,J41,0)</f>
        <v>0</v>
      </c>
      <c r="M41" s="23"/>
      <c r="N41" s="12"/>
      <c r="O41" s="25"/>
      <c r="Q41" s="1" t="s">
        <v>55</v>
      </c>
      <c r="R41" s="1" t="s">
        <v>57</v>
      </c>
      <c r="S41" s="1" t="s">
        <v>58</v>
      </c>
      <c r="T41" s="1" t="s">
        <v>59</v>
      </c>
      <c r="U41" s="1"/>
      <c r="V41" s="1"/>
      <c r="W41" s="1"/>
      <c r="Y41" s="25"/>
      <c r="AC41" s="117"/>
    </row>
    <row r="42" spans="1:29" s="32" customFormat="1" hidden="1" outlineLevel="3">
      <c r="A42" s="31"/>
      <c r="B42" s="39" t="s">
        <v>24</v>
      </c>
      <c r="C42" s="40" t="s">
        <v>36</v>
      </c>
      <c r="D42" s="41">
        <v>46296</v>
      </c>
      <c r="E42" s="42" t="s">
        <v>60</v>
      </c>
      <c r="F42" s="31"/>
      <c r="H42" s="33"/>
      <c r="J42" s="34"/>
      <c r="K42" s="35"/>
      <c r="L42" s="36"/>
      <c r="M42" s="35"/>
      <c r="N42" s="37"/>
      <c r="O42" s="33"/>
      <c r="Q42" s="31"/>
      <c r="R42" s="31"/>
      <c r="S42" s="31"/>
      <c r="T42" s="31"/>
      <c r="U42" s="31"/>
      <c r="V42" s="31"/>
      <c r="W42" s="37"/>
      <c r="X42" s="2"/>
      <c r="Y42" s="25"/>
      <c r="Z42" s="2"/>
      <c r="AA42" s="38"/>
    </row>
    <row r="43" spans="1:29" s="32" customFormat="1" hidden="1" outlineLevel="3">
      <c r="A43" s="31"/>
      <c r="B43" s="39" t="s">
        <v>27</v>
      </c>
      <c r="C43" s="40" t="s">
        <v>37</v>
      </c>
      <c r="D43" s="41">
        <v>46300</v>
      </c>
      <c r="E43" s="42" t="s">
        <v>29</v>
      </c>
      <c r="F43" s="31"/>
      <c r="H43" s="33"/>
      <c r="J43" s="34"/>
      <c r="K43" s="35"/>
      <c r="L43" s="36"/>
      <c r="M43" s="35"/>
      <c r="N43" s="37"/>
      <c r="O43" s="33"/>
      <c r="Q43" s="31"/>
      <c r="R43" s="31"/>
      <c r="S43" s="31"/>
      <c r="T43" s="31"/>
      <c r="U43" s="31"/>
      <c r="V43" s="31"/>
      <c r="W43" s="37"/>
      <c r="X43" s="2"/>
      <c r="Y43" s="25"/>
      <c r="Z43" s="2"/>
    </row>
    <row r="44" spans="1:29" ht="27.75" outlineLevel="2" collapsed="1">
      <c r="A44" s="1"/>
      <c r="B44" s="1" t="s">
        <v>16</v>
      </c>
      <c r="C44" s="8" t="s">
        <v>38</v>
      </c>
      <c r="D44" s="107">
        <v>46387</v>
      </c>
      <c r="E44" s="1" t="s">
        <v>55</v>
      </c>
      <c r="F44" s="8" t="s">
        <v>61</v>
      </c>
      <c r="G44" s="12"/>
      <c r="H44" s="25"/>
      <c r="J44" s="18">
        <v>8.0999999999999996E-3</v>
      </c>
      <c r="K44" s="23">
        <v>1</v>
      </c>
      <c r="L44" s="9">
        <f>IF(M44=1,J44,0)</f>
        <v>0</v>
      </c>
      <c r="M44" s="23"/>
      <c r="N44" s="12"/>
      <c r="O44" s="25"/>
      <c r="Q44" s="1" t="s">
        <v>55</v>
      </c>
      <c r="R44" s="1" t="s">
        <v>57</v>
      </c>
      <c r="S44" s="1" t="s">
        <v>58</v>
      </c>
      <c r="T44" s="1" t="s">
        <v>59</v>
      </c>
      <c r="U44" s="1"/>
      <c r="V44" s="1"/>
      <c r="W44" s="1"/>
      <c r="Y44" s="25"/>
      <c r="AC44" s="117"/>
    </row>
    <row r="45" spans="1:29" s="32" customFormat="1" hidden="1" outlineLevel="3">
      <c r="A45" s="31"/>
      <c r="B45" s="39" t="s">
        <v>24</v>
      </c>
      <c r="C45" s="40" t="s">
        <v>36</v>
      </c>
      <c r="D45" s="41">
        <v>46296</v>
      </c>
      <c r="E45" s="42" t="s">
        <v>60</v>
      </c>
      <c r="F45" s="31"/>
      <c r="H45" s="33"/>
      <c r="J45" s="34"/>
      <c r="K45" s="35"/>
      <c r="L45" s="36"/>
      <c r="M45" s="35"/>
      <c r="N45" s="37"/>
      <c r="O45" s="33"/>
      <c r="Q45" s="31"/>
      <c r="R45" s="31"/>
      <c r="S45" s="31"/>
      <c r="T45" s="31"/>
      <c r="U45" s="31"/>
      <c r="V45" s="31"/>
      <c r="W45" s="37"/>
      <c r="X45" s="2"/>
      <c r="Y45" s="25"/>
      <c r="Z45" s="2"/>
      <c r="AA45" s="38"/>
    </row>
    <row r="46" spans="1:29" s="32" customFormat="1" hidden="1" outlineLevel="3">
      <c r="A46" s="31"/>
      <c r="B46" s="39" t="s">
        <v>27</v>
      </c>
      <c r="C46" s="40" t="s">
        <v>37</v>
      </c>
      <c r="D46" s="41">
        <v>46300</v>
      </c>
      <c r="E46" s="42" t="s">
        <v>29</v>
      </c>
      <c r="F46" s="31"/>
      <c r="H46" s="33"/>
      <c r="J46" s="34"/>
      <c r="K46" s="35"/>
      <c r="L46" s="36"/>
      <c r="M46" s="35"/>
      <c r="N46" s="37"/>
      <c r="O46" s="33"/>
      <c r="Q46" s="31"/>
      <c r="R46" s="31"/>
      <c r="S46" s="31"/>
      <c r="T46" s="31"/>
      <c r="U46" s="31"/>
      <c r="V46" s="31"/>
      <c r="W46" s="37"/>
      <c r="X46" s="2"/>
      <c r="Y46" s="25"/>
      <c r="Z46" s="2"/>
    </row>
    <row r="47" spans="1:29" ht="26.45" outlineLevel="1">
      <c r="A47" s="1"/>
      <c r="B47" s="103" t="s">
        <v>62</v>
      </c>
      <c r="C47" s="13" t="s">
        <v>63</v>
      </c>
      <c r="D47" s="103"/>
      <c r="E47" s="103"/>
      <c r="F47" s="103"/>
      <c r="G47" s="12"/>
      <c r="H47" s="25"/>
      <c r="J47" s="104">
        <f>SUBTOTAL(9,J48:J56)</f>
        <v>2.8500000000000001E-2</v>
      </c>
      <c r="K47" s="105">
        <f>SUBTOTAL(9,K48:K56)</f>
        <v>3</v>
      </c>
      <c r="L47" s="104">
        <f>SUBTOTAL(9,L48:L56)</f>
        <v>0</v>
      </c>
      <c r="M47" s="105">
        <f>SUBTOTAL(9,M48:M56)</f>
        <v>0</v>
      </c>
      <c r="N47" s="12"/>
      <c r="O47" s="25"/>
      <c r="Q47" s="103"/>
      <c r="R47" s="103"/>
      <c r="S47" s="103"/>
      <c r="T47" s="103"/>
      <c r="U47" s="103"/>
      <c r="V47" s="103"/>
      <c r="W47" s="103"/>
      <c r="Y47" s="25"/>
    </row>
    <row r="48" spans="1:29" outlineLevel="2" collapsed="1">
      <c r="A48" s="1"/>
      <c r="B48" s="1" t="s">
        <v>16</v>
      </c>
      <c r="C48" s="8" t="s">
        <v>20</v>
      </c>
      <c r="D48" s="107">
        <v>46317</v>
      </c>
      <c r="E48" s="1" t="s">
        <v>55</v>
      </c>
      <c r="F48" s="1"/>
      <c r="G48" s="12"/>
      <c r="H48" s="25"/>
      <c r="J48" s="9">
        <v>6.0000000000000001E-3</v>
      </c>
      <c r="K48" s="16">
        <v>1</v>
      </c>
      <c r="L48" s="9">
        <f>IF(M48=1,J48,0)</f>
        <v>0</v>
      </c>
      <c r="M48" s="16"/>
      <c r="N48" s="12"/>
      <c r="O48" s="25"/>
      <c r="Q48" s="1" t="s">
        <v>55</v>
      </c>
      <c r="R48" s="1" t="s">
        <v>64</v>
      </c>
      <c r="S48" s="1" t="s">
        <v>65</v>
      </c>
      <c r="T48" s="1"/>
      <c r="U48" s="1"/>
      <c r="V48" s="1"/>
      <c r="W48" s="1"/>
      <c r="Y48" s="25"/>
      <c r="AC48" s="117"/>
    </row>
    <row r="49" spans="1:30" s="32" customFormat="1" ht="12.75" hidden="1" outlineLevel="3">
      <c r="A49" s="31"/>
      <c r="B49" s="39" t="s">
        <v>24</v>
      </c>
      <c r="C49" s="40" t="s">
        <v>36</v>
      </c>
      <c r="D49" s="41">
        <v>46296</v>
      </c>
      <c r="E49" s="42" t="s">
        <v>26</v>
      </c>
      <c r="F49" s="31"/>
      <c r="H49" s="33"/>
      <c r="J49" s="34"/>
      <c r="K49" s="35"/>
      <c r="L49" s="36"/>
      <c r="M49" s="35"/>
      <c r="N49" s="37"/>
      <c r="O49" s="33"/>
      <c r="Q49" s="31"/>
      <c r="R49" s="31"/>
      <c r="S49" s="31"/>
      <c r="T49" s="31"/>
      <c r="U49" s="31"/>
      <c r="V49" s="31"/>
      <c r="W49" s="37"/>
      <c r="X49" s="2"/>
      <c r="Y49" s="25"/>
      <c r="Z49" s="2"/>
      <c r="AA49" s="38"/>
    </row>
    <row r="50" spans="1:30" s="32" customFormat="1" ht="12.75" hidden="1" outlineLevel="3">
      <c r="A50" s="31"/>
      <c r="B50" s="39" t="s">
        <v>27</v>
      </c>
      <c r="C50" s="40" t="s">
        <v>37</v>
      </c>
      <c r="D50" s="41">
        <v>46300</v>
      </c>
      <c r="E50" s="42" t="s">
        <v>29</v>
      </c>
      <c r="F50" s="31"/>
      <c r="H50" s="33"/>
      <c r="J50" s="34"/>
      <c r="K50" s="35"/>
      <c r="L50" s="36"/>
      <c r="M50" s="35"/>
      <c r="N50" s="37"/>
      <c r="O50" s="33"/>
      <c r="Q50" s="31"/>
      <c r="R50" s="31"/>
      <c r="S50" s="31"/>
      <c r="T50" s="31"/>
      <c r="U50" s="31"/>
      <c r="V50" s="31"/>
      <c r="W50" s="37"/>
      <c r="X50" s="2"/>
      <c r="Y50" s="25"/>
      <c r="Z50" s="2"/>
    </row>
    <row r="51" spans="1:30" outlineLevel="2" collapsed="1">
      <c r="A51" s="1"/>
      <c r="B51" s="1" t="s">
        <v>16</v>
      </c>
      <c r="C51" s="8" t="s">
        <v>30</v>
      </c>
      <c r="D51" s="107">
        <v>46346</v>
      </c>
      <c r="E51" s="1" t="s">
        <v>55</v>
      </c>
      <c r="F51" s="1"/>
      <c r="G51" s="12"/>
      <c r="H51" s="25"/>
      <c r="J51" s="9">
        <v>6.0000000000000001E-3</v>
      </c>
      <c r="K51" s="16">
        <v>1</v>
      </c>
      <c r="L51" s="9">
        <f>IF(M51=1,J51,0)</f>
        <v>0</v>
      </c>
      <c r="M51" s="16"/>
      <c r="N51" s="12"/>
      <c r="O51" s="25"/>
      <c r="Q51" s="1" t="s">
        <v>55</v>
      </c>
      <c r="R51" s="1" t="s">
        <v>64</v>
      </c>
      <c r="S51" s="1" t="s">
        <v>65</v>
      </c>
      <c r="T51" s="1"/>
      <c r="U51" s="1"/>
      <c r="V51" s="1"/>
      <c r="W51" s="1"/>
      <c r="Y51" s="25"/>
      <c r="AC51" s="117"/>
    </row>
    <row r="52" spans="1:30" s="32" customFormat="1" hidden="1" outlineLevel="3">
      <c r="A52" s="31"/>
      <c r="B52" s="39" t="s">
        <v>24</v>
      </c>
      <c r="C52" s="40" t="s">
        <v>36</v>
      </c>
      <c r="D52" s="41">
        <v>46296</v>
      </c>
      <c r="E52" s="42" t="s">
        <v>26</v>
      </c>
      <c r="F52" s="31"/>
      <c r="H52" s="33"/>
      <c r="J52" s="34"/>
      <c r="K52" s="35"/>
      <c r="L52" s="36"/>
      <c r="M52" s="35"/>
      <c r="N52" s="37"/>
      <c r="O52" s="33"/>
      <c r="Q52" s="31"/>
      <c r="R52" s="31"/>
      <c r="S52" s="31"/>
      <c r="T52" s="31"/>
      <c r="U52" s="31"/>
      <c r="V52" s="31"/>
      <c r="W52" s="37"/>
      <c r="X52" s="2"/>
      <c r="Y52" s="25"/>
      <c r="Z52" s="2"/>
      <c r="AA52" s="38"/>
    </row>
    <row r="53" spans="1:30" s="32" customFormat="1" hidden="1" outlineLevel="3">
      <c r="A53" s="31"/>
      <c r="B53" s="39" t="s">
        <v>27</v>
      </c>
      <c r="C53" s="40" t="s">
        <v>37</v>
      </c>
      <c r="D53" s="41">
        <v>46300</v>
      </c>
      <c r="E53" s="42" t="s">
        <v>29</v>
      </c>
      <c r="F53" s="31"/>
      <c r="H53" s="33"/>
      <c r="J53" s="34"/>
      <c r="K53" s="35"/>
      <c r="L53" s="36"/>
      <c r="M53" s="35"/>
      <c r="N53" s="37"/>
      <c r="O53" s="33"/>
      <c r="Q53" s="31"/>
      <c r="R53" s="31"/>
      <c r="S53" s="31"/>
      <c r="T53" s="31"/>
      <c r="U53" s="31"/>
      <c r="V53" s="31"/>
      <c r="W53" s="37"/>
      <c r="X53" s="2"/>
      <c r="Y53" s="25"/>
      <c r="Z53" s="2"/>
    </row>
    <row r="54" spans="1:30" outlineLevel="2" collapsed="1">
      <c r="A54" s="1"/>
      <c r="B54" s="1" t="s">
        <v>16</v>
      </c>
      <c r="C54" s="8" t="s">
        <v>38</v>
      </c>
      <c r="D54" s="107">
        <v>46384</v>
      </c>
      <c r="E54" s="1" t="s">
        <v>55</v>
      </c>
      <c r="F54" s="1"/>
      <c r="G54" s="12"/>
      <c r="H54" s="25"/>
      <c r="J54" s="18">
        <v>1.6500000000000001E-2</v>
      </c>
      <c r="K54" s="23">
        <v>1</v>
      </c>
      <c r="L54" s="9">
        <f>IF(M54=1,J54,0)</f>
        <v>0</v>
      </c>
      <c r="M54" s="23"/>
      <c r="N54" s="12"/>
      <c r="O54" s="25"/>
      <c r="Q54" s="1" t="s">
        <v>55</v>
      </c>
      <c r="R54" s="1" t="s">
        <v>64</v>
      </c>
      <c r="S54" s="1" t="s">
        <v>65</v>
      </c>
      <c r="T54" s="1"/>
      <c r="U54" s="1"/>
      <c r="V54" s="1"/>
      <c r="W54" s="1"/>
      <c r="Y54" s="25"/>
      <c r="AC54" s="117"/>
    </row>
    <row r="55" spans="1:30" s="32" customFormat="1" hidden="1" outlineLevel="3">
      <c r="A55" s="31"/>
      <c r="B55" s="39" t="s">
        <v>24</v>
      </c>
      <c r="C55" s="40" t="s">
        <v>36</v>
      </c>
      <c r="D55" s="41">
        <v>46296</v>
      </c>
      <c r="E55" s="42" t="s">
        <v>26</v>
      </c>
      <c r="F55" s="31"/>
      <c r="H55" s="33"/>
      <c r="J55" s="34"/>
      <c r="K55" s="35"/>
      <c r="L55" s="36"/>
      <c r="M55" s="35"/>
      <c r="N55" s="37"/>
      <c r="O55" s="33"/>
      <c r="Q55" s="31"/>
      <c r="R55" s="31"/>
      <c r="S55" s="31"/>
      <c r="T55" s="31"/>
      <c r="U55" s="31"/>
      <c r="V55" s="31"/>
      <c r="W55" s="37"/>
      <c r="X55" s="2"/>
      <c r="Y55" s="25"/>
      <c r="Z55" s="2"/>
      <c r="AA55" s="38"/>
    </row>
    <row r="56" spans="1:30" s="32" customFormat="1" hidden="1" outlineLevel="3">
      <c r="A56" s="31"/>
      <c r="B56" s="39" t="s">
        <v>27</v>
      </c>
      <c r="C56" s="40" t="s">
        <v>37</v>
      </c>
      <c r="D56" s="41">
        <v>46300</v>
      </c>
      <c r="E56" s="42" t="s">
        <v>29</v>
      </c>
      <c r="F56" s="31"/>
      <c r="H56" s="33"/>
      <c r="J56" s="34"/>
      <c r="K56" s="35"/>
      <c r="L56" s="36"/>
      <c r="M56" s="35"/>
      <c r="N56" s="37"/>
      <c r="O56" s="33"/>
      <c r="Q56" s="31"/>
      <c r="R56" s="31"/>
      <c r="S56" s="31"/>
      <c r="T56" s="31"/>
      <c r="U56" s="31"/>
      <c r="V56" s="31"/>
      <c r="W56" s="37"/>
      <c r="X56" s="2"/>
      <c r="Y56" s="25"/>
      <c r="Z56" s="2"/>
    </row>
    <row r="57" spans="1:30" ht="15">
      <c r="A57" s="1"/>
      <c r="B57" s="5" t="s">
        <v>66</v>
      </c>
      <c r="C57" s="20" t="s">
        <v>17</v>
      </c>
      <c r="D57" s="5"/>
      <c r="E57" s="5"/>
      <c r="F57" s="5"/>
      <c r="G57" s="12"/>
      <c r="H57" s="25"/>
      <c r="J57" s="21">
        <f>SUBTOTAL(9,J58:J92)</f>
        <v>1.1977650000000002</v>
      </c>
      <c r="K57" s="22">
        <f>SUBTOTAL(9,K58:K92)</f>
        <v>13</v>
      </c>
      <c r="L57" s="21">
        <f>SUBTOTAL(9,L58:L92)</f>
        <v>0.22284000000000001</v>
      </c>
      <c r="M57" s="22">
        <f>SUBTOTAL(9,M58:M92)</f>
        <v>3</v>
      </c>
      <c r="N57" s="12"/>
      <c r="O57" s="25"/>
      <c r="Q57" s="5"/>
      <c r="R57" s="5"/>
      <c r="S57" s="5"/>
      <c r="T57" s="5"/>
      <c r="U57" s="5"/>
      <c r="V57" s="5"/>
      <c r="W57" s="5"/>
      <c r="Y57" s="25"/>
      <c r="AA57" s="10"/>
      <c r="AB57" s="10"/>
      <c r="AC57" s="10"/>
      <c r="AD57" s="10"/>
    </row>
    <row r="58" spans="1:30" outlineLevel="1">
      <c r="A58" s="1"/>
      <c r="B58" s="103" t="s">
        <v>18</v>
      </c>
      <c r="C58" s="13" t="s">
        <v>67</v>
      </c>
      <c r="D58" s="103"/>
      <c r="E58" s="103"/>
      <c r="F58" s="103"/>
      <c r="G58" s="12"/>
      <c r="H58" s="25"/>
      <c r="J58" s="104">
        <f>SUBTOTAL(9,J59:J68)</f>
        <v>0.77993999999999997</v>
      </c>
      <c r="K58" s="105">
        <f>SUBTOTAL(9,K59:K68)</f>
        <v>4</v>
      </c>
      <c r="L58" s="104">
        <f>SUBTOTAL(9,L59:L68)</f>
        <v>0</v>
      </c>
      <c r="M58" s="105">
        <f>SUBTOTAL(9,M59:M68)</f>
        <v>0</v>
      </c>
      <c r="N58" s="12"/>
      <c r="O58" s="25"/>
      <c r="Q58" s="103"/>
      <c r="R58" s="103"/>
      <c r="S58" s="103"/>
      <c r="T58" s="103"/>
      <c r="U58" s="103"/>
      <c r="V58" s="103"/>
      <c r="W58" s="103"/>
      <c r="Y58" s="25"/>
    </row>
    <row r="59" spans="1:30" outlineLevel="2">
      <c r="A59" s="1"/>
      <c r="B59" s="1" t="s">
        <v>66</v>
      </c>
      <c r="C59" s="8" t="s">
        <v>30</v>
      </c>
      <c r="D59" s="108">
        <v>46296</v>
      </c>
      <c r="E59" s="1" t="s">
        <v>21</v>
      </c>
      <c r="F59" s="1" t="s">
        <v>68</v>
      </c>
      <c r="G59" s="12"/>
      <c r="H59" s="25"/>
      <c r="J59" s="9">
        <v>0.12999000000000002</v>
      </c>
      <c r="K59" s="23">
        <v>1</v>
      </c>
      <c r="L59" s="9">
        <f>IF(M59=1,J59,0)</f>
        <v>0</v>
      </c>
      <c r="M59" s="23"/>
      <c r="N59" s="12"/>
      <c r="O59" s="25"/>
      <c r="Q59" s="1" t="s">
        <v>21</v>
      </c>
      <c r="R59" s="1" t="s">
        <v>69</v>
      </c>
      <c r="S59" s="1" t="s">
        <v>70</v>
      </c>
      <c r="T59" s="1" t="s">
        <v>71</v>
      </c>
      <c r="U59" s="1"/>
      <c r="V59" s="1"/>
      <c r="W59" s="1"/>
      <c r="Y59" s="25"/>
    </row>
    <row r="60" spans="1:30" s="32" customFormat="1" ht="12.75" outlineLevel="3">
      <c r="A60" s="31" t="s">
        <v>72</v>
      </c>
      <c r="B60" s="39" t="s">
        <v>24</v>
      </c>
      <c r="C60" s="40" t="s">
        <v>36</v>
      </c>
      <c r="D60" s="41">
        <v>46310</v>
      </c>
      <c r="E60" s="42" t="s">
        <v>26</v>
      </c>
      <c r="F60" s="31"/>
      <c r="H60" s="33"/>
      <c r="J60" s="34"/>
      <c r="K60" s="35"/>
      <c r="L60" s="36"/>
      <c r="M60" s="35"/>
      <c r="N60" s="37"/>
      <c r="O60" s="33"/>
      <c r="Q60" s="31"/>
      <c r="R60" s="31"/>
      <c r="S60" s="31"/>
      <c r="T60" s="31"/>
      <c r="U60" s="31"/>
      <c r="V60" s="31"/>
      <c r="W60" s="37"/>
      <c r="X60" s="2"/>
      <c r="Y60" s="25"/>
      <c r="Z60" s="2"/>
      <c r="AA60" s="38"/>
    </row>
    <row r="61" spans="1:30" s="32" customFormat="1" outlineLevel="3">
      <c r="A61" s="31"/>
      <c r="B61" s="39" t="s">
        <v>27</v>
      </c>
      <c r="C61" s="40" t="s">
        <v>37</v>
      </c>
      <c r="D61" s="41">
        <v>46325</v>
      </c>
      <c r="E61" s="42" t="s">
        <v>29</v>
      </c>
      <c r="F61" s="31"/>
      <c r="H61" s="33"/>
      <c r="J61" s="34"/>
      <c r="K61" s="35"/>
      <c r="L61" s="36"/>
      <c r="M61" s="35"/>
      <c r="N61" s="37"/>
      <c r="O61" s="33"/>
      <c r="Q61" s="31"/>
      <c r="R61" s="31"/>
      <c r="S61" s="31"/>
      <c r="T61" s="31"/>
      <c r="U61" s="31"/>
      <c r="V61" s="31"/>
      <c r="W61" s="37"/>
      <c r="X61" s="2"/>
      <c r="Y61" s="25"/>
      <c r="Z61" s="2"/>
    </row>
    <row r="62" spans="1:30" outlineLevel="2">
      <c r="A62" s="1"/>
      <c r="B62" s="1" t="s">
        <v>66</v>
      </c>
      <c r="C62" s="8" t="s">
        <v>35</v>
      </c>
      <c r="D62" s="108">
        <v>46300</v>
      </c>
      <c r="E62" s="1" t="s">
        <v>21</v>
      </c>
      <c r="F62" s="1"/>
      <c r="G62" s="12"/>
      <c r="H62" s="25"/>
      <c r="J62" s="18">
        <v>0.25998000000000004</v>
      </c>
      <c r="K62" s="23">
        <v>1</v>
      </c>
      <c r="L62" s="9">
        <f>IF(M62=1,J62,0)</f>
        <v>0</v>
      </c>
      <c r="M62" s="23"/>
      <c r="N62" s="12"/>
      <c r="O62" s="25"/>
      <c r="Q62" s="1" t="s">
        <v>21</v>
      </c>
      <c r="R62" s="1" t="s">
        <v>69</v>
      </c>
      <c r="S62" s="1" t="s">
        <v>70</v>
      </c>
      <c r="T62" s="1" t="s">
        <v>71</v>
      </c>
      <c r="U62" s="1"/>
      <c r="V62" s="1"/>
      <c r="W62" s="1"/>
      <c r="Y62" s="25"/>
    </row>
    <row r="63" spans="1:30" s="32" customFormat="1" outlineLevel="3">
      <c r="A63" s="31" t="s">
        <v>72</v>
      </c>
      <c r="B63" s="39" t="s">
        <v>24</v>
      </c>
      <c r="C63" s="40" t="s">
        <v>36</v>
      </c>
      <c r="D63" s="41">
        <v>46280</v>
      </c>
      <c r="E63" s="42" t="s">
        <v>26</v>
      </c>
      <c r="F63" s="31"/>
      <c r="H63" s="33"/>
      <c r="J63" s="34"/>
      <c r="K63" s="35"/>
      <c r="L63" s="36"/>
      <c r="M63" s="35"/>
      <c r="N63" s="37"/>
      <c r="O63" s="33"/>
      <c r="Q63" s="31"/>
      <c r="R63" s="31"/>
      <c r="S63" s="31"/>
      <c r="T63" s="31"/>
      <c r="U63" s="31"/>
      <c r="V63" s="31"/>
      <c r="W63" s="37"/>
      <c r="X63" s="2"/>
      <c r="Y63" s="25"/>
      <c r="Z63" s="2"/>
      <c r="AA63" s="38"/>
    </row>
    <row r="64" spans="1:30" s="32" customFormat="1" outlineLevel="3">
      <c r="A64" s="31"/>
      <c r="B64" s="39" t="s">
        <v>27</v>
      </c>
      <c r="C64" s="40" t="s">
        <v>37</v>
      </c>
      <c r="D64" s="41">
        <v>46295</v>
      </c>
      <c r="E64" s="42" t="s">
        <v>29</v>
      </c>
      <c r="F64" s="31"/>
      <c r="H64" s="33"/>
      <c r="J64" s="34"/>
      <c r="K64" s="35"/>
      <c r="L64" s="36"/>
      <c r="M64" s="35"/>
      <c r="N64" s="37"/>
      <c r="O64" s="33"/>
      <c r="Q64" s="31"/>
      <c r="R64" s="31"/>
      <c r="S64" s="31"/>
      <c r="T64" s="31"/>
      <c r="U64" s="31"/>
      <c r="V64" s="31"/>
      <c r="W64" s="37"/>
      <c r="X64" s="2"/>
      <c r="Y64" s="25"/>
      <c r="Z64" s="2"/>
    </row>
    <row r="65" spans="1:27" outlineLevel="2">
      <c r="A65" s="1"/>
      <c r="B65" s="1" t="s">
        <v>66</v>
      </c>
      <c r="C65" s="8" t="s">
        <v>38</v>
      </c>
      <c r="D65" s="108">
        <v>46325</v>
      </c>
      <c r="E65" s="1" t="s">
        <v>21</v>
      </c>
      <c r="F65" s="1"/>
      <c r="G65" s="12"/>
      <c r="H65" s="25"/>
      <c r="J65" s="18">
        <v>0.19498499999999999</v>
      </c>
      <c r="K65" s="23">
        <v>1</v>
      </c>
      <c r="L65" s="9">
        <f>IF(M65=1,J65,0)</f>
        <v>0</v>
      </c>
      <c r="M65" s="23"/>
      <c r="N65" s="12"/>
      <c r="O65" s="25"/>
      <c r="Q65" s="1" t="s">
        <v>21</v>
      </c>
      <c r="R65" s="1" t="s">
        <v>69</v>
      </c>
      <c r="S65" s="1" t="s">
        <v>70</v>
      </c>
      <c r="T65" s="1" t="s">
        <v>71</v>
      </c>
      <c r="U65" s="1"/>
      <c r="V65" s="1"/>
      <c r="W65" s="1"/>
      <c r="Y65" s="25"/>
    </row>
    <row r="66" spans="1:27" s="32" customFormat="1" outlineLevel="3">
      <c r="A66" s="31" t="s">
        <v>72</v>
      </c>
      <c r="B66" s="39" t="s">
        <v>24</v>
      </c>
      <c r="C66" s="40" t="s">
        <v>36</v>
      </c>
      <c r="D66" s="41">
        <v>46310</v>
      </c>
      <c r="E66" s="42" t="s">
        <v>26</v>
      </c>
      <c r="F66" s="31"/>
      <c r="H66" s="33"/>
      <c r="J66" s="34"/>
      <c r="K66" s="35"/>
      <c r="L66" s="36"/>
      <c r="M66" s="35"/>
      <c r="N66" s="37"/>
      <c r="O66" s="33"/>
      <c r="Q66" s="31"/>
      <c r="R66" s="31"/>
      <c r="S66" s="31"/>
      <c r="T66" s="31"/>
      <c r="U66" s="31"/>
      <c r="V66" s="31"/>
      <c r="W66" s="37"/>
      <c r="X66" s="2"/>
      <c r="Y66" s="25"/>
      <c r="Z66" s="2"/>
      <c r="AA66" s="38"/>
    </row>
    <row r="67" spans="1:27" s="32" customFormat="1" outlineLevel="3">
      <c r="A67" s="31"/>
      <c r="B67" s="39" t="s">
        <v>27</v>
      </c>
      <c r="C67" s="40" t="s">
        <v>37</v>
      </c>
      <c r="D67" s="41">
        <v>46325</v>
      </c>
      <c r="E67" s="42" t="s">
        <v>29</v>
      </c>
      <c r="F67" s="31"/>
      <c r="H67" s="33"/>
      <c r="J67" s="34"/>
      <c r="K67" s="35"/>
      <c r="L67" s="36"/>
      <c r="M67" s="35"/>
      <c r="N67" s="37"/>
      <c r="O67" s="33"/>
      <c r="Q67" s="31"/>
      <c r="R67" s="31"/>
      <c r="S67" s="31"/>
      <c r="T67" s="31"/>
      <c r="U67" s="31"/>
      <c r="V67" s="31"/>
      <c r="W67" s="37"/>
      <c r="X67" s="2"/>
      <c r="Y67" s="25"/>
      <c r="Z67" s="2"/>
    </row>
    <row r="68" spans="1:27" outlineLevel="2">
      <c r="A68" s="1"/>
      <c r="B68" s="1" t="s">
        <v>66</v>
      </c>
      <c r="C68" s="8" t="s">
        <v>73</v>
      </c>
      <c r="D68" s="108">
        <v>46358</v>
      </c>
      <c r="E68" s="1" t="s">
        <v>21</v>
      </c>
      <c r="F68" s="1"/>
      <c r="G68" s="12"/>
      <c r="H68" s="25"/>
      <c r="J68" s="18">
        <v>0.19498499999999999</v>
      </c>
      <c r="K68" s="23">
        <v>1</v>
      </c>
      <c r="L68" s="9">
        <f>IF(M68=1,J68,0)</f>
        <v>0</v>
      </c>
      <c r="M68" s="23"/>
      <c r="N68" s="12"/>
      <c r="O68" s="25"/>
      <c r="Q68" s="1" t="s">
        <v>21</v>
      </c>
      <c r="R68" s="1" t="s">
        <v>69</v>
      </c>
      <c r="S68" s="1" t="s">
        <v>70</v>
      </c>
      <c r="T68" s="1" t="s">
        <v>71</v>
      </c>
      <c r="U68" s="1"/>
      <c r="V68" s="1"/>
      <c r="W68" s="1"/>
      <c r="Y68" s="25"/>
    </row>
    <row r="69" spans="1:27" s="32" customFormat="1" hidden="1" outlineLevel="3">
      <c r="A69" s="31" t="s">
        <v>72</v>
      </c>
      <c r="B69" s="39" t="s">
        <v>24</v>
      </c>
      <c r="C69" s="40" t="s">
        <v>36</v>
      </c>
      <c r="D69" s="41">
        <v>46310</v>
      </c>
      <c r="E69" s="42" t="s">
        <v>26</v>
      </c>
      <c r="F69" s="31"/>
      <c r="H69" s="33"/>
      <c r="J69" s="34"/>
      <c r="K69" s="35"/>
      <c r="L69" s="36"/>
      <c r="M69" s="35"/>
      <c r="N69" s="37"/>
      <c r="O69" s="33"/>
      <c r="Q69" s="31"/>
      <c r="R69" s="31"/>
      <c r="S69" s="31"/>
      <c r="T69" s="31"/>
      <c r="U69" s="31"/>
      <c r="V69" s="31"/>
      <c r="W69" s="37"/>
      <c r="X69" s="2"/>
      <c r="Y69" s="25"/>
      <c r="Z69" s="2"/>
      <c r="AA69" s="38"/>
    </row>
    <row r="70" spans="1:27" s="32" customFormat="1" hidden="1" outlineLevel="3">
      <c r="A70" s="31"/>
      <c r="B70" s="39" t="s">
        <v>27</v>
      </c>
      <c r="C70" s="40" t="s">
        <v>37</v>
      </c>
      <c r="D70" s="41">
        <v>46325</v>
      </c>
      <c r="E70" s="42" t="s">
        <v>29</v>
      </c>
      <c r="F70" s="31"/>
      <c r="H70" s="33"/>
      <c r="J70" s="34"/>
      <c r="K70" s="35"/>
      <c r="L70" s="36"/>
      <c r="M70" s="35"/>
      <c r="N70" s="37"/>
      <c r="O70" s="33"/>
      <c r="Q70" s="31"/>
      <c r="R70" s="31"/>
      <c r="S70" s="31"/>
      <c r="T70" s="31"/>
      <c r="U70" s="31"/>
      <c r="V70" s="31"/>
      <c r="W70" s="37"/>
      <c r="X70" s="2"/>
      <c r="Y70" s="25"/>
      <c r="Z70" s="2"/>
    </row>
    <row r="71" spans="1:27" outlineLevel="1">
      <c r="A71" s="1"/>
      <c r="B71" s="103" t="s">
        <v>39</v>
      </c>
      <c r="C71" s="13" t="s">
        <v>74</v>
      </c>
      <c r="D71" s="103"/>
      <c r="E71" s="103"/>
      <c r="F71" s="118"/>
      <c r="G71" s="12"/>
      <c r="H71" s="25"/>
      <c r="J71" s="104">
        <f>SUBTOTAL(9,J72:J74)</f>
        <v>0.22284000000000001</v>
      </c>
      <c r="K71" s="106">
        <f>SUBTOTAL(9,K72:K74)</f>
        <v>3</v>
      </c>
      <c r="L71" s="104">
        <f>SUBTOTAL(9,L72:L74)</f>
        <v>0.22284000000000001</v>
      </c>
      <c r="M71" s="106">
        <f>SUBTOTAL(9,M72:M74)</f>
        <v>3</v>
      </c>
      <c r="N71" s="12"/>
      <c r="O71" s="25"/>
      <c r="Q71" s="103"/>
      <c r="R71" s="103"/>
      <c r="S71" s="103"/>
      <c r="T71" s="103"/>
      <c r="U71" s="103"/>
      <c r="V71" s="103"/>
      <c r="W71" s="103"/>
      <c r="Y71" s="25"/>
    </row>
    <row r="72" spans="1:27" outlineLevel="2">
      <c r="A72" s="1"/>
      <c r="B72" s="1" t="s">
        <v>66</v>
      </c>
      <c r="C72" s="8" t="s">
        <v>30</v>
      </c>
      <c r="D72" s="107">
        <v>46254</v>
      </c>
      <c r="E72" s="1" t="s">
        <v>41</v>
      </c>
      <c r="F72" s="1" t="s">
        <v>75</v>
      </c>
      <c r="G72" s="12"/>
      <c r="H72" s="25"/>
      <c r="J72" s="9">
        <v>5.9424000000000005E-2</v>
      </c>
      <c r="K72" s="16">
        <v>1</v>
      </c>
      <c r="L72" s="9">
        <f>IF(M72=1,J72,0)</f>
        <v>5.9424000000000005E-2</v>
      </c>
      <c r="M72" s="16">
        <v>1</v>
      </c>
      <c r="N72" s="12"/>
      <c r="O72" s="25"/>
      <c r="Q72" s="1" t="s">
        <v>41</v>
      </c>
      <c r="R72" s="1" t="s">
        <v>42</v>
      </c>
      <c r="S72" s="1" t="s">
        <v>31</v>
      </c>
      <c r="T72" s="1" t="s">
        <v>43</v>
      </c>
      <c r="U72" s="1" t="s">
        <v>44</v>
      </c>
      <c r="V72" s="1"/>
      <c r="W72" s="1"/>
      <c r="Y72" s="25"/>
    </row>
    <row r="73" spans="1:27" outlineLevel="2">
      <c r="A73" s="1"/>
      <c r="B73" s="1" t="s">
        <v>66</v>
      </c>
      <c r="C73" s="8" t="s">
        <v>35</v>
      </c>
      <c r="D73" s="107">
        <v>46252</v>
      </c>
      <c r="E73" s="1" t="s">
        <v>41</v>
      </c>
      <c r="F73" s="1" t="s">
        <v>75</v>
      </c>
      <c r="G73" s="12"/>
      <c r="H73" s="25"/>
      <c r="J73" s="34">
        <v>0.14856</v>
      </c>
      <c r="K73" s="16">
        <v>1</v>
      </c>
      <c r="L73" s="9">
        <f>IF(M73=1,J73,0)</f>
        <v>0.14856</v>
      </c>
      <c r="M73" s="16">
        <v>1</v>
      </c>
      <c r="N73" s="12"/>
      <c r="O73" s="25"/>
      <c r="Q73" s="1" t="s">
        <v>41</v>
      </c>
      <c r="R73" s="1" t="s">
        <v>42</v>
      </c>
      <c r="S73" s="1" t="s">
        <v>31</v>
      </c>
      <c r="T73" s="1" t="s">
        <v>43</v>
      </c>
      <c r="U73" s="1" t="s">
        <v>44</v>
      </c>
      <c r="V73" s="1"/>
      <c r="W73" s="1"/>
      <c r="Y73" s="25"/>
    </row>
    <row r="74" spans="1:27" outlineLevel="2">
      <c r="A74" s="1"/>
      <c r="B74" s="1" t="s">
        <v>66</v>
      </c>
      <c r="C74" s="8" t="s">
        <v>38</v>
      </c>
      <c r="D74" s="107">
        <v>46258</v>
      </c>
      <c r="E74" s="1" t="s">
        <v>41</v>
      </c>
      <c r="F74" s="1" t="s">
        <v>75</v>
      </c>
      <c r="G74" s="12"/>
      <c r="H74" s="25"/>
      <c r="J74" s="34">
        <v>1.4856000000000001E-2</v>
      </c>
      <c r="K74" s="23">
        <v>1</v>
      </c>
      <c r="L74" s="9">
        <f>IF(M74=1,J74,0)</f>
        <v>1.4856000000000001E-2</v>
      </c>
      <c r="M74" s="23">
        <v>1</v>
      </c>
      <c r="N74" s="12"/>
      <c r="O74" s="25"/>
      <c r="Q74" s="1" t="s">
        <v>41</v>
      </c>
      <c r="R74" s="1" t="s">
        <v>42</v>
      </c>
      <c r="S74" s="1" t="s">
        <v>31</v>
      </c>
      <c r="T74" s="1" t="s">
        <v>43</v>
      </c>
      <c r="U74" s="1" t="s">
        <v>44</v>
      </c>
      <c r="V74" s="1"/>
      <c r="W74" s="1"/>
      <c r="Y74" s="25"/>
    </row>
    <row r="75" spans="1:27" outlineLevel="1">
      <c r="A75" s="1"/>
      <c r="B75" s="103" t="s">
        <v>54</v>
      </c>
      <c r="C75" s="13" t="s">
        <v>67</v>
      </c>
      <c r="D75" s="103"/>
      <c r="E75" s="103"/>
      <c r="F75" s="103"/>
      <c r="G75" s="12"/>
      <c r="H75" s="25"/>
      <c r="J75" s="104">
        <f>SUBTOTAL(9,J76:J85)</f>
        <v>0.1253475</v>
      </c>
      <c r="K75" s="105">
        <f>SUBTOTAL(9,K76:K85)</f>
        <v>4</v>
      </c>
      <c r="L75" s="104">
        <f>SUBTOTAL(9,L76:L85)</f>
        <v>0</v>
      </c>
      <c r="M75" s="105">
        <f>SUBTOTAL(9,M76:M85)</f>
        <v>0</v>
      </c>
      <c r="N75" s="12"/>
      <c r="O75" s="25"/>
      <c r="Q75" s="103"/>
      <c r="R75" s="103"/>
      <c r="S75" s="103"/>
      <c r="T75" s="103"/>
      <c r="U75" s="103"/>
      <c r="V75" s="103"/>
      <c r="W75" s="103"/>
      <c r="Y75" s="25"/>
    </row>
    <row r="76" spans="1:27" ht="13.5" outlineLevel="2" collapsed="1">
      <c r="A76" s="1"/>
      <c r="B76" s="1" t="s">
        <v>66</v>
      </c>
      <c r="C76" s="8" t="s">
        <v>30</v>
      </c>
      <c r="D76" s="108">
        <v>46296</v>
      </c>
      <c r="E76" s="1" t="s">
        <v>55</v>
      </c>
      <c r="F76" s="1" t="s">
        <v>68</v>
      </c>
      <c r="G76" s="12"/>
      <c r="H76" s="25"/>
      <c r="J76" s="9">
        <v>1.6713000000000002E-2</v>
      </c>
      <c r="K76" s="16">
        <v>1</v>
      </c>
      <c r="L76" s="9">
        <f>IF(M76=1,J76,0)</f>
        <v>0</v>
      </c>
      <c r="M76" s="16"/>
      <c r="N76" s="12"/>
      <c r="O76" s="25"/>
      <c r="Q76" s="1" t="s">
        <v>55</v>
      </c>
      <c r="R76" s="1" t="s">
        <v>57</v>
      </c>
      <c r="S76" s="1" t="s">
        <v>76</v>
      </c>
      <c r="T76" s="1" t="s">
        <v>77</v>
      </c>
      <c r="U76" s="1"/>
      <c r="V76" s="1"/>
      <c r="W76" s="1"/>
      <c r="Y76" s="25"/>
    </row>
    <row r="77" spans="1:27" s="32" customFormat="1" hidden="1" outlineLevel="3">
      <c r="A77" s="31"/>
      <c r="B77" s="39" t="s">
        <v>24</v>
      </c>
      <c r="C77" s="40" t="s">
        <v>36</v>
      </c>
      <c r="D77" s="41">
        <v>46310</v>
      </c>
      <c r="E77" s="42" t="s">
        <v>26</v>
      </c>
      <c r="F77" s="31"/>
      <c r="H77" s="33"/>
      <c r="J77" s="34"/>
      <c r="K77" s="35"/>
      <c r="L77" s="36"/>
      <c r="M77" s="35"/>
      <c r="N77" s="37"/>
      <c r="O77" s="33"/>
      <c r="Q77" s="31"/>
      <c r="R77" s="31"/>
      <c r="S77" s="31"/>
      <c r="T77" s="31"/>
      <c r="U77" s="31"/>
      <c r="V77" s="31"/>
      <c r="W77" s="37"/>
      <c r="X77" s="2"/>
      <c r="Y77" s="25"/>
      <c r="Z77" s="2"/>
      <c r="AA77" s="38"/>
    </row>
    <row r="78" spans="1:27" s="32" customFormat="1" hidden="1" outlineLevel="3">
      <c r="A78" s="31"/>
      <c r="B78" s="39" t="s">
        <v>27</v>
      </c>
      <c r="C78" s="40" t="s">
        <v>37</v>
      </c>
      <c r="D78" s="41">
        <v>46325</v>
      </c>
      <c r="E78" s="42" t="s">
        <v>29</v>
      </c>
      <c r="F78" s="31"/>
      <c r="H78" s="33"/>
      <c r="J78" s="34"/>
      <c r="K78" s="35"/>
      <c r="L78" s="36"/>
      <c r="M78" s="35"/>
      <c r="N78" s="37"/>
      <c r="O78" s="33"/>
      <c r="Q78" s="31"/>
      <c r="R78" s="31"/>
      <c r="S78" s="31"/>
      <c r="T78" s="31"/>
      <c r="U78" s="31"/>
      <c r="V78" s="31"/>
      <c r="W78" s="37"/>
      <c r="X78" s="2"/>
      <c r="Y78" s="25"/>
      <c r="Z78" s="2"/>
    </row>
    <row r="79" spans="1:27" outlineLevel="2" collapsed="1">
      <c r="A79" s="1"/>
      <c r="B79" s="1" t="s">
        <v>66</v>
      </c>
      <c r="C79" s="8" t="s">
        <v>35</v>
      </c>
      <c r="D79" s="108">
        <v>46300</v>
      </c>
      <c r="E79" s="1" t="s">
        <v>55</v>
      </c>
      <c r="F79" s="1" t="s">
        <v>78</v>
      </c>
      <c r="G79" s="12"/>
      <c r="H79" s="25"/>
      <c r="J79" s="9">
        <v>5.8495499999999999E-2</v>
      </c>
      <c r="K79" s="16">
        <v>1</v>
      </c>
      <c r="L79" s="9">
        <f>IF(M79=1,J79,0)</f>
        <v>0</v>
      </c>
      <c r="M79" s="16"/>
      <c r="N79" s="12"/>
      <c r="O79" s="25"/>
      <c r="Q79" s="1" t="s">
        <v>55</v>
      </c>
      <c r="R79" s="1" t="s">
        <v>57</v>
      </c>
      <c r="S79" s="1" t="s">
        <v>76</v>
      </c>
      <c r="T79" s="1" t="s">
        <v>77</v>
      </c>
      <c r="U79" s="1"/>
      <c r="V79" s="1"/>
      <c r="W79" s="1"/>
      <c r="Y79" s="25"/>
    </row>
    <row r="80" spans="1:27" s="32" customFormat="1" hidden="1" outlineLevel="3">
      <c r="A80" s="31"/>
      <c r="B80" s="39" t="s">
        <v>24</v>
      </c>
      <c r="C80" s="40" t="s">
        <v>36</v>
      </c>
      <c r="D80" s="41">
        <v>46280</v>
      </c>
      <c r="E80" s="42" t="s">
        <v>26</v>
      </c>
      <c r="F80" s="31"/>
      <c r="H80" s="33"/>
      <c r="J80" s="34"/>
      <c r="K80" s="35"/>
      <c r="L80" s="36"/>
      <c r="M80" s="35"/>
      <c r="N80" s="37"/>
      <c r="O80" s="33"/>
      <c r="Q80" s="31"/>
      <c r="R80" s="31"/>
      <c r="S80" s="31"/>
      <c r="T80" s="31"/>
      <c r="U80" s="31"/>
      <c r="V80" s="31"/>
      <c r="W80" s="37"/>
      <c r="X80" s="2"/>
      <c r="Y80" s="25"/>
      <c r="Z80" s="2"/>
      <c r="AA80" s="38"/>
    </row>
    <row r="81" spans="1:27" s="32" customFormat="1" hidden="1" outlineLevel="3">
      <c r="A81" s="31"/>
      <c r="B81" s="39" t="s">
        <v>27</v>
      </c>
      <c r="C81" s="40" t="s">
        <v>37</v>
      </c>
      <c r="D81" s="41">
        <v>46295</v>
      </c>
      <c r="E81" s="42" t="s">
        <v>29</v>
      </c>
      <c r="F81" s="31"/>
      <c r="H81" s="33"/>
      <c r="J81" s="34"/>
      <c r="K81" s="35"/>
      <c r="L81" s="36"/>
      <c r="M81" s="35"/>
      <c r="N81" s="37"/>
      <c r="O81" s="33"/>
      <c r="Q81" s="31"/>
      <c r="R81" s="31"/>
      <c r="S81" s="31"/>
      <c r="T81" s="31"/>
      <c r="U81" s="31"/>
      <c r="V81" s="31"/>
      <c r="W81" s="37"/>
      <c r="X81" s="2"/>
      <c r="Y81" s="25"/>
      <c r="Z81" s="2"/>
    </row>
    <row r="82" spans="1:27" outlineLevel="2" collapsed="1">
      <c r="A82" s="1"/>
      <c r="B82" s="1" t="s">
        <v>66</v>
      </c>
      <c r="C82" s="8" t="s">
        <v>38</v>
      </c>
      <c r="D82" s="108">
        <v>46317</v>
      </c>
      <c r="E82" s="1" t="s">
        <v>55</v>
      </c>
      <c r="F82" s="1"/>
      <c r="G82" s="12"/>
      <c r="H82" s="25"/>
      <c r="J82" s="9">
        <v>2.5069499999999998E-2</v>
      </c>
      <c r="K82" s="16">
        <v>1</v>
      </c>
      <c r="L82" s="9">
        <f>IF(M82=1,J82,0)</f>
        <v>0</v>
      </c>
      <c r="M82" s="16"/>
      <c r="N82" s="12"/>
      <c r="O82" s="25"/>
      <c r="Q82" s="1" t="s">
        <v>55</v>
      </c>
      <c r="R82" s="1" t="s">
        <v>57</v>
      </c>
      <c r="S82" s="1" t="s">
        <v>76</v>
      </c>
      <c r="T82" s="1" t="s">
        <v>77</v>
      </c>
      <c r="U82" s="1"/>
      <c r="V82" s="1"/>
      <c r="W82" s="1"/>
      <c r="Y82" s="25"/>
    </row>
    <row r="83" spans="1:27" s="32" customFormat="1" hidden="1" outlineLevel="3">
      <c r="A83" s="31"/>
      <c r="B83" s="39" t="s">
        <v>24</v>
      </c>
      <c r="C83" s="40" t="s">
        <v>36</v>
      </c>
      <c r="D83" s="41">
        <v>46310</v>
      </c>
      <c r="E83" s="42" t="s">
        <v>26</v>
      </c>
      <c r="F83" s="31"/>
      <c r="H83" s="33"/>
      <c r="J83" s="34"/>
      <c r="K83" s="35"/>
      <c r="L83" s="36"/>
      <c r="M83" s="35"/>
      <c r="N83" s="37"/>
      <c r="O83" s="33"/>
      <c r="Q83" s="31"/>
      <c r="R83" s="31"/>
      <c r="S83" s="31"/>
      <c r="T83" s="31"/>
      <c r="U83" s="31"/>
      <c r="V83" s="31"/>
      <c r="W83" s="37"/>
      <c r="X83" s="2"/>
      <c r="Y83" s="25"/>
      <c r="Z83" s="2"/>
      <c r="AA83" s="38"/>
    </row>
    <row r="84" spans="1:27" s="32" customFormat="1" hidden="1" outlineLevel="3">
      <c r="A84" s="31"/>
      <c r="B84" s="39" t="s">
        <v>27</v>
      </c>
      <c r="C84" s="40" t="s">
        <v>37</v>
      </c>
      <c r="D84" s="41">
        <v>46325</v>
      </c>
      <c r="E84" s="42" t="s">
        <v>29</v>
      </c>
      <c r="F84" s="31"/>
      <c r="H84" s="33"/>
      <c r="J84" s="34"/>
      <c r="K84" s="35"/>
      <c r="L84" s="36"/>
      <c r="M84" s="35"/>
      <c r="N84" s="37"/>
      <c r="O84" s="33"/>
      <c r="Q84" s="31"/>
      <c r="R84" s="31"/>
      <c r="S84" s="31"/>
      <c r="T84" s="31"/>
      <c r="U84" s="31"/>
      <c r="V84" s="31"/>
      <c r="W84" s="37"/>
      <c r="X84" s="2"/>
      <c r="Y84" s="25"/>
      <c r="Z84" s="2"/>
    </row>
    <row r="85" spans="1:27" outlineLevel="2">
      <c r="A85" s="1"/>
      <c r="B85" s="1" t="s">
        <v>66</v>
      </c>
      <c r="C85" s="8" t="s">
        <v>73</v>
      </c>
      <c r="D85" s="108">
        <v>46357</v>
      </c>
      <c r="E85" s="1" t="s">
        <v>55</v>
      </c>
      <c r="F85" s="1"/>
      <c r="G85" s="12"/>
      <c r="H85" s="25"/>
      <c r="J85" s="9">
        <v>2.5069499999999998E-2</v>
      </c>
      <c r="K85" s="16">
        <v>1</v>
      </c>
      <c r="L85" s="9">
        <f>IF(M85=1,J85,0)</f>
        <v>0</v>
      </c>
      <c r="M85" s="16"/>
      <c r="N85" s="12"/>
      <c r="O85" s="25"/>
      <c r="Q85" s="1" t="s">
        <v>55</v>
      </c>
      <c r="R85" s="1" t="s">
        <v>57</v>
      </c>
      <c r="S85" s="1" t="s">
        <v>76</v>
      </c>
      <c r="T85" s="1" t="s">
        <v>77</v>
      </c>
      <c r="U85" s="1"/>
      <c r="V85" s="1"/>
      <c r="W85" s="1"/>
      <c r="Y85" s="25"/>
    </row>
    <row r="86" spans="1:27" s="32" customFormat="1" hidden="1" outlineLevel="3">
      <c r="A86" s="31"/>
      <c r="B86" s="39" t="s">
        <v>24</v>
      </c>
      <c r="C86" s="40" t="s">
        <v>36</v>
      </c>
      <c r="D86" s="41">
        <v>46310</v>
      </c>
      <c r="E86" s="42" t="s">
        <v>26</v>
      </c>
      <c r="F86" s="31"/>
      <c r="H86" s="33"/>
      <c r="J86" s="34"/>
      <c r="K86" s="35"/>
      <c r="L86" s="36"/>
      <c r="M86" s="35"/>
      <c r="N86" s="37"/>
      <c r="O86" s="33"/>
      <c r="Q86" s="31"/>
      <c r="R86" s="31"/>
      <c r="S86" s="31"/>
      <c r="T86" s="31"/>
      <c r="U86" s="31"/>
      <c r="V86" s="31"/>
      <c r="W86" s="37"/>
      <c r="X86" s="2"/>
      <c r="Y86" s="25"/>
      <c r="Z86" s="2"/>
      <c r="AA86" s="38"/>
    </row>
    <row r="87" spans="1:27" s="32" customFormat="1" hidden="1" outlineLevel="3">
      <c r="A87" s="31"/>
      <c r="B87" s="39" t="s">
        <v>27</v>
      </c>
      <c r="C87" s="40" t="s">
        <v>37</v>
      </c>
      <c r="D87" s="41">
        <v>46325</v>
      </c>
      <c r="E87" s="42" t="s">
        <v>29</v>
      </c>
      <c r="F87" s="31"/>
      <c r="H87" s="33"/>
      <c r="J87" s="34"/>
      <c r="K87" s="35"/>
      <c r="L87" s="36"/>
      <c r="M87" s="35"/>
      <c r="N87" s="37"/>
      <c r="O87" s="33"/>
      <c r="Q87" s="31"/>
      <c r="R87" s="31"/>
      <c r="S87" s="31"/>
      <c r="T87" s="31"/>
      <c r="U87" s="31"/>
      <c r="V87" s="31"/>
      <c r="W87" s="37"/>
      <c r="X87" s="2"/>
      <c r="Y87" s="25"/>
      <c r="Z87" s="2"/>
    </row>
    <row r="88" spans="1:27" outlineLevel="1">
      <c r="A88" s="1"/>
      <c r="B88" s="103" t="s">
        <v>62</v>
      </c>
      <c r="C88" s="13" t="s">
        <v>67</v>
      </c>
      <c r="D88" s="103"/>
      <c r="E88" s="103"/>
      <c r="F88" s="103"/>
      <c r="G88" s="12"/>
      <c r="H88" s="25"/>
      <c r="J88" s="104">
        <f>SUBTOTAL(9,J89:J92)</f>
        <v>6.9637500000000005E-2</v>
      </c>
      <c r="K88" s="105">
        <f>SUBTOTAL(9,K89:K92)</f>
        <v>2</v>
      </c>
      <c r="L88" s="104">
        <f>SUBTOTAL(9,L89:L92)</f>
        <v>0</v>
      </c>
      <c r="M88" s="105">
        <f>SUBTOTAL(9,M89:M92)</f>
        <v>0</v>
      </c>
      <c r="N88" s="12"/>
      <c r="O88" s="25"/>
      <c r="Q88" s="103"/>
      <c r="R88" s="103"/>
      <c r="S88" s="103"/>
      <c r="T88" s="103"/>
      <c r="U88" s="103"/>
      <c r="V88" s="103"/>
      <c r="W88" s="103"/>
      <c r="Y88" s="25"/>
    </row>
    <row r="89" spans="1:27" outlineLevel="2" collapsed="1">
      <c r="A89" s="1"/>
      <c r="B89" s="1" t="s">
        <v>66</v>
      </c>
      <c r="C89" s="8" t="s">
        <v>30</v>
      </c>
      <c r="D89" s="108">
        <v>46296</v>
      </c>
      <c r="E89" s="1" t="s">
        <v>55</v>
      </c>
      <c r="F89" s="1" t="s">
        <v>68</v>
      </c>
      <c r="G89" s="12"/>
      <c r="H89" s="25"/>
      <c r="J89" s="9">
        <v>1.857E-2</v>
      </c>
      <c r="K89" s="16">
        <v>1</v>
      </c>
      <c r="L89" s="9">
        <f>IF(M89=1,J89,0)</f>
        <v>0</v>
      </c>
      <c r="M89" s="16"/>
      <c r="N89" s="12"/>
      <c r="O89" s="25"/>
      <c r="Q89" s="1" t="s">
        <v>55</v>
      </c>
      <c r="R89" s="1" t="s">
        <v>64</v>
      </c>
      <c r="S89" s="1" t="s">
        <v>65</v>
      </c>
      <c r="T89" s="1" t="s">
        <v>79</v>
      </c>
      <c r="U89" s="1"/>
      <c r="V89" s="1"/>
      <c r="W89" s="1"/>
      <c r="Y89" s="25"/>
    </row>
    <row r="90" spans="1:27" s="32" customFormat="1" hidden="1" outlineLevel="3">
      <c r="A90" s="31"/>
      <c r="B90" s="39" t="s">
        <v>24</v>
      </c>
      <c r="C90" s="40" t="s">
        <v>36</v>
      </c>
      <c r="D90" s="41">
        <v>46310</v>
      </c>
      <c r="E90" s="42" t="s">
        <v>26</v>
      </c>
      <c r="F90" s="31"/>
      <c r="H90" s="33"/>
      <c r="J90" s="34"/>
      <c r="K90" s="35"/>
      <c r="L90" s="36"/>
      <c r="M90" s="35"/>
      <c r="N90" s="37"/>
      <c r="O90" s="33"/>
      <c r="Q90" s="31"/>
      <c r="R90" s="31"/>
      <c r="S90" s="31"/>
      <c r="T90" s="31"/>
      <c r="U90" s="31"/>
      <c r="V90" s="31"/>
      <c r="W90" s="37"/>
      <c r="X90" s="2"/>
      <c r="Y90" s="25"/>
      <c r="Z90" s="2"/>
      <c r="AA90" s="38"/>
    </row>
    <row r="91" spans="1:27" s="32" customFormat="1" hidden="1" outlineLevel="3">
      <c r="A91" s="31"/>
      <c r="B91" s="39" t="s">
        <v>27</v>
      </c>
      <c r="C91" s="40" t="s">
        <v>37</v>
      </c>
      <c r="D91" s="41">
        <v>46325</v>
      </c>
      <c r="E91" s="42" t="s">
        <v>29</v>
      </c>
      <c r="F91" s="31"/>
      <c r="H91" s="33"/>
      <c r="J91" s="34"/>
      <c r="K91" s="35"/>
      <c r="L91" s="36"/>
      <c r="M91" s="35"/>
      <c r="N91" s="37"/>
      <c r="O91" s="33"/>
      <c r="Q91" s="31"/>
      <c r="R91" s="31"/>
      <c r="S91" s="31"/>
      <c r="T91" s="31"/>
      <c r="U91" s="31"/>
      <c r="V91" s="31"/>
      <c r="W91" s="37"/>
      <c r="X91" s="2"/>
      <c r="Y91" s="25"/>
      <c r="Z91" s="2"/>
    </row>
    <row r="92" spans="1:27" outlineLevel="2">
      <c r="A92" s="1"/>
      <c r="B92" s="1" t="s">
        <v>66</v>
      </c>
      <c r="C92" s="8" t="s">
        <v>38</v>
      </c>
      <c r="D92" s="108">
        <v>46300</v>
      </c>
      <c r="E92" s="1" t="s">
        <v>55</v>
      </c>
      <c r="F92" s="1"/>
      <c r="G92" s="12"/>
      <c r="H92" s="25"/>
      <c r="J92" s="9">
        <v>5.1067500000000002E-2</v>
      </c>
      <c r="K92" s="16">
        <v>1</v>
      </c>
      <c r="L92" s="9">
        <f>IF(M92=1,J92,0)</f>
        <v>0</v>
      </c>
      <c r="M92" s="16"/>
      <c r="N92" s="12"/>
      <c r="O92" s="25"/>
      <c r="Q92" s="1" t="s">
        <v>55</v>
      </c>
      <c r="R92" s="1" t="s">
        <v>64</v>
      </c>
      <c r="S92" s="1" t="s">
        <v>65</v>
      </c>
      <c r="T92" s="1" t="s">
        <v>79</v>
      </c>
      <c r="U92" s="1"/>
      <c r="V92" s="1"/>
      <c r="W92" s="1"/>
      <c r="Y92" s="25"/>
    </row>
    <row r="93" spans="1:27" s="32" customFormat="1" hidden="1" outlineLevel="3">
      <c r="A93" s="31"/>
      <c r="B93" s="39" t="s">
        <v>24</v>
      </c>
      <c r="C93" s="40" t="s">
        <v>36</v>
      </c>
      <c r="D93" s="41">
        <v>46280</v>
      </c>
      <c r="E93" s="42" t="s">
        <v>26</v>
      </c>
      <c r="F93" s="31"/>
      <c r="H93" s="33"/>
      <c r="J93" s="34"/>
      <c r="K93" s="35"/>
      <c r="L93" s="36"/>
      <c r="M93" s="35"/>
      <c r="N93" s="37"/>
      <c r="O93" s="33"/>
      <c r="Q93" s="31"/>
      <c r="R93" s="31"/>
      <c r="S93" s="31"/>
      <c r="T93" s="31"/>
      <c r="U93" s="31"/>
      <c r="V93" s="31"/>
      <c r="W93" s="37"/>
      <c r="X93" s="2"/>
      <c r="Y93" s="25"/>
      <c r="Z93" s="2"/>
      <c r="AA93" s="38"/>
    </row>
    <row r="94" spans="1:27" s="32" customFormat="1" hidden="1" outlineLevel="3">
      <c r="A94" s="31"/>
      <c r="B94" s="39" t="s">
        <v>27</v>
      </c>
      <c r="C94" s="40" t="s">
        <v>37</v>
      </c>
      <c r="D94" s="41">
        <v>46295</v>
      </c>
      <c r="E94" s="42" t="s">
        <v>29</v>
      </c>
      <c r="F94" s="31"/>
      <c r="H94" s="33"/>
      <c r="J94" s="34"/>
      <c r="K94" s="35"/>
      <c r="L94" s="36"/>
      <c r="M94" s="35"/>
      <c r="N94" s="37"/>
      <c r="O94" s="33"/>
      <c r="Q94" s="31"/>
      <c r="R94" s="31"/>
      <c r="S94" s="31"/>
      <c r="T94" s="31"/>
      <c r="U94" s="31"/>
      <c r="V94" s="31"/>
      <c r="W94" s="37"/>
      <c r="X94" s="2"/>
      <c r="Y94" s="25"/>
      <c r="Z94" s="2"/>
    </row>
  </sheetData>
  <autoFilter ref="B4:Z94" xr:uid="{57F02A47-1D5F-458C-8847-CD7E7A6C8A72}"/>
  <printOptions horizontalCentered="1" gridLines="1"/>
  <pageMargins left="0.23622047244094491" right="0.23622047244094491" top="0.43307086614173229" bottom="0.35433070866141736" header="0.31496062992125984" footer="0.31496062992125984"/>
  <pageSetup paperSize="8" scale="6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6D898-4A6A-4D6F-8CFB-BF9E58636A6D}">
  <sheetPr>
    <outlinePr summaryBelow="0" summaryRight="0"/>
    <pageSetUpPr fitToPage="1"/>
  </sheetPr>
  <dimension ref="A1:P49"/>
  <sheetViews>
    <sheetView zoomScaleNormal="100" zoomScaleSheetLayoutView="35" workbookViewId="0">
      <pane xSplit="5" ySplit="7" topLeftCell="F8" activePane="bottomRight" state="frozen"/>
      <selection pane="bottomRight" activeCell="D31" sqref="D31"/>
      <selection pane="bottomLeft" activeCell="D31" sqref="D31"/>
      <selection pane="topRight" activeCell="D31" sqref="D31"/>
    </sheetView>
  </sheetViews>
  <sheetFormatPr defaultColWidth="11.42578125" defaultRowHeight="11.85" customHeight="1" outlineLevelRow="2"/>
  <cols>
    <col min="1" max="1" width="0.5703125" style="48" customWidth="1"/>
    <col min="2" max="2" width="6.7109375" style="87" bestFit="1" customWidth="1"/>
    <col min="3" max="3" width="5.42578125" style="72" bestFit="1" customWidth="1"/>
    <col min="4" max="4" width="69.42578125" style="73" bestFit="1" customWidth="1"/>
    <col min="5" max="5" width="0.42578125" style="48" customWidth="1"/>
    <col min="6" max="6" width="7.5703125" style="74" customWidth="1"/>
    <col min="7" max="7" width="0.42578125" style="75" customWidth="1"/>
    <col min="8" max="8" width="7.5703125" style="74" customWidth="1"/>
    <col min="9" max="9" width="0.42578125" style="75" customWidth="1"/>
    <col min="10" max="10" width="7.5703125" style="74" customWidth="1"/>
    <col min="11" max="11" width="0.42578125" style="75" customWidth="1"/>
    <col min="12" max="12" width="7.5703125" style="74" customWidth="1"/>
    <col min="13" max="13" width="0.42578125" style="75" customWidth="1"/>
    <col min="14" max="16384" width="11.42578125" style="48"/>
  </cols>
  <sheetData>
    <row r="1" spans="1:16" ht="3" customHeight="1">
      <c r="A1" s="43"/>
      <c r="B1" s="83"/>
      <c r="C1" s="44"/>
      <c r="D1" s="45"/>
      <c r="E1" s="43"/>
      <c r="F1" s="46"/>
      <c r="G1" s="47"/>
      <c r="H1" s="46"/>
      <c r="I1" s="47"/>
      <c r="J1" s="46"/>
      <c r="K1" s="47"/>
      <c r="L1" s="46"/>
      <c r="M1" s="47"/>
      <c r="N1" s="43"/>
      <c r="O1" s="43"/>
      <c r="P1" s="43"/>
    </row>
    <row r="2" spans="1:16" s="52" customFormat="1" ht="17.45">
      <c r="A2" s="49"/>
      <c r="B2" s="92"/>
      <c r="C2" s="119" t="s">
        <v>80</v>
      </c>
      <c r="D2" s="119"/>
      <c r="E2" s="50"/>
      <c r="F2" s="98" t="s">
        <v>81</v>
      </c>
      <c r="G2" s="51"/>
      <c r="H2" s="98" t="s">
        <v>82</v>
      </c>
      <c r="I2" s="51"/>
      <c r="J2" s="98" t="s">
        <v>54</v>
      </c>
      <c r="K2" s="51"/>
      <c r="L2" s="98" t="s">
        <v>83</v>
      </c>
      <c r="M2" s="51"/>
      <c r="N2" s="49"/>
      <c r="O2" s="99">
        <v>1</v>
      </c>
      <c r="P2" s="92" t="s">
        <v>75</v>
      </c>
    </row>
    <row r="3" spans="1:16" s="55" customFormat="1" ht="15.6">
      <c r="A3" s="53"/>
      <c r="B3" s="93"/>
      <c r="C3" s="54"/>
      <c r="D3" s="82" t="s">
        <v>84</v>
      </c>
      <c r="E3" s="53"/>
      <c r="F3" s="53">
        <f>COUNTA(F$8:F$24)</f>
        <v>8</v>
      </c>
      <c r="G3" s="53"/>
      <c r="H3" s="53">
        <f>COUNTA(H$8:H$24)</f>
        <v>5</v>
      </c>
      <c r="I3" s="53"/>
      <c r="J3" s="53">
        <f>COUNTA(J$8:J$24)</f>
        <v>7</v>
      </c>
      <c r="K3" s="53"/>
      <c r="L3" s="53">
        <f>COUNTA(L$8:L$24)</f>
        <v>4</v>
      </c>
      <c r="M3" s="53"/>
      <c r="N3" s="53"/>
      <c r="O3" s="99">
        <v>-1</v>
      </c>
      <c r="P3" s="92" t="s">
        <v>85</v>
      </c>
    </row>
    <row r="4" spans="1:16" s="55" customFormat="1" ht="15.6">
      <c r="A4" s="53"/>
      <c r="B4" s="93"/>
      <c r="C4" s="54"/>
      <c r="D4" s="82" t="s">
        <v>86</v>
      </c>
      <c r="E4" s="53"/>
      <c r="F4" s="53">
        <f>COUNTIF(F$8:F$24,1)</f>
        <v>2</v>
      </c>
      <c r="G4" s="53"/>
      <c r="H4" s="53">
        <f>COUNTIF(H$8:H$24,1)</f>
        <v>0</v>
      </c>
      <c r="I4" s="53"/>
      <c r="J4" s="53">
        <f>COUNTIF(J$8:J$24,1)</f>
        <v>0</v>
      </c>
      <c r="K4" s="53"/>
      <c r="L4" s="53">
        <f>COUNTIF(L$8:L$24,1)</f>
        <v>0</v>
      </c>
      <c r="M4" s="53"/>
      <c r="N4" s="53"/>
      <c r="O4" s="92"/>
      <c r="P4" s="92" t="s">
        <v>87</v>
      </c>
    </row>
    <row r="5" spans="1:16" ht="3" customHeight="1">
      <c r="A5" s="43"/>
      <c r="B5" s="83"/>
      <c r="C5" s="44"/>
      <c r="D5" s="56"/>
      <c r="E5" s="57"/>
      <c r="F5" s="46"/>
      <c r="G5" s="58"/>
      <c r="H5" s="46"/>
      <c r="I5" s="58"/>
      <c r="J5" s="46"/>
      <c r="K5" s="58"/>
      <c r="L5" s="46"/>
      <c r="M5" s="58"/>
      <c r="N5" s="43"/>
      <c r="O5" s="43"/>
      <c r="P5" s="43"/>
    </row>
    <row r="6" spans="1:16" ht="3" customHeight="1">
      <c r="A6" s="43"/>
      <c r="B6" s="94"/>
      <c r="C6" s="59"/>
      <c r="D6" s="60"/>
      <c r="E6" s="61"/>
      <c r="F6" s="62"/>
      <c r="G6" s="62"/>
      <c r="H6" s="62"/>
      <c r="I6" s="62"/>
      <c r="J6" s="62"/>
      <c r="K6" s="62"/>
      <c r="L6" s="62"/>
      <c r="M6" s="62"/>
      <c r="N6" s="43"/>
      <c r="O6" s="43"/>
      <c r="P6" s="43"/>
    </row>
    <row r="7" spans="1:16" ht="3.6" customHeight="1">
      <c r="A7" s="43"/>
      <c r="B7" s="83"/>
      <c r="C7" s="44"/>
      <c r="D7" s="56"/>
      <c r="E7" s="57"/>
      <c r="F7" s="63"/>
      <c r="G7" s="58"/>
      <c r="H7" s="63"/>
      <c r="I7" s="58"/>
      <c r="J7" s="63"/>
      <c r="K7" s="58"/>
      <c r="L7" s="63"/>
      <c r="M7" s="58"/>
      <c r="N7" s="43"/>
      <c r="O7" s="43"/>
      <c r="P7" s="43"/>
    </row>
    <row r="8" spans="1:16" ht="17.45">
      <c r="A8" s="43"/>
      <c r="B8" s="29"/>
      <c r="C8" s="120" t="s">
        <v>88</v>
      </c>
      <c r="D8" s="120"/>
      <c r="E8" s="57"/>
      <c r="F8" s="64"/>
      <c r="G8" s="65"/>
      <c r="H8" s="64"/>
      <c r="I8" s="65"/>
      <c r="J8" s="64"/>
      <c r="K8" s="65"/>
      <c r="L8" s="64"/>
      <c r="M8" s="65"/>
      <c r="N8" s="43"/>
      <c r="O8" s="43"/>
      <c r="P8" s="43"/>
    </row>
    <row r="9" spans="1:16" ht="3" customHeight="1" outlineLevel="1">
      <c r="A9" s="43"/>
      <c r="B9" s="83"/>
      <c r="C9" s="83"/>
      <c r="D9" s="84"/>
      <c r="E9" s="57"/>
      <c r="F9" s="63"/>
      <c r="G9" s="66"/>
      <c r="H9" s="63"/>
      <c r="I9" s="66"/>
      <c r="J9" s="63"/>
      <c r="K9" s="66"/>
      <c r="L9" s="63"/>
      <c r="M9" s="66"/>
      <c r="N9" s="43"/>
      <c r="O9" s="43"/>
      <c r="P9" s="43"/>
    </row>
    <row r="10" spans="1:16" ht="13.15" outlineLevel="1">
      <c r="A10" s="43"/>
      <c r="B10" s="95">
        <v>1</v>
      </c>
      <c r="C10" s="85">
        <v>1</v>
      </c>
      <c r="D10" s="86" t="s">
        <v>89</v>
      </c>
      <c r="E10" s="67"/>
      <c r="F10" s="96">
        <v>1</v>
      </c>
      <c r="G10" s="80"/>
      <c r="H10" s="96"/>
      <c r="I10" s="80"/>
      <c r="J10" s="96"/>
      <c r="K10" s="80"/>
      <c r="L10" s="96"/>
      <c r="M10" s="68"/>
      <c r="N10" s="43"/>
      <c r="O10" s="43"/>
      <c r="P10" s="43"/>
    </row>
    <row r="11" spans="1:16" ht="13.15" outlineLevel="1">
      <c r="A11" s="43"/>
      <c r="B11" s="95">
        <v>2</v>
      </c>
      <c r="C11" s="85">
        <v>2</v>
      </c>
      <c r="D11" s="86" t="s">
        <v>90</v>
      </c>
      <c r="E11" s="67"/>
      <c r="F11" s="96">
        <v>-1</v>
      </c>
      <c r="G11" s="80"/>
      <c r="H11" s="96">
        <v>-1</v>
      </c>
      <c r="I11" s="80"/>
      <c r="J11" s="96">
        <v>-1</v>
      </c>
      <c r="K11" s="80"/>
      <c r="L11" s="96">
        <v>-1</v>
      </c>
      <c r="M11" s="68"/>
      <c r="N11" s="43"/>
      <c r="O11" s="43"/>
      <c r="P11" s="43"/>
    </row>
    <row r="12" spans="1:16" ht="13.9" outlineLevel="1">
      <c r="A12" s="43"/>
      <c r="B12" s="95">
        <v>3</v>
      </c>
      <c r="C12" s="85">
        <v>3</v>
      </c>
      <c r="D12" s="86" t="s">
        <v>91</v>
      </c>
      <c r="E12" s="67"/>
      <c r="F12" s="96">
        <v>-1</v>
      </c>
      <c r="G12" s="80"/>
      <c r="H12" s="96">
        <v>-1</v>
      </c>
      <c r="I12" s="80"/>
      <c r="J12" s="96">
        <v>-1</v>
      </c>
      <c r="K12" s="80"/>
      <c r="L12" s="96">
        <v>-1</v>
      </c>
      <c r="M12" s="71"/>
      <c r="N12" s="29"/>
      <c r="O12" s="43"/>
      <c r="P12" s="43"/>
    </row>
    <row r="13" spans="1:16" ht="13.9" outlineLevel="1">
      <c r="A13" s="43"/>
      <c r="B13" s="95">
        <v>4</v>
      </c>
      <c r="C13" s="85">
        <v>4</v>
      </c>
      <c r="D13" s="86" t="s">
        <v>92</v>
      </c>
      <c r="E13" s="67"/>
      <c r="F13" s="96">
        <v>1</v>
      </c>
      <c r="G13" s="97"/>
      <c r="H13" s="96"/>
      <c r="I13" s="97"/>
      <c r="J13" s="96">
        <v>-1</v>
      </c>
      <c r="K13" s="97"/>
      <c r="L13" s="96"/>
      <c r="M13" s="71"/>
      <c r="N13" s="29"/>
      <c r="O13" s="43"/>
      <c r="P13" s="43"/>
    </row>
    <row r="14" spans="1:16" ht="17.45">
      <c r="A14" s="43"/>
      <c r="B14" s="29"/>
      <c r="C14" s="120" t="s">
        <v>93</v>
      </c>
      <c r="D14" s="120"/>
      <c r="E14" s="57"/>
      <c r="F14" s="64"/>
      <c r="G14" s="65"/>
      <c r="H14" s="64"/>
      <c r="I14" s="65"/>
      <c r="J14" s="64"/>
      <c r="K14" s="65"/>
      <c r="L14" s="64"/>
      <c r="M14" s="65"/>
      <c r="N14" s="43"/>
      <c r="O14" s="43"/>
      <c r="P14" s="43"/>
    </row>
    <row r="15" spans="1:16" ht="3" customHeight="1" outlineLevel="1">
      <c r="A15" s="43"/>
      <c r="B15" s="83"/>
      <c r="C15" s="83"/>
      <c r="D15" s="30"/>
      <c r="E15" s="43"/>
      <c r="F15" s="46"/>
      <c r="G15" s="47"/>
      <c r="H15" s="46"/>
      <c r="I15" s="47"/>
      <c r="J15" s="46"/>
      <c r="K15" s="47"/>
      <c r="L15" s="46"/>
      <c r="M15" s="47"/>
      <c r="N15" s="43"/>
      <c r="O15" s="43"/>
      <c r="P15" s="43"/>
    </row>
    <row r="16" spans="1:16" ht="13.15" outlineLevel="1">
      <c r="A16" s="43"/>
      <c r="B16" s="85">
        <v>4</v>
      </c>
      <c r="C16" s="85">
        <v>1</v>
      </c>
      <c r="D16" s="86" t="s">
        <v>94</v>
      </c>
      <c r="E16" s="67"/>
      <c r="F16" s="68"/>
      <c r="G16" s="68"/>
      <c r="H16" s="68"/>
      <c r="I16" s="68"/>
      <c r="J16" s="68"/>
      <c r="K16" s="68"/>
      <c r="L16" s="68"/>
      <c r="M16" s="68"/>
      <c r="N16" s="29"/>
      <c r="O16" s="43"/>
      <c r="P16" s="43"/>
    </row>
    <row r="17" spans="1:16" ht="13.15" outlineLevel="2">
      <c r="A17" s="43"/>
      <c r="B17" s="88" t="s">
        <v>95</v>
      </c>
      <c r="C17" s="88">
        <v>1</v>
      </c>
      <c r="D17" s="29" t="s">
        <v>96</v>
      </c>
      <c r="E17" s="43"/>
      <c r="F17" s="96">
        <v>-1</v>
      </c>
      <c r="G17" s="70"/>
      <c r="H17" s="96">
        <v>-1</v>
      </c>
      <c r="I17" s="70"/>
      <c r="J17" s="96">
        <v>-1</v>
      </c>
      <c r="K17" s="70"/>
      <c r="L17" s="69"/>
      <c r="M17" s="70"/>
      <c r="N17" s="29"/>
      <c r="O17" s="43"/>
      <c r="P17" s="43"/>
    </row>
    <row r="18" spans="1:16" ht="13.15" outlineLevel="2">
      <c r="A18" s="43"/>
      <c r="B18" s="88" t="s">
        <v>97</v>
      </c>
      <c r="C18" s="88">
        <v>2</v>
      </c>
      <c r="D18" s="29" t="s">
        <v>98</v>
      </c>
      <c r="E18" s="43"/>
      <c r="F18" s="96">
        <v>-1</v>
      </c>
      <c r="G18" s="80"/>
      <c r="H18" s="96">
        <v>-1</v>
      </c>
      <c r="I18" s="80"/>
      <c r="J18" s="96">
        <v>-1</v>
      </c>
      <c r="K18" s="80"/>
      <c r="L18" s="96">
        <v>-1</v>
      </c>
      <c r="M18" s="70"/>
      <c r="N18" s="29"/>
      <c r="O18" s="43"/>
      <c r="P18" s="43"/>
    </row>
    <row r="19" spans="1:16" s="79" customFormat="1" ht="13.15" outlineLevel="2">
      <c r="A19" s="76"/>
      <c r="B19" s="88" t="s">
        <v>99</v>
      </c>
      <c r="C19" s="89">
        <v>3</v>
      </c>
      <c r="D19" s="90" t="s">
        <v>100</v>
      </c>
      <c r="E19" s="76"/>
      <c r="F19" s="96">
        <v>-1</v>
      </c>
      <c r="G19" s="78"/>
      <c r="H19" s="77"/>
      <c r="I19" s="78"/>
      <c r="J19" s="96">
        <v>-1</v>
      </c>
      <c r="K19" s="78"/>
      <c r="L19" s="77"/>
      <c r="M19" s="78"/>
      <c r="N19" s="29"/>
      <c r="O19" s="76"/>
      <c r="P19" s="76"/>
    </row>
    <row r="20" spans="1:16" ht="3" customHeight="1">
      <c r="A20" s="43"/>
      <c r="B20" s="83"/>
      <c r="C20" s="83"/>
      <c r="D20" s="84"/>
      <c r="E20" s="57"/>
      <c r="F20" s="63"/>
      <c r="G20" s="66"/>
      <c r="H20" s="63"/>
      <c r="I20" s="66"/>
      <c r="J20" s="63"/>
      <c r="K20" s="66"/>
      <c r="L20" s="63"/>
      <c r="M20" s="66"/>
      <c r="N20" s="29"/>
      <c r="O20" s="43"/>
      <c r="P20" s="43"/>
    </row>
    <row r="21" spans="1:16" ht="17.45">
      <c r="A21" s="43"/>
      <c r="B21" s="29"/>
      <c r="C21" s="121" t="s">
        <v>101</v>
      </c>
      <c r="D21" s="121"/>
      <c r="E21" s="57"/>
      <c r="F21" s="64"/>
      <c r="G21" s="65"/>
      <c r="H21" s="64"/>
      <c r="I21" s="65"/>
      <c r="J21" s="64"/>
      <c r="K21" s="65"/>
      <c r="L21" s="64"/>
      <c r="M21" s="65"/>
      <c r="N21" s="29"/>
      <c r="O21" s="43"/>
      <c r="P21" s="43"/>
    </row>
    <row r="22" spans="1:16" ht="3" customHeight="1" outlineLevel="1">
      <c r="A22" s="43"/>
      <c r="B22" s="83"/>
      <c r="C22" s="83"/>
      <c r="D22" s="91"/>
      <c r="E22" s="57"/>
      <c r="F22" s="63"/>
      <c r="G22" s="66"/>
      <c r="H22" s="63"/>
      <c r="I22" s="66"/>
      <c r="J22" s="63"/>
      <c r="K22" s="66"/>
      <c r="L22" s="63"/>
      <c r="M22" s="66"/>
      <c r="N22" s="29"/>
      <c r="O22" s="43"/>
      <c r="P22" s="43"/>
    </row>
    <row r="23" spans="1:16" ht="13.15" outlineLevel="1">
      <c r="A23" s="43"/>
      <c r="B23" s="85">
        <v>1</v>
      </c>
      <c r="C23" s="85">
        <v>1</v>
      </c>
      <c r="D23" s="86" t="s">
        <v>102</v>
      </c>
      <c r="E23" s="67"/>
      <c r="F23" s="68"/>
      <c r="G23" s="68"/>
      <c r="H23" s="68"/>
      <c r="I23" s="68"/>
      <c r="J23" s="68"/>
      <c r="K23" s="68"/>
      <c r="L23" s="68"/>
      <c r="M23" s="68"/>
      <c r="N23" s="29"/>
      <c r="O23" s="43"/>
      <c r="P23" s="43"/>
    </row>
    <row r="24" spans="1:16" ht="13.15" outlineLevel="2">
      <c r="A24" s="43"/>
      <c r="B24" s="88">
        <v>1</v>
      </c>
      <c r="C24" s="88">
        <v>1</v>
      </c>
      <c r="D24" s="30" t="s">
        <v>103</v>
      </c>
      <c r="E24" s="45"/>
      <c r="F24" s="96">
        <v>-1</v>
      </c>
      <c r="G24" s="81"/>
      <c r="H24" s="96">
        <v>-1</v>
      </c>
      <c r="I24" s="81"/>
      <c r="J24" s="96">
        <v>-1</v>
      </c>
      <c r="K24" s="81"/>
      <c r="L24" s="96">
        <v>-1</v>
      </c>
      <c r="M24" s="81"/>
      <c r="N24" s="29"/>
      <c r="O24" s="43"/>
      <c r="P24" s="43"/>
    </row>
    <row r="25" spans="1:16" ht="3" customHeight="1">
      <c r="A25" s="43"/>
      <c r="B25" s="83"/>
      <c r="C25" s="44"/>
      <c r="D25" s="45"/>
      <c r="E25" s="43"/>
      <c r="F25" s="46"/>
      <c r="G25" s="47"/>
      <c r="H25" s="46"/>
      <c r="I25" s="47"/>
      <c r="J25" s="46"/>
      <c r="K25" s="47"/>
      <c r="L25" s="46"/>
      <c r="M25" s="47"/>
      <c r="N25" s="43"/>
      <c r="O25" s="43"/>
      <c r="P25" s="43"/>
    </row>
    <row r="46" spans="2:9" ht="11.85" customHeight="1">
      <c r="B46" s="48"/>
      <c r="C46" s="48"/>
      <c r="D46" s="48"/>
      <c r="F46" s="48"/>
      <c r="G46" s="48"/>
      <c r="H46" s="48"/>
      <c r="I46" s="48"/>
    </row>
    <row r="47" spans="2:9" ht="11.85" customHeight="1">
      <c r="B47" s="48"/>
      <c r="C47" s="48"/>
      <c r="D47" s="48"/>
      <c r="F47" s="48"/>
      <c r="G47" s="48"/>
      <c r="H47" s="48"/>
      <c r="I47" s="48"/>
    </row>
    <row r="49" spans="2:9" ht="11.85" customHeight="1">
      <c r="B49" s="48"/>
      <c r="C49" s="48"/>
      <c r="D49" s="48"/>
      <c r="F49" s="48"/>
      <c r="G49" s="48"/>
      <c r="H49" s="48"/>
      <c r="I49" s="48"/>
    </row>
  </sheetData>
  <mergeCells count="4">
    <mergeCell ref="C2:D2"/>
    <mergeCell ref="C8:D8"/>
    <mergeCell ref="C14:D14"/>
    <mergeCell ref="C21:D21"/>
  </mergeCells>
  <conditionalFormatting sqref="F10">
    <cfRule type="iconSet" priority="33">
      <iconSet iconSet="3Symbols2" showValue="0">
        <cfvo type="percent" val="0"/>
        <cfvo type="num" val="0"/>
        <cfvo type="num" val="1"/>
      </iconSet>
    </cfRule>
  </conditionalFormatting>
  <conditionalFormatting sqref="F11:F12">
    <cfRule type="iconSet" priority="31">
      <iconSet iconSet="3Symbols2" showValue="0">
        <cfvo type="percent" val="0"/>
        <cfvo type="num" val="0"/>
        <cfvo type="num" val="1"/>
      </iconSet>
    </cfRule>
  </conditionalFormatting>
  <conditionalFormatting sqref="F13">
    <cfRule type="iconSet" priority="30">
      <iconSet iconSet="3Symbols2" showValue="0">
        <cfvo type="percent" val="0"/>
        <cfvo type="num" val="0"/>
        <cfvo type="num" val="1"/>
      </iconSet>
    </cfRule>
  </conditionalFormatting>
  <conditionalFormatting sqref="F18">
    <cfRule type="iconSet" priority="4">
      <iconSet iconSet="3Symbols2" showValue="0">
        <cfvo type="percent" val="0"/>
        <cfvo type="num" val="0"/>
        <cfvo type="num" val="1"/>
      </iconSet>
    </cfRule>
  </conditionalFormatting>
  <conditionalFormatting sqref="H10">
    <cfRule type="iconSet" priority="29">
      <iconSet iconSet="3Symbols2" showValue="0">
        <cfvo type="percent" val="0"/>
        <cfvo type="num" val="0"/>
        <cfvo type="num" val="1"/>
      </iconSet>
    </cfRule>
  </conditionalFormatting>
  <conditionalFormatting sqref="H11:H12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H13">
    <cfRule type="iconSet" priority="26">
      <iconSet iconSet="3Symbols2" showValue="0">
        <cfvo type="percent" val="0"/>
        <cfvo type="num" val="0"/>
        <cfvo type="num" val="1"/>
      </iconSet>
    </cfRule>
  </conditionalFormatting>
  <conditionalFormatting sqref="H17">
    <cfRule type="iconSet" priority="20">
      <iconSet iconSet="3Symbols2" showValue="0">
        <cfvo type="percent" val="0"/>
        <cfvo type="num" val="0"/>
        <cfvo type="num" val="1"/>
      </iconSet>
    </cfRule>
  </conditionalFormatting>
  <conditionalFormatting sqref="H18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J10">
    <cfRule type="iconSet" priority="25">
      <iconSet iconSet="3Symbols2" showValue="0">
        <cfvo type="percent" val="0"/>
        <cfvo type="num" val="0"/>
        <cfvo type="num" val="1"/>
      </iconSet>
    </cfRule>
  </conditionalFormatting>
  <conditionalFormatting sqref="J11:J12">
    <cfRule type="iconSet" priority="24">
      <iconSet iconSet="3Symbols2" showValue="0">
        <cfvo type="percent" val="0"/>
        <cfvo type="num" val="0"/>
        <cfvo type="num" val="1"/>
      </iconSet>
    </cfRule>
  </conditionalFormatting>
  <conditionalFormatting sqref="J13">
    <cfRule type="iconSet" priority="16">
      <iconSet iconSet="3Symbols2" showValue="0">
        <cfvo type="percent" val="0"/>
        <cfvo type="num" val="0"/>
        <cfvo type="num" val="1"/>
      </iconSet>
    </cfRule>
  </conditionalFormatting>
  <conditionalFormatting sqref="J18">
    <cfRule type="iconSet" priority="3">
      <iconSet iconSet="3Symbols2" showValue="0">
        <cfvo type="percent" val="0"/>
        <cfvo type="num" val="0"/>
        <cfvo type="num" val="1"/>
      </iconSet>
    </cfRule>
  </conditionalFormatting>
  <conditionalFormatting sqref="L10">
    <cfRule type="iconSet" priority="23">
      <iconSet iconSet="3Symbols2" showValue="0">
        <cfvo type="percent" val="0"/>
        <cfvo type="num" val="0"/>
        <cfvo type="num" val="1"/>
      </iconSet>
    </cfRule>
  </conditionalFormatting>
  <conditionalFormatting sqref="L11:L12">
    <cfRule type="iconSet" priority="5">
      <iconSet iconSet="3Symbols2" showValue="0">
        <cfvo type="percent" val="0"/>
        <cfvo type="num" val="0"/>
        <cfvo type="num" val="1"/>
      </iconSet>
    </cfRule>
  </conditionalFormatting>
  <conditionalFormatting sqref="L13">
    <cfRule type="iconSet" priority="21">
      <iconSet iconSet="3Symbols2" showValue="0">
        <cfvo type="percent" val="0"/>
        <cfvo type="num" val="0"/>
        <cfvo type="num" val="1"/>
      </iconSet>
    </cfRule>
  </conditionalFormatting>
  <conditionalFormatting sqref="L18">
    <cfRule type="iconSet" priority="1">
      <iconSet iconSet="3Symbols2" showValue="0">
        <cfvo type="percent" val="0"/>
        <cfvo type="num" val="0"/>
        <cfvo type="num" val="1"/>
      </iconSet>
    </cfRule>
  </conditionalFormatting>
  <conditionalFormatting sqref="O2">
    <cfRule type="iconSet" priority="18">
      <iconSet iconSet="3Symbols2" showValue="0">
        <cfvo type="percent" val="0"/>
        <cfvo type="num" val="0"/>
        <cfvo type="num" val="1"/>
      </iconSet>
    </cfRule>
  </conditionalFormatting>
  <conditionalFormatting sqref="O3">
    <cfRule type="iconSet" priority="17">
      <iconSet iconSet="3Symbols2" showValue="0">
        <cfvo type="percent" val="0"/>
        <cfvo type="num" val="0"/>
        <cfvo type="num" val="1"/>
      </iconSet>
    </cfRule>
  </conditionalFormatting>
  <printOptions horizontalCentered="1"/>
  <pageMargins left="0.23622047244094491" right="0.23622047244094491" top="0.27559055118110237" bottom="0.19685039370078741" header="0" footer="0"/>
  <pageSetup paperSize="8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4" id="{79B06DBD-75F0-447A-9577-110620BDECC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F17 F19</xm:sqref>
        </x14:conditionalFormatting>
        <x14:conditionalFormatting xmlns:xm="http://schemas.microsoft.com/office/excel/2006/main">
          <x14:cfRule type="iconSet" priority="10" id="{5EEAB355-06D1-46B7-9021-89ED9150247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F24</xm:sqref>
        </x14:conditionalFormatting>
        <x14:conditionalFormatting xmlns:xm="http://schemas.microsoft.com/office/excel/2006/main">
          <x14:cfRule type="iconSet" priority="9" id="{2ABD931D-0DF2-4B6C-AB1E-1F439FFF4DF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H24</xm:sqref>
        </x14:conditionalFormatting>
        <x14:conditionalFormatting xmlns:xm="http://schemas.microsoft.com/office/excel/2006/main">
          <x14:cfRule type="iconSet" priority="11" id="{43164E56-6E2A-47D7-8132-6C778D13B63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J17</xm:sqref>
        </x14:conditionalFormatting>
        <x14:conditionalFormatting xmlns:xm="http://schemas.microsoft.com/office/excel/2006/main">
          <x14:cfRule type="iconSet" priority="14" id="{A9F16A01-20AC-419B-8243-A0021BAA5A9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J19</xm:sqref>
        </x14:conditionalFormatting>
        <x14:conditionalFormatting xmlns:xm="http://schemas.microsoft.com/office/excel/2006/main">
          <x14:cfRule type="iconSet" priority="8" id="{3997A553-C5C2-4D9B-86E0-759781E2477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J24</xm:sqref>
        </x14:conditionalFormatting>
        <x14:conditionalFormatting xmlns:xm="http://schemas.microsoft.com/office/excel/2006/main">
          <x14:cfRule type="iconSet" priority="7" id="{DD11D45B-9851-4B37-AAF4-39745D797A2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L24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9C3DF-8988-4CA1-A5ED-1E91F0403758}">
  <sheetPr codeName="Sheet9">
    <outlinePr summaryBelow="0" summaryRight="0"/>
    <pageSetUpPr fitToPage="1"/>
  </sheetPr>
  <dimension ref="A1:P49"/>
  <sheetViews>
    <sheetView zoomScaleNormal="100" zoomScaleSheetLayoutView="35" workbookViewId="0">
      <pane xSplit="5" ySplit="7" topLeftCell="F8" activePane="bottomRight" state="frozen"/>
      <selection pane="bottomRight" activeCell="D31" sqref="D31"/>
      <selection pane="bottomLeft" activeCell="D31" sqref="D31"/>
      <selection pane="topRight" activeCell="D31" sqref="D31"/>
    </sheetView>
  </sheetViews>
  <sheetFormatPr defaultColWidth="11.42578125" defaultRowHeight="11.85" customHeight="1" outlineLevelRow="2"/>
  <cols>
    <col min="1" max="1" width="0.5703125" style="48" customWidth="1"/>
    <col min="2" max="2" width="6.7109375" style="87" bestFit="1" customWidth="1"/>
    <col min="3" max="3" width="5.42578125" style="72" bestFit="1" customWidth="1"/>
    <col min="4" max="4" width="69.42578125" style="73" bestFit="1" customWidth="1"/>
    <col min="5" max="5" width="0.42578125" style="48" customWidth="1"/>
    <col min="6" max="6" width="7.5703125" style="74" customWidth="1"/>
    <col min="7" max="7" width="0.42578125" style="75" customWidth="1"/>
    <col min="8" max="8" width="7.5703125" style="74" customWidth="1"/>
    <col min="9" max="9" width="0.42578125" style="75" customWidth="1"/>
    <col min="10" max="10" width="7.5703125" style="74" customWidth="1"/>
    <col min="11" max="11" width="0.42578125" style="75" customWidth="1"/>
    <col min="12" max="12" width="7.5703125" style="74" customWidth="1"/>
    <col min="13" max="13" width="0.42578125" style="75" customWidth="1"/>
    <col min="14" max="16384" width="11.42578125" style="48"/>
  </cols>
  <sheetData>
    <row r="1" spans="1:16" ht="3" customHeight="1">
      <c r="A1" s="43"/>
      <c r="B1" s="83"/>
      <c r="C1" s="44"/>
      <c r="D1" s="45"/>
      <c r="E1" s="43"/>
      <c r="F1" s="46"/>
      <c r="G1" s="47"/>
      <c r="H1" s="46"/>
      <c r="I1" s="47"/>
      <c r="J1" s="46"/>
      <c r="K1" s="47"/>
      <c r="L1" s="46"/>
      <c r="M1" s="47"/>
      <c r="N1" s="43"/>
      <c r="O1" s="43"/>
      <c r="P1" s="43"/>
    </row>
    <row r="2" spans="1:16" s="52" customFormat="1" ht="17.45">
      <c r="A2" s="49"/>
      <c r="B2" s="92"/>
      <c r="C2" s="119" t="s">
        <v>104</v>
      </c>
      <c r="D2" s="119"/>
      <c r="E2" s="50"/>
      <c r="F2" s="98" t="s">
        <v>81</v>
      </c>
      <c r="G2" s="51"/>
      <c r="H2" s="98" t="s">
        <v>82</v>
      </c>
      <c r="I2" s="51"/>
      <c r="J2" s="98" t="s">
        <v>54</v>
      </c>
      <c r="K2" s="51"/>
      <c r="L2" s="98" t="s">
        <v>83</v>
      </c>
      <c r="M2" s="51"/>
      <c r="N2" s="49"/>
      <c r="O2" s="99">
        <v>1</v>
      </c>
      <c r="P2" s="92" t="s">
        <v>75</v>
      </c>
    </row>
    <row r="3" spans="1:16" s="55" customFormat="1" ht="15.6">
      <c r="A3" s="53"/>
      <c r="B3" s="93"/>
      <c r="C3" s="54"/>
      <c r="D3" s="82" t="s">
        <v>84</v>
      </c>
      <c r="E3" s="53"/>
      <c r="F3" s="53">
        <f>COUNTA(F$8:F$24)</f>
        <v>8</v>
      </c>
      <c r="G3" s="53"/>
      <c r="H3" s="53">
        <f>COUNTA(H$8:H$24)</f>
        <v>5</v>
      </c>
      <c r="I3" s="53"/>
      <c r="J3" s="53">
        <f>COUNTA(J$8:J$24)</f>
        <v>7</v>
      </c>
      <c r="K3" s="53"/>
      <c r="L3" s="53">
        <f>COUNTA(L$8:L$24)</f>
        <v>4</v>
      </c>
      <c r="M3" s="53"/>
      <c r="N3" s="53"/>
      <c r="O3" s="99">
        <v>-1</v>
      </c>
      <c r="P3" s="92" t="s">
        <v>85</v>
      </c>
    </row>
    <row r="4" spans="1:16" s="55" customFormat="1" ht="15.6">
      <c r="A4" s="53"/>
      <c r="B4" s="93"/>
      <c r="C4" s="54"/>
      <c r="D4" s="82" t="s">
        <v>86</v>
      </c>
      <c r="E4" s="53"/>
      <c r="F4" s="53">
        <f>COUNTIF(F$8:F$24,1)</f>
        <v>3</v>
      </c>
      <c r="G4" s="53"/>
      <c r="H4" s="53">
        <f>COUNTIF(H$8:H$24,1)</f>
        <v>4</v>
      </c>
      <c r="I4" s="53"/>
      <c r="J4" s="53">
        <f>COUNTIF(J$8:J$24,1)</f>
        <v>1</v>
      </c>
      <c r="K4" s="53"/>
      <c r="L4" s="53">
        <f>COUNTIF(L$8:L$24,1)</f>
        <v>1</v>
      </c>
      <c r="M4" s="53"/>
      <c r="N4" s="53"/>
      <c r="O4" s="92"/>
      <c r="P4" s="92" t="s">
        <v>87</v>
      </c>
    </row>
    <row r="5" spans="1:16" ht="3" customHeight="1">
      <c r="A5" s="43"/>
      <c r="B5" s="83"/>
      <c r="C5" s="44"/>
      <c r="D5" s="56"/>
      <c r="E5" s="57"/>
      <c r="F5" s="46"/>
      <c r="G5" s="58"/>
      <c r="H5" s="46"/>
      <c r="I5" s="58"/>
      <c r="J5" s="46"/>
      <c r="K5" s="58"/>
      <c r="L5" s="46"/>
      <c r="M5" s="58"/>
      <c r="N5" s="43"/>
      <c r="O5" s="43"/>
      <c r="P5" s="43"/>
    </row>
    <row r="6" spans="1:16" ht="3" customHeight="1">
      <c r="A6" s="43"/>
      <c r="B6" s="94"/>
      <c r="C6" s="59"/>
      <c r="D6" s="60"/>
      <c r="E6" s="61"/>
      <c r="F6" s="62"/>
      <c r="G6" s="62"/>
      <c r="H6" s="62"/>
      <c r="I6" s="62"/>
      <c r="J6" s="62"/>
      <c r="K6" s="62"/>
      <c r="L6" s="62"/>
      <c r="M6" s="62"/>
      <c r="N6" s="43"/>
      <c r="O6" s="43"/>
      <c r="P6" s="43"/>
    </row>
    <row r="7" spans="1:16" ht="3.6" customHeight="1">
      <c r="A7" s="43"/>
      <c r="B7" s="83"/>
      <c r="C7" s="44"/>
      <c r="D7" s="56"/>
      <c r="E7" s="57"/>
      <c r="F7" s="63"/>
      <c r="G7" s="58"/>
      <c r="H7" s="63"/>
      <c r="I7" s="58"/>
      <c r="J7" s="63"/>
      <c r="K7" s="58"/>
      <c r="L7" s="63"/>
      <c r="M7" s="58"/>
      <c r="N7" s="43"/>
      <c r="O7" s="43"/>
      <c r="P7" s="43"/>
    </row>
    <row r="8" spans="1:16" ht="17.45">
      <c r="A8" s="43"/>
      <c r="B8" s="29"/>
      <c r="C8" s="120" t="s">
        <v>88</v>
      </c>
      <c r="D8" s="120"/>
      <c r="E8" s="57"/>
      <c r="F8" s="64"/>
      <c r="G8" s="65"/>
      <c r="H8" s="64"/>
      <c r="I8" s="65"/>
      <c r="J8" s="64"/>
      <c r="K8" s="65"/>
      <c r="L8" s="64"/>
      <c r="M8" s="65"/>
      <c r="N8" s="43"/>
      <c r="O8" s="43"/>
      <c r="P8" s="43"/>
    </row>
    <row r="9" spans="1:16" ht="3" customHeight="1" outlineLevel="1">
      <c r="A9" s="43"/>
      <c r="B9" s="83"/>
      <c r="C9" s="83"/>
      <c r="D9" s="84"/>
      <c r="E9" s="57"/>
      <c r="F9" s="63"/>
      <c r="G9" s="66"/>
      <c r="H9" s="63"/>
      <c r="I9" s="66"/>
      <c r="J9" s="63"/>
      <c r="K9" s="66"/>
      <c r="L9" s="63"/>
      <c r="M9" s="66"/>
      <c r="N9" s="43"/>
      <c r="O9" s="43"/>
      <c r="P9" s="43"/>
    </row>
    <row r="10" spans="1:16" ht="13.15" outlineLevel="1">
      <c r="A10" s="43"/>
      <c r="B10" s="95">
        <v>1</v>
      </c>
      <c r="C10" s="85">
        <v>1</v>
      </c>
      <c r="D10" s="86" t="s">
        <v>89</v>
      </c>
      <c r="E10" s="67"/>
      <c r="F10" s="96">
        <v>1</v>
      </c>
      <c r="G10" s="80"/>
      <c r="H10" s="96"/>
      <c r="I10" s="80"/>
      <c r="J10" s="96"/>
      <c r="K10" s="80"/>
      <c r="L10" s="96"/>
      <c r="M10" s="68"/>
      <c r="N10" s="43"/>
      <c r="O10" s="43"/>
      <c r="P10" s="43"/>
    </row>
    <row r="11" spans="1:16" ht="13.15" outlineLevel="1">
      <c r="A11" s="43"/>
      <c r="B11" s="95">
        <v>2</v>
      </c>
      <c r="C11" s="85">
        <v>2</v>
      </c>
      <c r="D11" s="86" t="s">
        <v>90</v>
      </c>
      <c r="E11" s="67"/>
      <c r="F11" s="96">
        <v>1</v>
      </c>
      <c r="G11" s="80"/>
      <c r="H11" s="96">
        <v>1</v>
      </c>
      <c r="I11" s="80"/>
      <c r="J11" s="96">
        <v>1</v>
      </c>
      <c r="K11" s="80"/>
      <c r="L11" s="96">
        <v>1</v>
      </c>
      <c r="M11" s="68"/>
      <c r="N11" s="43"/>
      <c r="O11" s="43"/>
      <c r="P11" s="43"/>
    </row>
    <row r="12" spans="1:16" ht="13.9" outlineLevel="1">
      <c r="A12" s="43"/>
      <c r="B12" s="95">
        <v>3</v>
      </c>
      <c r="C12" s="85">
        <v>3</v>
      </c>
      <c r="D12" s="86" t="s">
        <v>91</v>
      </c>
      <c r="E12" s="67"/>
      <c r="F12" s="96">
        <v>-1</v>
      </c>
      <c r="G12" s="97"/>
      <c r="H12" s="96">
        <v>1</v>
      </c>
      <c r="I12" s="97"/>
      <c r="J12" s="96">
        <v>-1</v>
      </c>
      <c r="K12" s="97"/>
      <c r="L12" s="96">
        <v>-1</v>
      </c>
      <c r="M12" s="71"/>
      <c r="N12" s="29" t="s">
        <v>105</v>
      </c>
      <c r="O12" s="43"/>
      <c r="P12" s="43"/>
    </row>
    <row r="13" spans="1:16" ht="13.9" outlineLevel="1">
      <c r="A13" s="43"/>
      <c r="B13" s="95">
        <v>4</v>
      </c>
      <c r="C13" s="85">
        <v>4</v>
      </c>
      <c r="D13" s="86" t="s">
        <v>92</v>
      </c>
      <c r="E13" s="67"/>
      <c r="F13" s="96">
        <v>1</v>
      </c>
      <c r="G13" s="97"/>
      <c r="H13" s="96"/>
      <c r="I13" s="97"/>
      <c r="J13" s="96">
        <v>-1</v>
      </c>
      <c r="K13" s="97"/>
      <c r="L13" s="96"/>
      <c r="M13" s="71"/>
      <c r="N13" s="29"/>
      <c r="O13" s="43"/>
      <c r="P13" s="43"/>
    </row>
    <row r="14" spans="1:16" ht="17.45">
      <c r="A14" s="43"/>
      <c r="B14" s="29"/>
      <c r="C14" s="120" t="s">
        <v>93</v>
      </c>
      <c r="D14" s="120"/>
      <c r="E14" s="57"/>
      <c r="F14" s="64"/>
      <c r="G14" s="65"/>
      <c r="H14" s="64"/>
      <c r="I14" s="65"/>
      <c r="J14" s="64"/>
      <c r="K14" s="65"/>
      <c r="L14" s="64"/>
      <c r="M14" s="65"/>
      <c r="N14" s="43"/>
      <c r="O14" s="43"/>
      <c r="P14" s="43"/>
    </row>
    <row r="15" spans="1:16" ht="3" customHeight="1" outlineLevel="1">
      <c r="A15" s="43"/>
      <c r="B15" s="83"/>
      <c r="C15" s="83"/>
      <c r="D15" s="30"/>
      <c r="E15" s="43"/>
      <c r="F15" s="46"/>
      <c r="G15" s="47"/>
      <c r="H15" s="46"/>
      <c r="I15" s="47"/>
      <c r="J15" s="46"/>
      <c r="K15" s="47"/>
      <c r="L15" s="46"/>
      <c r="M15" s="47"/>
      <c r="N15" s="43"/>
      <c r="O15" s="43"/>
      <c r="P15" s="43"/>
    </row>
    <row r="16" spans="1:16" ht="13.15" outlineLevel="1">
      <c r="A16" s="43"/>
      <c r="B16" s="85">
        <v>4</v>
      </c>
      <c r="C16" s="85">
        <v>1</v>
      </c>
      <c r="D16" s="86" t="s">
        <v>94</v>
      </c>
      <c r="E16" s="67"/>
      <c r="F16" s="68"/>
      <c r="G16" s="68"/>
      <c r="H16" s="68"/>
      <c r="I16" s="68"/>
      <c r="J16" s="68"/>
      <c r="K16" s="68"/>
      <c r="L16" s="68"/>
      <c r="M16" s="68"/>
      <c r="N16" s="29"/>
      <c r="O16" s="43"/>
      <c r="P16" s="43"/>
    </row>
    <row r="17" spans="1:16" ht="13.15" outlineLevel="2">
      <c r="A17" s="43"/>
      <c r="B17" s="88" t="s">
        <v>95</v>
      </c>
      <c r="C17" s="88">
        <v>1</v>
      </c>
      <c r="D17" s="29" t="s">
        <v>96</v>
      </c>
      <c r="E17" s="43"/>
      <c r="F17" s="96">
        <v>-1</v>
      </c>
      <c r="G17" s="70"/>
      <c r="H17" s="96">
        <v>1</v>
      </c>
      <c r="I17" s="70"/>
      <c r="J17" s="96">
        <v>-1</v>
      </c>
      <c r="K17" s="70"/>
      <c r="L17" s="69"/>
      <c r="M17" s="70"/>
      <c r="N17" s="29"/>
      <c r="O17" s="43"/>
      <c r="P17" s="43"/>
    </row>
    <row r="18" spans="1:16" ht="13.15" outlineLevel="2">
      <c r="A18" s="43"/>
      <c r="B18" s="88" t="s">
        <v>97</v>
      </c>
      <c r="C18" s="88">
        <v>2</v>
      </c>
      <c r="D18" s="29" t="s">
        <v>98</v>
      </c>
      <c r="E18" s="43"/>
      <c r="F18" s="96">
        <v>-1</v>
      </c>
      <c r="G18" s="70"/>
      <c r="H18" s="96">
        <v>1</v>
      </c>
      <c r="I18" s="70"/>
      <c r="J18" s="96">
        <v>-1</v>
      </c>
      <c r="K18" s="70"/>
      <c r="L18" s="96">
        <v>-1</v>
      </c>
      <c r="M18" s="70"/>
      <c r="N18" s="29"/>
      <c r="O18" s="43"/>
      <c r="P18" s="43"/>
    </row>
    <row r="19" spans="1:16" s="79" customFormat="1" ht="13.15" outlineLevel="2">
      <c r="A19" s="76"/>
      <c r="B19" s="88" t="s">
        <v>99</v>
      </c>
      <c r="C19" s="89">
        <v>3</v>
      </c>
      <c r="D19" s="90" t="s">
        <v>100</v>
      </c>
      <c r="E19" s="76"/>
      <c r="F19" s="96">
        <v>-1</v>
      </c>
      <c r="G19" s="78"/>
      <c r="H19" s="77"/>
      <c r="I19" s="78"/>
      <c r="J19" s="96">
        <v>-1</v>
      </c>
      <c r="K19" s="78"/>
      <c r="L19" s="77"/>
      <c r="M19" s="78"/>
      <c r="N19" s="29"/>
      <c r="O19" s="76"/>
      <c r="P19" s="76"/>
    </row>
    <row r="20" spans="1:16" ht="3" customHeight="1">
      <c r="A20" s="43"/>
      <c r="B20" s="83"/>
      <c r="C20" s="83"/>
      <c r="D20" s="84"/>
      <c r="E20" s="57"/>
      <c r="F20" s="63"/>
      <c r="G20" s="66"/>
      <c r="H20" s="63"/>
      <c r="I20" s="66"/>
      <c r="J20" s="63"/>
      <c r="K20" s="66"/>
      <c r="L20" s="63"/>
      <c r="M20" s="66"/>
      <c r="N20" s="29"/>
      <c r="O20" s="43"/>
      <c r="P20" s="43"/>
    </row>
    <row r="21" spans="1:16" ht="17.45">
      <c r="A21" s="43"/>
      <c r="B21" s="29"/>
      <c r="C21" s="121" t="s">
        <v>101</v>
      </c>
      <c r="D21" s="121"/>
      <c r="E21" s="57"/>
      <c r="F21" s="64"/>
      <c r="G21" s="65"/>
      <c r="H21" s="64"/>
      <c r="I21" s="65"/>
      <c r="J21" s="64"/>
      <c r="K21" s="65"/>
      <c r="L21" s="64"/>
      <c r="M21" s="65"/>
      <c r="N21" s="29"/>
      <c r="O21" s="43"/>
      <c r="P21" s="43"/>
    </row>
    <row r="22" spans="1:16" ht="3" customHeight="1" outlineLevel="1">
      <c r="A22" s="43"/>
      <c r="B22" s="83"/>
      <c r="C22" s="83"/>
      <c r="D22" s="91"/>
      <c r="E22" s="57"/>
      <c r="F22" s="63"/>
      <c r="G22" s="66"/>
      <c r="H22" s="63"/>
      <c r="I22" s="66"/>
      <c r="J22" s="63"/>
      <c r="K22" s="66"/>
      <c r="L22" s="63"/>
      <c r="M22" s="66"/>
      <c r="N22" s="29"/>
      <c r="O22" s="43"/>
      <c r="P22" s="43"/>
    </row>
    <row r="23" spans="1:16" ht="13.15" outlineLevel="1">
      <c r="A23" s="43"/>
      <c r="B23" s="85">
        <v>1</v>
      </c>
      <c r="C23" s="85">
        <v>1</v>
      </c>
      <c r="D23" s="86" t="s">
        <v>102</v>
      </c>
      <c r="E23" s="67"/>
      <c r="F23" s="68"/>
      <c r="G23" s="68"/>
      <c r="H23" s="68"/>
      <c r="I23" s="68"/>
      <c r="J23" s="68"/>
      <c r="K23" s="68"/>
      <c r="L23" s="68"/>
      <c r="M23" s="68"/>
      <c r="N23" s="29"/>
      <c r="O23" s="43"/>
      <c r="P23" s="43"/>
    </row>
    <row r="24" spans="1:16" ht="13.15" outlineLevel="2">
      <c r="A24" s="43"/>
      <c r="B24" s="88">
        <v>1</v>
      </c>
      <c r="C24" s="88">
        <v>1</v>
      </c>
      <c r="D24" s="30" t="s">
        <v>103</v>
      </c>
      <c r="E24" s="45"/>
      <c r="F24" s="96">
        <v>-1</v>
      </c>
      <c r="G24" s="81"/>
      <c r="H24" s="96">
        <v>-1</v>
      </c>
      <c r="I24" s="81"/>
      <c r="J24" s="96">
        <v>-1</v>
      </c>
      <c r="K24" s="81"/>
      <c r="L24" s="96">
        <v>-1</v>
      </c>
      <c r="M24" s="81"/>
      <c r="N24" s="29"/>
      <c r="O24" s="43"/>
      <c r="P24" s="43"/>
    </row>
    <row r="25" spans="1:16" ht="3" customHeight="1">
      <c r="A25" s="43"/>
      <c r="B25" s="83"/>
      <c r="C25" s="44"/>
      <c r="D25" s="45"/>
      <c r="E25" s="43"/>
      <c r="F25" s="46"/>
      <c r="G25" s="47"/>
      <c r="H25" s="46"/>
      <c r="I25" s="47"/>
      <c r="J25" s="46"/>
      <c r="K25" s="47"/>
      <c r="L25" s="46"/>
      <c r="M25" s="47"/>
      <c r="N25" s="43"/>
      <c r="O25" s="43"/>
      <c r="P25" s="43"/>
    </row>
    <row r="46" spans="2:9" ht="11.85" customHeight="1">
      <c r="B46" s="48"/>
      <c r="C46" s="48"/>
      <c r="D46" s="48"/>
      <c r="F46" s="48"/>
      <c r="G46" s="48"/>
      <c r="H46" s="48"/>
      <c r="I46" s="48"/>
    </row>
    <row r="47" spans="2:9" ht="11.85" customHeight="1">
      <c r="B47" s="48"/>
      <c r="C47" s="48"/>
      <c r="D47" s="48"/>
      <c r="F47" s="48"/>
      <c r="G47" s="48"/>
      <c r="H47" s="48"/>
      <c r="I47" s="48"/>
    </row>
    <row r="49" spans="2:9" ht="11.85" customHeight="1">
      <c r="B49" s="48"/>
      <c r="C49" s="48"/>
      <c r="D49" s="48"/>
      <c r="F49" s="48"/>
      <c r="G49" s="48"/>
      <c r="H49" s="48"/>
      <c r="I49" s="48"/>
    </row>
  </sheetData>
  <mergeCells count="4">
    <mergeCell ref="C2:D2"/>
    <mergeCell ref="C8:D8"/>
    <mergeCell ref="C14:D14"/>
    <mergeCell ref="C21:D21"/>
  </mergeCells>
  <conditionalFormatting sqref="F10">
    <cfRule type="iconSet" priority="39">
      <iconSet iconSet="3Symbols2" showValue="0">
        <cfvo type="percent" val="0"/>
        <cfvo type="num" val="0"/>
        <cfvo type="num" val="1"/>
      </iconSet>
    </cfRule>
  </conditionalFormatting>
  <conditionalFormatting sqref="F11">
    <cfRule type="iconSet" priority="38">
      <iconSet iconSet="3Symbols2" showValue="0">
        <cfvo type="percent" val="0"/>
        <cfvo type="num" val="0"/>
        <cfvo type="num" val="1"/>
      </iconSet>
    </cfRule>
  </conditionalFormatting>
  <conditionalFormatting sqref="F12">
    <cfRule type="iconSet" priority="37">
      <iconSet iconSet="3Symbols2" showValue="0">
        <cfvo type="percent" val="0"/>
        <cfvo type="num" val="0"/>
        <cfvo type="num" val="1"/>
      </iconSet>
    </cfRule>
  </conditionalFormatting>
  <conditionalFormatting sqref="F13">
    <cfRule type="iconSet" priority="36">
      <iconSet iconSet="3Symbols2" showValue="0">
        <cfvo type="percent" val="0"/>
        <cfvo type="num" val="0"/>
        <cfvo type="num" val="1"/>
      </iconSet>
    </cfRule>
  </conditionalFormatting>
  <conditionalFormatting sqref="H10">
    <cfRule type="iconSet" priority="34">
      <iconSet iconSet="3Symbols2" showValue="0">
        <cfvo type="percent" val="0"/>
        <cfvo type="num" val="0"/>
        <cfvo type="num" val="1"/>
      </iconSet>
    </cfRule>
  </conditionalFormatting>
  <conditionalFormatting sqref="H11">
    <cfRule type="iconSet" priority="33">
      <iconSet iconSet="3Symbols2" showValue="0">
        <cfvo type="percent" val="0"/>
        <cfvo type="num" val="0"/>
        <cfvo type="num" val="1"/>
      </iconSet>
    </cfRule>
  </conditionalFormatting>
  <conditionalFormatting sqref="H12">
    <cfRule type="iconSet" priority="32">
      <iconSet iconSet="3Symbols2" showValue="0">
        <cfvo type="percent" val="0"/>
        <cfvo type="num" val="0"/>
        <cfvo type="num" val="1"/>
      </iconSet>
    </cfRule>
  </conditionalFormatting>
  <conditionalFormatting sqref="H13">
    <cfRule type="iconSet" priority="31">
      <iconSet iconSet="3Symbols2" showValue="0">
        <cfvo type="percent" val="0"/>
        <cfvo type="num" val="0"/>
        <cfvo type="num" val="1"/>
      </iconSet>
    </cfRule>
  </conditionalFormatting>
  <conditionalFormatting sqref="H17">
    <cfRule type="iconSet" priority="18">
      <iconSet iconSet="3Symbols2" showValue="0">
        <cfvo type="percent" val="0"/>
        <cfvo type="num" val="0"/>
        <cfvo type="num" val="1"/>
      </iconSet>
    </cfRule>
  </conditionalFormatting>
  <conditionalFormatting sqref="H18">
    <cfRule type="iconSet" priority="17">
      <iconSet iconSet="3Symbols2" showValue="0">
        <cfvo type="percent" val="0"/>
        <cfvo type="num" val="0"/>
        <cfvo type="num" val="1"/>
      </iconSet>
    </cfRule>
  </conditionalFormatting>
  <conditionalFormatting sqref="J10">
    <cfRule type="iconSet" priority="29">
      <iconSet iconSet="3Symbols2" showValue="0">
        <cfvo type="percent" val="0"/>
        <cfvo type="num" val="0"/>
        <cfvo type="num" val="1"/>
      </iconSet>
    </cfRule>
  </conditionalFormatting>
  <conditionalFormatting sqref="J11">
    <cfRule type="iconSet" priority="28">
      <iconSet iconSet="3Symbols2" showValue="0">
        <cfvo type="percent" val="0"/>
        <cfvo type="num" val="0"/>
        <cfvo type="num" val="1"/>
      </iconSet>
    </cfRule>
  </conditionalFormatting>
  <conditionalFormatting sqref="J12:J13">
    <cfRule type="iconSet" priority="10">
      <iconSet iconSet="3Symbols2" showValue="0">
        <cfvo type="percent" val="0"/>
        <cfvo type="num" val="0"/>
        <cfvo type="num" val="1"/>
      </iconSet>
    </cfRule>
  </conditionalFormatting>
  <conditionalFormatting sqref="L10">
    <cfRule type="iconSet" priority="24">
      <iconSet iconSet="3Symbols2" showValue="0">
        <cfvo type="percent" val="0"/>
        <cfvo type="num" val="0"/>
        <cfvo type="num" val="1"/>
      </iconSet>
    </cfRule>
  </conditionalFormatting>
  <conditionalFormatting sqref="L11">
    <cfRule type="iconSet" priority="23">
      <iconSet iconSet="3Symbols2" showValue="0">
        <cfvo type="percent" val="0"/>
        <cfvo type="num" val="0"/>
        <cfvo type="num" val="1"/>
      </iconSet>
    </cfRule>
  </conditionalFormatting>
  <conditionalFormatting sqref="L12">
    <cfRule type="iconSet" priority="9">
      <iconSet iconSet="3Symbols2" showValue="0">
        <cfvo type="percent" val="0"/>
        <cfvo type="num" val="0"/>
        <cfvo type="num" val="1"/>
      </iconSet>
    </cfRule>
  </conditionalFormatting>
  <conditionalFormatting sqref="L13">
    <cfRule type="iconSet" priority="21">
      <iconSet iconSet="3Symbols2" showValue="0">
        <cfvo type="percent" val="0"/>
        <cfvo type="num" val="0"/>
        <cfvo type="num" val="1"/>
      </iconSet>
    </cfRule>
  </conditionalFormatting>
  <conditionalFormatting sqref="O2">
    <cfRule type="iconSet" priority="12">
      <iconSet iconSet="3Symbols2" showValue="0">
        <cfvo type="percent" val="0"/>
        <cfvo type="num" val="0"/>
        <cfvo type="num" val="1"/>
      </iconSet>
    </cfRule>
  </conditionalFormatting>
  <conditionalFormatting sqref="O3">
    <cfRule type="iconSet" priority="11">
      <iconSet iconSet="3Symbols2" showValue="0">
        <cfvo type="percent" val="0"/>
        <cfvo type="num" val="0"/>
        <cfvo type="num" val="1"/>
      </iconSet>
    </cfRule>
  </conditionalFormatting>
  <printOptions horizontalCentered="1"/>
  <pageMargins left="0.23622047244094491" right="0.23622047244094491" top="0.27559055118110237" bottom="0.19685039370078741" header="0" footer="0"/>
  <pageSetup paperSize="8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0" id="{DDAE7584-4612-4EC5-8E6F-C7B8CC1CE26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F17:F19</xm:sqref>
        </x14:conditionalFormatting>
        <x14:conditionalFormatting xmlns:xm="http://schemas.microsoft.com/office/excel/2006/main">
          <x14:cfRule type="iconSet" priority="4" id="{CFFD5DFD-C49D-4C2F-ACE3-271D301A3E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F24</xm:sqref>
        </x14:conditionalFormatting>
        <x14:conditionalFormatting xmlns:xm="http://schemas.microsoft.com/office/excel/2006/main">
          <x14:cfRule type="iconSet" priority="3" id="{88BE3135-C5B2-42DC-AAC4-A0FB53A02F2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H24</xm:sqref>
        </x14:conditionalFormatting>
        <x14:conditionalFormatting xmlns:xm="http://schemas.microsoft.com/office/excel/2006/main">
          <x14:cfRule type="iconSet" priority="5" id="{21F4AE5F-0B29-499E-96AF-25496F33D4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J17</xm:sqref>
        </x14:conditionalFormatting>
        <x14:conditionalFormatting xmlns:xm="http://schemas.microsoft.com/office/excel/2006/main">
          <x14:cfRule type="iconSet" priority="6" id="{6FB764EB-E5FD-4842-A836-CAC3F4032EB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J18</xm:sqref>
        </x14:conditionalFormatting>
        <x14:conditionalFormatting xmlns:xm="http://schemas.microsoft.com/office/excel/2006/main">
          <x14:cfRule type="iconSet" priority="8" id="{02D8AB4B-35C8-4FA9-8E8F-63F1228A4B6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J19</xm:sqref>
        </x14:conditionalFormatting>
        <x14:conditionalFormatting xmlns:xm="http://schemas.microsoft.com/office/excel/2006/main">
          <x14:cfRule type="iconSet" priority="2" id="{3BA4AA22-BEFE-4516-BD49-9F7F99BD6EC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J24</xm:sqref>
        </x14:conditionalFormatting>
        <x14:conditionalFormatting xmlns:xm="http://schemas.microsoft.com/office/excel/2006/main">
          <x14:cfRule type="iconSet" priority="7" id="{3F8C4B95-A11F-41BE-AA3D-40C251EEFD4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L18</xm:sqref>
        </x14:conditionalFormatting>
        <x14:conditionalFormatting xmlns:xm="http://schemas.microsoft.com/office/excel/2006/main">
          <x14:cfRule type="iconSet" priority="1" id="{E0F94165-9BAC-4C94-A5AE-AE2BF259E5D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2F3F3-0FDB-4F12-89E8-DE294F18840A}">
  <sheetPr>
    <outlinePr summaryBelow="0" summaryRight="0"/>
    <pageSetUpPr fitToPage="1"/>
  </sheetPr>
  <dimension ref="A2:AD16"/>
  <sheetViews>
    <sheetView zoomScale="90" zoomScaleNormal="90" workbookViewId="0">
      <pane xSplit="2" ySplit="4" topLeftCell="C5" activePane="bottomRight" state="frozen"/>
      <selection pane="bottomRight" activeCell="A6" sqref="A6"/>
      <selection pane="bottomLeft" activeCell="A8" sqref="A8"/>
      <selection pane="topRight"/>
    </sheetView>
  </sheetViews>
  <sheetFormatPr defaultColWidth="9.42578125" defaultRowHeight="13.15" outlineLevelRow="3" outlineLevelCol="1"/>
  <cols>
    <col min="1" max="1" width="0.5703125" style="2" customWidth="1"/>
    <col min="2" max="2" width="22.7109375" style="2" customWidth="1"/>
    <col min="3" max="3" width="53.7109375" style="24" customWidth="1"/>
    <col min="4" max="4" width="19.42578125" style="24" bestFit="1" customWidth="1"/>
    <col min="5" max="6" width="14.42578125" style="2" customWidth="1"/>
    <col min="7" max="9" width="0.5703125" style="2" customWidth="1" outlineLevel="1"/>
    <col min="10" max="10" width="13.28515625" style="2" bestFit="1" customWidth="1" outlineLevel="1"/>
    <col min="11" max="11" width="9.5703125" style="2" customWidth="1" outlineLevel="1"/>
    <col min="12" max="12" width="16.28515625" style="2" customWidth="1" outlineLevel="1"/>
    <col min="13" max="13" width="14.28515625" style="2" customWidth="1" outlineLevel="1"/>
    <col min="14" max="16" width="0.5703125" style="2" customWidth="1" outlineLevel="1"/>
    <col min="17" max="17" width="14.42578125" style="2" customWidth="1" outlineLevel="1"/>
    <col min="18" max="18" width="14.42578125" style="2" customWidth="1" outlineLevel="1" collapsed="1"/>
    <col min="19" max="23" width="14.42578125" style="2" customWidth="1" outlineLevel="1"/>
    <col min="24" max="26" width="0.5703125" style="2" customWidth="1"/>
    <col min="27" max="29" width="9.42578125" style="2"/>
    <col min="30" max="30" width="9.42578125" style="2" bestFit="1" customWidth="1"/>
    <col min="31" max="16384" width="9.42578125" style="2"/>
  </cols>
  <sheetData>
    <row r="2" spans="1:30" ht="17.45">
      <c r="A2" s="1"/>
      <c r="B2" s="3" t="s">
        <v>106</v>
      </c>
      <c r="C2" s="4"/>
      <c r="D2" s="4"/>
      <c r="E2" s="3"/>
      <c r="F2" s="3"/>
      <c r="G2" s="12"/>
      <c r="H2" s="25"/>
      <c r="J2" s="14">
        <f>SUBTOTAL(9,J6:J16)</f>
        <v>1.49</v>
      </c>
      <c r="K2" s="15">
        <f>SUBTOTAL(9,K6:K16)</f>
        <v>6</v>
      </c>
      <c r="L2" s="14">
        <f>SUBTOTAL(9,L6:L16)</f>
        <v>0</v>
      </c>
      <c r="M2" s="28">
        <f>SUBTOTAL(9,M6:M16)</f>
        <v>0</v>
      </c>
      <c r="N2" s="12"/>
      <c r="O2" s="25"/>
      <c r="Q2" s="3"/>
      <c r="R2" s="3"/>
      <c r="S2" s="3"/>
      <c r="T2" s="3"/>
      <c r="U2" s="3"/>
      <c r="V2" s="3"/>
      <c r="W2" s="3"/>
      <c r="Y2" s="25"/>
      <c r="AA2" s="10">
        <f>J2-L2</f>
        <v>1.49</v>
      </c>
      <c r="AB2" s="10">
        <f>K2-M2</f>
        <v>6</v>
      </c>
    </row>
    <row r="3" spans="1:30" ht="3" customHeight="1">
      <c r="A3" s="1"/>
      <c r="B3" s="1"/>
      <c r="C3" s="8"/>
      <c r="D3" s="8"/>
      <c r="E3" s="1"/>
      <c r="F3" s="1"/>
      <c r="G3" s="12"/>
      <c r="H3" s="25"/>
      <c r="J3" s="1"/>
      <c r="K3" s="1"/>
      <c r="L3" s="1"/>
      <c r="M3" s="1"/>
      <c r="N3" s="12"/>
      <c r="O3" s="25"/>
      <c r="Q3" s="1"/>
      <c r="R3" s="1"/>
      <c r="S3" s="1"/>
      <c r="T3" s="1"/>
      <c r="U3" s="1"/>
      <c r="V3" s="1"/>
      <c r="W3" s="1"/>
      <c r="Y3" s="25"/>
    </row>
    <row r="4" spans="1:30" s="6" customFormat="1" ht="30">
      <c r="A4" s="7"/>
      <c r="B4" s="11" t="s">
        <v>1</v>
      </c>
      <c r="C4" s="17" t="s">
        <v>2</v>
      </c>
      <c r="D4" s="17" t="s">
        <v>3</v>
      </c>
      <c r="E4" s="11" t="s">
        <v>4</v>
      </c>
      <c r="F4" s="11" t="s">
        <v>5</v>
      </c>
      <c r="G4" s="116"/>
      <c r="H4" s="26"/>
      <c r="J4" s="17" t="s">
        <v>6</v>
      </c>
      <c r="K4" s="17" t="s">
        <v>7</v>
      </c>
      <c r="L4" s="11" t="s">
        <v>8</v>
      </c>
      <c r="M4" s="17" t="s">
        <v>9</v>
      </c>
      <c r="N4" s="116"/>
      <c r="O4" s="26"/>
      <c r="Q4" s="11" t="s">
        <v>10</v>
      </c>
      <c r="R4" s="11" t="s">
        <v>11</v>
      </c>
      <c r="S4" s="11" t="s">
        <v>12</v>
      </c>
      <c r="T4" s="11" t="s">
        <v>13</v>
      </c>
      <c r="U4" s="11" t="s">
        <v>14</v>
      </c>
      <c r="V4" s="11" t="s">
        <v>15</v>
      </c>
      <c r="W4" s="11" t="s">
        <v>5</v>
      </c>
      <c r="Y4" s="26"/>
      <c r="AA4" s="27">
        <f>L2/J2</f>
        <v>0</v>
      </c>
      <c r="AB4" s="27">
        <f>M2/K2</f>
        <v>0</v>
      </c>
      <c r="AC4" s="2"/>
    </row>
    <row r="5" spans="1:30" ht="3" customHeight="1">
      <c r="A5" s="1"/>
      <c r="B5" s="1"/>
      <c r="C5" s="8"/>
      <c r="D5" s="8"/>
      <c r="E5" s="1"/>
      <c r="F5" s="1"/>
      <c r="G5" s="12"/>
      <c r="H5" s="25"/>
      <c r="J5" s="18"/>
      <c r="K5" s="19"/>
      <c r="L5" s="18"/>
      <c r="M5" s="19"/>
      <c r="N5" s="12"/>
      <c r="O5" s="25"/>
      <c r="Q5" s="1"/>
      <c r="R5" s="1"/>
      <c r="S5" s="1"/>
      <c r="T5" s="1"/>
      <c r="U5" s="1"/>
      <c r="V5" s="1"/>
      <c r="W5" s="1"/>
      <c r="Y5" s="25"/>
      <c r="AA5" s="10"/>
      <c r="AB5" s="10"/>
      <c r="AC5" s="10"/>
      <c r="AD5" s="10"/>
    </row>
    <row r="6" spans="1:30" ht="15" collapsed="1">
      <c r="A6" s="1"/>
      <c r="B6" s="5" t="s">
        <v>107</v>
      </c>
      <c r="C6" s="20" t="s">
        <v>17</v>
      </c>
      <c r="D6" s="20"/>
      <c r="E6" s="5"/>
      <c r="F6" s="5"/>
      <c r="G6" s="12"/>
      <c r="H6" s="25"/>
      <c r="J6" s="21">
        <f>SUBTOTAL(9,J7:J16)</f>
        <v>1.49</v>
      </c>
      <c r="K6" s="22">
        <f>SUBTOTAL(9,K7:K16)</f>
        <v>6</v>
      </c>
      <c r="L6" s="21">
        <f>SUBTOTAL(9,L7:L16)</f>
        <v>0</v>
      </c>
      <c r="M6" s="22">
        <f>SUBTOTAL(9,M7:M16)</f>
        <v>0</v>
      </c>
      <c r="N6" s="12"/>
      <c r="O6" s="25"/>
      <c r="Q6" s="5"/>
      <c r="R6" s="5"/>
      <c r="S6" s="5"/>
      <c r="T6" s="5"/>
      <c r="U6" s="5"/>
      <c r="V6" s="5"/>
      <c r="W6" s="5"/>
      <c r="Y6" s="25"/>
      <c r="AA6" s="10"/>
      <c r="AB6" s="10"/>
      <c r="AC6" s="10"/>
      <c r="AD6" s="10"/>
    </row>
    <row r="7" spans="1:30" hidden="1" outlineLevel="2">
      <c r="A7" s="1"/>
      <c r="B7" s="109" t="s">
        <v>18</v>
      </c>
      <c r="C7" s="110" t="s">
        <v>108</v>
      </c>
      <c r="D7" s="110"/>
      <c r="E7" s="109"/>
      <c r="F7" s="109"/>
      <c r="G7" s="12"/>
      <c r="H7" s="25"/>
      <c r="J7" s="111">
        <f>SUBTOTAL(9,J8:J9)</f>
        <v>1.1499999999999999</v>
      </c>
      <c r="K7" s="112">
        <f>SUBTOTAL(9,K8:K9)</f>
        <v>2</v>
      </c>
      <c r="L7" s="111">
        <f>SUBTOTAL(9,L8:L9)</f>
        <v>0</v>
      </c>
      <c r="M7" s="112">
        <f>SUBTOTAL(9,M8:M9)</f>
        <v>0</v>
      </c>
      <c r="N7" s="12"/>
      <c r="O7" s="25"/>
      <c r="Q7" s="109"/>
      <c r="R7" s="109"/>
      <c r="S7" s="109"/>
      <c r="T7" s="109"/>
      <c r="U7" s="109"/>
      <c r="V7" s="109"/>
      <c r="W7" s="109"/>
      <c r="Y7" s="25"/>
    </row>
    <row r="8" spans="1:30" hidden="1" outlineLevel="3">
      <c r="A8" s="1"/>
      <c r="B8" s="1" t="s">
        <v>107</v>
      </c>
      <c r="C8" s="8" t="s">
        <v>20</v>
      </c>
      <c r="D8" s="8"/>
      <c r="E8" s="1" t="s">
        <v>109</v>
      </c>
      <c r="F8" s="1"/>
      <c r="G8" s="12"/>
      <c r="H8" s="25"/>
      <c r="J8" s="9">
        <v>0.69</v>
      </c>
      <c r="K8" s="16">
        <v>1</v>
      </c>
      <c r="L8" s="9">
        <f>IF(M8=1,J8,0)</f>
        <v>0</v>
      </c>
      <c r="M8" s="16"/>
      <c r="N8" s="12"/>
      <c r="O8" s="25"/>
      <c r="Q8" s="1" t="s">
        <v>109</v>
      </c>
      <c r="R8" s="1" t="s">
        <v>110</v>
      </c>
      <c r="S8" s="1" t="s">
        <v>111</v>
      </c>
      <c r="T8" s="1"/>
      <c r="U8" s="1"/>
      <c r="V8" s="1"/>
      <c r="W8" s="1"/>
      <c r="Y8" s="25"/>
    </row>
    <row r="9" spans="1:30" hidden="1" outlineLevel="3">
      <c r="A9" s="1"/>
      <c r="B9" s="1" t="s">
        <v>107</v>
      </c>
      <c r="C9" s="8" t="s">
        <v>92</v>
      </c>
      <c r="D9" s="8"/>
      <c r="E9" s="1" t="s">
        <v>109</v>
      </c>
      <c r="F9" s="1"/>
      <c r="G9" s="12"/>
      <c r="H9" s="25"/>
      <c r="J9" s="9">
        <v>0.46</v>
      </c>
      <c r="K9" s="16">
        <v>1</v>
      </c>
      <c r="L9" s="9">
        <f>IF(M9=1,J9,0)</f>
        <v>0</v>
      </c>
      <c r="M9" s="16"/>
      <c r="N9" s="12"/>
      <c r="O9" s="25"/>
      <c r="Q9" s="1" t="s">
        <v>109</v>
      </c>
      <c r="R9" s="1" t="s">
        <v>110</v>
      </c>
      <c r="S9" s="1" t="s">
        <v>111</v>
      </c>
      <c r="T9" s="1"/>
      <c r="U9" s="1"/>
      <c r="V9" s="1"/>
      <c r="W9" s="1"/>
      <c r="Y9" s="25"/>
    </row>
    <row r="10" spans="1:30" hidden="1" outlineLevel="2">
      <c r="A10" s="1"/>
      <c r="B10" s="109" t="s">
        <v>39</v>
      </c>
      <c r="C10" s="110" t="s">
        <v>112</v>
      </c>
      <c r="D10" s="110"/>
      <c r="E10" s="109"/>
      <c r="F10" s="109"/>
      <c r="G10" s="12"/>
      <c r="H10" s="25"/>
      <c r="J10" s="111">
        <f>SUBTOTAL(9,J11)</f>
        <v>0.19</v>
      </c>
      <c r="K10" s="112">
        <f>SUBTOTAL(9,K11)</f>
        <v>1</v>
      </c>
      <c r="L10" s="111">
        <f>SUBTOTAL(9,L11)</f>
        <v>0</v>
      </c>
      <c r="M10" s="112">
        <f>SUBTOTAL(9,M11)</f>
        <v>0</v>
      </c>
      <c r="N10" s="12"/>
      <c r="O10" s="25"/>
      <c r="Q10" s="109"/>
      <c r="R10" s="109"/>
      <c r="S10" s="109"/>
      <c r="T10" s="109"/>
      <c r="U10" s="109"/>
      <c r="V10" s="109"/>
      <c r="W10" s="109"/>
      <c r="Y10" s="25"/>
    </row>
    <row r="11" spans="1:30" hidden="1" outlineLevel="3">
      <c r="A11" s="1"/>
      <c r="B11" s="1" t="s">
        <v>107</v>
      </c>
      <c r="C11" s="8" t="s">
        <v>20</v>
      </c>
      <c r="D11" s="8"/>
      <c r="E11" s="1" t="s">
        <v>41</v>
      </c>
      <c r="F11" s="1"/>
      <c r="G11" s="12"/>
      <c r="H11" s="25"/>
      <c r="J11" s="9">
        <v>0.19</v>
      </c>
      <c r="K11" s="16">
        <v>1</v>
      </c>
      <c r="L11" s="9">
        <f>IF(M11=1,J11,0)</f>
        <v>0</v>
      </c>
      <c r="M11" s="16"/>
      <c r="N11" s="12"/>
      <c r="O11" s="25"/>
      <c r="Q11" s="1" t="s">
        <v>41</v>
      </c>
      <c r="R11" s="1" t="s">
        <v>42</v>
      </c>
      <c r="S11" s="1" t="s">
        <v>113</v>
      </c>
      <c r="T11" s="1" t="s">
        <v>114</v>
      </c>
      <c r="U11" s="1" t="s">
        <v>115</v>
      </c>
      <c r="V11" s="1"/>
      <c r="W11" s="1">
        <v>0</v>
      </c>
      <c r="Y11" s="25"/>
    </row>
    <row r="12" spans="1:30" hidden="1" outlineLevel="2">
      <c r="A12" s="1"/>
      <c r="B12" s="109" t="s">
        <v>54</v>
      </c>
      <c r="C12" s="110" t="s">
        <v>112</v>
      </c>
      <c r="D12" s="110"/>
      <c r="E12" s="109"/>
      <c r="F12" s="109"/>
      <c r="G12" s="113"/>
      <c r="H12" s="114"/>
      <c r="I12" s="115"/>
      <c r="J12" s="111">
        <f>SUBTOTAL(9,J13:J14)</f>
        <v>0.1</v>
      </c>
      <c r="K12" s="112">
        <f>SUBTOTAL(9,K13:K14)</f>
        <v>2</v>
      </c>
      <c r="L12" s="111">
        <f>SUBTOTAL(9,L13:L14)</f>
        <v>0</v>
      </c>
      <c r="M12" s="112">
        <f>SUBTOTAL(9,M13:M14)</f>
        <v>0</v>
      </c>
      <c r="N12" s="113"/>
      <c r="O12" s="114"/>
      <c r="P12" s="115"/>
      <c r="Q12" s="109"/>
      <c r="R12" s="109"/>
      <c r="S12" s="109"/>
      <c r="T12" s="109"/>
      <c r="U12" s="109"/>
      <c r="V12" s="109"/>
      <c r="W12" s="109"/>
      <c r="X12" s="115"/>
      <c r="Y12" s="114"/>
      <c r="Z12" s="115"/>
    </row>
    <row r="13" spans="1:30" hidden="1" outlineLevel="3">
      <c r="A13" s="1"/>
      <c r="B13" s="1" t="s">
        <v>107</v>
      </c>
      <c r="C13" s="8" t="s">
        <v>20</v>
      </c>
      <c r="D13" s="8"/>
      <c r="E13" s="1" t="s">
        <v>55</v>
      </c>
      <c r="F13" s="1"/>
      <c r="G13" s="12"/>
      <c r="H13" s="25"/>
      <c r="J13" s="9">
        <v>0.05</v>
      </c>
      <c r="K13" s="16">
        <v>1</v>
      </c>
      <c r="L13" s="9">
        <f>IF(M13=1,J13,0)</f>
        <v>0</v>
      </c>
      <c r="M13" s="16"/>
      <c r="N13" s="12"/>
      <c r="O13" s="25"/>
      <c r="Q13" s="1" t="s">
        <v>55</v>
      </c>
      <c r="R13" s="1" t="s">
        <v>57</v>
      </c>
      <c r="S13" s="1" t="s">
        <v>116</v>
      </c>
      <c r="T13" s="1" t="s">
        <v>117</v>
      </c>
      <c r="U13" s="1"/>
      <c r="V13" s="1"/>
      <c r="W13" s="1"/>
      <c r="Y13" s="25"/>
    </row>
    <row r="14" spans="1:30" hidden="1" outlineLevel="3">
      <c r="A14" s="1"/>
      <c r="B14" s="1" t="s">
        <v>107</v>
      </c>
      <c r="C14" s="8" t="s">
        <v>92</v>
      </c>
      <c r="D14" s="8"/>
      <c r="E14" s="1" t="s">
        <v>55</v>
      </c>
      <c r="F14" s="1"/>
      <c r="G14" s="12"/>
      <c r="H14" s="25"/>
      <c r="J14" s="9">
        <v>0.05</v>
      </c>
      <c r="K14" s="16">
        <v>1</v>
      </c>
      <c r="L14" s="9">
        <f>IF(M14=1,J14,0)</f>
        <v>0</v>
      </c>
      <c r="M14" s="16"/>
      <c r="N14" s="12"/>
      <c r="O14" s="25"/>
      <c r="Q14" s="1" t="s">
        <v>55</v>
      </c>
      <c r="R14" s="1" t="s">
        <v>57</v>
      </c>
      <c r="S14" s="1" t="s">
        <v>116</v>
      </c>
      <c r="T14" s="1" t="s">
        <v>117</v>
      </c>
      <c r="U14" s="1"/>
      <c r="V14" s="1"/>
      <c r="W14" s="1"/>
      <c r="Y14" s="25"/>
    </row>
    <row r="15" spans="1:30" hidden="1" outlineLevel="2">
      <c r="A15" s="1"/>
      <c r="B15" s="109" t="s">
        <v>62</v>
      </c>
      <c r="C15" s="110" t="s">
        <v>112</v>
      </c>
      <c r="D15" s="110"/>
      <c r="E15" s="109"/>
      <c r="F15" s="109"/>
      <c r="G15" s="12"/>
      <c r="H15" s="25"/>
      <c r="J15" s="111">
        <f>SUBTOTAL(9,J16)</f>
        <v>0.05</v>
      </c>
      <c r="K15" s="112">
        <f>SUBTOTAL(9,K16)</f>
        <v>1</v>
      </c>
      <c r="L15" s="111">
        <f>SUBTOTAL(9,L16)</f>
        <v>0</v>
      </c>
      <c r="M15" s="112">
        <f>SUBTOTAL(9,M16)</f>
        <v>0</v>
      </c>
      <c r="N15" s="12"/>
      <c r="O15" s="25"/>
      <c r="Q15" s="109"/>
      <c r="R15" s="109"/>
      <c r="S15" s="109"/>
      <c r="T15" s="109"/>
      <c r="U15" s="109"/>
      <c r="V15" s="109"/>
      <c r="W15" s="109"/>
      <c r="Y15" s="25"/>
    </row>
    <row r="16" spans="1:30" hidden="1" outlineLevel="3">
      <c r="A16" s="1"/>
      <c r="B16" s="1" t="s">
        <v>107</v>
      </c>
      <c r="C16" s="8" t="s">
        <v>92</v>
      </c>
      <c r="D16" s="8"/>
      <c r="E16" s="1" t="s">
        <v>55</v>
      </c>
      <c r="F16" s="1"/>
      <c r="G16" s="12"/>
      <c r="H16" s="25"/>
      <c r="J16" s="9">
        <v>0.05</v>
      </c>
      <c r="K16" s="16">
        <v>1</v>
      </c>
      <c r="L16" s="9">
        <f>IF(M16=1,J16,0)</f>
        <v>0</v>
      </c>
      <c r="M16" s="16"/>
      <c r="N16" s="12"/>
      <c r="O16" s="25"/>
      <c r="Q16" s="1" t="s">
        <v>55</v>
      </c>
      <c r="R16" s="1" t="s">
        <v>64</v>
      </c>
      <c r="S16" s="1" t="s">
        <v>118</v>
      </c>
      <c r="T16" s="1"/>
      <c r="U16" s="1"/>
      <c r="V16" s="1"/>
      <c r="W16" s="1"/>
      <c r="Y16" s="25"/>
    </row>
  </sheetData>
  <autoFilter ref="B4:Z16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2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d3a1aa-20e3-4db1-b4c2-8de2c15fe3d1">
      <Terms xmlns="http://schemas.microsoft.com/office/infopath/2007/PartnerControls"/>
    </lcf76f155ced4ddcb4097134ff3c332f>
    <TaxCatchAll xmlns="1c3b6138-399c-48b0-9249-b80d30773e06" xsi:nil="true"/>
    <SharedWithUsers xmlns="1c3b6138-399c-48b0-9249-b80d30773e06">
      <UserInfo>
        <DisplayName>Gagan Jit Singh</DisplayName>
        <AccountId>226</AccountId>
        <AccountType/>
      </UserInfo>
      <UserInfo>
        <DisplayName>Naveen Yenmandra</DisplayName>
        <AccountId>415</AccountId>
        <AccountType/>
      </UserInfo>
      <UserInfo>
        <DisplayName>Om Prakash</DisplayName>
        <AccountId>672</AccountId>
        <AccountType/>
      </UserInfo>
      <UserInfo>
        <DisplayName>Saji Alexander P</DisplayName>
        <AccountId>192</AccountId>
        <AccountType/>
      </UserInfo>
      <UserInfo>
        <DisplayName>Cijey Biju</DisplayName>
        <AccountId>682</AccountId>
        <AccountType/>
      </UserInfo>
      <UserInfo>
        <DisplayName>Prakash Channappagoudar</DisplayName>
        <AccountId>668</AccountId>
        <AccountType/>
      </UserInfo>
      <UserInfo>
        <DisplayName>Salomi Rani</DisplayName>
        <AccountId>812</AccountId>
        <AccountType/>
      </UserInfo>
      <UserInfo>
        <DisplayName>Subramanya Javagal</DisplayName>
        <AccountId>813</AccountId>
        <AccountType/>
      </UserInfo>
      <UserInfo>
        <DisplayName>Lajja Shah</DisplayName>
        <AccountId>955</AccountId>
        <AccountType/>
      </UserInfo>
      <UserInfo>
        <DisplayName>Priyanka Sahoo</DisplayName>
        <AccountId>936</AccountId>
        <AccountType/>
      </UserInfo>
    </SharedWithUsers>
    <Createdby xmlns="95d3a1aa-20e3-4db1-b4c2-8de2c15fe3d1">
      <UserInfo>
        <DisplayName/>
        <AccountId xsi:nil="true"/>
        <AccountType/>
      </UserInfo>
    </Createdby>
    <Date xmlns="95d3a1aa-20e3-4db1-b4c2-8de2c15fe3d1">2025-12-02T10:39:04+00:00</Date>
    <date0 xmlns="95d3a1aa-20e3-4db1-b4c2-8de2c15fe3d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BA13419CE3204EABC4CE2FDE1F4C28" ma:contentTypeVersion="28" ma:contentTypeDescription="Create a new document." ma:contentTypeScope="" ma:versionID="302412f9a6ca903b0ff3a3467d175f1f">
  <xsd:schema xmlns:xsd="http://www.w3.org/2001/XMLSchema" xmlns:xs="http://www.w3.org/2001/XMLSchema" xmlns:p="http://schemas.microsoft.com/office/2006/metadata/properties" xmlns:ns2="1c3b6138-399c-48b0-9249-b80d30773e06" xmlns:ns3="95d3a1aa-20e3-4db1-b4c2-8de2c15fe3d1" targetNamespace="http://schemas.microsoft.com/office/2006/metadata/properties" ma:root="true" ma:fieldsID="34d9bcd81e8fa7a8cd84bdaab48c0213" ns2:_="" ns3:_="">
    <xsd:import namespace="1c3b6138-399c-48b0-9249-b80d30773e06"/>
    <xsd:import namespace="95d3a1aa-20e3-4db1-b4c2-8de2c15fe3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Createdby" minOccurs="0"/>
                <xsd:element ref="ns3:Date" minOccurs="0"/>
                <xsd:element ref="ns3:MediaServiceBillingMetadata" minOccurs="0"/>
                <xsd:element ref="ns3:date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b6138-399c-48b0-9249-b80d30773e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5ca2bca-3b04-4f84-afc4-e9479d6563b0}" ma:internalName="TaxCatchAll" ma:showField="CatchAllData" ma:web="1c3b6138-399c-48b0-9249-b80d30773e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3a1aa-20e3-4db1-b4c2-8de2c15fe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847c990-d389-4210-8462-c9e2e52362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eatedby" ma:index="26" nillable="true" ma:displayName="Created by" ma:description="The person who has created" ma:format="Dropdown" ma:list="UserInfo" ma:SharePointGroup="0" ma:internalName="Creat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e" ma:index="27" nillable="true" ma:displayName="Date" ma:default="[today]" ma:format="DateOnly" ma:internalName="Date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0" ma:index="29" nillable="true" ma:displayName="date" ma:format="DateOnly" ma:internalName="date0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840187-9EF4-4E44-B2B9-F79E5D103205}"/>
</file>

<file path=customXml/itemProps2.xml><?xml version="1.0" encoding="utf-8"?>
<ds:datastoreItem xmlns:ds="http://schemas.openxmlformats.org/officeDocument/2006/customXml" ds:itemID="{37F01CEE-A6F8-409E-9FAD-BDD3DDDDB7C1}"/>
</file>

<file path=customXml/itemProps3.xml><?xml version="1.0" encoding="utf-8"?>
<ds:datastoreItem xmlns:ds="http://schemas.openxmlformats.org/officeDocument/2006/customXml" ds:itemID="{64A9BDF9-F82C-46C3-858A-9396328B6365}"/>
</file>

<file path=docMetadata/LabelInfo.xml><?xml version="1.0" encoding="utf-8"?>
<clbl:labelList xmlns:clbl="http://schemas.microsoft.com/office/2020/mipLabelMetadata">
  <clbl:label id="{83f557ba-ddb4-497b-8590-9541f498e808}" enabled="0" method="" siteId="{83f557ba-ddb4-497b-8590-9541f498e80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Vinod Appanna Soudi</dc:creator>
  <cp:keywords/>
  <dc:description/>
  <cp:lastModifiedBy>Niashinlulu Jaleel</cp:lastModifiedBy>
  <cp:revision/>
  <dcterms:created xsi:type="dcterms:W3CDTF">2024-04-25T11:54:44Z</dcterms:created>
  <dcterms:modified xsi:type="dcterms:W3CDTF">2026-09-23T06:45:40Z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0x01010098BA13419CE3204EABC4CE2FDE1F4C28</vt:lpwstr>
  </property>
  <property fmtid="{D5CDD505-2E9C-101B-9397-08002B2CF9AE}" pid="3" name="MediaServiceImageTags">
    <vt:lpwstr/>
  </property>
</Properties>
</file>